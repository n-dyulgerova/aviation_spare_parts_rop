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tics\Git Hub Portfolio\Excel and Power Query\Aviation Spare Parts\"/>
    </mc:Choice>
  </mc:AlternateContent>
  <xr:revisionPtr revIDLastSave="0" documentId="13_ncr:1_{0E87EF0D-2CB9-4A57-918A-6CE05F90B77D}" xr6:coauthVersionLast="47" xr6:coauthVersionMax="47" xr10:uidLastSave="{00000000-0000-0000-0000-000000000000}"/>
  <bookViews>
    <workbookView xWindow="-120" yWindow="-120" windowWidth="29040" windowHeight="15720" xr2:uid="{8B1F2788-10B9-4732-A7E0-D1E9023268C0}"/>
  </bookViews>
  <sheets>
    <sheet name="RawData" sheetId="2" r:id="rId1"/>
    <sheet name="Part_Summary" sheetId="1" r:id="rId2"/>
  </sheets>
  <definedNames>
    <definedName name="ExternalData_1" localSheetId="0" hidden="1">'RawData'!$A$1:$M$4321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Q2" i="2"/>
  <c r="Q74" i="2"/>
  <c r="Q146" i="2"/>
  <c r="Q218" i="2"/>
  <c r="Q290" i="2"/>
  <c r="Q362" i="2"/>
  <c r="Q434" i="2"/>
  <c r="Q506" i="2"/>
  <c r="Q578" i="2"/>
  <c r="Q650" i="2"/>
  <c r="U650" i="2" s="1"/>
  <c r="Q722" i="2"/>
  <c r="U722" i="2" s="1"/>
  <c r="Q794" i="2"/>
  <c r="U794" i="2" s="1"/>
  <c r="Q866" i="2"/>
  <c r="U866" i="2" s="1"/>
  <c r="Q938" i="2"/>
  <c r="U938" i="2" s="1"/>
  <c r="Q1010" i="2"/>
  <c r="U1010" i="2" s="1"/>
  <c r="Q1082" i="2"/>
  <c r="U1082" i="2" s="1"/>
  <c r="Q1154" i="2"/>
  <c r="U1154" i="2" s="1"/>
  <c r="Q1226" i="2"/>
  <c r="U1226" i="2" s="1"/>
  <c r="Q1298" i="2"/>
  <c r="U1298" i="2" s="1"/>
  <c r="Q1370" i="2"/>
  <c r="U1370" i="2" s="1"/>
  <c r="Q1442" i="2"/>
  <c r="U1442" i="2" s="1"/>
  <c r="Q1514" i="2"/>
  <c r="U1514" i="2" s="1"/>
  <c r="Q1586" i="2"/>
  <c r="U1586" i="2" s="1"/>
  <c r="Q1658" i="2"/>
  <c r="U1658" i="2" s="1"/>
  <c r="Q1730" i="2"/>
  <c r="U1730" i="2" s="1"/>
  <c r="Q1802" i="2"/>
  <c r="U1802" i="2" s="1"/>
  <c r="Q1874" i="2"/>
  <c r="U1874" i="2" s="1"/>
  <c r="Q1946" i="2"/>
  <c r="U1946" i="2" s="1"/>
  <c r="Q2018" i="2"/>
  <c r="U2018" i="2" s="1"/>
  <c r="Q2090" i="2"/>
  <c r="U2090" i="2" s="1"/>
  <c r="Q2162" i="2"/>
  <c r="U2162" i="2" s="1"/>
  <c r="Q2234" i="2"/>
  <c r="U2234" i="2" s="1"/>
  <c r="Q2306" i="2"/>
  <c r="U2306" i="2" s="1"/>
  <c r="Q2378" i="2"/>
  <c r="U2378" i="2" s="1"/>
  <c r="Q2450" i="2"/>
  <c r="U2450" i="2" s="1"/>
  <c r="Q2522" i="2"/>
  <c r="U2522" i="2" s="1"/>
  <c r="Q2594" i="2"/>
  <c r="U2594" i="2" s="1"/>
  <c r="Q2666" i="2"/>
  <c r="U2666" i="2" s="1"/>
  <c r="Q2738" i="2"/>
  <c r="U2738" i="2" s="1"/>
  <c r="Q2810" i="2"/>
  <c r="U2810" i="2" s="1"/>
  <c r="Q2882" i="2"/>
  <c r="U2882" i="2" s="1"/>
  <c r="Q2954" i="2"/>
  <c r="U2954" i="2" s="1"/>
  <c r="Q3026" i="2"/>
  <c r="U3026" i="2" s="1"/>
  <c r="Q3098" i="2"/>
  <c r="U3098" i="2" s="1"/>
  <c r="Q3170" i="2"/>
  <c r="U3170" i="2" s="1"/>
  <c r="Q3242" i="2"/>
  <c r="U3242" i="2" s="1"/>
  <c r="Q3314" i="2"/>
  <c r="U3314" i="2" s="1"/>
  <c r="Q3386" i="2"/>
  <c r="Q3458" i="2"/>
  <c r="Q3530" i="2"/>
  <c r="Q3602" i="2"/>
  <c r="Q3674" i="2"/>
  <c r="Q3746" i="2"/>
  <c r="Q3818" i="2"/>
  <c r="Q3890" i="2"/>
  <c r="Q3962" i="2"/>
  <c r="Q4034" i="2"/>
  <c r="Q4106" i="2"/>
  <c r="Q4178" i="2"/>
  <c r="Q4250" i="2"/>
  <c r="Q3" i="2"/>
  <c r="Q75" i="2"/>
  <c r="Q147" i="2"/>
  <c r="Q219" i="2"/>
  <c r="Q291" i="2"/>
  <c r="Q363" i="2"/>
  <c r="Q435" i="2"/>
  <c r="Q507" i="2"/>
  <c r="Q579" i="2"/>
  <c r="Q651" i="2"/>
  <c r="Q723" i="2"/>
  <c r="Q795" i="2"/>
  <c r="Q867" i="2"/>
  <c r="Q939" i="2"/>
  <c r="Q1011" i="2"/>
  <c r="Q1083" i="2"/>
  <c r="Q1155" i="2"/>
  <c r="Q1227" i="2"/>
  <c r="Q1299" i="2"/>
  <c r="Q1371" i="2"/>
  <c r="Q1443" i="2"/>
  <c r="U1443" i="2" s="1"/>
  <c r="Q1515" i="2"/>
  <c r="U1515" i="2" s="1"/>
  <c r="Q1587" i="2"/>
  <c r="Q1659" i="2"/>
  <c r="Q1731" i="2"/>
  <c r="Q1803" i="2"/>
  <c r="U1803" i="2" s="1"/>
  <c r="Q1875" i="2"/>
  <c r="U1875" i="2" s="1"/>
  <c r="Q1947" i="2"/>
  <c r="Q2019" i="2"/>
  <c r="Q2091" i="2"/>
  <c r="Q2163" i="2"/>
  <c r="U2163" i="2" s="1"/>
  <c r="Q2235" i="2"/>
  <c r="Q2307" i="2"/>
  <c r="Q2379" i="2"/>
  <c r="Q2451" i="2"/>
  <c r="Q2523" i="2"/>
  <c r="U2523" i="2" s="1"/>
  <c r="Q2595" i="2"/>
  <c r="U2595" i="2" s="1"/>
  <c r="Q2667" i="2"/>
  <c r="U2667" i="2" s="1"/>
  <c r="Q2739" i="2"/>
  <c r="Q2811" i="2"/>
  <c r="Q2883" i="2"/>
  <c r="U2883" i="2" s="1"/>
  <c r="Q2955" i="2"/>
  <c r="U2955" i="2" s="1"/>
  <c r="Q3027" i="2"/>
  <c r="U3027" i="2" s="1"/>
  <c r="Q3099" i="2"/>
  <c r="U3099" i="2" s="1"/>
  <c r="Q3171" i="2"/>
  <c r="U3171" i="2" s="1"/>
  <c r="Q3243" i="2"/>
  <c r="U3243" i="2" s="1"/>
  <c r="Q3315" i="2"/>
  <c r="U3315" i="2" s="1"/>
  <c r="Q3387" i="2"/>
  <c r="Q3459" i="2"/>
  <c r="Q3531" i="2"/>
  <c r="Q3603" i="2"/>
  <c r="Q3675" i="2"/>
  <c r="Q3747" i="2"/>
  <c r="Q3819" i="2"/>
  <c r="Q3891" i="2"/>
  <c r="Q3963" i="2"/>
  <c r="Q4035" i="2"/>
  <c r="Q4107" i="2"/>
  <c r="Q4179" i="2"/>
  <c r="Q4251" i="2"/>
  <c r="Q4" i="2"/>
  <c r="Q76" i="2"/>
  <c r="Q148" i="2"/>
  <c r="Q220" i="2"/>
  <c r="Q292" i="2"/>
  <c r="Q364" i="2"/>
  <c r="Q436" i="2"/>
  <c r="Q508" i="2"/>
  <c r="Q580" i="2"/>
  <c r="Q652" i="2"/>
  <c r="Q724" i="2"/>
  <c r="Q796" i="2"/>
  <c r="Q868" i="2"/>
  <c r="Q940" i="2"/>
  <c r="Q1012" i="2"/>
  <c r="Q1084" i="2"/>
  <c r="Q1156" i="2"/>
  <c r="Q1228" i="2"/>
  <c r="Q1300" i="2"/>
  <c r="Q1372" i="2"/>
  <c r="Q1444" i="2"/>
  <c r="Q1516" i="2"/>
  <c r="Q1588" i="2"/>
  <c r="Q1660" i="2"/>
  <c r="Q1732" i="2"/>
  <c r="Q1804" i="2"/>
  <c r="Q1876" i="2"/>
  <c r="Q1948" i="2"/>
  <c r="Q2020" i="2"/>
  <c r="Q2092" i="2"/>
  <c r="Q2164" i="2"/>
  <c r="Q2236" i="2"/>
  <c r="Q2308" i="2"/>
  <c r="Q2380" i="2"/>
  <c r="Q2452" i="2"/>
  <c r="Q2524" i="2"/>
  <c r="Q2596" i="2"/>
  <c r="Q2668" i="2"/>
  <c r="Q2740" i="2"/>
  <c r="Q2812" i="2"/>
  <c r="Q2884" i="2"/>
  <c r="U2884" i="2" s="1"/>
  <c r="Q2956" i="2"/>
  <c r="U2956" i="2" s="1"/>
  <c r="Q3028" i="2"/>
  <c r="U3028" i="2" s="1"/>
  <c r="Q3100" i="2"/>
  <c r="Q3172" i="2"/>
  <c r="U3172" i="2" s="1"/>
  <c r="Q3244" i="2"/>
  <c r="U3244" i="2" s="1"/>
  <c r="Q3316" i="2"/>
  <c r="U3316" i="2" s="1"/>
  <c r="Q3388" i="2"/>
  <c r="Q3460" i="2"/>
  <c r="Q3532" i="2"/>
  <c r="Q3604" i="2"/>
  <c r="Q3676" i="2"/>
  <c r="Q3748" i="2"/>
  <c r="Q3820" i="2"/>
  <c r="Q3892" i="2"/>
  <c r="Q3964" i="2"/>
  <c r="Q4036" i="2"/>
  <c r="Q4108" i="2"/>
  <c r="Q4180" i="2"/>
  <c r="Q4252" i="2"/>
  <c r="Q5" i="2"/>
  <c r="Q77" i="2"/>
  <c r="Q149" i="2"/>
  <c r="Q221" i="2"/>
  <c r="Q293" i="2"/>
  <c r="Q365" i="2"/>
  <c r="Q437" i="2"/>
  <c r="Q509" i="2"/>
  <c r="Q581" i="2"/>
  <c r="Q653" i="2"/>
  <c r="Q725" i="2"/>
  <c r="Q797" i="2"/>
  <c r="Q869" i="2"/>
  <c r="Q941" i="2"/>
  <c r="Q1013" i="2"/>
  <c r="Q1085" i="2"/>
  <c r="Q1157" i="2"/>
  <c r="Q1229" i="2"/>
  <c r="Q1301" i="2"/>
  <c r="Q1373" i="2"/>
  <c r="Q1445" i="2"/>
  <c r="Q1517" i="2"/>
  <c r="Q1589" i="2"/>
  <c r="Q1661" i="2"/>
  <c r="Q1733" i="2"/>
  <c r="Q1805" i="2"/>
  <c r="Q1877" i="2"/>
  <c r="Q1949" i="2"/>
  <c r="Q2021" i="2"/>
  <c r="Q2093" i="2"/>
  <c r="Q2165" i="2"/>
  <c r="Q2237" i="2"/>
  <c r="Q2309" i="2"/>
  <c r="Q2381" i="2"/>
  <c r="Q2453" i="2"/>
  <c r="Q2525" i="2"/>
  <c r="Q2597" i="2"/>
  <c r="Q2669" i="2"/>
  <c r="Q2741" i="2"/>
  <c r="Q2813" i="2"/>
  <c r="Q2885" i="2"/>
  <c r="Q2957" i="2"/>
  <c r="U2957" i="2" s="1"/>
  <c r="Q3029" i="2"/>
  <c r="U3029" i="2" s="1"/>
  <c r="Q3101" i="2"/>
  <c r="Q3173" i="2"/>
  <c r="U3173" i="2" s="1"/>
  <c r="Q3245" i="2"/>
  <c r="Q3317" i="2"/>
  <c r="U3317" i="2" s="1"/>
  <c r="Q3389" i="2"/>
  <c r="Q3461" i="2"/>
  <c r="Q3533" i="2"/>
  <c r="Q3605" i="2"/>
  <c r="Q3677" i="2"/>
  <c r="Q3749" i="2"/>
  <c r="Q3821" i="2"/>
  <c r="Q3893" i="2"/>
  <c r="Q3965" i="2"/>
  <c r="Q4037" i="2"/>
  <c r="Q4109" i="2"/>
  <c r="Q4181" i="2"/>
  <c r="Q4253" i="2"/>
  <c r="Q6" i="2"/>
  <c r="Q78" i="2"/>
  <c r="Q150" i="2"/>
  <c r="Q222" i="2"/>
  <c r="Q294" i="2"/>
  <c r="Q366" i="2"/>
  <c r="Q438" i="2"/>
  <c r="Q510" i="2"/>
  <c r="Q582" i="2"/>
  <c r="Q654" i="2"/>
  <c r="Q726" i="2"/>
  <c r="Q798" i="2"/>
  <c r="Q870" i="2"/>
  <c r="Q942" i="2"/>
  <c r="Q1014" i="2"/>
  <c r="Q1086" i="2"/>
  <c r="Q1158" i="2"/>
  <c r="Q1230" i="2"/>
  <c r="Q1302" i="2"/>
  <c r="Q1374" i="2"/>
  <c r="Q1446" i="2"/>
  <c r="Q1518" i="2"/>
  <c r="Q1590" i="2"/>
  <c r="Q1662" i="2"/>
  <c r="Q1734" i="2"/>
  <c r="Q1806" i="2"/>
  <c r="Q1878" i="2"/>
  <c r="Q1950" i="2"/>
  <c r="Q2022" i="2"/>
  <c r="Q2094" i="2"/>
  <c r="Q2166" i="2"/>
  <c r="Q2238" i="2"/>
  <c r="Q2310" i="2"/>
  <c r="Q2382" i="2"/>
  <c r="Q2454" i="2"/>
  <c r="Q2526" i="2"/>
  <c r="Q2598" i="2"/>
  <c r="Q2670" i="2"/>
  <c r="Q2742" i="2"/>
  <c r="Q2814" i="2"/>
  <c r="Q2886" i="2"/>
  <c r="Q2958" i="2"/>
  <c r="U2958" i="2" s="1"/>
  <c r="Q3030" i="2"/>
  <c r="U3030" i="2" s="1"/>
  <c r="Q3102" i="2"/>
  <c r="Q3174" i="2"/>
  <c r="U3174" i="2" s="1"/>
  <c r="Q3246" i="2"/>
  <c r="Q3318" i="2"/>
  <c r="U3318" i="2" s="1"/>
  <c r="Q3390" i="2"/>
  <c r="Q3462" i="2"/>
  <c r="Q3534" i="2"/>
  <c r="Q3606" i="2"/>
  <c r="Q3678" i="2"/>
  <c r="Q3750" i="2"/>
  <c r="Q3822" i="2"/>
  <c r="Q3894" i="2"/>
  <c r="Q3966" i="2"/>
  <c r="Q4038" i="2"/>
  <c r="Q4110" i="2"/>
  <c r="Q4182" i="2"/>
  <c r="Q4254" i="2"/>
  <c r="Q7" i="2"/>
  <c r="Q79" i="2"/>
  <c r="Q151" i="2"/>
  <c r="Q223" i="2"/>
  <c r="Q295" i="2"/>
  <c r="Q367" i="2"/>
  <c r="Q439" i="2"/>
  <c r="Q511" i="2"/>
  <c r="Q583" i="2"/>
  <c r="Q655" i="2"/>
  <c r="Q727" i="2"/>
  <c r="Q799" i="2"/>
  <c r="Q871" i="2"/>
  <c r="Q943" i="2"/>
  <c r="Q1015" i="2"/>
  <c r="Q1087" i="2"/>
  <c r="Q1159" i="2"/>
  <c r="Q1231" i="2"/>
  <c r="Q1303" i="2"/>
  <c r="Q1375" i="2"/>
  <c r="Q1447" i="2"/>
  <c r="Q1519" i="2"/>
  <c r="Q1591" i="2"/>
  <c r="Q1663" i="2"/>
  <c r="Q1735" i="2"/>
  <c r="Q1807" i="2"/>
  <c r="Q1879" i="2"/>
  <c r="Q1951" i="2"/>
  <c r="Q2023" i="2"/>
  <c r="Q2095" i="2"/>
  <c r="Q2167" i="2"/>
  <c r="Q2239" i="2"/>
  <c r="Q2311" i="2"/>
  <c r="Q2383" i="2"/>
  <c r="Q2455" i="2"/>
  <c r="Q2527" i="2"/>
  <c r="Q2599" i="2"/>
  <c r="Q2671" i="2"/>
  <c r="Q2743" i="2"/>
  <c r="Q2815" i="2"/>
  <c r="Q2887" i="2"/>
  <c r="Q2959" i="2"/>
  <c r="U2959" i="2" s="1"/>
  <c r="Q3031" i="2"/>
  <c r="Q3103" i="2"/>
  <c r="Q3175" i="2"/>
  <c r="Q3247" i="2"/>
  <c r="Q3319" i="2"/>
  <c r="U3319" i="2" s="1"/>
  <c r="Q3391" i="2"/>
  <c r="Q3463" i="2"/>
  <c r="Q3535" i="2"/>
  <c r="Q3607" i="2"/>
  <c r="Q3679" i="2"/>
  <c r="Q3751" i="2"/>
  <c r="Q3823" i="2"/>
  <c r="Q3895" i="2"/>
  <c r="Q3967" i="2"/>
  <c r="Q4039" i="2"/>
  <c r="Q4111" i="2"/>
  <c r="Q4183" i="2"/>
  <c r="Q4255" i="2"/>
  <c r="Q8" i="2"/>
  <c r="Q80" i="2"/>
  <c r="Q152" i="2"/>
  <c r="Q224" i="2"/>
  <c r="Q296" i="2"/>
  <c r="Q368" i="2"/>
  <c r="Q440" i="2"/>
  <c r="Q512" i="2"/>
  <c r="Q584" i="2"/>
  <c r="Q656" i="2"/>
  <c r="Q728" i="2"/>
  <c r="Q800" i="2"/>
  <c r="Q872" i="2"/>
  <c r="Q944" i="2"/>
  <c r="Q1016" i="2"/>
  <c r="Q1088" i="2"/>
  <c r="Q1160" i="2"/>
  <c r="Q1232" i="2"/>
  <c r="Q1304" i="2"/>
  <c r="Q1376" i="2"/>
  <c r="Q1448" i="2"/>
  <c r="Q1520" i="2"/>
  <c r="Q1592" i="2"/>
  <c r="Q1664" i="2"/>
  <c r="Q1736" i="2"/>
  <c r="Q1808" i="2"/>
  <c r="Q1880" i="2"/>
  <c r="Q1952" i="2"/>
  <c r="Q2024" i="2"/>
  <c r="Q2096" i="2"/>
  <c r="Q2168" i="2"/>
  <c r="Q2240" i="2"/>
  <c r="Q2312" i="2"/>
  <c r="Q2384" i="2"/>
  <c r="Q2456" i="2"/>
  <c r="Q2528" i="2"/>
  <c r="Q2600" i="2"/>
  <c r="Q2672" i="2"/>
  <c r="Q2744" i="2"/>
  <c r="Q2816" i="2"/>
  <c r="Q2888" i="2"/>
  <c r="Q2960" i="2"/>
  <c r="Q3032" i="2"/>
  <c r="Q3104" i="2"/>
  <c r="Q3176" i="2"/>
  <c r="Q3248" i="2"/>
  <c r="Q3320" i="2"/>
  <c r="Q3392" i="2"/>
  <c r="Q3464" i="2"/>
  <c r="Q3536" i="2"/>
  <c r="Q3608" i="2"/>
  <c r="Q3680" i="2"/>
  <c r="Q3752" i="2"/>
  <c r="Q3824" i="2"/>
  <c r="Q3896" i="2"/>
  <c r="Q3968" i="2"/>
  <c r="Q4040" i="2"/>
  <c r="Q4112" i="2"/>
  <c r="Q4184" i="2"/>
  <c r="Q4256" i="2"/>
  <c r="Q9" i="2"/>
  <c r="Q81" i="2"/>
  <c r="Q153" i="2"/>
  <c r="Q225" i="2"/>
  <c r="Q297" i="2"/>
  <c r="Q369" i="2"/>
  <c r="Q441" i="2"/>
  <c r="Q513" i="2"/>
  <c r="Q585" i="2"/>
  <c r="Q657" i="2"/>
  <c r="Q729" i="2"/>
  <c r="Q801" i="2"/>
  <c r="Q873" i="2"/>
  <c r="Q945" i="2"/>
  <c r="Q1017" i="2"/>
  <c r="Q1089" i="2"/>
  <c r="Q1161" i="2"/>
  <c r="Q1233" i="2"/>
  <c r="Q1305" i="2"/>
  <c r="Q1377" i="2"/>
  <c r="Q1449" i="2"/>
  <c r="Q1521" i="2"/>
  <c r="Q1593" i="2"/>
  <c r="Q1665" i="2"/>
  <c r="Q1737" i="2"/>
  <c r="Q1809" i="2"/>
  <c r="Q1881" i="2"/>
  <c r="Q1953" i="2"/>
  <c r="Q2025" i="2"/>
  <c r="Q2097" i="2"/>
  <c r="Q2169" i="2"/>
  <c r="Q2241" i="2"/>
  <c r="Q2313" i="2"/>
  <c r="Q2385" i="2"/>
  <c r="Q2457" i="2"/>
  <c r="Q2529" i="2"/>
  <c r="Q2601" i="2"/>
  <c r="Q2673" i="2"/>
  <c r="Q2745" i="2"/>
  <c r="Q2817" i="2"/>
  <c r="Q2889" i="2"/>
  <c r="Q2961" i="2"/>
  <c r="Q3033" i="2"/>
  <c r="Q3105" i="2"/>
  <c r="Q3177" i="2"/>
  <c r="Q3249" i="2"/>
  <c r="Q3321" i="2"/>
  <c r="Q3393" i="2"/>
  <c r="Q3465" i="2"/>
  <c r="Q3537" i="2"/>
  <c r="Q3609" i="2"/>
  <c r="Q3681" i="2"/>
  <c r="Q3753" i="2"/>
  <c r="Q3825" i="2"/>
  <c r="Q3897" i="2"/>
  <c r="Q3969" i="2"/>
  <c r="Q4041" i="2"/>
  <c r="Q4113" i="2"/>
  <c r="Q4185" i="2"/>
  <c r="Q4257" i="2"/>
  <c r="Q10" i="2"/>
  <c r="Q82" i="2"/>
  <c r="Q154" i="2"/>
  <c r="Q226" i="2"/>
  <c r="Q298" i="2"/>
  <c r="Q370" i="2"/>
  <c r="Q442" i="2"/>
  <c r="Q514" i="2"/>
  <c r="Q586" i="2"/>
  <c r="Q658" i="2"/>
  <c r="Q730" i="2"/>
  <c r="Q802" i="2"/>
  <c r="Q874" i="2"/>
  <c r="Q946" i="2"/>
  <c r="Q1018" i="2"/>
  <c r="Q1090" i="2"/>
  <c r="Q1162" i="2"/>
  <c r="Q1234" i="2"/>
  <c r="Q1306" i="2"/>
  <c r="Q1378" i="2"/>
  <c r="Q1450" i="2"/>
  <c r="Q1522" i="2"/>
  <c r="Q1594" i="2"/>
  <c r="Q1666" i="2"/>
  <c r="Q1738" i="2"/>
  <c r="Q1810" i="2"/>
  <c r="Q1882" i="2"/>
  <c r="Q1954" i="2"/>
  <c r="Q2026" i="2"/>
  <c r="Q2098" i="2"/>
  <c r="Q2170" i="2"/>
  <c r="Q2242" i="2"/>
  <c r="Q2314" i="2"/>
  <c r="Q2386" i="2"/>
  <c r="Q2458" i="2"/>
  <c r="Q2530" i="2"/>
  <c r="Q2602" i="2"/>
  <c r="Q2674" i="2"/>
  <c r="Q2746" i="2"/>
  <c r="Q2818" i="2"/>
  <c r="Q2890" i="2"/>
  <c r="Q2962" i="2"/>
  <c r="Q3034" i="2"/>
  <c r="Q3106" i="2"/>
  <c r="Q3178" i="2"/>
  <c r="Q3250" i="2"/>
  <c r="Q3322" i="2"/>
  <c r="Q3394" i="2"/>
  <c r="Q3466" i="2"/>
  <c r="Q3538" i="2"/>
  <c r="Q3610" i="2"/>
  <c r="Q3682" i="2"/>
  <c r="Q3754" i="2"/>
  <c r="Q3826" i="2"/>
  <c r="Q3898" i="2"/>
  <c r="Q3970" i="2"/>
  <c r="Q4042" i="2"/>
  <c r="Q4114" i="2"/>
  <c r="Q4186" i="2"/>
  <c r="Q4258" i="2"/>
  <c r="Q11" i="2"/>
  <c r="Q83" i="2"/>
  <c r="Q155" i="2"/>
  <c r="Q227" i="2"/>
  <c r="Q299" i="2"/>
  <c r="Q371" i="2"/>
  <c r="Q443" i="2"/>
  <c r="Q515" i="2"/>
  <c r="Q587" i="2"/>
  <c r="Q659" i="2"/>
  <c r="Q731" i="2"/>
  <c r="Q803" i="2"/>
  <c r="Q875" i="2"/>
  <c r="Q947" i="2"/>
  <c r="Q1019" i="2"/>
  <c r="Q1091" i="2"/>
  <c r="Q1163" i="2"/>
  <c r="Q1235" i="2"/>
  <c r="Q1307" i="2"/>
  <c r="Q1379" i="2"/>
  <c r="Q1451" i="2"/>
  <c r="Q1523" i="2"/>
  <c r="Q1595" i="2"/>
  <c r="Q1667" i="2"/>
  <c r="Q1739" i="2"/>
  <c r="Q1811" i="2"/>
  <c r="Q1883" i="2"/>
  <c r="Q1955" i="2"/>
  <c r="Q2027" i="2"/>
  <c r="Q2099" i="2"/>
  <c r="Q2171" i="2"/>
  <c r="Q2243" i="2"/>
  <c r="Q2315" i="2"/>
  <c r="Q2387" i="2"/>
  <c r="Q2459" i="2"/>
  <c r="Q2531" i="2"/>
  <c r="Q2603" i="2"/>
  <c r="Q2675" i="2"/>
  <c r="Q2747" i="2"/>
  <c r="Q2819" i="2"/>
  <c r="Q2891" i="2"/>
  <c r="Q2963" i="2"/>
  <c r="Q3035" i="2"/>
  <c r="Q3107" i="2"/>
  <c r="Q3179" i="2"/>
  <c r="Q3251" i="2"/>
  <c r="Q3323" i="2"/>
  <c r="Q3395" i="2"/>
  <c r="Q3467" i="2"/>
  <c r="Q3539" i="2"/>
  <c r="Q3611" i="2"/>
  <c r="Q3683" i="2"/>
  <c r="Q3755" i="2"/>
  <c r="Q3827" i="2"/>
  <c r="Q3899" i="2"/>
  <c r="Q3971" i="2"/>
  <c r="Q4043" i="2"/>
  <c r="Q4115" i="2"/>
  <c r="Q4187" i="2"/>
  <c r="Q4259" i="2"/>
  <c r="Q12" i="2"/>
  <c r="Q84" i="2"/>
  <c r="Q156" i="2"/>
  <c r="Q228" i="2"/>
  <c r="Q300" i="2"/>
  <c r="Q372" i="2"/>
  <c r="Q444" i="2"/>
  <c r="Q516" i="2"/>
  <c r="Q588" i="2"/>
  <c r="Q660" i="2"/>
  <c r="Q732" i="2"/>
  <c r="Q804" i="2"/>
  <c r="Q876" i="2"/>
  <c r="Q948" i="2"/>
  <c r="Q1020" i="2"/>
  <c r="Q1092" i="2"/>
  <c r="Q1164" i="2"/>
  <c r="Q1236" i="2"/>
  <c r="Q1308" i="2"/>
  <c r="Q1380" i="2"/>
  <c r="Q1452" i="2"/>
  <c r="Q1524" i="2"/>
  <c r="Q1596" i="2"/>
  <c r="Q1668" i="2"/>
  <c r="Q1740" i="2"/>
  <c r="Q1812" i="2"/>
  <c r="Q1884" i="2"/>
  <c r="Q1956" i="2"/>
  <c r="Q2028" i="2"/>
  <c r="Q2100" i="2"/>
  <c r="Q2172" i="2"/>
  <c r="Q2244" i="2"/>
  <c r="Q2316" i="2"/>
  <c r="Q2388" i="2"/>
  <c r="Q2460" i="2"/>
  <c r="Q2532" i="2"/>
  <c r="Q2604" i="2"/>
  <c r="Q2676" i="2"/>
  <c r="Q2748" i="2"/>
  <c r="Q2820" i="2"/>
  <c r="Q2892" i="2"/>
  <c r="Q2964" i="2"/>
  <c r="Q3036" i="2"/>
  <c r="Q3108" i="2"/>
  <c r="Q3180" i="2"/>
  <c r="Q3252" i="2"/>
  <c r="Q3324" i="2"/>
  <c r="Q3396" i="2"/>
  <c r="Q3468" i="2"/>
  <c r="Q3540" i="2"/>
  <c r="Q3612" i="2"/>
  <c r="Q3684" i="2"/>
  <c r="Q3756" i="2"/>
  <c r="Q3828" i="2"/>
  <c r="Q3900" i="2"/>
  <c r="Q3972" i="2"/>
  <c r="Q4044" i="2"/>
  <c r="Q4116" i="2"/>
  <c r="Q4188" i="2"/>
  <c r="Q4260" i="2"/>
  <c r="Q13" i="2"/>
  <c r="Q85" i="2"/>
  <c r="Q157" i="2"/>
  <c r="Q229" i="2"/>
  <c r="Q301" i="2"/>
  <c r="Q373" i="2"/>
  <c r="Q445" i="2"/>
  <c r="Q517" i="2"/>
  <c r="Q589" i="2"/>
  <c r="Q661" i="2"/>
  <c r="Q733" i="2"/>
  <c r="Q805" i="2"/>
  <c r="Q877" i="2"/>
  <c r="Q949" i="2"/>
  <c r="Q1021" i="2"/>
  <c r="Q1093" i="2"/>
  <c r="Q1165" i="2"/>
  <c r="Q1237" i="2"/>
  <c r="Q1309" i="2"/>
  <c r="Q1381" i="2"/>
  <c r="Q1453" i="2"/>
  <c r="Q1525" i="2"/>
  <c r="Q1597" i="2"/>
  <c r="Q1669" i="2"/>
  <c r="Q1741" i="2"/>
  <c r="Q1813" i="2"/>
  <c r="Q1885" i="2"/>
  <c r="Q1957" i="2"/>
  <c r="Q2029" i="2"/>
  <c r="Q2101" i="2"/>
  <c r="Q2173" i="2"/>
  <c r="Q2245" i="2"/>
  <c r="Q2317" i="2"/>
  <c r="Q2389" i="2"/>
  <c r="Q2461" i="2"/>
  <c r="Q2533" i="2"/>
  <c r="Q2605" i="2"/>
  <c r="Q2677" i="2"/>
  <c r="Q2749" i="2"/>
  <c r="Q2821" i="2"/>
  <c r="Q2893" i="2"/>
  <c r="Q2965" i="2"/>
  <c r="Q3037" i="2"/>
  <c r="Q3109" i="2"/>
  <c r="Q3181" i="2"/>
  <c r="Q3253" i="2"/>
  <c r="Q3325" i="2"/>
  <c r="Q3397" i="2"/>
  <c r="Q3469" i="2"/>
  <c r="Q3541" i="2"/>
  <c r="Q3613" i="2"/>
  <c r="Q3685" i="2"/>
  <c r="Q3757" i="2"/>
  <c r="Q3829" i="2"/>
  <c r="Q3901" i="2"/>
  <c r="Q3973" i="2"/>
  <c r="Q4045" i="2"/>
  <c r="Q4117" i="2"/>
  <c r="Q4189" i="2"/>
  <c r="Q4261" i="2"/>
  <c r="Q14" i="2"/>
  <c r="Q86" i="2"/>
  <c r="Q158" i="2"/>
  <c r="Q230" i="2"/>
  <c r="Q302" i="2"/>
  <c r="Q374" i="2"/>
  <c r="Q446" i="2"/>
  <c r="Q518" i="2"/>
  <c r="Q590" i="2"/>
  <c r="Q662" i="2"/>
  <c r="Q734" i="2"/>
  <c r="Q806" i="2"/>
  <c r="Q878" i="2"/>
  <c r="Q950" i="2"/>
  <c r="Q1022" i="2"/>
  <c r="Q1094" i="2"/>
  <c r="Q1166" i="2"/>
  <c r="Q1238" i="2"/>
  <c r="Q1310" i="2"/>
  <c r="Q1382" i="2"/>
  <c r="Q1454" i="2"/>
  <c r="Q1526" i="2"/>
  <c r="Q1598" i="2"/>
  <c r="Q1670" i="2"/>
  <c r="Q1742" i="2"/>
  <c r="Q1814" i="2"/>
  <c r="Q1886" i="2"/>
  <c r="Q1958" i="2"/>
  <c r="Q2030" i="2"/>
  <c r="Q2102" i="2"/>
  <c r="Q2174" i="2"/>
  <c r="Q2246" i="2"/>
  <c r="Q2318" i="2"/>
  <c r="Q2390" i="2"/>
  <c r="Q2462" i="2"/>
  <c r="Q2534" i="2"/>
  <c r="Q2606" i="2"/>
  <c r="Q2678" i="2"/>
  <c r="Q2750" i="2"/>
  <c r="Q2822" i="2"/>
  <c r="Q2894" i="2"/>
  <c r="Q2966" i="2"/>
  <c r="Q3038" i="2"/>
  <c r="Q3110" i="2"/>
  <c r="Q3182" i="2"/>
  <c r="Q3254" i="2"/>
  <c r="Q3326" i="2"/>
  <c r="Q3398" i="2"/>
  <c r="Q3470" i="2"/>
  <c r="Q3542" i="2"/>
  <c r="Q3614" i="2"/>
  <c r="Q3686" i="2"/>
  <c r="Q3758" i="2"/>
  <c r="Q3830" i="2"/>
  <c r="Q3902" i="2"/>
  <c r="Q3974" i="2"/>
  <c r="Q4046" i="2"/>
  <c r="Q4118" i="2"/>
  <c r="Q4190" i="2"/>
  <c r="Q4262" i="2"/>
  <c r="Q15" i="2"/>
  <c r="Q87" i="2"/>
  <c r="Q159" i="2"/>
  <c r="Q231" i="2"/>
  <c r="Q303" i="2"/>
  <c r="Q375" i="2"/>
  <c r="Q447" i="2"/>
  <c r="Q519" i="2"/>
  <c r="Q591" i="2"/>
  <c r="Q663" i="2"/>
  <c r="Q735" i="2"/>
  <c r="Q807" i="2"/>
  <c r="Q879" i="2"/>
  <c r="Q951" i="2"/>
  <c r="Q1023" i="2"/>
  <c r="Q1095" i="2"/>
  <c r="Q1167" i="2"/>
  <c r="Q1239" i="2"/>
  <c r="Q1311" i="2"/>
  <c r="Q1383" i="2"/>
  <c r="Q1455" i="2"/>
  <c r="Q1527" i="2"/>
  <c r="Q1599" i="2"/>
  <c r="Q1671" i="2"/>
  <c r="Q1743" i="2"/>
  <c r="Q1815" i="2"/>
  <c r="Q1887" i="2"/>
  <c r="Q1959" i="2"/>
  <c r="Q2031" i="2"/>
  <c r="Q2103" i="2"/>
  <c r="Q2175" i="2"/>
  <c r="Q2247" i="2"/>
  <c r="Q2319" i="2"/>
  <c r="Q2391" i="2"/>
  <c r="Q2463" i="2"/>
  <c r="Q2535" i="2"/>
  <c r="Q2607" i="2"/>
  <c r="Q2679" i="2"/>
  <c r="Q2751" i="2"/>
  <c r="Q2823" i="2"/>
  <c r="Q2895" i="2"/>
  <c r="Q2967" i="2"/>
  <c r="Q3039" i="2"/>
  <c r="Q3111" i="2"/>
  <c r="Q3183" i="2"/>
  <c r="Q3255" i="2"/>
  <c r="Q3327" i="2"/>
  <c r="Q3399" i="2"/>
  <c r="Q3471" i="2"/>
  <c r="Q3543" i="2"/>
  <c r="Q3615" i="2"/>
  <c r="Q3687" i="2"/>
  <c r="Q3759" i="2"/>
  <c r="Q3831" i="2"/>
  <c r="Q3903" i="2"/>
  <c r="Q3975" i="2"/>
  <c r="Q4047" i="2"/>
  <c r="Q4119" i="2"/>
  <c r="Q4191" i="2"/>
  <c r="Q4263" i="2"/>
  <c r="Q16" i="2"/>
  <c r="Q88" i="2"/>
  <c r="Q160" i="2"/>
  <c r="Q232" i="2"/>
  <c r="Q304" i="2"/>
  <c r="Q376" i="2"/>
  <c r="Q448" i="2"/>
  <c r="Q520" i="2"/>
  <c r="Q592" i="2"/>
  <c r="Q664" i="2"/>
  <c r="Q736" i="2"/>
  <c r="Q808" i="2"/>
  <c r="Q880" i="2"/>
  <c r="Q952" i="2"/>
  <c r="Q1024" i="2"/>
  <c r="Q1096" i="2"/>
  <c r="Q1168" i="2"/>
  <c r="Q1240" i="2"/>
  <c r="Q1312" i="2"/>
  <c r="Q1384" i="2"/>
  <c r="Q1456" i="2"/>
  <c r="Q1528" i="2"/>
  <c r="Q1600" i="2"/>
  <c r="Q1672" i="2"/>
  <c r="Q1744" i="2"/>
  <c r="Q1816" i="2"/>
  <c r="Q1888" i="2"/>
  <c r="Q1960" i="2"/>
  <c r="Q2032" i="2"/>
  <c r="Q2104" i="2"/>
  <c r="Q2176" i="2"/>
  <c r="Q2248" i="2"/>
  <c r="Q2320" i="2"/>
  <c r="Q2392" i="2"/>
  <c r="Q2464" i="2"/>
  <c r="Q2536" i="2"/>
  <c r="Q2608" i="2"/>
  <c r="Q2680" i="2"/>
  <c r="Q2752" i="2"/>
  <c r="Q2824" i="2"/>
  <c r="Q2896" i="2"/>
  <c r="Q2968" i="2"/>
  <c r="Q3040" i="2"/>
  <c r="Q3112" i="2"/>
  <c r="Q3184" i="2"/>
  <c r="Q3256" i="2"/>
  <c r="Q3328" i="2"/>
  <c r="Q3400" i="2"/>
  <c r="Q3472" i="2"/>
  <c r="Q3544" i="2"/>
  <c r="Q3616" i="2"/>
  <c r="Q3688" i="2"/>
  <c r="Q3760" i="2"/>
  <c r="Q3832" i="2"/>
  <c r="Q3904" i="2"/>
  <c r="Q3976" i="2"/>
  <c r="Q4048" i="2"/>
  <c r="Q4120" i="2"/>
  <c r="Q4192" i="2"/>
  <c r="Q4264" i="2"/>
  <c r="Q17" i="2"/>
  <c r="Q89" i="2"/>
  <c r="Q161" i="2"/>
  <c r="Q233" i="2"/>
  <c r="Q305" i="2"/>
  <c r="Q377" i="2"/>
  <c r="Q449" i="2"/>
  <c r="Q521" i="2"/>
  <c r="Q593" i="2"/>
  <c r="Q665" i="2"/>
  <c r="Q737" i="2"/>
  <c r="Q809" i="2"/>
  <c r="Q881" i="2"/>
  <c r="Q953" i="2"/>
  <c r="Q1025" i="2"/>
  <c r="Q1097" i="2"/>
  <c r="Q1169" i="2"/>
  <c r="Q1241" i="2"/>
  <c r="Q1313" i="2"/>
  <c r="Q1385" i="2"/>
  <c r="Q1457" i="2"/>
  <c r="Q1529" i="2"/>
  <c r="Q1601" i="2"/>
  <c r="Q1673" i="2"/>
  <c r="Q1745" i="2"/>
  <c r="Q1817" i="2"/>
  <c r="Q1889" i="2"/>
  <c r="Q1961" i="2"/>
  <c r="Q2033" i="2"/>
  <c r="Q2105" i="2"/>
  <c r="Q2177" i="2"/>
  <c r="Q2249" i="2"/>
  <c r="Q2321" i="2"/>
  <c r="Q2393" i="2"/>
  <c r="Q2465" i="2"/>
  <c r="Q2537" i="2"/>
  <c r="Q2609" i="2"/>
  <c r="Q2681" i="2"/>
  <c r="Q2753" i="2"/>
  <c r="Q2825" i="2"/>
  <c r="Q2897" i="2"/>
  <c r="Q2969" i="2"/>
  <c r="Q3041" i="2"/>
  <c r="Q3113" i="2"/>
  <c r="Q3185" i="2"/>
  <c r="Q3257" i="2"/>
  <c r="Q3329" i="2"/>
  <c r="Q3401" i="2"/>
  <c r="Q3473" i="2"/>
  <c r="Q3545" i="2"/>
  <c r="Q3617" i="2"/>
  <c r="Q3689" i="2"/>
  <c r="Q3761" i="2"/>
  <c r="Q3833" i="2"/>
  <c r="Q3905" i="2"/>
  <c r="Q3977" i="2"/>
  <c r="Q4049" i="2"/>
  <c r="Q4121" i="2"/>
  <c r="Q4193" i="2"/>
  <c r="Q4265" i="2"/>
  <c r="Q18" i="2"/>
  <c r="Q90" i="2"/>
  <c r="Q162" i="2"/>
  <c r="Q234" i="2"/>
  <c r="Q306" i="2"/>
  <c r="Q378" i="2"/>
  <c r="Q450" i="2"/>
  <c r="Q522" i="2"/>
  <c r="Q594" i="2"/>
  <c r="Q666" i="2"/>
  <c r="Q738" i="2"/>
  <c r="Q810" i="2"/>
  <c r="Q882" i="2"/>
  <c r="Q954" i="2"/>
  <c r="Q1026" i="2"/>
  <c r="Q1098" i="2"/>
  <c r="Q1170" i="2"/>
  <c r="Q1242" i="2"/>
  <c r="Q1314" i="2"/>
  <c r="Q1386" i="2"/>
  <c r="Q1458" i="2"/>
  <c r="Q1530" i="2"/>
  <c r="Q1602" i="2"/>
  <c r="Q1674" i="2"/>
  <c r="Q1746" i="2"/>
  <c r="Q1818" i="2"/>
  <c r="Q1890" i="2"/>
  <c r="Q1962" i="2"/>
  <c r="Q2034" i="2"/>
  <c r="Q2106" i="2"/>
  <c r="Q2178" i="2"/>
  <c r="Q2250" i="2"/>
  <c r="Q2322" i="2"/>
  <c r="Q2394" i="2"/>
  <c r="Q2466" i="2"/>
  <c r="Q2538" i="2"/>
  <c r="Q2610" i="2"/>
  <c r="Q2682" i="2"/>
  <c r="Q2754" i="2"/>
  <c r="Q2826" i="2"/>
  <c r="Q2898" i="2"/>
  <c r="Q2970" i="2"/>
  <c r="Q3042" i="2"/>
  <c r="Q3114" i="2"/>
  <c r="Q3186" i="2"/>
  <c r="Q3258" i="2"/>
  <c r="Q3330" i="2"/>
  <c r="Q3402" i="2"/>
  <c r="Q3474" i="2"/>
  <c r="Q3546" i="2"/>
  <c r="Q3618" i="2"/>
  <c r="Q3690" i="2"/>
  <c r="Q3762" i="2"/>
  <c r="Q3834" i="2"/>
  <c r="Q3906" i="2"/>
  <c r="Q3978" i="2"/>
  <c r="Q4050" i="2"/>
  <c r="Q4122" i="2"/>
  <c r="Q4194" i="2"/>
  <c r="Q4266" i="2"/>
  <c r="Q19" i="2"/>
  <c r="Q91" i="2"/>
  <c r="Q163" i="2"/>
  <c r="Q235" i="2"/>
  <c r="Q307" i="2"/>
  <c r="Q379" i="2"/>
  <c r="Q451" i="2"/>
  <c r="Q523" i="2"/>
  <c r="Q595" i="2"/>
  <c r="Q667" i="2"/>
  <c r="Q739" i="2"/>
  <c r="Q811" i="2"/>
  <c r="Q883" i="2"/>
  <c r="Q955" i="2"/>
  <c r="Q1027" i="2"/>
  <c r="Q1099" i="2"/>
  <c r="Q1171" i="2"/>
  <c r="Q1243" i="2"/>
  <c r="Q1315" i="2"/>
  <c r="Q1387" i="2"/>
  <c r="Q1459" i="2"/>
  <c r="Q1531" i="2"/>
  <c r="Q1603" i="2"/>
  <c r="Q1675" i="2"/>
  <c r="Q1747" i="2"/>
  <c r="Q1819" i="2"/>
  <c r="Q1891" i="2"/>
  <c r="Q1963" i="2"/>
  <c r="Q2035" i="2"/>
  <c r="Q2107" i="2"/>
  <c r="Q2179" i="2"/>
  <c r="Q2251" i="2"/>
  <c r="Q2323" i="2"/>
  <c r="Q2395" i="2"/>
  <c r="Q2467" i="2"/>
  <c r="Q2539" i="2"/>
  <c r="Q2611" i="2"/>
  <c r="Q2683" i="2"/>
  <c r="Q2755" i="2"/>
  <c r="Q2827" i="2"/>
  <c r="Q2899" i="2"/>
  <c r="Q2971" i="2"/>
  <c r="Q3043" i="2"/>
  <c r="Q3115" i="2"/>
  <c r="Q3187" i="2"/>
  <c r="Q3259" i="2"/>
  <c r="Q3331" i="2"/>
  <c r="Q3403" i="2"/>
  <c r="Q3475" i="2"/>
  <c r="Q3547" i="2"/>
  <c r="Q3619" i="2"/>
  <c r="Q3691" i="2"/>
  <c r="Q3763" i="2"/>
  <c r="Q3835" i="2"/>
  <c r="Q3907" i="2"/>
  <c r="Q3979" i="2"/>
  <c r="Q4051" i="2"/>
  <c r="Q4123" i="2"/>
  <c r="Q4195" i="2"/>
  <c r="Q4267" i="2"/>
  <c r="Q20" i="2"/>
  <c r="Q92" i="2"/>
  <c r="Q164" i="2"/>
  <c r="Q236" i="2"/>
  <c r="Q308" i="2"/>
  <c r="Q380" i="2"/>
  <c r="Q452" i="2"/>
  <c r="Q524" i="2"/>
  <c r="Q596" i="2"/>
  <c r="Q668" i="2"/>
  <c r="Q740" i="2"/>
  <c r="Q812" i="2"/>
  <c r="Q884" i="2"/>
  <c r="Q956" i="2"/>
  <c r="Q1028" i="2"/>
  <c r="Q1100" i="2"/>
  <c r="Q1172" i="2"/>
  <c r="Q1244" i="2"/>
  <c r="Q1316" i="2"/>
  <c r="Q1388" i="2"/>
  <c r="Q1460" i="2"/>
  <c r="Q1532" i="2"/>
  <c r="Q1604" i="2"/>
  <c r="Q1676" i="2"/>
  <c r="Q1748" i="2"/>
  <c r="Q1820" i="2"/>
  <c r="Q1892" i="2"/>
  <c r="Q1964" i="2"/>
  <c r="Q2036" i="2"/>
  <c r="Q2108" i="2"/>
  <c r="Q2180" i="2"/>
  <c r="Q2252" i="2"/>
  <c r="Q2324" i="2"/>
  <c r="Q2396" i="2"/>
  <c r="Q2468" i="2"/>
  <c r="Q2540" i="2"/>
  <c r="Q2612" i="2"/>
  <c r="Q2684" i="2"/>
  <c r="Q2756" i="2"/>
  <c r="Q2828" i="2"/>
  <c r="Q2900" i="2"/>
  <c r="Q2972" i="2"/>
  <c r="Q3044" i="2"/>
  <c r="Q3116" i="2"/>
  <c r="Q3188" i="2"/>
  <c r="Q3260" i="2"/>
  <c r="Q3332" i="2"/>
  <c r="Q3404" i="2"/>
  <c r="Q3476" i="2"/>
  <c r="Q3548" i="2"/>
  <c r="Q3620" i="2"/>
  <c r="Q3692" i="2"/>
  <c r="Q3764" i="2"/>
  <c r="Q3836" i="2"/>
  <c r="Q3908" i="2"/>
  <c r="Q3980" i="2"/>
  <c r="Q4052" i="2"/>
  <c r="Q4124" i="2"/>
  <c r="Q4196" i="2"/>
  <c r="Q4268" i="2"/>
  <c r="Q21" i="2"/>
  <c r="Q93" i="2"/>
  <c r="Q165" i="2"/>
  <c r="Q237" i="2"/>
  <c r="Q309" i="2"/>
  <c r="Q381" i="2"/>
  <c r="Q453" i="2"/>
  <c r="Q525" i="2"/>
  <c r="Q597" i="2"/>
  <c r="Q669" i="2"/>
  <c r="Q741" i="2"/>
  <c r="Q813" i="2"/>
  <c r="Q885" i="2"/>
  <c r="Q957" i="2"/>
  <c r="Q1029" i="2"/>
  <c r="Q1101" i="2"/>
  <c r="Q1173" i="2"/>
  <c r="Q1245" i="2"/>
  <c r="Q1317" i="2"/>
  <c r="Q1389" i="2"/>
  <c r="Q1461" i="2"/>
  <c r="Q1533" i="2"/>
  <c r="Q1605" i="2"/>
  <c r="Q1677" i="2"/>
  <c r="Q1749" i="2"/>
  <c r="Q1821" i="2"/>
  <c r="Q1893" i="2"/>
  <c r="Q1965" i="2"/>
  <c r="Q2037" i="2"/>
  <c r="Q2109" i="2"/>
  <c r="Q2181" i="2"/>
  <c r="Q2253" i="2"/>
  <c r="Q2325" i="2"/>
  <c r="Q2397" i="2"/>
  <c r="Q2469" i="2"/>
  <c r="Q2541" i="2"/>
  <c r="Q2613" i="2"/>
  <c r="Q2685" i="2"/>
  <c r="Q2757" i="2"/>
  <c r="Q2829" i="2"/>
  <c r="Q2901" i="2"/>
  <c r="Q2973" i="2"/>
  <c r="Q3045" i="2"/>
  <c r="Q3117" i="2"/>
  <c r="Q3189" i="2"/>
  <c r="Q3261" i="2"/>
  <c r="Q3333" i="2"/>
  <c r="Q3405" i="2"/>
  <c r="Q3477" i="2"/>
  <c r="Q3549" i="2"/>
  <c r="Q3621" i="2"/>
  <c r="Q3693" i="2"/>
  <c r="Q3765" i="2"/>
  <c r="Q3837" i="2"/>
  <c r="Q3909" i="2"/>
  <c r="Q3981" i="2"/>
  <c r="Q4053" i="2"/>
  <c r="Q4125" i="2"/>
  <c r="Q4197" i="2"/>
  <c r="Q4269" i="2"/>
  <c r="Q22" i="2"/>
  <c r="Q94" i="2"/>
  <c r="Q166" i="2"/>
  <c r="Q238" i="2"/>
  <c r="Q310" i="2"/>
  <c r="Q382" i="2"/>
  <c r="Q454" i="2"/>
  <c r="Q526" i="2"/>
  <c r="Q598" i="2"/>
  <c r="Q670" i="2"/>
  <c r="Q742" i="2"/>
  <c r="Q814" i="2"/>
  <c r="Q886" i="2"/>
  <c r="Q958" i="2"/>
  <c r="Q1030" i="2"/>
  <c r="Q1102" i="2"/>
  <c r="Q1174" i="2"/>
  <c r="Q1246" i="2"/>
  <c r="Q1318" i="2"/>
  <c r="Q1390" i="2"/>
  <c r="Q1462" i="2"/>
  <c r="Q1534" i="2"/>
  <c r="Q1606" i="2"/>
  <c r="Q1678" i="2"/>
  <c r="Q1750" i="2"/>
  <c r="Q1822" i="2"/>
  <c r="Q1894" i="2"/>
  <c r="Q1966" i="2"/>
  <c r="Q2038" i="2"/>
  <c r="Q2110" i="2"/>
  <c r="Q2182" i="2"/>
  <c r="Q2254" i="2"/>
  <c r="Q2326" i="2"/>
  <c r="Q2398" i="2"/>
  <c r="Q2470" i="2"/>
  <c r="Q2542" i="2"/>
  <c r="Q2614" i="2"/>
  <c r="Q2686" i="2"/>
  <c r="Q2758" i="2"/>
  <c r="Q2830" i="2"/>
  <c r="Q2902" i="2"/>
  <c r="Q2974" i="2"/>
  <c r="Q3046" i="2"/>
  <c r="Q3118" i="2"/>
  <c r="Q3190" i="2"/>
  <c r="Q3262" i="2"/>
  <c r="Q3334" i="2"/>
  <c r="Q3406" i="2"/>
  <c r="Q3478" i="2"/>
  <c r="Q3550" i="2"/>
  <c r="Q3622" i="2"/>
  <c r="Q3694" i="2"/>
  <c r="Q3766" i="2"/>
  <c r="Q3838" i="2"/>
  <c r="Q3910" i="2"/>
  <c r="Q3982" i="2"/>
  <c r="Q4054" i="2"/>
  <c r="Q4126" i="2"/>
  <c r="Q4198" i="2"/>
  <c r="Q4270" i="2"/>
  <c r="Q23" i="2"/>
  <c r="Q95" i="2"/>
  <c r="Q167" i="2"/>
  <c r="Q239" i="2"/>
  <c r="Q311" i="2"/>
  <c r="Q383" i="2"/>
  <c r="Q455" i="2"/>
  <c r="Q527" i="2"/>
  <c r="Q599" i="2"/>
  <c r="Q671" i="2"/>
  <c r="Q743" i="2"/>
  <c r="Q815" i="2"/>
  <c r="Q887" i="2"/>
  <c r="Q959" i="2"/>
  <c r="Q1031" i="2"/>
  <c r="Q1103" i="2"/>
  <c r="Q1175" i="2"/>
  <c r="Q1247" i="2"/>
  <c r="Q1319" i="2"/>
  <c r="Q1391" i="2"/>
  <c r="Q1463" i="2"/>
  <c r="Q1535" i="2"/>
  <c r="Q1607" i="2"/>
  <c r="Q1679" i="2"/>
  <c r="Q1751" i="2"/>
  <c r="Q1823" i="2"/>
  <c r="Q1895" i="2"/>
  <c r="Q1967" i="2"/>
  <c r="Q2039" i="2"/>
  <c r="Q2111" i="2"/>
  <c r="Q2183" i="2"/>
  <c r="Q2255" i="2"/>
  <c r="Q2327" i="2"/>
  <c r="Q2399" i="2"/>
  <c r="Q2471" i="2"/>
  <c r="Q2543" i="2"/>
  <c r="Q2615" i="2"/>
  <c r="Q2687" i="2"/>
  <c r="Q2759" i="2"/>
  <c r="Q2831" i="2"/>
  <c r="Q2903" i="2"/>
  <c r="Q2975" i="2"/>
  <c r="Q3047" i="2"/>
  <c r="Q3119" i="2"/>
  <c r="Q3191" i="2"/>
  <c r="Q3263" i="2"/>
  <c r="Q3335" i="2"/>
  <c r="Q3407" i="2"/>
  <c r="Q3479" i="2"/>
  <c r="Q3551" i="2"/>
  <c r="Q3623" i="2"/>
  <c r="Q3695" i="2"/>
  <c r="Q3767" i="2"/>
  <c r="Q3839" i="2"/>
  <c r="Q3911" i="2"/>
  <c r="Q3983" i="2"/>
  <c r="Q4055" i="2"/>
  <c r="Q4127" i="2"/>
  <c r="Q4199" i="2"/>
  <c r="Q4271" i="2"/>
  <c r="Q24" i="2"/>
  <c r="Q96" i="2"/>
  <c r="Q168" i="2"/>
  <c r="Q240" i="2"/>
  <c r="Q312" i="2"/>
  <c r="Q384" i="2"/>
  <c r="Q456" i="2"/>
  <c r="Q528" i="2"/>
  <c r="Q600" i="2"/>
  <c r="Q672" i="2"/>
  <c r="Q744" i="2"/>
  <c r="Q816" i="2"/>
  <c r="Q888" i="2"/>
  <c r="Q960" i="2"/>
  <c r="Q1032" i="2"/>
  <c r="Q1104" i="2"/>
  <c r="Q1176" i="2"/>
  <c r="Q1248" i="2"/>
  <c r="Q1320" i="2"/>
  <c r="Q1392" i="2"/>
  <c r="Q1464" i="2"/>
  <c r="Q1536" i="2"/>
  <c r="Q1608" i="2"/>
  <c r="Q1680" i="2"/>
  <c r="Q1752" i="2"/>
  <c r="Q1824" i="2"/>
  <c r="Q1896" i="2"/>
  <c r="Q1968" i="2"/>
  <c r="Q2040" i="2"/>
  <c r="Q2112" i="2"/>
  <c r="Q2184" i="2"/>
  <c r="Q2256" i="2"/>
  <c r="Q2328" i="2"/>
  <c r="Q2400" i="2"/>
  <c r="Q2472" i="2"/>
  <c r="Q2544" i="2"/>
  <c r="Q2616" i="2"/>
  <c r="Q2688" i="2"/>
  <c r="Q2760" i="2"/>
  <c r="Q2832" i="2"/>
  <c r="Q2904" i="2"/>
  <c r="Q2976" i="2"/>
  <c r="Q3048" i="2"/>
  <c r="Q3120" i="2"/>
  <c r="Q3192" i="2"/>
  <c r="Q3264" i="2"/>
  <c r="Q3336" i="2"/>
  <c r="Q3408" i="2"/>
  <c r="Q3480" i="2"/>
  <c r="Q3552" i="2"/>
  <c r="Q3624" i="2"/>
  <c r="Q3696" i="2"/>
  <c r="Q3768" i="2"/>
  <c r="Q3840" i="2"/>
  <c r="Q3912" i="2"/>
  <c r="Q3984" i="2"/>
  <c r="Q4056" i="2"/>
  <c r="Q4128" i="2"/>
  <c r="Q4200" i="2"/>
  <c r="Q4272" i="2"/>
  <c r="Q25" i="2"/>
  <c r="Q97" i="2"/>
  <c r="Q169" i="2"/>
  <c r="Q241" i="2"/>
  <c r="Q313" i="2"/>
  <c r="Q385" i="2"/>
  <c r="Q457" i="2"/>
  <c r="Q529" i="2"/>
  <c r="Q601" i="2"/>
  <c r="Q673" i="2"/>
  <c r="Q745" i="2"/>
  <c r="Q817" i="2"/>
  <c r="Q889" i="2"/>
  <c r="Q961" i="2"/>
  <c r="Q1033" i="2"/>
  <c r="Q1105" i="2"/>
  <c r="Q1177" i="2"/>
  <c r="Q1249" i="2"/>
  <c r="Q1321" i="2"/>
  <c r="Q1393" i="2"/>
  <c r="Q1465" i="2"/>
  <c r="Q1537" i="2"/>
  <c r="Q1609" i="2"/>
  <c r="Q1681" i="2"/>
  <c r="Q1753" i="2"/>
  <c r="Q1825" i="2"/>
  <c r="Q1897" i="2"/>
  <c r="Q1969" i="2"/>
  <c r="Q2041" i="2"/>
  <c r="Q2113" i="2"/>
  <c r="Q2185" i="2"/>
  <c r="Q2257" i="2"/>
  <c r="Q2329" i="2"/>
  <c r="Q2401" i="2"/>
  <c r="Q2473" i="2"/>
  <c r="Q2545" i="2"/>
  <c r="Q2617" i="2"/>
  <c r="Q2689" i="2"/>
  <c r="Q2761" i="2"/>
  <c r="Q2833" i="2"/>
  <c r="Q2905" i="2"/>
  <c r="Q2977" i="2"/>
  <c r="Q3049" i="2"/>
  <c r="Q3121" i="2"/>
  <c r="Q3193" i="2"/>
  <c r="Q3265" i="2"/>
  <c r="Q3337" i="2"/>
  <c r="Q3409" i="2"/>
  <c r="Q3481" i="2"/>
  <c r="Q3553" i="2"/>
  <c r="Q3625" i="2"/>
  <c r="Q3697" i="2"/>
  <c r="Q3769" i="2"/>
  <c r="Q3841" i="2"/>
  <c r="Q3913" i="2"/>
  <c r="Q3985" i="2"/>
  <c r="Q4057" i="2"/>
  <c r="Q4129" i="2"/>
  <c r="Q4201" i="2"/>
  <c r="Q4273" i="2"/>
  <c r="Q26" i="2"/>
  <c r="Q98" i="2"/>
  <c r="Q170" i="2"/>
  <c r="Q242" i="2"/>
  <c r="Q314" i="2"/>
  <c r="Q386" i="2"/>
  <c r="Q458" i="2"/>
  <c r="Q530" i="2"/>
  <c r="Q602" i="2"/>
  <c r="Q674" i="2"/>
  <c r="Q746" i="2"/>
  <c r="Q818" i="2"/>
  <c r="Q890" i="2"/>
  <c r="Q962" i="2"/>
  <c r="Q1034" i="2"/>
  <c r="Q1106" i="2"/>
  <c r="Q1178" i="2"/>
  <c r="Q1250" i="2"/>
  <c r="Q1322" i="2"/>
  <c r="Q1394" i="2"/>
  <c r="Q1466" i="2"/>
  <c r="Q1538" i="2"/>
  <c r="Q1610" i="2"/>
  <c r="Q1682" i="2"/>
  <c r="Q1754" i="2"/>
  <c r="Q1826" i="2"/>
  <c r="Q1898" i="2"/>
  <c r="Q1970" i="2"/>
  <c r="Q2042" i="2"/>
  <c r="Q2114" i="2"/>
  <c r="Q2186" i="2"/>
  <c r="Q2258" i="2"/>
  <c r="Q2330" i="2"/>
  <c r="Q2402" i="2"/>
  <c r="Q2474" i="2"/>
  <c r="Q2546" i="2"/>
  <c r="Q2618" i="2"/>
  <c r="Q2690" i="2"/>
  <c r="Q2762" i="2"/>
  <c r="Q2834" i="2"/>
  <c r="Q2906" i="2"/>
  <c r="Q2978" i="2"/>
  <c r="Q3050" i="2"/>
  <c r="Q3122" i="2"/>
  <c r="Q3194" i="2"/>
  <c r="Q3266" i="2"/>
  <c r="Q3338" i="2"/>
  <c r="Q3410" i="2"/>
  <c r="Q3482" i="2"/>
  <c r="Q3554" i="2"/>
  <c r="Q3626" i="2"/>
  <c r="Q3698" i="2"/>
  <c r="Q3770" i="2"/>
  <c r="Q3842" i="2"/>
  <c r="Q3914" i="2"/>
  <c r="Q3986" i="2"/>
  <c r="Q4058" i="2"/>
  <c r="Q4130" i="2"/>
  <c r="Q4202" i="2"/>
  <c r="Q4274" i="2"/>
  <c r="Q27" i="2"/>
  <c r="Q99" i="2"/>
  <c r="Q171" i="2"/>
  <c r="Q243" i="2"/>
  <c r="Q315" i="2"/>
  <c r="Q387" i="2"/>
  <c r="Q459" i="2"/>
  <c r="Q531" i="2"/>
  <c r="Q603" i="2"/>
  <c r="Q675" i="2"/>
  <c r="Q747" i="2"/>
  <c r="Q819" i="2"/>
  <c r="Q891" i="2"/>
  <c r="Q963" i="2"/>
  <c r="Q1035" i="2"/>
  <c r="Q1107" i="2"/>
  <c r="Q1179" i="2"/>
  <c r="Q1251" i="2"/>
  <c r="Q1323" i="2"/>
  <c r="Q1395" i="2"/>
  <c r="Q1467" i="2"/>
  <c r="Q1539" i="2"/>
  <c r="Q1611" i="2"/>
  <c r="Q1683" i="2"/>
  <c r="Q1755" i="2"/>
  <c r="Q1827" i="2"/>
  <c r="Q1899" i="2"/>
  <c r="Q1971" i="2"/>
  <c r="Q2043" i="2"/>
  <c r="Q2115" i="2"/>
  <c r="Q2187" i="2"/>
  <c r="Q2259" i="2"/>
  <c r="Q2331" i="2"/>
  <c r="Q2403" i="2"/>
  <c r="Q2475" i="2"/>
  <c r="Q2547" i="2"/>
  <c r="Q2619" i="2"/>
  <c r="Q2691" i="2"/>
  <c r="Q2763" i="2"/>
  <c r="Q2835" i="2"/>
  <c r="Q2907" i="2"/>
  <c r="Q2979" i="2"/>
  <c r="Q3051" i="2"/>
  <c r="Q3123" i="2"/>
  <c r="Q3195" i="2"/>
  <c r="Q3267" i="2"/>
  <c r="Q3339" i="2"/>
  <c r="Q3411" i="2"/>
  <c r="Q3483" i="2"/>
  <c r="Q3555" i="2"/>
  <c r="Q3627" i="2"/>
  <c r="Q3699" i="2"/>
  <c r="Q3771" i="2"/>
  <c r="Q3843" i="2"/>
  <c r="Q3915" i="2"/>
  <c r="Q3987" i="2"/>
  <c r="Q4059" i="2"/>
  <c r="Q4131" i="2"/>
  <c r="Q4203" i="2"/>
  <c r="Q4275" i="2"/>
  <c r="Q28" i="2"/>
  <c r="Q100" i="2"/>
  <c r="Q172" i="2"/>
  <c r="Q244" i="2"/>
  <c r="Q316" i="2"/>
  <c r="Q388" i="2"/>
  <c r="Q460" i="2"/>
  <c r="Q532" i="2"/>
  <c r="Q604" i="2"/>
  <c r="Q676" i="2"/>
  <c r="Q748" i="2"/>
  <c r="Q820" i="2"/>
  <c r="Q892" i="2"/>
  <c r="Q964" i="2"/>
  <c r="Q1036" i="2"/>
  <c r="Q1108" i="2"/>
  <c r="Q1180" i="2"/>
  <c r="Q1252" i="2"/>
  <c r="Q1324" i="2"/>
  <c r="Q1396" i="2"/>
  <c r="Q1468" i="2"/>
  <c r="Q1540" i="2"/>
  <c r="Q1612" i="2"/>
  <c r="Q1684" i="2"/>
  <c r="Q1756" i="2"/>
  <c r="Q1828" i="2"/>
  <c r="Q1900" i="2"/>
  <c r="Q1972" i="2"/>
  <c r="Q2044" i="2"/>
  <c r="Q2116" i="2"/>
  <c r="Q2188" i="2"/>
  <c r="Q2260" i="2"/>
  <c r="Q2332" i="2"/>
  <c r="Q2404" i="2"/>
  <c r="Q2476" i="2"/>
  <c r="Q2548" i="2"/>
  <c r="Q2620" i="2"/>
  <c r="Q2692" i="2"/>
  <c r="Q2764" i="2"/>
  <c r="Q2836" i="2"/>
  <c r="Q2908" i="2"/>
  <c r="Q2980" i="2"/>
  <c r="Q3052" i="2"/>
  <c r="Q3124" i="2"/>
  <c r="Q3196" i="2"/>
  <c r="Q3268" i="2"/>
  <c r="Q3340" i="2"/>
  <c r="Q3412" i="2"/>
  <c r="Q3484" i="2"/>
  <c r="Q3556" i="2"/>
  <c r="Q3628" i="2"/>
  <c r="Q3700" i="2"/>
  <c r="Q3772" i="2"/>
  <c r="Q3844" i="2"/>
  <c r="Q3916" i="2"/>
  <c r="Q3988" i="2"/>
  <c r="Q4060" i="2"/>
  <c r="Q4132" i="2"/>
  <c r="Q4204" i="2"/>
  <c r="Q4276" i="2"/>
  <c r="Q29" i="2"/>
  <c r="Q101" i="2"/>
  <c r="Q173" i="2"/>
  <c r="Q245" i="2"/>
  <c r="Q317" i="2"/>
  <c r="Q389" i="2"/>
  <c r="Q461" i="2"/>
  <c r="Q533" i="2"/>
  <c r="Q605" i="2"/>
  <c r="Q677" i="2"/>
  <c r="Q749" i="2"/>
  <c r="Q821" i="2"/>
  <c r="Q893" i="2"/>
  <c r="Q965" i="2"/>
  <c r="Q1037" i="2"/>
  <c r="Q1109" i="2"/>
  <c r="Q1181" i="2"/>
  <c r="Q1253" i="2"/>
  <c r="Q1325" i="2"/>
  <c r="Q1397" i="2"/>
  <c r="Q1469" i="2"/>
  <c r="Q1541" i="2"/>
  <c r="Q1613" i="2"/>
  <c r="Q1685" i="2"/>
  <c r="Q1757" i="2"/>
  <c r="Q1829" i="2"/>
  <c r="Q1901" i="2"/>
  <c r="Q1973" i="2"/>
  <c r="Q2045" i="2"/>
  <c r="Q2117" i="2"/>
  <c r="Q2189" i="2"/>
  <c r="Q2261" i="2"/>
  <c r="Q2333" i="2"/>
  <c r="Q2405" i="2"/>
  <c r="Q2477" i="2"/>
  <c r="Q2549" i="2"/>
  <c r="Q2621" i="2"/>
  <c r="Q2693" i="2"/>
  <c r="Q2765" i="2"/>
  <c r="Q2837" i="2"/>
  <c r="Q2909" i="2"/>
  <c r="Q2981" i="2"/>
  <c r="Q3053" i="2"/>
  <c r="Q3125" i="2"/>
  <c r="Q3197" i="2"/>
  <c r="Q3269" i="2"/>
  <c r="Q3341" i="2"/>
  <c r="Q3413" i="2"/>
  <c r="Q3485" i="2"/>
  <c r="Q3557" i="2"/>
  <c r="Q3629" i="2"/>
  <c r="Q3701" i="2"/>
  <c r="Q3773" i="2"/>
  <c r="Q3845" i="2"/>
  <c r="Q3917" i="2"/>
  <c r="Q3989" i="2"/>
  <c r="Q4061" i="2"/>
  <c r="Q4133" i="2"/>
  <c r="Q4205" i="2"/>
  <c r="Q4277" i="2"/>
  <c r="Q30" i="2"/>
  <c r="Q102" i="2"/>
  <c r="Q174" i="2"/>
  <c r="Q246" i="2"/>
  <c r="Q318" i="2"/>
  <c r="Q390" i="2"/>
  <c r="Q462" i="2"/>
  <c r="Q534" i="2"/>
  <c r="Q606" i="2"/>
  <c r="Q678" i="2"/>
  <c r="Q750" i="2"/>
  <c r="Q822" i="2"/>
  <c r="Q894" i="2"/>
  <c r="Q966" i="2"/>
  <c r="Q1038" i="2"/>
  <c r="Q1110" i="2"/>
  <c r="Q1182" i="2"/>
  <c r="Q1254" i="2"/>
  <c r="Q1326" i="2"/>
  <c r="Q1398" i="2"/>
  <c r="Q1470" i="2"/>
  <c r="Q1542" i="2"/>
  <c r="Q1614" i="2"/>
  <c r="Q1686" i="2"/>
  <c r="Q1758" i="2"/>
  <c r="Q1830" i="2"/>
  <c r="Q1902" i="2"/>
  <c r="Q1974" i="2"/>
  <c r="Q2046" i="2"/>
  <c r="Q2118" i="2"/>
  <c r="Q2190" i="2"/>
  <c r="Q2262" i="2"/>
  <c r="Q2334" i="2"/>
  <c r="Q2406" i="2"/>
  <c r="Q2478" i="2"/>
  <c r="Q2550" i="2"/>
  <c r="Q2622" i="2"/>
  <c r="Q2694" i="2"/>
  <c r="Q2766" i="2"/>
  <c r="Q2838" i="2"/>
  <c r="Q2910" i="2"/>
  <c r="Q2982" i="2"/>
  <c r="Q3054" i="2"/>
  <c r="Q3126" i="2"/>
  <c r="Q3198" i="2"/>
  <c r="Q3270" i="2"/>
  <c r="Q3342" i="2"/>
  <c r="Q3414" i="2"/>
  <c r="Q3486" i="2"/>
  <c r="Q3558" i="2"/>
  <c r="Q3630" i="2"/>
  <c r="Q3702" i="2"/>
  <c r="Q3774" i="2"/>
  <c r="Q3846" i="2"/>
  <c r="Q3918" i="2"/>
  <c r="Q3990" i="2"/>
  <c r="Q4062" i="2"/>
  <c r="Q4134" i="2"/>
  <c r="Q4206" i="2"/>
  <c r="Q4278" i="2"/>
  <c r="Q31" i="2"/>
  <c r="Q103" i="2"/>
  <c r="Q175" i="2"/>
  <c r="Q247" i="2"/>
  <c r="Q319" i="2"/>
  <c r="Q391" i="2"/>
  <c r="Q463" i="2"/>
  <c r="Q535" i="2"/>
  <c r="Q607" i="2"/>
  <c r="Q679" i="2"/>
  <c r="Q751" i="2"/>
  <c r="Q823" i="2"/>
  <c r="Q895" i="2"/>
  <c r="Q967" i="2"/>
  <c r="Q1039" i="2"/>
  <c r="Q1111" i="2"/>
  <c r="Q1183" i="2"/>
  <c r="Q1255" i="2"/>
  <c r="Q1327" i="2"/>
  <c r="Q1399" i="2"/>
  <c r="Q1471" i="2"/>
  <c r="Q1543" i="2"/>
  <c r="Q1615" i="2"/>
  <c r="Q1687" i="2"/>
  <c r="Q1759" i="2"/>
  <c r="Q1831" i="2"/>
  <c r="Q1903" i="2"/>
  <c r="Q1975" i="2"/>
  <c r="Q2047" i="2"/>
  <c r="Q2119" i="2"/>
  <c r="Q2191" i="2"/>
  <c r="Q2263" i="2"/>
  <c r="Q2335" i="2"/>
  <c r="Q2407" i="2"/>
  <c r="Q2479" i="2"/>
  <c r="Q2551" i="2"/>
  <c r="Q2623" i="2"/>
  <c r="Q2695" i="2"/>
  <c r="Q2767" i="2"/>
  <c r="Q2839" i="2"/>
  <c r="Q2911" i="2"/>
  <c r="Q2983" i="2"/>
  <c r="Q3055" i="2"/>
  <c r="Q3127" i="2"/>
  <c r="Q3199" i="2"/>
  <c r="Q3271" i="2"/>
  <c r="Q3343" i="2"/>
  <c r="Q3415" i="2"/>
  <c r="Q3487" i="2"/>
  <c r="Q3559" i="2"/>
  <c r="Q3631" i="2"/>
  <c r="Q3703" i="2"/>
  <c r="Q3775" i="2"/>
  <c r="Q3847" i="2"/>
  <c r="Q3919" i="2"/>
  <c r="Q3991" i="2"/>
  <c r="Q4063" i="2"/>
  <c r="Q4135" i="2"/>
  <c r="Q4207" i="2"/>
  <c r="Q4279" i="2"/>
  <c r="Q32" i="2"/>
  <c r="Q104" i="2"/>
  <c r="Q176" i="2"/>
  <c r="Q248" i="2"/>
  <c r="Q320" i="2"/>
  <c r="Q392" i="2"/>
  <c r="Q464" i="2"/>
  <c r="Q536" i="2"/>
  <c r="Q608" i="2"/>
  <c r="Q680" i="2"/>
  <c r="Q752" i="2"/>
  <c r="Q824" i="2"/>
  <c r="Q896" i="2"/>
  <c r="Q968" i="2"/>
  <c r="Q1040" i="2"/>
  <c r="Q1112" i="2"/>
  <c r="Q1184" i="2"/>
  <c r="Q1256" i="2"/>
  <c r="Q1328" i="2"/>
  <c r="Q1400" i="2"/>
  <c r="Q1472" i="2"/>
  <c r="Q1544" i="2"/>
  <c r="Q1616" i="2"/>
  <c r="Q1688" i="2"/>
  <c r="Q1760" i="2"/>
  <c r="Q1832" i="2"/>
  <c r="Q1904" i="2"/>
  <c r="Q1976" i="2"/>
  <c r="Q2048" i="2"/>
  <c r="Q2120" i="2"/>
  <c r="Q2192" i="2"/>
  <c r="Q2264" i="2"/>
  <c r="Q2336" i="2"/>
  <c r="Q2408" i="2"/>
  <c r="Q2480" i="2"/>
  <c r="Q2552" i="2"/>
  <c r="Q2624" i="2"/>
  <c r="Q2696" i="2"/>
  <c r="Q2768" i="2"/>
  <c r="Q2840" i="2"/>
  <c r="Q2912" i="2"/>
  <c r="Q2984" i="2"/>
  <c r="Q3056" i="2"/>
  <c r="Q3128" i="2"/>
  <c r="Q3200" i="2"/>
  <c r="Q3272" i="2"/>
  <c r="Q3344" i="2"/>
  <c r="Q3416" i="2"/>
  <c r="Q3488" i="2"/>
  <c r="Q3560" i="2"/>
  <c r="Q3632" i="2"/>
  <c r="Q3704" i="2"/>
  <c r="Q3776" i="2"/>
  <c r="Q3848" i="2"/>
  <c r="Q3920" i="2"/>
  <c r="Q3992" i="2"/>
  <c r="Q4064" i="2"/>
  <c r="Q4136" i="2"/>
  <c r="Q4208" i="2"/>
  <c r="Q4280" i="2"/>
  <c r="Q33" i="2"/>
  <c r="Q105" i="2"/>
  <c r="Q177" i="2"/>
  <c r="Q249" i="2"/>
  <c r="Q321" i="2"/>
  <c r="Q393" i="2"/>
  <c r="Q465" i="2"/>
  <c r="Q537" i="2"/>
  <c r="Q609" i="2"/>
  <c r="Q681" i="2"/>
  <c r="Q753" i="2"/>
  <c r="Q825" i="2"/>
  <c r="Q897" i="2"/>
  <c r="Q969" i="2"/>
  <c r="Q1041" i="2"/>
  <c r="Q1113" i="2"/>
  <c r="Q1185" i="2"/>
  <c r="Q1257" i="2"/>
  <c r="Q1329" i="2"/>
  <c r="Q1401" i="2"/>
  <c r="Q1473" i="2"/>
  <c r="Q1545" i="2"/>
  <c r="Q1617" i="2"/>
  <c r="Q1689" i="2"/>
  <c r="Q1761" i="2"/>
  <c r="Q1833" i="2"/>
  <c r="Q1905" i="2"/>
  <c r="Q1977" i="2"/>
  <c r="Q2049" i="2"/>
  <c r="Q2121" i="2"/>
  <c r="Q2193" i="2"/>
  <c r="Q2265" i="2"/>
  <c r="Q2337" i="2"/>
  <c r="Q2409" i="2"/>
  <c r="Q2481" i="2"/>
  <c r="Q2553" i="2"/>
  <c r="Q2625" i="2"/>
  <c r="Q2697" i="2"/>
  <c r="Q2769" i="2"/>
  <c r="Q2841" i="2"/>
  <c r="Q2913" i="2"/>
  <c r="Q2985" i="2"/>
  <c r="Q3057" i="2"/>
  <c r="Q3129" i="2"/>
  <c r="Q3201" i="2"/>
  <c r="Q3273" i="2"/>
  <c r="Q3345" i="2"/>
  <c r="Q3417" i="2"/>
  <c r="Q3489" i="2"/>
  <c r="Q3561" i="2"/>
  <c r="Q3633" i="2"/>
  <c r="Q3705" i="2"/>
  <c r="Q3777" i="2"/>
  <c r="Q3849" i="2"/>
  <c r="Q3921" i="2"/>
  <c r="Q3993" i="2"/>
  <c r="Q4065" i="2"/>
  <c r="Q4137" i="2"/>
  <c r="Q4209" i="2"/>
  <c r="Q4281" i="2"/>
  <c r="Q34" i="2"/>
  <c r="Q106" i="2"/>
  <c r="Q178" i="2"/>
  <c r="Q250" i="2"/>
  <c r="Q322" i="2"/>
  <c r="Q394" i="2"/>
  <c r="Q466" i="2"/>
  <c r="Q538" i="2"/>
  <c r="Q610" i="2"/>
  <c r="Q682" i="2"/>
  <c r="Q754" i="2"/>
  <c r="Q826" i="2"/>
  <c r="Q898" i="2"/>
  <c r="Q970" i="2"/>
  <c r="Q1042" i="2"/>
  <c r="Q1114" i="2"/>
  <c r="Q1186" i="2"/>
  <c r="Q1258" i="2"/>
  <c r="Q1330" i="2"/>
  <c r="Q1402" i="2"/>
  <c r="Q1474" i="2"/>
  <c r="Q1546" i="2"/>
  <c r="Q1618" i="2"/>
  <c r="Q1690" i="2"/>
  <c r="Q1762" i="2"/>
  <c r="Q1834" i="2"/>
  <c r="Q1906" i="2"/>
  <c r="Q1978" i="2"/>
  <c r="Q2050" i="2"/>
  <c r="Q2122" i="2"/>
  <c r="Q2194" i="2"/>
  <c r="Q2266" i="2"/>
  <c r="Q2338" i="2"/>
  <c r="Q2410" i="2"/>
  <c r="Q2482" i="2"/>
  <c r="Q2554" i="2"/>
  <c r="Q2626" i="2"/>
  <c r="Q2698" i="2"/>
  <c r="Q2770" i="2"/>
  <c r="Q2842" i="2"/>
  <c r="Q2914" i="2"/>
  <c r="Q2986" i="2"/>
  <c r="Q3058" i="2"/>
  <c r="Q3130" i="2"/>
  <c r="Q3202" i="2"/>
  <c r="Q3274" i="2"/>
  <c r="Q3346" i="2"/>
  <c r="Q3418" i="2"/>
  <c r="Q3490" i="2"/>
  <c r="Q3562" i="2"/>
  <c r="Q3634" i="2"/>
  <c r="Q3706" i="2"/>
  <c r="Q3778" i="2"/>
  <c r="Q3850" i="2"/>
  <c r="Q3922" i="2"/>
  <c r="Q3994" i="2"/>
  <c r="Q4066" i="2"/>
  <c r="Q4138" i="2"/>
  <c r="Q4210" i="2"/>
  <c r="Q4282" i="2"/>
  <c r="Q35" i="2"/>
  <c r="Q107" i="2"/>
  <c r="Q179" i="2"/>
  <c r="Q251" i="2"/>
  <c r="Q323" i="2"/>
  <c r="Q395" i="2"/>
  <c r="Q467" i="2"/>
  <c r="Q539" i="2"/>
  <c r="Q611" i="2"/>
  <c r="Q683" i="2"/>
  <c r="Q755" i="2"/>
  <c r="Q827" i="2"/>
  <c r="Q899" i="2"/>
  <c r="Q971" i="2"/>
  <c r="Q1043" i="2"/>
  <c r="Q1115" i="2"/>
  <c r="Q1187" i="2"/>
  <c r="Q1259" i="2"/>
  <c r="Q1331" i="2"/>
  <c r="Q1403" i="2"/>
  <c r="Q1475" i="2"/>
  <c r="Q1547" i="2"/>
  <c r="Q1619" i="2"/>
  <c r="Q1691" i="2"/>
  <c r="Q1763" i="2"/>
  <c r="Q1835" i="2"/>
  <c r="Q1907" i="2"/>
  <c r="Q1979" i="2"/>
  <c r="Q2051" i="2"/>
  <c r="Q2123" i="2"/>
  <c r="Q2195" i="2"/>
  <c r="Q2267" i="2"/>
  <c r="Q2339" i="2"/>
  <c r="Q2411" i="2"/>
  <c r="Q2483" i="2"/>
  <c r="Q2555" i="2"/>
  <c r="Q2627" i="2"/>
  <c r="Q2699" i="2"/>
  <c r="Q2771" i="2"/>
  <c r="Q2843" i="2"/>
  <c r="Q2915" i="2"/>
  <c r="Q2987" i="2"/>
  <c r="Q3059" i="2"/>
  <c r="Q3131" i="2"/>
  <c r="Q3203" i="2"/>
  <c r="Q3275" i="2"/>
  <c r="Q3347" i="2"/>
  <c r="Q3419" i="2"/>
  <c r="Q3491" i="2"/>
  <c r="Q3563" i="2"/>
  <c r="Q3635" i="2"/>
  <c r="Q3707" i="2"/>
  <c r="Q3779" i="2"/>
  <c r="Q3851" i="2"/>
  <c r="Q3923" i="2"/>
  <c r="Q3995" i="2"/>
  <c r="Q4067" i="2"/>
  <c r="Q4139" i="2"/>
  <c r="Q4211" i="2"/>
  <c r="Q4283" i="2"/>
  <c r="Q36" i="2"/>
  <c r="Q108" i="2"/>
  <c r="Q180" i="2"/>
  <c r="Q252" i="2"/>
  <c r="Q324" i="2"/>
  <c r="Q396" i="2"/>
  <c r="Q468" i="2"/>
  <c r="Q540" i="2"/>
  <c r="Q612" i="2"/>
  <c r="Q684" i="2"/>
  <c r="Q756" i="2"/>
  <c r="Q828" i="2"/>
  <c r="Q900" i="2"/>
  <c r="Q972" i="2"/>
  <c r="Q1044" i="2"/>
  <c r="Q1116" i="2"/>
  <c r="Q1188" i="2"/>
  <c r="Q1260" i="2"/>
  <c r="Q1332" i="2"/>
  <c r="Q1404" i="2"/>
  <c r="Q1476" i="2"/>
  <c r="Q1548" i="2"/>
  <c r="Q1620" i="2"/>
  <c r="Q1692" i="2"/>
  <c r="Q1764" i="2"/>
  <c r="Q1836" i="2"/>
  <c r="Q1908" i="2"/>
  <c r="Q1980" i="2"/>
  <c r="Q2052" i="2"/>
  <c r="Q2124" i="2"/>
  <c r="Q2196" i="2"/>
  <c r="Q2268" i="2"/>
  <c r="Q2340" i="2"/>
  <c r="Q2412" i="2"/>
  <c r="Q2484" i="2"/>
  <c r="Q2556" i="2"/>
  <c r="Q2628" i="2"/>
  <c r="Q2700" i="2"/>
  <c r="Q2772" i="2"/>
  <c r="Q2844" i="2"/>
  <c r="Q2916" i="2"/>
  <c r="Q2988" i="2"/>
  <c r="Q3060" i="2"/>
  <c r="Q3132" i="2"/>
  <c r="Q3204" i="2"/>
  <c r="Q3276" i="2"/>
  <c r="Q3348" i="2"/>
  <c r="Q3420" i="2"/>
  <c r="Q3492" i="2"/>
  <c r="Q3564" i="2"/>
  <c r="Q3636" i="2"/>
  <c r="Q3708" i="2"/>
  <c r="Q3780" i="2"/>
  <c r="Q3852" i="2"/>
  <c r="Q3924" i="2"/>
  <c r="Q3996" i="2"/>
  <c r="Q4068" i="2"/>
  <c r="Q4140" i="2"/>
  <c r="Q4212" i="2"/>
  <c r="Q4284" i="2"/>
  <c r="Q37" i="2"/>
  <c r="Q109" i="2"/>
  <c r="Q181" i="2"/>
  <c r="Q253" i="2"/>
  <c r="Q325" i="2"/>
  <c r="Q397" i="2"/>
  <c r="Q469" i="2"/>
  <c r="Q541" i="2"/>
  <c r="Q613" i="2"/>
  <c r="Q685" i="2"/>
  <c r="Q757" i="2"/>
  <c r="Q829" i="2"/>
  <c r="Q901" i="2"/>
  <c r="Q973" i="2"/>
  <c r="Q1045" i="2"/>
  <c r="Q1117" i="2"/>
  <c r="Q1189" i="2"/>
  <c r="Q1261" i="2"/>
  <c r="Q1333" i="2"/>
  <c r="Q1405" i="2"/>
  <c r="Q1477" i="2"/>
  <c r="Q1549" i="2"/>
  <c r="Q1621" i="2"/>
  <c r="Q1693" i="2"/>
  <c r="Q1765" i="2"/>
  <c r="Q1837" i="2"/>
  <c r="Q1909" i="2"/>
  <c r="Q1981" i="2"/>
  <c r="Q2053" i="2"/>
  <c r="Q2125" i="2"/>
  <c r="Q2197" i="2"/>
  <c r="Q2269" i="2"/>
  <c r="Q2341" i="2"/>
  <c r="Q2413" i="2"/>
  <c r="Q2485" i="2"/>
  <c r="Q2557" i="2"/>
  <c r="Q2629" i="2"/>
  <c r="Q2701" i="2"/>
  <c r="Q2773" i="2"/>
  <c r="Q2845" i="2"/>
  <c r="Q2917" i="2"/>
  <c r="Q2989" i="2"/>
  <c r="Q3061" i="2"/>
  <c r="Q3133" i="2"/>
  <c r="Q3205" i="2"/>
  <c r="Q3277" i="2"/>
  <c r="Q3349" i="2"/>
  <c r="Q3421" i="2"/>
  <c r="Q3493" i="2"/>
  <c r="Q3565" i="2"/>
  <c r="Q3637" i="2"/>
  <c r="Q3709" i="2"/>
  <c r="Q3781" i="2"/>
  <c r="Q3853" i="2"/>
  <c r="Q3925" i="2"/>
  <c r="Q3997" i="2"/>
  <c r="Q4069" i="2"/>
  <c r="Q4141" i="2"/>
  <c r="Q4213" i="2"/>
  <c r="Q4285" i="2"/>
  <c r="Q38" i="2"/>
  <c r="Q110" i="2"/>
  <c r="Q182" i="2"/>
  <c r="Q254" i="2"/>
  <c r="Q326" i="2"/>
  <c r="Q398" i="2"/>
  <c r="Q470" i="2"/>
  <c r="Q542" i="2"/>
  <c r="Q614" i="2"/>
  <c r="Q686" i="2"/>
  <c r="Q758" i="2"/>
  <c r="Q830" i="2"/>
  <c r="Q902" i="2"/>
  <c r="Q974" i="2"/>
  <c r="Q1046" i="2"/>
  <c r="Q1118" i="2"/>
  <c r="Q1190" i="2"/>
  <c r="Q1262" i="2"/>
  <c r="Q1334" i="2"/>
  <c r="Q1406" i="2"/>
  <c r="Q1478" i="2"/>
  <c r="Q1550" i="2"/>
  <c r="Q1622" i="2"/>
  <c r="Q1694" i="2"/>
  <c r="Q1766" i="2"/>
  <c r="Q1838" i="2"/>
  <c r="Q1910" i="2"/>
  <c r="Q1982" i="2"/>
  <c r="Q2054" i="2"/>
  <c r="Q2126" i="2"/>
  <c r="Q2198" i="2"/>
  <c r="Q2270" i="2"/>
  <c r="Q2342" i="2"/>
  <c r="Q2414" i="2"/>
  <c r="Q2486" i="2"/>
  <c r="Q2558" i="2"/>
  <c r="Q2630" i="2"/>
  <c r="Q2702" i="2"/>
  <c r="Q2774" i="2"/>
  <c r="Q2846" i="2"/>
  <c r="Q2918" i="2"/>
  <c r="Q2990" i="2"/>
  <c r="Q3062" i="2"/>
  <c r="Q3134" i="2"/>
  <c r="Q3206" i="2"/>
  <c r="Q3278" i="2"/>
  <c r="Q3350" i="2"/>
  <c r="Q3422" i="2"/>
  <c r="Q3494" i="2"/>
  <c r="Q3566" i="2"/>
  <c r="Q3638" i="2"/>
  <c r="Q3710" i="2"/>
  <c r="Q3782" i="2"/>
  <c r="Q3854" i="2"/>
  <c r="Q3926" i="2"/>
  <c r="Q3998" i="2"/>
  <c r="Q4070" i="2"/>
  <c r="Q4142" i="2"/>
  <c r="Q4214" i="2"/>
  <c r="Q4286" i="2"/>
  <c r="Q39" i="2"/>
  <c r="Q111" i="2"/>
  <c r="Q183" i="2"/>
  <c r="Q255" i="2"/>
  <c r="Q327" i="2"/>
  <c r="Q399" i="2"/>
  <c r="Q471" i="2"/>
  <c r="Q543" i="2"/>
  <c r="Q615" i="2"/>
  <c r="Q687" i="2"/>
  <c r="Q759" i="2"/>
  <c r="Q831" i="2"/>
  <c r="Q903" i="2"/>
  <c r="Q975" i="2"/>
  <c r="Q1047" i="2"/>
  <c r="Q1119" i="2"/>
  <c r="Q1191" i="2"/>
  <c r="Q1263" i="2"/>
  <c r="Q1335" i="2"/>
  <c r="Q1407" i="2"/>
  <c r="Q1479" i="2"/>
  <c r="Q1551" i="2"/>
  <c r="Q1623" i="2"/>
  <c r="Q1695" i="2"/>
  <c r="Q1767" i="2"/>
  <c r="Q1839" i="2"/>
  <c r="Q1911" i="2"/>
  <c r="Q1983" i="2"/>
  <c r="Q2055" i="2"/>
  <c r="Q2127" i="2"/>
  <c r="Q2199" i="2"/>
  <c r="Q2271" i="2"/>
  <c r="Q2343" i="2"/>
  <c r="Q2415" i="2"/>
  <c r="Q2487" i="2"/>
  <c r="Q2559" i="2"/>
  <c r="Q2631" i="2"/>
  <c r="Q2703" i="2"/>
  <c r="Q2775" i="2"/>
  <c r="Q2847" i="2"/>
  <c r="Q2919" i="2"/>
  <c r="Q2991" i="2"/>
  <c r="Q3063" i="2"/>
  <c r="Q3135" i="2"/>
  <c r="Q3207" i="2"/>
  <c r="Q3279" i="2"/>
  <c r="Q3351" i="2"/>
  <c r="Q3423" i="2"/>
  <c r="Q3495" i="2"/>
  <c r="Q3567" i="2"/>
  <c r="Q3639" i="2"/>
  <c r="Q3711" i="2"/>
  <c r="Q3783" i="2"/>
  <c r="Q3855" i="2"/>
  <c r="Q3927" i="2"/>
  <c r="Q3999" i="2"/>
  <c r="Q4071" i="2"/>
  <c r="Q4143" i="2"/>
  <c r="Q4215" i="2"/>
  <c r="Q4287" i="2"/>
  <c r="Q40" i="2"/>
  <c r="Q112" i="2"/>
  <c r="Q184" i="2"/>
  <c r="Q256" i="2"/>
  <c r="Q328" i="2"/>
  <c r="Q400" i="2"/>
  <c r="Q472" i="2"/>
  <c r="Q544" i="2"/>
  <c r="Q616" i="2"/>
  <c r="Q688" i="2"/>
  <c r="Q760" i="2"/>
  <c r="Q832" i="2"/>
  <c r="Q904" i="2"/>
  <c r="Q976" i="2"/>
  <c r="Q1048" i="2"/>
  <c r="Q1120" i="2"/>
  <c r="Q1192" i="2"/>
  <c r="Q1264" i="2"/>
  <c r="Q1336" i="2"/>
  <c r="Q1408" i="2"/>
  <c r="Q1480" i="2"/>
  <c r="Q1552" i="2"/>
  <c r="Q1624" i="2"/>
  <c r="Q1696" i="2"/>
  <c r="Q1768" i="2"/>
  <c r="Q1840" i="2"/>
  <c r="Q1912" i="2"/>
  <c r="Q1984" i="2"/>
  <c r="Q2056" i="2"/>
  <c r="Q2128" i="2"/>
  <c r="Q2200" i="2"/>
  <c r="Q2272" i="2"/>
  <c r="Q2344" i="2"/>
  <c r="Q2416" i="2"/>
  <c r="Q2488" i="2"/>
  <c r="Q2560" i="2"/>
  <c r="Q2632" i="2"/>
  <c r="Q2704" i="2"/>
  <c r="Q2776" i="2"/>
  <c r="Q2848" i="2"/>
  <c r="Q2920" i="2"/>
  <c r="Q2992" i="2"/>
  <c r="Q3064" i="2"/>
  <c r="Q3136" i="2"/>
  <c r="Q3208" i="2"/>
  <c r="Q3280" i="2"/>
  <c r="Q3352" i="2"/>
  <c r="Q3424" i="2"/>
  <c r="Q3496" i="2"/>
  <c r="Q3568" i="2"/>
  <c r="Q3640" i="2"/>
  <c r="Q3712" i="2"/>
  <c r="Q3784" i="2"/>
  <c r="Q3856" i="2"/>
  <c r="Q3928" i="2"/>
  <c r="Q4000" i="2"/>
  <c r="Q4072" i="2"/>
  <c r="Q4144" i="2"/>
  <c r="Q4216" i="2"/>
  <c r="Q4288" i="2"/>
  <c r="Q41" i="2"/>
  <c r="Q113" i="2"/>
  <c r="Q185" i="2"/>
  <c r="Q257" i="2"/>
  <c r="Q329" i="2"/>
  <c r="Q401" i="2"/>
  <c r="Q473" i="2"/>
  <c r="Q545" i="2"/>
  <c r="Q617" i="2"/>
  <c r="Q689" i="2"/>
  <c r="Q761" i="2"/>
  <c r="Q833" i="2"/>
  <c r="Q905" i="2"/>
  <c r="Q977" i="2"/>
  <c r="Q1049" i="2"/>
  <c r="Q1121" i="2"/>
  <c r="Q1193" i="2"/>
  <c r="Q1265" i="2"/>
  <c r="Q1337" i="2"/>
  <c r="Q1409" i="2"/>
  <c r="Q1481" i="2"/>
  <c r="Q1553" i="2"/>
  <c r="Q1625" i="2"/>
  <c r="Q1697" i="2"/>
  <c r="Q1769" i="2"/>
  <c r="Q1841" i="2"/>
  <c r="Q1913" i="2"/>
  <c r="Q1985" i="2"/>
  <c r="Q2057" i="2"/>
  <c r="Q2129" i="2"/>
  <c r="Q2201" i="2"/>
  <c r="Q2273" i="2"/>
  <c r="Q2345" i="2"/>
  <c r="Q2417" i="2"/>
  <c r="Q2489" i="2"/>
  <c r="Q2561" i="2"/>
  <c r="Q2633" i="2"/>
  <c r="Q2705" i="2"/>
  <c r="Q2777" i="2"/>
  <c r="Q2849" i="2"/>
  <c r="Q2921" i="2"/>
  <c r="Q2993" i="2"/>
  <c r="Q3065" i="2"/>
  <c r="Q3137" i="2"/>
  <c r="Q3209" i="2"/>
  <c r="Q3281" i="2"/>
  <c r="Q3353" i="2"/>
  <c r="Q3425" i="2"/>
  <c r="Q3497" i="2"/>
  <c r="Q3569" i="2"/>
  <c r="Q3641" i="2"/>
  <c r="Q3713" i="2"/>
  <c r="Q3785" i="2"/>
  <c r="Q3857" i="2"/>
  <c r="Q3929" i="2"/>
  <c r="Q4001" i="2"/>
  <c r="Q4073" i="2"/>
  <c r="Q4145" i="2"/>
  <c r="Q4217" i="2"/>
  <c r="Q4289" i="2"/>
  <c r="Q42" i="2"/>
  <c r="Q114" i="2"/>
  <c r="Q186" i="2"/>
  <c r="Q258" i="2"/>
  <c r="Q330" i="2"/>
  <c r="Q402" i="2"/>
  <c r="Q474" i="2"/>
  <c r="Q546" i="2"/>
  <c r="Q618" i="2"/>
  <c r="Q690" i="2"/>
  <c r="Q762" i="2"/>
  <c r="Q834" i="2"/>
  <c r="Q906" i="2"/>
  <c r="Q978" i="2"/>
  <c r="Q1050" i="2"/>
  <c r="Q1122" i="2"/>
  <c r="Q1194" i="2"/>
  <c r="Q1266" i="2"/>
  <c r="Q1338" i="2"/>
  <c r="Q1410" i="2"/>
  <c r="Q1482" i="2"/>
  <c r="Q1554" i="2"/>
  <c r="Q1626" i="2"/>
  <c r="Q1698" i="2"/>
  <c r="Q1770" i="2"/>
  <c r="Q1842" i="2"/>
  <c r="Q1914" i="2"/>
  <c r="Q1986" i="2"/>
  <c r="Q2058" i="2"/>
  <c r="Q2130" i="2"/>
  <c r="Q2202" i="2"/>
  <c r="Q2274" i="2"/>
  <c r="Q2346" i="2"/>
  <c r="Q2418" i="2"/>
  <c r="Q2490" i="2"/>
  <c r="Q2562" i="2"/>
  <c r="Q2634" i="2"/>
  <c r="Q2706" i="2"/>
  <c r="Q2778" i="2"/>
  <c r="Q2850" i="2"/>
  <c r="Q2922" i="2"/>
  <c r="Q2994" i="2"/>
  <c r="Q3066" i="2"/>
  <c r="Q3138" i="2"/>
  <c r="Q3210" i="2"/>
  <c r="Q3282" i="2"/>
  <c r="Q3354" i="2"/>
  <c r="Q3426" i="2"/>
  <c r="Q3498" i="2"/>
  <c r="Q3570" i="2"/>
  <c r="Q3642" i="2"/>
  <c r="Q3714" i="2"/>
  <c r="Q3786" i="2"/>
  <c r="Q3858" i="2"/>
  <c r="Q3930" i="2"/>
  <c r="Q4002" i="2"/>
  <c r="Q4074" i="2"/>
  <c r="Q4146" i="2"/>
  <c r="Q4218" i="2"/>
  <c r="Q4290" i="2"/>
  <c r="Q43" i="2"/>
  <c r="Q115" i="2"/>
  <c r="Q187" i="2"/>
  <c r="Q259" i="2"/>
  <c r="Q331" i="2"/>
  <c r="Q403" i="2"/>
  <c r="Q475" i="2"/>
  <c r="Q547" i="2"/>
  <c r="Q619" i="2"/>
  <c r="Q691" i="2"/>
  <c r="Q763" i="2"/>
  <c r="Q835" i="2"/>
  <c r="Q907" i="2"/>
  <c r="Q979" i="2"/>
  <c r="Q1051" i="2"/>
  <c r="Q1123" i="2"/>
  <c r="Q1195" i="2"/>
  <c r="Q1267" i="2"/>
  <c r="Q1339" i="2"/>
  <c r="Q1411" i="2"/>
  <c r="Q1483" i="2"/>
  <c r="Q1555" i="2"/>
  <c r="Q1627" i="2"/>
  <c r="Q1699" i="2"/>
  <c r="Q1771" i="2"/>
  <c r="Q1843" i="2"/>
  <c r="Q1915" i="2"/>
  <c r="Q1987" i="2"/>
  <c r="Q2059" i="2"/>
  <c r="Q2131" i="2"/>
  <c r="Q2203" i="2"/>
  <c r="Q2275" i="2"/>
  <c r="Q2347" i="2"/>
  <c r="Q2419" i="2"/>
  <c r="Q2491" i="2"/>
  <c r="Q2563" i="2"/>
  <c r="Q2635" i="2"/>
  <c r="Q2707" i="2"/>
  <c r="Q2779" i="2"/>
  <c r="Q2851" i="2"/>
  <c r="Q2923" i="2"/>
  <c r="Q2995" i="2"/>
  <c r="Q3067" i="2"/>
  <c r="Q3139" i="2"/>
  <c r="Q3211" i="2"/>
  <c r="Q3283" i="2"/>
  <c r="Q3355" i="2"/>
  <c r="Q3427" i="2"/>
  <c r="Q3499" i="2"/>
  <c r="Q3571" i="2"/>
  <c r="Q3643" i="2"/>
  <c r="Q3715" i="2"/>
  <c r="Q3787" i="2"/>
  <c r="Q3859" i="2"/>
  <c r="Q3931" i="2"/>
  <c r="Q4003" i="2"/>
  <c r="Q4075" i="2"/>
  <c r="Q4147" i="2"/>
  <c r="Q4219" i="2"/>
  <c r="Q4291" i="2"/>
  <c r="Q44" i="2"/>
  <c r="Q116" i="2"/>
  <c r="Q188" i="2"/>
  <c r="Q260" i="2"/>
  <c r="Q332" i="2"/>
  <c r="Q404" i="2"/>
  <c r="Q476" i="2"/>
  <c r="Q548" i="2"/>
  <c r="Q620" i="2"/>
  <c r="Q692" i="2"/>
  <c r="Q764" i="2"/>
  <c r="Q836" i="2"/>
  <c r="Q908" i="2"/>
  <c r="Q980" i="2"/>
  <c r="Q1052" i="2"/>
  <c r="Q1124" i="2"/>
  <c r="Q1196" i="2"/>
  <c r="Q1268" i="2"/>
  <c r="Q1340" i="2"/>
  <c r="Q1412" i="2"/>
  <c r="Q1484" i="2"/>
  <c r="Q1556" i="2"/>
  <c r="Q1628" i="2"/>
  <c r="Q1700" i="2"/>
  <c r="Q1772" i="2"/>
  <c r="Q1844" i="2"/>
  <c r="Q1916" i="2"/>
  <c r="Q1988" i="2"/>
  <c r="Q2060" i="2"/>
  <c r="Q2132" i="2"/>
  <c r="Q2204" i="2"/>
  <c r="Q2276" i="2"/>
  <c r="Q2348" i="2"/>
  <c r="Q2420" i="2"/>
  <c r="Q2492" i="2"/>
  <c r="Q2564" i="2"/>
  <c r="Q2636" i="2"/>
  <c r="Q2708" i="2"/>
  <c r="Q2780" i="2"/>
  <c r="Q2852" i="2"/>
  <c r="Q2924" i="2"/>
  <c r="Q2996" i="2"/>
  <c r="Q3068" i="2"/>
  <c r="Q3140" i="2"/>
  <c r="Q3212" i="2"/>
  <c r="Q3284" i="2"/>
  <c r="Q3356" i="2"/>
  <c r="Q3428" i="2"/>
  <c r="Q3500" i="2"/>
  <c r="Q3572" i="2"/>
  <c r="Q3644" i="2"/>
  <c r="Q3716" i="2"/>
  <c r="Q3788" i="2"/>
  <c r="Q3860" i="2"/>
  <c r="Q3932" i="2"/>
  <c r="Q4004" i="2"/>
  <c r="Q4076" i="2"/>
  <c r="Q4148" i="2"/>
  <c r="Q4220" i="2"/>
  <c r="Q4292" i="2"/>
  <c r="Q45" i="2"/>
  <c r="Q117" i="2"/>
  <c r="Q189" i="2"/>
  <c r="Q261" i="2"/>
  <c r="Q333" i="2"/>
  <c r="Q405" i="2"/>
  <c r="Q477" i="2"/>
  <c r="Q549" i="2"/>
  <c r="Q621" i="2"/>
  <c r="Q693" i="2"/>
  <c r="Q765" i="2"/>
  <c r="Q837" i="2"/>
  <c r="Q909" i="2"/>
  <c r="Q981" i="2"/>
  <c r="Q1053" i="2"/>
  <c r="Q1125" i="2"/>
  <c r="Q1197" i="2"/>
  <c r="Q1269" i="2"/>
  <c r="Q1341" i="2"/>
  <c r="Q1413" i="2"/>
  <c r="Q1485" i="2"/>
  <c r="Q1557" i="2"/>
  <c r="Q1629" i="2"/>
  <c r="Q1701" i="2"/>
  <c r="Q1773" i="2"/>
  <c r="Q1845" i="2"/>
  <c r="Q1917" i="2"/>
  <c r="Q1989" i="2"/>
  <c r="Q2061" i="2"/>
  <c r="Q2133" i="2"/>
  <c r="Q2205" i="2"/>
  <c r="Q2277" i="2"/>
  <c r="Q2349" i="2"/>
  <c r="Q2421" i="2"/>
  <c r="Q2493" i="2"/>
  <c r="Q2565" i="2"/>
  <c r="Q2637" i="2"/>
  <c r="Q2709" i="2"/>
  <c r="Q2781" i="2"/>
  <c r="Q2853" i="2"/>
  <c r="Q2925" i="2"/>
  <c r="Q2997" i="2"/>
  <c r="Q3069" i="2"/>
  <c r="Q3141" i="2"/>
  <c r="Q3213" i="2"/>
  <c r="Q3285" i="2"/>
  <c r="Q3357" i="2"/>
  <c r="Q3429" i="2"/>
  <c r="Q3501" i="2"/>
  <c r="Q3573" i="2"/>
  <c r="Q3645" i="2"/>
  <c r="Q3717" i="2"/>
  <c r="Q3789" i="2"/>
  <c r="Q3861" i="2"/>
  <c r="Q3933" i="2"/>
  <c r="Q4005" i="2"/>
  <c r="Q4077" i="2"/>
  <c r="Q4149" i="2"/>
  <c r="Q4221" i="2"/>
  <c r="Q4293" i="2"/>
  <c r="Q46" i="2"/>
  <c r="Q118" i="2"/>
  <c r="Q190" i="2"/>
  <c r="Q262" i="2"/>
  <c r="Q334" i="2"/>
  <c r="Q406" i="2"/>
  <c r="Q478" i="2"/>
  <c r="Q550" i="2"/>
  <c r="Q622" i="2"/>
  <c r="Q694" i="2"/>
  <c r="Q766" i="2"/>
  <c r="Q838" i="2"/>
  <c r="Q910" i="2"/>
  <c r="Q982" i="2"/>
  <c r="Q1054" i="2"/>
  <c r="Q1126" i="2"/>
  <c r="Q1198" i="2"/>
  <c r="Q1270" i="2"/>
  <c r="Q1342" i="2"/>
  <c r="Q1414" i="2"/>
  <c r="Q1486" i="2"/>
  <c r="Q1558" i="2"/>
  <c r="Q1630" i="2"/>
  <c r="Q1702" i="2"/>
  <c r="Q1774" i="2"/>
  <c r="Q1846" i="2"/>
  <c r="Q1918" i="2"/>
  <c r="Q1990" i="2"/>
  <c r="Q2062" i="2"/>
  <c r="Q2134" i="2"/>
  <c r="Q2206" i="2"/>
  <c r="Q2278" i="2"/>
  <c r="Q2350" i="2"/>
  <c r="Q2422" i="2"/>
  <c r="Q2494" i="2"/>
  <c r="Q2566" i="2"/>
  <c r="Q2638" i="2"/>
  <c r="Q2710" i="2"/>
  <c r="Q2782" i="2"/>
  <c r="Q2854" i="2"/>
  <c r="Q2926" i="2"/>
  <c r="Q2998" i="2"/>
  <c r="Q3070" i="2"/>
  <c r="Q3142" i="2"/>
  <c r="Q3214" i="2"/>
  <c r="Q3286" i="2"/>
  <c r="Q3358" i="2"/>
  <c r="Q3430" i="2"/>
  <c r="Q3502" i="2"/>
  <c r="Q3574" i="2"/>
  <c r="Q3646" i="2"/>
  <c r="Q3718" i="2"/>
  <c r="Q3790" i="2"/>
  <c r="Q3862" i="2"/>
  <c r="Q3934" i="2"/>
  <c r="Q4006" i="2"/>
  <c r="Q4078" i="2"/>
  <c r="Q4150" i="2"/>
  <c r="Q4222" i="2"/>
  <c r="Q4294" i="2"/>
  <c r="Q47" i="2"/>
  <c r="Q119" i="2"/>
  <c r="Q191" i="2"/>
  <c r="Q263" i="2"/>
  <c r="Q335" i="2"/>
  <c r="Q407" i="2"/>
  <c r="Q479" i="2"/>
  <c r="Q551" i="2"/>
  <c r="Q623" i="2"/>
  <c r="Q695" i="2"/>
  <c r="Q767" i="2"/>
  <c r="Q839" i="2"/>
  <c r="Q911" i="2"/>
  <c r="Q983" i="2"/>
  <c r="Q1055" i="2"/>
  <c r="Q1127" i="2"/>
  <c r="Q1199" i="2"/>
  <c r="Q1271" i="2"/>
  <c r="Q1343" i="2"/>
  <c r="Q1415" i="2"/>
  <c r="Q1487" i="2"/>
  <c r="Q1559" i="2"/>
  <c r="Q1631" i="2"/>
  <c r="Q1703" i="2"/>
  <c r="Q1775" i="2"/>
  <c r="Q1847" i="2"/>
  <c r="Q1919" i="2"/>
  <c r="Q1991" i="2"/>
  <c r="Q2063" i="2"/>
  <c r="Q2135" i="2"/>
  <c r="Q2207" i="2"/>
  <c r="Q2279" i="2"/>
  <c r="Q2351" i="2"/>
  <c r="Q2423" i="2"/>
  <c r="Q2495" i="2"/>
  <c r="Q2567" i="2"/>
  <c r="Q2639" i="2"/>
  <c r="Q2711" i="2"/>
  <c r="Q2783" i="2"/>
  <c r="Q2855" i="2"/>
  <c r="Q2927" i="2"/>
  <c r="Q2999" i="2"/>
  <c r="Q3071" i="2"/>
  <c r="Q3143" i="2"/>
  <c r="Q3215" i="2"/>
  <c r="Q3287" i="2"/>
  <c r="Q3359" i="2"/>
  <c r="Q3431" i="2"/>
  <c r="Q3503" i="2"/>
  <c r="Q3575" i="2"/>
  <c r="Q3647" i="2"/>
  <c r="Q3719" i="2"/>
  <c r="Q3791" i="2"/>
  <c r="Q3863" i="2"/>
  <c r="Q3935" i="2"/>
  <c r="Q4007" i="2"/>
  <c r="Q4079" i="2"/>
  <c r="Q4151" i="2"/>
  <c r="Q4223" i="2"/>
  <c r="Q4295" i="2"/>
  <c r="Q48" i="2"/>
  <c r="Q120" i="2"/>
  <c r="Q192" i="2"/>
  <c r="Q264" i="2"/>
  <c r="Q336" i="2"/>
  <c r="Q408" i="2"/>
  <c r="Q480" i="2"/>
  <c r="Q552" i="2"/>
  <c r="Q624" i="2"/>
  <c r="Q696" i="2"/>
  <c r="Q768" i="2"/>
  <c r="Q840" i="2"/>
  <c r="Q912" i="2"/>
  <c r="Q984" i="2"/>
  <c r="Q1056" i="2"/>
  <c r="Q1128" i="2"/>
  <c r="Q1200" i="2"/>
  <c r="Q1272" i="2"/>
  <c r="Q1344" i="2"/>
  <c r="Q1416" i="2"/>
  <c r="Q1488" i="2"/>
  <c r="Q1560" i="2"/>
  <c r="Q1632" i="2"/>
  <c r="Q1704" i="2"/>
  <c r="Q1776" i="2"/>
  <c r="Q1848" i="2"/>
  <c r="Q1920" i="2"/>
  <c r="Q1992" i="2"/>
  <c r="Q2064" i="2"/>
  <c r="Q2136" i="2"/>
  <c r="Q2208" i="2"/>
  <c r="Q2280" i="2"/>
  <c r="Q2352" i="2"/>
  <c r="Q2424" i="2"/>
  <c r="Q2496" i="2"/>
  <c r="Q2568" i="2"/>
  <c r="Q2640" i="2"/>
  <c r="Q2712" i="2"/>
  <c r="Q2784" i="2"/>
  <c r="Q2856" i="2"/>
  <c r="Q2928" i="2"/>
  <c r="Q3000" i="2"/>
  <c r="Q3072" i="2"/>
  <c r="Q3144" i="2"/>
  <c r="Q3216" i="2"/>
  <c r="Q3288" i="2"/>
  <c r="Q3360" i="2"/>
  <c r="Q3432" i="2"/>
  <c r="Q3504" i="2"/>
  <c r="Q3576" i="2"/>
  <c r="Q3648" i="2"/>
  <c r="Q3720" i="2"/>
  <c r="Q3792" i="2"/>
  <c r="Q3864" i="2"/>
  <c r="Q3936" i="2"/>
  <c r="Q4008" i="2"/>
  <c r="Q4080" i="2"/>
  <c r="Q4152" i="2"/>
  <c r="Q4224" i="2"/>
  <c r="Q4296" i="2"/>
  <c r="Q49" i="2"/>
  <c r="Q121" i="2"/>
  <c r="Q193" i="2"/>
  <c r="Q265" i="2"/>
  <c r="Q337" i="2"/>
  <c r="Q409" i="2"/>
  <c r="Q481" i="2"/>
  <c r="Q553" i="2"/>
  <c r="Q625" i="2"/>
  <c r="Q697" i="2"/>
  <c r="Q769" i="2"/>
  <c r="Q841" i="2"/>
  <c r="Q913" i="2"/>
  <c r="Q985" i="2"/>
  <c r="Q1057" i="2"/>
  <c r="Q1129" i="2"/>
  <c r="Q1201" i="2"/>
  <c r="Q1273" i="2"/>
  <c r="Q1345" i="2"/>
  <c r="Q1417" i="2"/>
  <c r="Q1489" i="2"/>
  <c r="Q1561" i="2"/>
  <c r="Q1633" i="2"/>
  <c r="Q1705" i="2"/>
  <c r="Q1777" i="2"/>
  <c r="Q1849" i="2"/>
  <c r="Q1921" i="2"/>
  <c r="Q1993" i="2"/>
  <c r="Q2065" i="2"/>
  <c r="Q2137" i="2"/>
  <c r="Q2209" i="2"/>
  <c r="Q2281" i="2"/>
  <c r="Q2353" i="2"/>
  <c r="Q2425" i="2"/>
  <c r="Q2497" i="2"/>
  <c r="Q2569" i="2"/>
  <c r="Q2641" i="2"/>
  <c r="Q2713" i="2"/>
  <c r="Q2785" i="2"/>
  <c r="Q2857" i="2"/>
  <c r="Q2929" i="2"/>
  <c r="Q3001" i="2"/>
  <c r="Q3073" i="2"/>
  <c r="Q3145" i="2"/>
  <c r="Q3217" i="2"/>
  <c r="Q3289" i="2"/>
  <c r="Q3361" i="2"/>
  <c r="Q3433" i="2"/>
  <c r="Q3505" i="2"/>
  <c r="Q3577" i="2"/>
  <c r="Q3649" i="2"/>
  <c r="Q3721" i="2"/>
  <c r="Q3793" i="2"/>
  <c r="Q3865" i="2"/>
  <c r="Q3937" i="2"/>
  <c r="Q4009" i="2"/>
  <c r="Q4081" i="2"/>
  <c r="Q4153" i="2"/>
  <c r="Q4225" i="2"/>
  <c r="Q4297" i="2"/>
  <c r="Q50" i="2"/>
  <c r="Q122" i="2"/>
  <c r="Q194" i="2"/>
  <c r="Q266" i="2"/>
  <c r="Q338" i="2"/>
  <c r="Q410" i="2"/>
  <c r="Q482" i="2"/>
  <c r="Q554" i="2"/>
  <c r="Q626" i="2"/>
  <c r="Q698" i="2"/>
  <c r="Q770" i="2"/>
  <c r="Q842" i="2"/>
  <c r="Q914" i="2"/>
  <c r="Q986" i="2"/>
  <c r="Q1058" i="2"/>
  <c r="Q1130" i="2"/>
  <c r="Q1202" i="2"/>
  <c r="Q1274" i="2"/>
  <c r="Q1346" i="2"/>
  <c r="Q1418" i="2"/>
  <c r="Q1490" i="2"/>
  <c r="Q1562" i="2"/>
  <c r="Q1634" i="2"/>
  <c r="Q1706" i="2"/>
  <c r="Q1778" i="2"/>
  <c r="Q1850" i="2"/>
  <c r="Q1922" i="2"/>
  <c r="Q1994" i="2"/>
  <c r="Q2066" i="2"/>
  <c r="Q2138" i="2"/>
  <c r="Q2210" i="2"/>
  <c r="Q2282" i="2"/>
  <c r="Q2354" i="2"/>
  <c r="Q2426" i="2"/>
  <c r="Q2498" i="2"/>
  <c r="Q2570" i="2"/>
  <c r="Q2642" i="2"/>
  <c r="Q2714" i="2"/>
  <c r="Q2786" i="2"/>
  <c r="Q2858" i="2"/>
  <c r="Q2930" i="2"/>
  <c r="Q3002" i="2"/>
  <c r="Q3074" i="2"/>
  <c r="Q3146" i="2"/>
  <c r="Q3218" i="2"/>
  <c r="Q3290" i="2"/>
  <c r="Q3362" i="2"/>
  <c r="Q3434" i="2"/>
  <c r="Q3506" i="2"/>
  <c r="Q3578" i="2"/>
  <c r="Q3650" i="2"/>
  <c r="Q3722" i="2"/>
  <c r="Q3794" i="2"/>
  <c r="Q3866" i="2"/>
  <c r="Q3938" i="2"/>
  <c r="Q4010" i="2"/>
  <c r="Q4082" i="2"/>
  <c r="Q4154" i="2"/>
  <c r="Q4226" i="2"/>
  <c r="Q4298" i="2"/>
  <c r="Q51" i="2"/>
  <c r="Q123" i="2"/>
  <c r="Q195" i="2"/>
  <c r="Q267" i="2"/>
  <c r="Q339" i="2"/>
  <c r="Q411" i="2"/>
  <c r="Q483" i="2"/>
  <c r="Q555" i="2"/>
  <c r="Q627" i="2"/>
  <c r="Q699" i="2"/>
  <c r="Q771" i="2"/>
  <c r="Q843" i="2"/>
  <c r="Q915" i="2"/>
  <c r="Q987" i="2"/>
  <c r="Q1059" i="2"/>
  <c r="Q1131" i="2"/>
  <c r="Q1203" i="2"/>
  <c r="Q1275" i="2"/>
  <c r="Q1347" i="2"/>
  <c r="Q1419" i="2"/>
  <c r="Q1491" i="2"/>
  <c r="Q1563" i="2"/>
  <c r="Q1635" i="2"/>
  <c r="Q1707" i="2"/>
  <c r="Q1779" i="2"/>
  <c r="Q1851" i="2"/>
  <c r="Q1923" i="2"/>
  <c r="Q1995" i="2"/>
  <c r="Q2067" i="2"/>
  <c r="Q2139" i="2"/>
  <c r="Q2211" i="2"/>
  <c r="Q2283" i="2"/>
  <c r="Q2355" i="2"/>
  <c r="Q2427" i="2"/>
  <c r="Q2499" i="2"/>
  <c r="Q2571" i="2"/>
  <c r="Q2643" i="2"/>
  <c r="Q2715" i="2"/>
  <c r="Q2787" i="2"/>
  <c r="Q2859" i="2"/>
  <c r="Q2931" i="2"/>
  <c r="Q3003" i="2"/>
  <c r="Q3075" i="2"/>
  <c r="Q3147" i="2"/>
  <c r="Q3219" i="2"/>
  <c r="Q3291" i="2"/>
  <c r="Q3363" i="2"/>
  <c r="Q3435" i="2"/>
  <c r="Q3507" i="2"/>
  <c r="Q3579" i="2"/>
  <c r="Q3651" i="2"/>
  <c r="Q3723" i="2"/>
  <c r="Q3795" i="2"/>
  <c r="Q3867" i="2"/>
  <c r="Q3939" i="2"/>
  <c r="Q4011" i="2"/>
  <c r="Q4083" i="2"/>
  <c r="Q4155" i="2"/>
  <c r="Q4227" i="2"/>
  <c r="Q4299" i="2"/>
  <c r="Q52" i="2"/>
  <c r="Q124" i="2"/>
  <c r="Q196" i="2"/>
  <c r="Q268" i="2"/>
  <c r="Q340" i="2"/>
  <c r="Q412" i="2"/>
  <c r="Q484" i="2"/>
  <c r="Q556" i="2"/>
  <c r="Q628" i="2"/>
  <c r="Q700" i="2"/>
  <c r="Q772" i="2"/>
  <c r="Q844" i="2"/>
  <c r="Q916" i="2"/>
  <c r="Q988" i="2"/>
  <c r="Q1060" i="2"/>
  <c r="Q1132" i="2"/>
  <c r="Q1204" i="2"/>
  <c r="Q1276" i="2"/>
  <c r="Q1348" i="2"/>
  <c r="Q1420" i="2"/>
  <c r="Q1492" i="2"/>
  <c r="Q1564" i="2"/>
  <c r="Q1636" i="2"/>
  <c r="Q1708" i="2"/>
  <c r="Q1780" i="2"/>
  <c r="Q1852" i="2"/>
  <c r="Q1924" i="2"/>
  <c r="Q1996" i="2"/>
  <c r="Q2068" i="2"/>
  <c r="Q2140" i="2"/>
  <c r="Q2212" i="2"/>
  <c r="Q2284" i="2"/>
  <c r="Q2356" i="2"/>
  <c r="Q2428" i="2"/>
  <c r="Q2500" i="2"/>
  <c r="Q2572" i="2"/>
  <c r="Q2644" i="2"/>
  <c r="Q2716" i="2"/>
  <c r="Q2788" i="2"/>
  <c r="Q2860" i="2"/>
  <c r="Q2932" i="2"/>
  <c r="Q3004" i="2"/>
  <c r="Q3076" i="2"/>
  <c r="Q3148" i="2"/>
  <c r="Q3220" i="2"/>
  <c r="Q3292" i="2"/>
  <c r="Q3364" i="2"/>
  <c r="Q3436" i="2"/>
  <c r="Q3508" i="2"/>
  <c r="Q3580" i="2"/>
  <c r="Q3652" i="2"/>
  <c r="Q3724" i="2"/>
  <c r="Q3796" i="2"/>
  <c r="Q3868" i="2"/>
  <c r="Q3940" i="2"/>
  <c r="Q4012" i="2"/>
  <c r="Q4084" i="2"/>
  <c r="Q4156" i="2"/>
  <c r="Q4228" i="2"/>
  <c r="Q4300" i="2"/>
  <c r="Q53" i="2"/>
  <c r="Q125" i="2"/>
  <c r="Q197" i="2"/>
  <c r="Q269" i="2"/>
  <c r="Q341" i="2"/>
  <c r="Q413" i="2"/>
  <c r="Q485" i="2"/>
  <c r="Q557" i="2"/>
  <c r="Q629" i="2"/>
  <c r="Q701" i="2"/>
  <c r="Q773" i="2"/>
  <c r="Q845" i="2"/>
  <c r="Q917" i="2"/>
  <c r="Q989" i="2"/>
  <c r="Q1061" i="2"/>
  <c r="Q1133" i="2"/>
  <c r="Q1205" i="2"/>
  <c r="Q1277" i="2"/>
  <c r="Q1349" i="2"/>
  <c r="Q1421" i="2"/>
  <c r="Q1493" i="2"/>
  <c r="Q1565" i="2"/>
  <c r="Q1637" i="2"/>
  <c r="Q1709" i="2"/>
  <c r="Q1781" i="2"/>
  <c r="Q1853" i="2"/>
  <c r="Q1925" i="2"/>
  <c r="Q1997" i="2"/>
  <c r="Q2069" i="2"/>
  <c r="Q2141" i="2"/>
  <c r="Q2213" i="2"/>
  <c r="Q2285" i="2"/>
  <c r="Q2357" i="2"/>
  <c r="Q2429" i="2"/>
  <c r="Q2501" i="2"/>
  <c r="Q2573" i="2"/>
  <c r="Q2645" i="2"/>
  <c r="Q2717" i="2"/>
  <c r="Q2789" i="2"/>
  <c r="Q2861" i="2"/>
  <c r="Q2933" i="2"/>
  <c r="Q3005" i="2"/>
  <c r="Q3077" i="2"/>
  <c r="Q3149" i="2"/>
  <c r="Q3221" i="2"/>
  <c r="Q3293" i="2"/>
  <c r="Q3365" i="2"/>
  <c r="Q3437" i="2"/>
  <c r="Q3509" i="2"/>
  <c r="Q3581" i="2"/>
  <c r="Q3653" i="2"/>
  <c r="Q3725" i="2"/>
  <c r="Q3797" i="2"/>
  <c r="Q3869" i="2"/>
  <c r="Q3941" i="2"/>
  <c r="Q4013" i="2"/>
  <c r="Q4085" i="2"/>
  <c r="Q4157" i="2"/>
  <c r="Q4229" i="2"/>
  <c r="Q4301" i="2"/>
  <c r="Q54" i="2"/>
  <c r="Q126" i="2"/>
  <c r="Q198" i="2"/>
  <c r="Q270" i="2"/>
  <c r="Q342" i="2"/>
  <c r="Q414" i="2"/>
  <c r="Q486" i="2"/>
  <c r="Q558" i="2"/>
  <c r="Q630" i="2"/>
  <c r="Q702" i="2"/>
  <c r="Q774" i="2"/>
  <c r="Q846" i="2"/>
  <c r="Q918" i="2"/>
  <c r="Q990" i="2"/>
  <c r="Q1062" i="2"/>
  <c r="Q1134" i="2"/>
  <c r="Q1206" i="2"/>
  <c r="Q1278" i="2"/>
  <c r="Q1350" i="2"/>
  <c r="Q1422" i="2"/>
  <c r="Q1494" i="2"/>
  <c r="Q1566" i="2"/>
  <c r="Q1638" i="2"/>
  <c r="Q1710" i="2"/>
  <c r="Q1782" i="2"/>
  <c r="Q1854" i="2"/>
  <c r="Q1926" i="2"/>
  <c r="Q1998" i="2"/>
  <c r="Q2070" i="2"/>
  <c r="Q2142" i="2"/>
  <c r="Q2214" i="2"/>
  <c r="Q2286" i="2"/>
  <c r="Q2358" i="2"/>
  <c r="Q2430" i="2"/>
  <c r="Q2502" i="2"/>
  <c r="Q2574" i="2"/>
  <c r="Q2646" i="2"/>
  <c r="Q2718" i="2"/>
  <c r="Q2790" i="2"/>
  <c r="Q2862" i="2"/>
  <c r="Q2934" i="2"/>
  <c r="Q3006" i="2"/>
  <c r="Q3078" i="2"/>
  <c r="Q3150" i="2"/>
  <c r="Q3222" i="2"/>
  <c r="Q3294" i="2"/>
  <c r="Q3366" i="2"/>
  <c r="Q3438" i="2"/>
  <c r="Q3510" i="2"/>
  <c r="Q3582" i="2"/>
  <c r="Q3654" i="2"/>
  <c r="Q3726" i="2"/>
  <c r="Q3798" i="2"/>
  <c r="Q3870" i="2"/>
  <c r="Q3942" i="2"/>
  <c r="Q4014" i="2"/>
  <c r="Q4086" i="2"/>
  <c r="Q4158" i="2"/>
  <c r="Q4230" i="2"/>
  <c r="Q4302" i="2"/>
  <c r="Q55" i="2"/>
  <c r="Q127" i="2"/>
  <c r="Q199" i="2"/>
  <c r="Q271" i="2"/>
  <c r="Q343" i="2"/>
  <c r="Q415" i="2"/>
  <c r="Q487" i="2"/>
  <c r="Q559" i="2"/>
  <c r="Q631" i="2"/>
  <c r="Q703" i="2"/>
  <c r="Q775" i="2"/>
  <c r="Q847" i="2"/>
  <c r="Q919" i="2"/>
  <c r="Q991" i="2"/>
  <c r="Q1063" i="2"/>
  <c r="Q1135" i="2"/>
  <c r="Q1207" i="2"/>
  <c r="Q1279" i="2"/>
  <c r="Q1351" i="2"/>
  <c r="Q1423" i="2"/>
  <c r="Q1495" i="2"/>
  <c r="Q1567" i="2"/>
  <c r="Q1639" i="2"/>
  <c r="Q1711" i="2"/>
  <c r="Q1783" i="2"/>
  <c r="Q1855" i="2"/>
  <c r="Q1927" i="2"/>
  <c r="Q1999" i="2"/>
  <c r="Q2071" i="2"/>
  <c r="Q2143" i="2"/>
  <c r="Q2215" i="2"/>
  <c r="Q2287" i="2"/>
  <c r="Q2359" i="2"/>
  <c r="Q2431" i="2"/>
  <c r="Q2503" i="2"/>
  <c r="Q2575" i="2"/>
  <c r="Q2647" i="2"/>
  <c r="Q2719" i="2"/>
  <c r="Q2791" i="2"/>
  <c r="Q2863" i="2"/>
  <c r="Q2935" i="2"/>
  <c r="Q3007" i="2"/>
  <c r="Q3079" i="2"/>
  <c r="Q3151" i="2"/>
  <c r="Q3223" i="2"/>
  <c r="Q3295" i="2"/>
  <c r="Q3367" i="2"/>
  <c r="Q3439" i="2"/>
  <c r="Q3511" i="2"/>
  <c r="Q3583" i="2"/>
  <c r="Q3655" i="2"/>
  <c r="Q3727" i="2"/>
  <c r="Q3799" i="2"/>
  <c r="Q3871" i="2"/>
  <c r="Q3943" i="2"/>
  <c r="Q4015" i="2"/>
  <c r="Q4087" i="2"/>
  <c r="Q4159" i="2"/>
  <c r="Q4231" i="2"/>
  <c r="Q4303" i="2"/>
  <c r="Q56" i="2"/>
  <c r="Q128" i="2"/>
  <c r="Q200" i="2"/>
  <c r="Q272" i="2"/>
  <c r="Q344" i="2"/>
  <c r="Q416" i="2"/>
  <c r="Q488" i="2"/>
  <c r="Q560" i="2"/>
  <c r="Q632" i="2"/>
  <c r="Q704" i="2"/>
  <c r="Q776" i="2"/>
  <c r="Q848" i="2"/>
  <c r="Q920" i="2"/>
  <c r="Q992" i="2"/>
  <c r="Q1064" i="2"/>
  <c r="Q1136" i="2"/>
  <c r="Q1208" i="2"/>
  <c r="Q1280" i="2"/>
  <c r="Q1352" i="2"/>
  <c r="Q1424" i="2"/>
  <c r="Q1496" i="2"/>
  <c r="Q1568" i="2"/>
  <c r="Q1640" i="2"/>
  <c r="Q1712" i="2"/>
  <c r="Q1784" i="2"/>
  <c r="Q1856" i="2"/>
  <c r="Q1928" i="2"/>
  <c r="Q2000" i="2"/>
  <c r="Q2072" i="2"/>
  <c r="Q2144" i="2"/>
  <c r="Q2216" i="2"/>
  <c r="Q2288" i="2"/>
  <c r="Q2360" i="2"/>
  <c r="Q2432" i="2"/>
  <c r="Q2504" i="2"/>
  <c r="Q2576" i="2"/>
  <c r="Q2648" i="2"/>
  <c r="Q2720" i="2"/>
  <c r="Q2792" i="2"/>
  <c r="Q2864" i="2"/>
  <c r="Q2936" i="2"/>
  <c r="Q3008" i="2"/>
  <c r="Q3080" i="2"/>
  <c r="Q3152" i="2"/>
  <c r="Q3224" i="2"/>
  <c r="Q3296" i="2"/>
  <c r="Q3368" i="2"/>
  <c r="Q3440" i="2"/>
  <c r="Q3512" i="2"/>
  <c r="Q3584" i="2"/>
  <c r="Q3656" i="2"/>
  <c r="Q3728" i="2"/>
  <c r="Q3800" i="2"/>
  <c r="Q3872" i="2"/>
  <c r="Q3944" i="2"/>
  <c r="Q4016" i="2"/>
  <c r="Q4088" i="2"/>
  <c r="Q4160" i="2"/>
  <c r="Q4232" i="2"/>
  <c r="Q4304" i="2"/>
  <c r="Q57" i="2"/>
  <c r="Q129" i="2"/>
  <c r="Q201" i="2"/>
  <c r="Q273" i="2"/>
  <c r="Q345" i="2"/>
  <c r="Q417" i="2"/>
  <c r="Q489" i="2"/>
  <c r="Q561" i="2"/>
  <c r="Q633" i="2"/>
  <c r="Q705" i="2"/>
  <c r="Q777" i="2"/>
  <c r="Q849" i="2"/>
  <c r="Q921" i="2"/>
  <c r="Q993" i="2"/>
  <c r="Q1065" i="2"/>
  <c r="Q1137" i="2"/>
  <c r="Q1209" i="2"/>
  <c r="Q1281" i="2"/>
  <c r="Q1353" i="2"/>
  <c r="Q1425" i="2"/>
  <c r="Q1497" i="2"/>
  <c r="Q1569" i="2"/>
  <c r="Q1641" i="2"/>
  <c r="Q1713" i="2"/>
  <c r="Q1785" i="2"/>
  <c r="Q1857" i="2"/>
  <c r="Q1929" i="2"/>
  <c r="Q2001" i="2"/>
  <c r="Q2073" i="2"/>
  <c r="Q2145" i="2"/>
  <c r="Q2217" i="2"/>
  <c r="Q2289" i="2"/>
  <c r="Q2361" i="2"/>
  <c r="Q2433" i="2"/>
  <c r="Q2505" i="2"/>
  <c r="Q2577" i="2"/>
  <c r="Q2649" i="2"/>
  <c r="Q2721" i="2"/>
  <c r="Q2793" i="2"/>
  <c r="Q2865" i="2"/>
  <c r="Q2937" i="2"/>
  <c r="Q3009" i="2"/>
  <c r="Q3081" i="2"/>
  <c r="Q3153" i="2"/>
  <c r="Q3225" i="2"/>
  <c r="Q3297" i="2"/>
  <c r="Q3369" i="2"/>
  <c r="Q3441" i="2"/>
  <c r="Q3513" i="2"/>
  <c r="Q3585" i="2"/>
  <c r="Q3657" i="2"/>
  <c r="Q3729" i="2"/>
  <c r="Q3801" i="2"/>
  <c r="Q3873" i="2"/>
  <c r="Q3945" i="2"/>
  <c r="Q4017" i="2"/>
  <c r="Q4089" i="2"/>
  <c r="Q4161" i="2"/>
  <c r="Q4233" i="2"/>
  <c r="Q4305" i="2"/>
  <c r="Q58" i="2"/>
  <c r="Q130" i="2"/>
  <c r="Q202" i="2"/>
  <c r="Q274" i="2"/>
  <c r="Q346" i="2"/>
  <c r="Q418" i="2"/>
  <c r="Q490" i="2"/>
  <c r="Q562" i="2"/>
  <c r="Q634" i="2"/>
  <c r="Q706" i="2"/>
  <c r="Q778" i="2"/>
  <c r="Q850" i="2"/>
  <c r="Q922" i="2"/>
  <c r="Q994" i="2"/>
  <c r="Q1066" i="2"/>
  <c r="Q1138" i="2"/>
  <c r="Q1210" i="2"/>
  <c r="Q1282" i="2"/>
  <c r="Q1354" i="2"/>
  <c r="Q1426" i="2"/>
  <c r="Q1498" i="2"/>
  <c r="Q1570" i="2"/>
  <c r="Q1642" i="2"/>
  <c r="Q1714" i="2"/>
  <c r="Q1786" i="2"/>
  <c r="Q1858" i="2"/>
  <c r="Q1930" i="2"/>
  <c r="Q2002" i="2"/>
  <c r="Q2074" i="2"/>
  <c r="Q2146" i="2"/>
  <c r="Q2218" i="2"/>
  <c r="Q2290" i="2"/>
  <c r="Q2362" i="2"/>
  <c r="Q2434" i="2"/>
  <c r="Q2506" i="2"/>
  <c r="Q2578" i="2"/>
  <c r="Q2650" i="2"/>
  <c r="Q2722" i="2"/>
  <c r="Q2794" i="2"/>
  <c r="Q2866" i="2"/>
  <c r="Q2938" i="2"/>
  <c r="Q3010" i="2"/>
  <c r="Q3082" i="2"/>
  <c r="Q3154" i="2"/>
  <c r="Q3226" i="2"/>
  <c r="Q3298" i="2"/>
  <c r="Q3370" i="2"/>
  <c r="Q3442" i="2"/>
  <c r="Q3514" i="2"/>
  <c r="Q3586" i="2"/>
  <c r="Q3658" i="2"/>
  <c r="Q3730" i="2"/>
  <c r="Q3802" i="2"/>
  <c r="Q3874" i="2"/>
  <c r="Q3946" i="2"/>
  <c r="Q4018" i="2"/>
  <c r="Q4090" i="2"/>
  <c r="Q4162" i="2"/>
  <c r="Q4234" i="2"/>
  <c r="Q4306" i="2"/>
  <c r="Q59" i="2"/>
  <c r="Q131" i="2"/>
  <c r="Q203" i="2"/>
  <c r="Q275" i="2"/>
  <c r="Q347" i="2"/>
  <c r="Q419" i="2"/>
  <c r="Q491" i="2"/>
  <c r="Q563" i="2"/>
  <c r="Q635" i="2"/>
  <c r="Q707" i="2"/>
  <c r="Q779" i="2"/>
  <c r="Q851" i="2"/>
  <c r="Q923" i="2"/>
  <c r="Q995" i="2"/>
  <c r="Q1067" i="2"/>
  <c r="Q1139" i="2"/>
  <c r="Q1211" i="2"/>
  <c r="Q1283" i="2"/>
  <c r="Q1355" i="2"/>
  <c r="Q1427" i="2"/>
  <c r="Q1499" i="2"/>
  <c r="Q1571" i="2"/>
  <c r="Q1643" i="2"/>
  <c r="Q1715" i="2"/>
  <c r="Q1787" i="2"/>
  <c r="Q1859" i="2"/>
  <c r="Q1931" i="2"/>
  <c r="Q2003" i="2"/>
  <c r="Q2075" i="2"/>
  <c r="Q2147" i="2"/>
  <c r="Q2219" i="2"/>
  <c r="Q2291" i="2"/>
  <c r="Q2363" i="2"/>
  <c r="Q2435" i="2"/>
  <c r="Q2507" i="2"/>
  <c r="Q2579" i="2"/>
  <c r="Q2651" i="2"/>
  <c r="Q2723" i="2"/>
  <c r="Q2795" i="2"/>
  <c r="Q2867" i="2"/>
  <c r="Q2939" i="2"/>
  <c r="Q3011" i="2"/>
  <c r="Q3083" i="2"/>
  <c r="Q3155" i="2"/>
  <c r="Q3227" i="2"/>
  <c r="Q3299" i="2"/>
  <c r="Q3371" i="2"/>
  <c r="Q3443" i="2"/>
  <c r="Q3515" i="2"/>
  <c r="Q3587" i="2"/>
  <c r="Q3659" i="2"/>
  <c r="Q3731" i="2"/>
  <c r="Q3803" i="2"/>
  <c r="Q3875" i="2"/>
  <c r="Q3947" i="2"/>
  <c r="Q4019" i="2"/>
  <c r="Q4091" i="2"/>
  <c r="Q4163" i="2"/>
  <c r="Q4235" i="2"/>
  <c r="Q4307" i="2"/>
  <c r="Q60" i="2"/>
  <c r="Q132" i="2"/>
  <c r="Q204" i="2"/>
  <c r="Q276" i="2"/>
  <c r="Q348" i="2"/>
  <c r="Q420" i="2"/>
  <c r="Q492" i="2"/>
  <c r="Q564" i="2"/>
  <c r="Q636" i="2"/>
  <c r="Q708" i="2"/>
  <c r="Q780" i="2"/>
  <c r="Q852" i="2"/>
  <c r="Q924" i="2"/>
  <c r="Q996" i="2"/>
  <c r="Q1068" i="2"/>
  <c r="Q1140" i="2"/>
  <c r="Q1212" i="2"/>
  <c r="Q1284" i="2"/>
  <c r="Q1356" i="2"/>
  <c r="Q1428" i="2"/>
  <c r="Q1500" i="2"/>
  <c r="Q1572" i="2"/>
  <c r="Q1644" i="2"/>
  <c r="Q1716" i="2"/>
  <c r="Q1788" i="2"/>
  <c r="Q1860" i="2"/>
  <c r="Q1932" i="2"/>
  <c r="Q2004" i="2"/>
  <c r="Q2076" i="2"/>
  <c r="Q2148" i="2"/>
  <c r="Q2220" i="2"/>
  <c r="Q2292" i="2"/>
  <c r="Q2364" i="2"/>
  <c r="Q2436" i="2"/>
  <c r="Q2508" i="2"/>
  <c r="Q2580" i="2"/>
  <c r="Q2652" i="2"/>
  <c r="Q2724" i="2"/>
  <c r="Q2796" i="2"/>
  <c r="Q2868" i="2"/>
  <c r="Q2940" i="2"/>
  <c r="Q3012" i="2"/>
  <c r="Q3084" i="2"/>
  <c r="Q3156" i="2"/>
  <c r="Q3228" i="2"/>
  <c r="Q3300" i="2"/>
  <c r="Q3372" i="2"/>
  <c r="Q3444" i="2"/>
  <c r="Q3516" i="2"/>
  <c r="Q3588" i="2"/>
  <c r="Q3660" i="2"/>
  <c r="Q3732" i="2"/>
  <c r="Q3804" i="2"/>
  <c r="Q3876" i="2"/>
  <c r="Q3948" i="2"/>
  <c r="Q4020" i="2"/>
  <c r="Q4092" i="2"/>
  <c r="Q4164" i="2"/>
  <c r="Q4236" i="2"/>
  <c r="Q4308" i="2"/>
  <c r="Q61" i="2"/>
  <c r="Q133" i="2"/>
  <c r="Q205" i="2"/>
  <c r="Q277" i="2"/>
  <c r="Q349" i="2"/>
  <c r="Q421" i="2"/>
  <c r="Q493" i="2"/>
  <c r="Q565" i="2"/>
  <c r="Q637" i="2"/>
  <c r="Q709" i="2"/>
  <c r="Q781" i="2"/>
  <c r="Q853" i="2"/>
  <c r="Q925" i="2"/>
  <c r="Q997" i="2"/>
  <c r="Q1069" i="2"/>
  <c r="Q1141" i="2"/>
  <c r="Q1213" i="2"/>
  <c r="Q1285" i="2"/>
  <c r="Q1357" i="2"/>
  <c r="Q1429" i="2"/>
  <c r="Q1501" i="2"/>
  <c r="Q1573" i="2"/>
  <c r="Q1645" i="2"/>
  <c r="Q1717" i="2"/>
  <c r="Q1789" i="2"/>
  <c r="Q1861" i="2"/>
  <c r="Q1933" i="2"/>
  <c r="Q2005" i="2"/>
  <c r="Q2077" i="2"/>
  <c r="Q2149" i="2"/>
  <c r="Q2221" i="2"/>
  <c r="Q2293" i="2"/>
  <c r="Q2365" i="2"/>
  <c r="Q2437" i="2"/>
  <c r="Q2509" i="2"/>
  <c r="Q2581" i="2"/>
  <c r="Q2653" i="2"/>
  <c r="Q2725" i="2"/>
  <c r="Q2797" i="2"/>
  <c r="Q2869" i="2"/>
  <c r="Q2941" i="2"/>
  <c r="Q3013" i="2"/>
  <c r="Q3085" i="2"/>
  <c r="Q3157" i="2"/>
  <c r="Q3229" i="2"/>
  <c r="Q3301" i="2"/>
  <c r="Q3373" i="2"/>
  <c r="Q3445" i="2"/>
  <c r="Q3517" i="2"/>
  <c r="Q3589" i="2"/>
  <c r="Q3661" i="2"/>
  <c r="Q3733" i="2"/>
  <c r="Q3805" i="2"/>
  <c r="Q3877" i="2"/>
  <c r="Q3949" i="2"/>
  <c r="Q4021" i="2"/>
  <c r="Q4093" i="2"/>
  <c r="Q4165" i="2"/>
  <c r="Q4237" i="2"/>
  <c r="Q4309" i="2"/>
  <c r="Q62" i="2"/>
  <c r="Q134" i="2"/>
  <c r="Q206" i="2"/>
  <c r="Q278" i="2"/>
  <c r="Q350" i="2"/>
  <c r="Q422" i="2"/>
  <c r="Q494" i="2"/>
  <c r="Q566" i="2"/>
  <c r="Q638" i="2"/>
  <c r="Q710" i="2"/>
  <c r="Q782" i="2"/>
  <c r="Q854" i="2"/>
  <c r="Q926" i="2"/>
  <c r="Q998" i="2"/>
  <c r="Q1070" i="2"/>
  <c r="Q1142" i="2"/>
  <c r="Q1214" i="2"/>
  <c r="Q1286" i="2"/>
  <c r="Q1358" i="2"/>
  <c r="Q1430" i="2"/>
  <c r="Q1502" i="2"/>
  <c r="Q1574" i="2"/>
  <c r="Q1646" i="2"/>
  <c r="Q1718" i="2"/>
  <c r="Q1790" i="2"/>
  <c r="Q1862" i="2"/>
  <c r="Q1934" i="2"/>
  <c r="Q2006" i="2"/>
  <c r="Q2078" i="2"/>
  <c r="Q2150" i="2"/>
  <c r="Q2222" i="2"/>
  <c r="Q2294" i="2"/>
  <c r="Q2366" i="2"/>
  <c r="Q2438" i="2"/>
  <c r="Q2510" i="2"/>
  <c r="Q2582" i="2"/>
  <c r="Q2654" i="2"/>
  <c r="Q2726" i="2"/>
  <c r="Q2798" i="2"/>
  <c r="Q2870" i="2"/>
  <c r="Q2942" i="2"/>
  <c r="Q3014" i="2"/>
  <c r="Q3086" i="2"/>
  <c r="Q3158" i="2"/>
  <c r="Q3230" i="2"/>
  <c r="Q3302" i="2"/>
  <c r="Q3374" i="2"/>
  <c r="Q3446" i="2"/>
  <c r="Q3518" i="2"/>
  <c r="Q3590" i="2"/>
  <c r="Q3662" i="2"/>
  <c r="Q3734" i="2"/>
  <c r="Q3806" i="2"/>
  <c r="Q3878" i="2"/>
  <c r="Q3950" i="2"/>
  <c r="Q4022" i="2"/>
  <c r="Q4094" i="2"/>
  <c r="Q4166" i="2"/>
  <c r="Q4238" i="2"/>
  <c r="Q4310" i="2"/>
  <c r="Q63" i="2"/>
  <c r="Q135" i="2"/>
  <c r="Q207" i="2"/>
  <c r="Q279" i="2"/>
  <c r="Q351" i="2"/>
  <c r="Q423" i="2"/>
  <c r="Q495" i="2"/>
  <c r="Q567" i="2"/>
  <c r="Q639" i="2"/>
  <c r="Q711" i="2"/>
  <c r="Q783" i="2"/>
  <c r="Q855" i="2"/>
  <c r="Q927" i="2"/>
  <c r="Q999" i="2"/>
  <c r="Q1071" i="2"/>
  <c r="Q1143" i="2"/>
  <c r="Q1215" i="2"/>
  <c r="Q1287" i="2"/>
  <c r="Q1359" i="2"/>
  <c r="Q1431" i="2"/>
  <c r="Q1503" i="2"/>
  <c r="Q1575" i="2"/>
  <c r="Q1647" i="2"/>
  <c r="Q1719" i="2"/>
  <c r="Q1791" i="2"/>
  <c r="Q1863" i="2"/>
  <c r="Q1935" i="2"/>
  <c r="Q2007" i="2"/>
  <c r="Q2079" i="2"/>
  <c r="Q2151" i="2"/>
  <c r="Q2223" i="2"/>
  <c r="Q2295" i="2"/>
  <c r="Q2367" i="2"/>
  <c r="Q2439" i="2"/>
  <c r="Q2511" i="2"/>
  <c r="Q2583" i="2"/>
  <c r="Q2655" i="2"/>
  <c r="Q2727" i="2"/>
  <c r="Q2799" i="2"/>
  <c r="Q2871" i="2"/>
  <c r="Q2943" i="2"/>
  <c r="Q3015" i="2"/>
  <c r="Q3087" i="2"/>
  <c r="Q3159" i="2"/>
  <c r="Q3231" i="2"/>
  <c r="Q3303" i="2"/>
  <c r="Q3375" i="2"/>
  <c r="Q3447" i="2"/>
  <c r="Q3519" i="2"/>
  <c r="Q3591" i="2"/>
  <c r="Q3663" i="2"/>
  <c r="Q3735" i="2"/>
  <c r="Q3807" i="2"/>
  <c r="Q3879" i="2"/>
  <c r="Q3951" i="2"/>
  <c r="Q4023" i="2"/>
  <c r="Q4095" i="2"/>
  <c r="Q4167" i="2"/>
  <c r="Q4239" i="2"/>
  <c r="Q4311" i="2"/>
  <c r="Q64" i="2"/>
  <c r="Q136" i="2"/>
  <c r="Q208" i="2"/>
  <c r="Q280" i="2"/>
  <c r="Q352" i="2"/>
  <c r="Q424" i="2"/>
  <c r="Q496" i="2"/>
  <c r="Q568" i="2"/>
  <c r="Q640" i="2"/>
  <c r="Q712" i="2"/>
  <c r="Q784" i="2"/>
  <c r="Q856" i="2"/>
  <c r="Q928" i="2"/>
  <c r="Q1000" i="2"/>
  <c r="Q1072" i="2"/>
  <c r="Q1144" i="2"/>
  <c r="Q1216" i="2"/>
  <c r="Q1288" i="2"/>
  <c r="Q1360" i="2"/>
  <c r="Q1432" i="2"/>
  <c r="Q1504" i="2"/>
  <c r="Q1576" i="2"/>
  <c r="Q1648" i="2"/>
  <c r="Q1720" i="2"/>
  <c r="Q1792" i="2"/>
  <c r="Q1864" i="2"/>
  <c r="Q1936" i="2"/>
  <c r="Q2008" i="2"/>
  <c r="Q2080" i="2"/>
  <c r="Q2152" i="2"/>
  <c r="Q2224" i="2"/>
  <c r="Q2296" i="2"/>
  <c r="Q2368" i="2"/>
  <c r="Q2440" i="2"/>
  <c r="Q2512" i="2"/>
  <c r="Q2584" i="2"/>
  <c r="Q2656" i="2"/>
  <c r="Q2728" i="2"/>
  <c r="Q2800" i="2"/>
  <c r="Q2872" i="2"/>
  <c r="Q2944" i="2"/>
  <c r="Q3016" i="2"/>
  <c r="Q3088" i="2"/>
  <c r="Q3160" i="2"/>
  <c r="Q3232" i="2"/>
  <c r="Q3304" i="2"/>
  <c r="Q3376" i="2"/>
  <c r="Q3448" i="2"/>
  <c r="Q3520" i="2"/>
  <c r="Q3592" i="2"/>
  <c r="Q3664" i="2"/>
  <c r="Q3736" i="2"/>
  <c r="Q3808" i="2"/>
  <c r="Q3880" i="2"/>
  <c r="Q3952" i="2"/>
  <c r="Q4024" i="2"/>
  <c r="Q4096" i="2"/>
  <c r="Q4168" i="2"/>
  <c r="Q4240" i="2"/>
  <c r="Q4312" i="2"/>
  <c r="Q65" i="2"/>
  <c r="Q137" i="2"/>
  <c r="Q209" i="2"/>
  <c r="Q281" i="2"/>
  <c r="Q353" i="2"/>
  <c r="Q425" i="2"/>
  <c r="Q497" i="2"/>
  <c r="Q569" i="2"/>
  <c r="Q641" i="2"/>
  <c r="Q713" i="2"/>
  <c r="Q785" i="2"/>
  <c r="Q857" i="2"/>
  <c r="Q929" i="2"/>
  <c r="Q1001" i="2"/>
  <c r="Q1073" i="2"/>
  <c r="Q1145" i="2"/>
  <c r="Q1217" i="2"/>
  <c r="Q1289" i="2"/>
  <c r="Q1361" i="2"/>
  <c r="Q1433" i="2"/>
  <c r="Q1505" i="2"/>
  <c r="Q1577" i="2"/>
  <c r="Q1649" i="2"/>
  <c r="Q1721" i="2"/>
  <c r="Q1793" i="2"/>
  <c r="Q1865" i="2"/>
  <c r="Q1937" i="2"/>
  <c r="Q2009" i="2"/>
  <c r="Q2081" i="2"/>
  <c r="Q2153" i="2"/>
  <c r="Q2225" i="2"/>
  <c r="Q2297" i="2"/>
  <c r="Q2369" i="2"/>
  <c r="Q2441" i="2"/>
  <c r="Q2513" i="2"/>
  <c r="Q2585" i="2"/>
  <c r="Q2657" i="2"/>
  <c r="Q2729" i="2"/>
  <c r="Q2801" i="2"/>
  <c r="Q2873" i="2"/>
  <c r="Q2945" i="2"/>
  <c r="Q3017" i="2"/>
  <c r="Q3089" i="2"/>
  <c r="Q3161" i="2"/>
  <c r="Q3233" i="2"/>
  <c r="Q3305" i="2"/>
  <c r="Q3377" i="2"/>
  <c r="Q3449" i="2"/>
  <c r="Q3521" i="2"/>
  <c r="Q3593" i="2"/>
  <c r="Q3665" i="2"/>
  <c r="Q3737" i="2"/>
  <c r="Q3809" i="2"/>
  <c r="Q3881" i="2"/>
  <c r="Q3953" i="2"/>
  <c r="Q4025" i="2"/>
  <c r="Q4097" i="2"/>
  <c r="Q4169" i="2"/>
  <c r="Q4241" i="2"/>
  <c r="Q4313" i="2"/>
  <c r="Q66" i="2"/>
  <c r="Q138" i="2"/>
  <c r="Q210" i="2"/>
  <c r="Q282" i="2"/>
  <c r="Q354" i="2"/>
  <c r="Q426" i="2"/>
  <c r="Q498" i="2"/>
  <c r="Q570" i="2"/>
  <c r="Q642" i="2"/>
  <c r="Q714" i="2"/>
  <c r="Q786" i="2"/>
  <c r="Q858" i="2"/>
  <c r="Q930" i="2"/>
  <c r="Q1002" i="2"/>
  <c r="Q1074" i="2"/>
  <c r="Q1146" i="2"/>
  <c r="Q1218" i="2"/>
  <c r="Q1290" i="2"/>
  <c r="Q1362" i="2"/>
  <c r="Q1434" i="2"/>
  <c r="Q1506" i="2"/>
  <c r="Q1578" i="2"/>
  <c r="Q1650" i="2"/>
  <c r="Q1722" i="2"/>
  <c r="Q1794" i="2"/>
  <c r="Q1866" i="2"/>
  <c r="Q1938" i="2"/>
  <c r="Q2010" i="2"/>
  <c r="Q2082" i="2"/>
  <c r="Q2154" i="2"/>
  <c r="Q2226" i="2"/>
  <c r="Q2298" i="2"/>
  <c r="Q2370" i="2"/>
  <c r="Q2442" i="2"/>
  <c r="Q2514" i="2"/>
  <c r="Q2586" i="2"/>
  <c r="Q2658" i="2"/>
  <c r="Q2730" i="2"/>
  <c r="Q2802" i="2"/>
  <c r="Q2874" i="2"/>
  <c r="Q2946" i="2"/>
  <c r="Q3018" i="2"/>
  <c r="Q3090" i="2"/>
  <c r="Q3162" i="2"/>
  <c r="Q3234" i="2"/>
  <c r="Q3306" i="2"/>
  <c r="Q3378" i="2"/>
  <c r="Q3450" i="2"/>
  <c r="Q3522" i="2"/>
  <c r="Q3594" i="2"/>
  <c r="Q3666" i="2"/>
  <c r="Q3738" i="2"/>
  <c r="Q3810" i="2"/>
  <c r="Q3882" i="2"/>
  <c r="Q3954" i="2"/>
  <c r="Q4026" i="2"/>
  <c r="Q4098" i="2"/>
  <c r="Q4170" i="2"/>
  <c r="Q4242" i="2"/>
  <c r="Q4314" i="2"/>
  <c r="Q67" i="2"/>
  <c r="Q139" i="2"/>
  <c r="Q211" i="2"/>
  <c r="Q283" i="2"/>
  <c r="Q355" i="2"/>
  <c r="Q427" i="2"/>
  <c r="Q499" i="2"/>
  <c r="Q571" i="2"/>
  <c r="Q643" i="2"/>
  <c r="Q715" i="2"/>
  <c r="Q787" i="2"/>
  <c r="Q859" i="2"/>
  <c r="Q931" i="2"/>
  <c r="Q1003" i="2"/>
  <c r="Q1075" i="2"/>
  <c r="Q1147" i="2"/>
  <c r="Q1219" i="2"/>
  <c r="Q1291" i="2"/>
  <c r="Q1363" i="2"/>
  <c r="Q1435" i="2"/>
  <c r="Q1507" i="2"/>
  <c r="Q1579" i="2"/>
  <c r="Q1651" i="2"/>
  <c r="Q1723" i="2"/>
  <c r="Q1795" i="2"/>
  <c r="Q1867" i="2"/>
  <c r="Q1939" i="2"/>
  <c r="Q2011" i="2"/>
  <c r="Q2083" i="2"/>
  <c r="Q2155" i="2"/>
  <c r="Q2227" i="2"/>
  <c r="Q2299" i="2"/>
  <c r="Q2371" i="2"/>
  <c r="Q2443" i="2"/>
  <c r="Q2515" i="2"/>
  <c r="Q2587" i="2"/>
  <c r="Q2659" i="2"/>
  <c r="Q2731" i="2"/>
  <c r="Q2803" i="2"/>
  <c r="Q2875" i="2"/>
  <c r="Q2947" i="2"/>
  <c r="Q3019" i="2"/>
  <c r="Q3091" i="2"/>
  <c r="Q3163" i="2"/>
  <c r="Q3235" i="2"/>
  <c r="Q3307" i="2"/>
  <c r="Q3379" i="2"/>
  <c r="Q3451" i="2"/>
  <c r="Q3523" i="2"/>
  <c r="Q3595" i="2"/>
  <c r="Q3667" i="2"/>
  <c r="Q3739" i="2"/>
  <c r="Q3811" i="2"/>
  <c r="Q3883" i="2"/>
  <c r="Q3955" i="2"/>
  <c r="Q4027" i="2"/>
  <c r="Q4099" i="2"/>
  <c r="Q4171" i="2"/>
  <c r="Q4243" i="2"/>
  <c r="Q4315" i="2"/>
  <c r="Q68" i="2"/>
  <c r="Q140" i="2"/>
  <c r="Q212" i="2"/>
  <c r="Q284" i="2"/>
  <c r="Q356" i="2"/>
  <c r="Q428" i="2"/>
  <c r="Q500" i="2"/>
  <c r="Q572" i="2"/>
  <c r="Q644" i="2"/>
  <c r="Q716" i="2"/>
  <c r="Q788" i="2"/>
  <c r="Q860" i="2"/>
  <c r="Q932" i="2"/>
  <c r="Q1004" i="2"/>
  <c r="Q1076" i="2"/>
  <c r="Q1148" i="2"/>
  <c r="Q1220" i="2"/>
  <c r="Q1292" i="2"/>
  <c r="Q1364" i="2"/>
  <c r="Q1436" i="2"/>
  <c r="Q1508" i="2"/>
  <c r="Q1580" i="2"/>
  <c r="Q1652" i="2"/>
  <c r="Q1724" i="2"/>
  <c r="Q1796" i="2"/>
  <c r="Q1868" i="2"/>
  <c r="Q1940" i="2"/>
  <c r="Q2012" i="2"/>
  <c r="Q2084" i="2"/>
  <c r="Q2156" i="2"/>
  <c r="Q2228" i="2"/>
  <c r="Q2300" i="2"/>
  <c r="Q2372" i="2"/>
  <c r="Q2444" i="2"/>
  <c r="Q2516" i="2"/>
  <c r="Q2588" i="2"/>
  <c r="Q2660" i="2"/>
  <c r="Q2732" i="2"/>
  <c r="Q2804" i="2"/>
  <c r="Q2876" i="2"/>
  <c r="Q2948" i="2"/>
  <c r="Q3020" i="2"/>
  <c r="Q3092" i="2"/>
  <c r="Q3164" i="2"/>
  <c r="Q3236" i="2"/>
  <c r="Q3308" i="2"/>
  <c r="Q3380" i="2"/>
  <c r="Q3452" i="2"/>
  <c r="Q3524" i="2"/>
  <c r="Q3596" i="2"/>
  <c r="Q3668" i="2"/>
  <c r="Q3740" i="2"/>
  <c r="Q3812" i="2"/>
  <c r="Q3884" i="2"/>
  <c r="Q3956" i="2"/>
  <c r="Q4028" i="2"/>
  <c r="Q4100" i="2"/>
  <c r="Q4172" i="2"/>
  <c r="Q4244" i="2"/>
  <c r="Q4316" i="2"/>
  <c r="Q69" i="2"/>
  <c r="Q141" i="2"/>
  <c r="Q213" i="2"/>
  <c r="Q285" i="2"/>
  <c r="Q357" i="2"/>
  <c r="Q429" i="2"/>
  <c r="Q501" i="2"/>
  <c r="Q573" i="2"/>
  <c r="Q645" i="2"/>
  <c r="Q717" i="2"/>
  <c r="Q789" i="2"/>
  <c r="Q861" i="2"/>
  <c r="Q933" i="2"/>
  <c r="Q1005" i="2"/>
  <c r="Q1077" i="2"/>
  <c r="Q1149" i="2"/>
  <c r="Q1221" i="2"/>
  <c r="Q1293" i="2"/>
  <c r="Q1365" i="2"/>
  <c r="Q1437" i="2"/>
  <c r="Q1509" i="2"/>
  <c r="Q1581" i="2"/>
  <c r="Q1653" i="2"/>
  <c r="Q1725" i="2"/>
  <c r="Q1797" i="2"/>
  <c r="Q1869" i="2"/>
  <c r="Q1941" i="2"/>
  <c r="Q2013" i="2"/>
  <c r="Q2085" i="2"/>
  <c r="Q2157" i="2"/>
  <c r="Q2229" i="2"/>
  <c r="Q2301" i="2"/>
  <c r="Q2373" i="2"/>
  <c r="Q2445" i="2"/>
  <c r="Q2517" i="2"/>
  <c r="Q2589" i="2"/>
  <c r="Q2661" i="2"/>
  <c r="Q2733" i="2"/>
  <c r="Q2805" i="2"/>
  <c r="Q2877" i="2"/>
  <c r="Q2949" i="2"/>
  <c r="Q3021" i="2"/>
  <c r="Q3093" i="2"/>
  <c r="Q3165" i="2"/>
  <c r="Q3237" i="2"/>
  <c r="Q3309" i="2"/>
  <c r="Q3381" i="2"/>
  <c r="Q3453" i="2"/>
  <c r="Q3525" i="2"/>
  <c r="Q3597" i="2"/>
  <c r="Q3669" i="2"/>
  <c r="Q3741" i="2"/>
  <c r="Q3813" i="2"/>
  <c r="Q3885" i="2"/>
  <c r="Q3957" i="2"/>
  <c r="Q4029" i="2"/>
  <c r="Q4101" i="2"/>
  <c r="Q4173" i="2"/>
  <c r="Q4245" i="2"/>
  <c r="Q4317" i="2"/>
  <c r="Q70" i="2"/>
  <c r="Q142" i="2"/>
  <c r="Q214" i="2"/>
  <c r="Q286" i="2"/>
  <c r="Q358" i="2"/>
  <c r="Q430" i="2"/>
  <c r="Q502" i="2"/>
  <c r="Q574" i="2"/>
  <c r="Q646" i="2"/>
  <c r="Q718" i="2"/>
  <c r="Q790" i="2"/>
  <c r="Q862" i="2"/>
  <c r="Q934" i="2"/>
  <c r="Q1006" i="2"/>
  <c r="Q1078" i="2"/>
  <c r="Q1150" i="2"/>
  <c r="Q1222" i="2"/>
  <c r="Q1294" i="2"/>
  <c r="Q1366" i="2"/>
  <c r="Q1438" i="2"/>
  <c r="Q1510" i="2"/>
  <c r="Q1582" i="2"/>
  <c r="Q1654" i="2"/>
  <c r="Q1726" i="2"/>
  <c r="Q1798" i="2"/>
  <c r="Q1870" i="2"/>
  <c r="Q1942" i="2"/>
  <c r="Q2014" i="2"/>
  <c r="Q2086" i="2"/>
  <c r="Q2158" i="2"/>
  <c r="Q2230" i="2"/>
  <c r="Q2302" i="2"/>
  <c r="Q2374" i="2"/>
  <c r="Q2446" i="2"/>
  <c r="Q2518" i="2"/>
  <c r="Q2590" i="2"/>
  <c r="Q2662" i="2"/>
  <c r="Q2734" i="2"/>
  <c r="Q2806" i="2"/>
  <c r="Q2878" i="2"/>
  <c r="Q2950" i="2"/>
  <c r="Q3022" i="2"/>
  <c r="Q3094" i="2"/>
  <c r="Q3166" i="2"/>
  <c r="Q3238" i="2"/>
  <c r="Q3310" i="2"/>
  <c r="Q3382" i="2"/>
  <c r="Q3454" i="2"/>
  <c r="Q3526" i="2"/>
  <c r="Q3598" i="2"/>
  <c r="Q3670" i="2"/>
  <c r="Q3742" i="2"/>
  <c r="Q3814" i="2"/>
  <c r="Q3886" i="2"/>
  <c r="Q3958" i="2"/>
  <c r="Q4030" i="2"/>
  <c r="Q4102" i="2"/>
  <c r="Q4174" i="2"/>
  <c r="Q4246" i="2"/>
  <c r="Q4318" i="2"/>
  <c r="Q71" i="2"/>
  <c r="Q143" i="2"/>
  <c r="Q215" i="2"/>
  <c r="Q287" i="2"/>
  <c r="Q359" i="2"/>
  <c r="Q431" i="2"/>
  <c r="Q503" i="2"/>
  <c r="Q575" i="2"/>
  <c r="Q647" i="2"/>
  <c r="Q719" i="2"/>
  <c r="Q791" i="2"/>
  <c r="Q863" i="2"/>
  <c r="Q935" i="2"/>
  <c r="Q1007" i="2"/>
  <c r="Q1079" i="2"/>
  <c r="Q1151" i="2"/>
  <c r="Q1223" i="2"/>
  <c r="Q1295" i="2"/>
  <c r="Q1367" i="2"/>
  <c r="Q1439" i="2"/>
  <c r="Q1511" i="2"/>
  <c r="Q1583" i="2"/>
  <c r="Q1655" i="2"/>
  <c r="Q1727" i="2"/>
  <c r="Q1799" i="2"/>
  <c r="Q1871" i="2"/>
  <c r="Q1943" i="2"/>
  <c r="Q2015" i="2"/>
  <c r="Q2087" i="2"/>
  <c r="Q2159" i="2"/>
  <c r="Q2231" i="2"/>
  <c r="Q2303" i="2"/>
  <c r="Q2375" i="2"/>
  <c r="Q2447" i="2"/>
  <c r="Q2519" i="2"/>
  <c r="Q2591" i="2"/>
  <c r="Q2663" i="2"/>
  <c r="Q2735" i="2"/>
  <c r="Q2807" i="2"/>
  <c r="Q2879" i="2"/>
  <c r="Q2951" i="2"/>
  <c r="Q3023" i="2"/>
  <c r="Q3095" i="2"/>
  <c r="Q3167" i="2"/>
  <c r="Q3239" i="2"/>
  <c r="Q3311" i="2"/>
  <c r="Q3383" i="2"/>
  <c r="Q3455" i="2"/>
  <c r="Q3527" i="2"/>
  <c r="Q3599" i="2"/>
  <c r="Q3671" i="2"/>
  <c r="Q3743" i="2"/>
  <c r="Q3815" i="2"/>
  <c r="Q3887" i="2"/>
  <c r="Q3959" i="2"/>
  <c r="Q4031" i="2"/>
  <c r="Q4103" i="2"/>
  <c r="Q4175" i="2"/>
  <c r="Q4247" i="2"/>
  <c r="Q4319" i="2"/>
  <c r="Q72" i="2"/>
  <c r="Q144" i="2"/>
  <c r="Q216" i="2"/>
  <c r="Q288" i="2"/>
  <c r="Q360" i="2"/>
  <c r="Q432" i="2"/>
  <c r="Q504" i="2"/>
  <c r="Q576" i="2"/>
  <c r="Q648" i="2"/>
  <c r="Q720" i="2"/>
  <c r="Q792" i="2"/>
  <c r="Q864" i="2"/>
  <c r="Q936" i="2"/>
  <c r="Q1008" i="2"/>
  <c r="Q1080" i="2"/>
  <c r="Q1152" i="2"/>
  <c r="Q1224" i="2"/>
  <c r="Q1296" i="2"/>
  <c r="Q1368" i="2"/>
  <c r="Q1440" i="2"/>
  <c r="Q1512" i="2"/>
  <c r="Q1584" i="2"/>
  <c r="Q1656" i="2"/>
  <c r="Q1728" i="2"/>
  <c r="Q1800" i="2"/>
  <c r="Q1872" i="2"/>
  <c r="Q1944" i="2"/>
  <c r="Q2016" i="2"/>
  <c r="Q2088" i="2"/>
  <c r="Q2160" i="2"/>
  <c r="Q2232" i="2"/>
  <c r="Q2304" i="2"/>
  <c r="Q2376" i="2"/>
  <c r="Q2448" i="2"/>
  <c r="Q2520" i="2"/>
  <c r="Q2592" i="2"/>
  <c r="Q2664" i="2"/>
  <c r="Q2736" i="2"/>
  <c r="Q2808" i="2"/>
  <c r="Q2880" i="2"/>
  <c r="Q2952" i="2"/>
  <c r="Q3024" i="2"/>
  <c r="Q3096" i="2"/>
  <c r="Q3168" i="2"/>
  <c r="Q3240" i="2"/>
  <c r="Q3312" i="2"/>
  <c r="Q3384" i="2"/>
  <c r="Q3456" i="2"/>
  <c r="Q3528" i="2"/>
  <c r="Q3600" i="2"/>
  <c r="Q3672" i="2"/>
  <c r="Q3744" i="2"/>
  <c r="Q3816" i="2"/>
  <c r="Q3888" i="2"/>
  <c r="Q3960" i="2"/>
  <c r="Q4032" i="2"/>
  <c r="Q4104" i="2"/>
  <c r="Q4176" i="2"/>
  <c r="Q4248" i="2"/>
  <c r="Q4320" i="2"/>
  <c r="Q73" i="2"/>
  <c r="Q145" i="2"/>
  <c r="Q217" i="2"/>
  <c r="Q289" i="2"/>
  <c r="Q361" i="2"/>
  <c r="Q433" i="2"/>
  <c r="Q505" i="2"/>
  <c r="Q577" i="2"/>
  <c r="Q649" i="2"/>
  <c r="Q721" i="2"/>
  <c r="Q793" i="2"/>
  <c r="Q865" i="2"/>
  <c r="Q937" i="2"/>
  <c r="Q1009" i="2"/>
  <c r="Q1081" i="2"/>
  <c r="Q1153" i="2"/>
  <c r="Q1225" i="2"/>
  <c r="Q1297" i="2"/>
  <c r="Q1369" i="2"/>
  <c r="Q1441" i="2"/>
  <c r="Q1513" i="2"/>
  <c r="Q1585" i="2"/>
  <c r="Q1657" i="2"/>
  <c r="Q1729" i="2"/>
  <c r="Q1801" i="2"/>
  <c r="Q1873" i="2"/>
  <c r="Q1945" i="2"/>
  <c r="Q2017" i="2"/>
  <c r="Q2089" i="2"/>
  <c r="Q2161" i="2"/>
  <c r="Q2233" i="2"/>
  <c r="Q2305" i="2"/>
  <c r="Q2377" i="2"/>
  <c r="Q2449" i="2"/>
  <c r="Q2521" i="2"/>
  <c r="Q2593" i="2"/>
  <c r="Q2665" i="2"/>
  <c r="Q2737" i="2"/>
  <c r="Q2809" i="2"/>
  <c r="Q2881" i="2"/>
  <c r="Q2953" i="2"/>
  <c r="Q3025" i="2"/>
  <c r="Q3097" i="2"/>
  <c r="Q3169" i="2"/>
  <c r="Q3241" i="2"/>
  <c r="Q3313" i="2"/>
  <c r="Q3385" i="2"/>
  <c r="Q3457" i="2"/>
  <c r="Q3529" i="2"/>
  <c r="Q3601" i="2"/>
  <c r="Q3673" i="2"/>
  <c r="Q3745" i="2"/>
  <c r="Q3817" i="2"/>
  <c r="Q3889" i="2"/>
  <c r="Q3961" i="2"/>
  <c r="Q4033" i="2"/>
  <c r="Q4105" i="2"/>
  <c r="Q4177" i="2"/>
  <c r="Q4249" i="2"/>
  <c r="Q432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G4326" i="2"/>
  <c r="R2" i="1" a="1"/>
  <c r="R3" i="1" a="1"/>
  <c r="R4" i="1" a="1"/>
  <c r="R5" i="1" a="1"/>
  <c r="R6" i="1" a="1"/>
  <c r="R7" i="1" a="1"/>
  <c r="R8" i="1" a="1"/>
  <c r="R9" i="1" a="1"/>
  <c r="R10" i="1" a="1"/>
  <c r="R11" i="1" a="1"/>
  <c r="R12" i="1" a="1"/>
  <c r="R13" i="1" a="1"/>
  <c r="R14" i="1" a="1"/>
  <c r="R15" i="1" a="1"/>
  <c r="R16" i="1" a="1"/>
  <c r="R17" i="1" a="1"/>
  <c r="R18" i="1" a="1"/>
  <c r="R19" i="1" a="1"/>
  <c r="R20" i="1" a="1"/>
  <c r="R21" i="1" a="1"/>
  <c r="R22" i="1" a="1"/>
  <c r="R23" i="1" a="1"/>
  <c r="R24" i="1" a="1"/>
  <c r="R25" i="1" a="1"/>
  <c r="R26" i="1" a="1"/>
  <c r="R27" i="1" a="1"/>
  <c r="R28" i="1" a="1"/>
  <c r="R29" i="1" a="1"/>
  <c r="R30" i="1" a="1"/>
  <c r="R31" i="1" a="1"/>
  <c r="R32" i="1" a="1"/>
  <c r="R33" i="1" a="1"/>
  <c r="R34" i="1" a="1"/>
  <c r="R35" i="1" a="1"/>
  <c r="R36" i="1" a="1"/>
  <c r="R37" i="1" a="1"/>
  <c r="R38" i="1" a="1"/>
  <c r="R39" i="1" a="1"/>
  <c r="R40" i="1" a="1"/>
  <c r="R41" i="1" a="1"/>
  <c r="R42" i="1" a="1"/>
  <c r="R43" i="1" a="1"/>
  <c r="R44" i="1" a="1"/>
  <c r="R45" i="1" a="1"/>
  <c r="R46" i="1" a="1"/>
  <c r="R47" i="1" a="1"/>
  <c r="R48" i="1" a="1"/>
  <c r="R49" i="1" a="1"/>
  <c r="R50" i="1" a="1"/>
  <c r="R51" i="1" a="1"/>
  <c r="R52" i="1" a="1"/>
  <c r="R53" i="1" a="1"/>
  <c r="R54" i="1" a="1"/>
  <c r="R55" i="1" a="1"/>
  <c r="R56" i="1" a="1"/>
  <c r="R57" i="1" a="1"/>
  <c r="R58" i="1" a="1"/>
  <c r="R59" i="1" a="1"/>
  <c r="R60" i="1" a="1"/>
  <c r="R61" i="1" a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I16" i="1"/>
  <c r="I18" i="1"/>
  <c r="I9" i="1"/>
  <c r="I5" i="1"/>
  <c r="I21" i="1"/>
  <c r="I4" i="1"/>
  <c r="I14" i="1"/>
  <c r="I17" i="1"/>
  <c r="I3" i="1"/>
  <c r="I20" i="1"/>
  <c r="I11" i="1"/>
  <c r="I2" i="1"/>
  <c r="I12" i="1"/>
  <c r="I10" i="1"/>
  <c r="I19" i="1"/>
  <c r="I15" i="1"/>
  <c r="I7" i="1"/>
  <c r="I13" i="1"/>
  <c r="I6" i="1"/>
  <c r="I8" i="1"/>
  <c r="I30" i="1"/>
  <c r="I41" i="1"/>
  <c r="I28" i="1"/>
  <c r="I31" i="1"/>
  <c r="I22" i="1"/>
  <c r="I33" i="1"/>
  <c r="I26" i="1"/>
  <c r="I36" i="1"/>
  <c r="I39" i="1"/>
  <c r="I34" i="1"/>
  <c r="I38" i="1"/>
  <c r="I35" i="1"/>
  <c r="I40" i="1"/>
  <c r="I23" i="1"/>
  <c r="I24" i="1"/>
  <c r="I29" i="1"/>
  <c r="I27" i="1"/>
  <c r="I32" i="1"/>
  <c r="I25" i="1"/>
  <c r="I37" i="1"/>
  <c r="I51" i="1"/>
  <c r="I55" i="1"/>
  <c r="I43" i="1"/>
  <c r="I53" i="1"/>
  <c r="I44" i="1"/>
  <c r="I61" i="1"/>
  <c r="I48" i="1"/>
  <c r="I59" i="1"/>
  <c r="I56" i="1"/>
  <c r="I45" i="1"/>
  <c r="I54" i="1"/>
  <c r="I50" i="1"/>
  <c r="I42" i="1"/>
  <c r="I57" i="1"/>
  <c r="I49" i="1"/>
  <c r="I52" i="1"/>
  <c r="I47" i="1"/>
  <c r="I58" i="1"/>
  <c r="I46" i="1"/>
  <c r="I60" i="1"/>
  <c r="E16" i="1" a="1"/>
  <c r="E18" i="1" a="1"/>
  <c r="E9" i="1" a="1"/>
  <c r="E5" i="1" a="1"/>
  <c r="E21" i="1" a="1"/>
  <c r="E4" i="1" a="1"/>
  <c r="E14" i="1" a="1"/>
  <c r="E17" i="1" a="1"/>
  <c r="E3" i="1" a="1"/>
  <c r="E20" i="1" a="1"/>
  <c r="E11" i="1" a="1"/>
  <c r="E2" i="1" a="1"/>
  <c r="E12" i="1" a="1"/>
  <c r="E10" i="1" a="1"/>
  <c r="E19" i="1" a="1"/>
  <c r="E15" i="1" a="1"/>
  <c r="E7" i="1" a="1"/>
  <c r="E13" i="1" a="1"/>
  <c r="E6" i="1" a="1"/>
  <c r="E8" i="1" a="1"/>
  <c r="E30" i="1" a="1"/>
  <c r="E41" i="1" a="1"/>
  <c r="E28" i="1" a="1"/>
  <c r="E31" i="1" a="1"/>
  <c r="E22" i="1" a="1"/>
  <c r="E33" i="1" a="1"/>
  <c r="E26" i="1" a="1"/>
  <c r="E36" i="1" a="1"/>
  <c r="E39" i="1" a="1"/>
  <c r="E34" i="1" a="1"/>
  <c r="E38" i="1" a="1"/>
  <c r="E35" i="1" a="1"/>
  <c r="E40" i="1" a="1"/>
  <c r="E23" i="1" a="1"/>
  <c r="E24" i="1" a="1"/>
  <c r="E29" i="1" a="1"/>
  <c r="E27" i="1" a="1"/>
  <c r="E32" i="1" a="1"/>
  <c r="E25" i="1" a="1"/>
  <c r="E37" i="1" a="1"/>
  <c r="E51" i="1" a="1"/>
  <c r="E55" i="1" a="1"/>
  <c r="E43" i="1" a="1"/>
  <c r="E53" i="1" a="1"/>
  <c r="E44" i="1" a="1"/>
  <c r="E61" i="1" a="1"/>
  <c r="E48" i="1" a="1"/>
  <c r="E59" i="1" a="1"/>
  <c r="E56" i="1" a="1"/>
  <c r="E45" i="1" a="1"/>
  <c r="E54" i="1" a="1"/>
  <c r="E50" i="1" a="1"/>
  <c r="E42" i="1" a="1"/>
  <c r="E57" i="1" a="1"/>
  <c r="E49" i="1" a="1"/>
  <c r="E52" i="1" a="1"/>
  <c r="E47" i="1" a="1"/>
  <c r="E58" i="1" a="1"/>
  <c r="E46" i="1" a="1"/>
  <c r="E60" i="1" a="1"/>
  <c r="D16" i="1"/>
  <c r="D18" i="1"/>
  <c r="D9" i="1"/>
  <c r="D5" i="1"/>
  <c r="D21" i="1"/>
  <c r="D4" i="1"/>
  <c r="D14" i="1"/>
  <c r="D17" i="1"/>
  <c r="D3" i="1"/>
  <c r="D20" i="1"/>
  <c r="D11" i="1"/>
  <c r="D2" i="1"/>
  <c r="D12" i="1"/>
  <c r="D10" i="1"/>
  <c r="D19" i="1"/>
  <c r="D15" i="1"/>
  <c r="D7" i="1"/>
  <c r="D13" i="1"/>
  <c r="D6" i="1"/>
  <c r="D8" i="1"/>
  <c r="D30" i="1"/>
  <c r="D41" i="1"/>
  <c r="D28" i="1"/>
  <c r="D31" i="1"/>
  <c r="D22" i="1"/>
  <c r="D33" i="1"/>
  <c r="D26" i="1"/>
  <c r="D36" i="1"/>
  <c r="D39" i="1"/>
  <c r="D34" i="1"/>
  <c r="D38" i="1"/>
  <c r="D35" i="1"/>
  <c r="D40" i="1"/>
  <c r="D23" i="1"/>
  <c r="D24" i="1"/>
  <c r="D29" i="1"/>
  <c r="D27" i="1"/>
  <c r="D32" i="1"/>
  <c r="D25" i="1"/>
  <c r="D37" i="1"/>
  <c r="D51" i="1"/>
  <c r="D55" i="1"/>
  <c r="D43" i="1"/>
  <c r="D53" i="1"/>
  <c r="D44" i="1"/>
  <c r="D61" i="1"/>
  <c r="D48" i="1"/>
  <c r="D59" i="1"/>
  <c r="D56" i="1"/>
  <c r="D45" i="1"/>
  <c r="D54" i="1"/>
  <c r="D50" i="1"/>
  <c r="D42" i="1"/>
  <c r="D57" i="1"/>
  <c r="D49" i="1"/>
  <c r="D52" i="1"/>
  <c r="D47" i="1"/>
  <c r="D58" i="1"/>
  <c r="D46" i="1"/>
  <c r="D60" i="1"/>
  <c r="C18" i="1"/>
  <c r="C9" i="1"/>
  <c r="C5" i="1"/>
  <c r="C21" i="1"/>
  <c r="C4" i="1"/>
  <c r="C14" i="1"/>
  <c r="C17" i="1"/>
  <c r="C3" i="1"/>
  <c r="C20" i="1"/>
  <c r="C11" i="1"/>
  <c r="C2" i="1"/>
  <c r="C12" i="1"/>
  <c r="C10" i="1"/>
  <c r="C19" i="1"/>
  <c r="C15" i="1"/>
  <c r="C7" i="1"/>
  <c r="C13" i="1"/>
  <c r="C6" i="1"/>
  <c r="C8" i="1"/>
  <c r="C30" i="1"/>
  <c r="C41" i="1"/>
  <c r="C28" i="1"/>
  <c r="C31" i="1"/>
  <c r="C22" i="1"/>
  <c r="C33" i="1"/>
  <c r="C26" i="1"/>
  <c r="C36" i="1"/>
  <c r="C39" i="1"/>
  <c r="C34" i="1"/>
  <c r="C38" i="1"/>
  <c r="C35" i="1"/>
  <c r="C40" i="1"/>
  <c r="C23" i="1"/>
  <c r="C24" i="1"/>
  <c r="C29" i="1"/>
  <c r="C27" i="1"/>
  <c r="C32" i="1"/>
  <c r="C25" i="1"/>
  <c r="C37" i="1"/>
  <c r="C51" i="1"/>
  <c r="C55" i="1"/>
  <c r="C43" i="1"/>
  <c r="C53" i="1"/>
  <c r="C44" i="1"/>
  <c r="C61" i="1"/>
  <c r="C48" i="1"/>
  <c r="C59" i="1"/>
  <c r="C56" i="1"/>
  <c r="C45" i="1"/>
  <c r="C54" i="1"/>
  <c r="C50" i="1"/>
  <c r="C42" i="1"/>
  <c r="C57" i="1"/>
  <c r="C49" i="1"/>
  <c r="C52" i="1"/>
  <c r="C47" i="1"/>
  <c r="C58" i="1"/>
  <c r="C46" i="1"/>
  <c r="C60" i="1"/>
  <c r="C16" i="1"/>
  <c r="F16" i="1" s="1"/>
  <c r="U16" i="1" s="1" a="1"/>
  <c r="B18" i="1"/>
  <c r="B9" i="1"/>
  <c r="B5" i="1"/>
  <c r="B21" i="1"/>
  <c r="B4" i="1"/>
  <c r="B14" i="1"/>
  <c r="B17" i="1"/>
  <c r="B3" i="1"/>
  <c r="B20" i="1"/>
  <c r="B11" i="1"/>
  <c r="B2" i="1"/>
  <c r="B12" i="1"/>
  <c r="B10" i="1"/>
  <c r="B19" i="1"/>
  <c r="B15" i="1"/>
  <c r="B7" i="1"/>
  <c r="B13" i="1"/>
  <c r="B6" i="1"/>
  <c r="B8" i="1"/>
  <c r="B30" i="1"/>
  <c r="B41" i="1"/>
  <c r="B28" i="1"/>
  <c r="B31" i="1"/>
  <c r="B22" i="1"/>
  <c r="B33" i="1"/>
  <c r="B26" i="1"/>
  <c r="B36" i="1"/>
  <c r="B39" i="1"/>
  <c r="B34" i="1"/>
  <c r="B38" i="1"/>
  <c r="B35" i="1"/>
  <c r="B40" i="1"/>
  <c r="B23" i="1"/>
  <c r="B24" i="1"/>
  <c r="B29" i="1"/>
  <c r="B27" i="1"/>
  <c r="B32" i="1"/>
  <c r="B25" i="1"/>
  <c r="B37" i="1"/>
  <c r="B51" i="1"/>
  <c r="B55" i="1"/>
  <c r="B43" i="1"/>
  <c r="B53" i="1"/>
  <c r="B44" i="1"/>
  <c r="B61" i="1"/>
  <c r="B48" i="1"/>
  <c r="B59" i="1"/>
  <c r="B56" i="1"/>
  <c r="B45" i="1"/>
  <c r="B54" i="1"/>
  <c r="B50" i="1"/>
  <c r="B42" i="1"/>
  <c r="B57" i="1"/>
  <c r="B49" i="1"/>
  <c r="B52" i="1"/>
  <c r="B47" i="1"/>
  <c r="B58" i="1"/>
  <c r="B46" i="1"/>
  <c r="B60" i="1"/>
  <c r="B16" i="1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2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8" i="2"/>
  <c r="O4289" i="2"/>
  <c r="O4290" i="2"/>
  <c r="O4291" i="2"/>
  <c r="O4292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4307" i="2"/>
  <c r="O4308" i="2"/>
  <c r="O4309" i="2"/>
  <c r="O4310" i="2"/>
  <c r="O4311" i="2"/>
  <c r="O4312" i="2"/>
  <c r="O4313" i="2"/>
  <c r="O4314" i="2"/>
  <c r="O4315" i="2"/>
  <c r="O4316" i="2"/>
  <c r="O4317" i="2"/>
  <c r="O4318" i="2"/>
  <c r="O4319" i="2"/>
  <c r="O4320" i="2"/>
  <c r="O4321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Y3" i="1" l="1"/>
  <c r="Y4" i="1"/>
  <c r="Y6" i="1"/>
  <c r="Y8" i="1"/>
  <c r="Y10" i="1"/>
  <c r="Y12" i="1"/>
  <c r="Y14" i="1"/>
  <c r="Y16" i="1"/>
  <c r="Y40" i="1"/>
  <c r="Y42" i="1"/>
  <c r="Y44" i="1"/>
  <c r="Y46" i="1"/>
  <c r="Y48" i="1"/>
  <c r="Y50" i="1"/>
  <c r="Y52" i="1"/>
  <c r="Y54" i="1"/>
  <c r="Y56" i="1"/>
  <c r="Y58" i="1"/>
  <c r="Y60" i="1"/>
  <c r="Y2" i="1"/>
  <c r="Y5" i="1"/>
  <c r="Y7" i="1"/>
  <c r="Y9" i="1"/>
  <c r="Y11" i="1"/>
  <c r="Y13" i="1"/>
  <c r="Y15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1" i="1"/>
  <c r="Y43" i="1"/>
  <c r="Y45" i="1"/>
  <c r="Y47" i="1"/>
  <c r="Y49" i="1"/>
  <c r="Y51" i="1"/>
  <c r="Y53" i="1"/>
  <c r="Y55" i="1"/>
  <c r="Y57" i="1"/>
  <c r="Y59" i="1"/>
  <c r="Y61" i="1"/>
  <c r="U3031" i="2"/>
  <c r="U2668" i="2"/>
  <c r="U2669" i="2" s="1"/>
  <c r="U2670" i="2" s="1"/>
  <c r="U2671" i="2" s="1"/>
  <c r="U2235" i="2"/>
  <c r="U1876" i="2"/>
  <c r="U1877" i="2" s="1"/>
  <c r="U2164" i="2"/>
  <c r="U1516" i="2"/>
  <c r="U1517" i="2" s="1"/>
  <c r="U2524" i="2"/>
  <c r="U2525" i="2" s="1"/>
  <c r="U2960" i="2"/>
  <c r="U2961" i="2" s="1"/>
  <c r="U2962" i="2" s="1"/>
  <c r="U2963" i="2" s="1"/>
  <c r="U3245" i="2"/>
  <c r="U3246" i="2" s="1"/>
  <c r="U3247" i="2" s="1"/>
  <c r="U3248" i="2" s="1"/>
  <c r="U3249" i="2" s="1"/>
  <c r="U3250" i="2" s="1"/>
  <c r="U3251" i="2" s="1"/>
  <c r="U3252" i="2" s="1"/>
  <c r="U3253" i="2" s="1"/>
  <c r="U3254" i="2" s="1"/>
  <c r="U3255" i="2" s="1"/>
  <c r="U3256" i="2" s="1"/>
  <c r="U3257" i="2" s="1"/>
  <c r="U3258" i="2" s="1"/>
  <c r="U3259" i="2" s="1"/>
  <c r="U3260" i="2" s="1"/>
  <c r="U3261" i="2" s="1"/>
  <c r="F60" i="1"/>
  <c r="U60" i="1" s="1" a="1"/>
  <c r="U3320" i="2"/>
  <c r="U3321" i="2" s="1"/>
  <c r="U3322" i="2" s="1"/>
  <c r="T2" i="2"/>
  <c r="U2" i="2"/>
  <c r="T74" i="2"/>
  <c r="U74" i="2"/>
  <c r="T146" i="2"/>
  <c r="U146" i="2"/>
  <c r="T218" i="2"/>
  <c r="U218" i="2"/>
  <c r="T290" i="2"/>
  <c r="U290" i="2"/>
  <c r="T362" i="2"/>
  <c r="U362" i="2"/>
  <c r="T434" i="2"/>
  <c r="U434" i="2"/>
  <c r="T506" i="2"/>
  <c r="U506" i="2"/>
  <c r="T578" i="2"/>
  <c r="U578" i="2"/>
  <c r="T3386" i="2"/>
  <c r="U3386" i="2"/>
  <c r="U3387" i="2" s="1"/>
  <c r="U3388" i="2" s="1"/>
  <c r="U3389" i="2" s="1"/>
  <c r="U3390" i="2" s="1"/>
  <c r="U3391" i="2" s="1"/>
  <c r="U3392" i="2" s="1"/>
  <c r="U3393" i="2" s="1"/>
  <c r="U3394" i="2" s="1"/>
  <c r="U3395" i="2" s="1"/>
  <c r="U3396" i="2" s="1"/>
  <c r="U3397" i="2" s="1"/>
  <c r="U3398" i="2" s="1"/>
  <c r="U3399" i="2" s="1"/>
  <c r="U3400" i="2" s="1"/>
  <c r="U3401" i="2" s="1"/>
  <c r="U3402" i="2" s="1"/>
  <c r="U3403" i="2" s="1"/>
  <c r="U3404" i="2" s="1"/>
  <c r="U3405" i="2" s="1"/>
  <c r="U3406" i="2" s="1"/>
  <c r="U3407" i="2" s="1"/>
  <c r="U3408" i="2" s="1"/>
  <c r="U3409" i="2" s="1"/>
  <c r="U3410" i="2" s="1"/>
  <c r="T3458" i="2"/>
  <c r="U3458" i="2"/>
  <c r="U3459" i="2" s="1"/>
  <c r="U3460" i="2" s="1"/>
  <c r="U3461" i="2" s="1"/>
  <c r="U3462" i="2" s="1"/>
  <c r="T3530" i="2"/>
  <c r="U3530" i="2"/>
  <c r="T3602" i="2"/>
  <c r="U3602" i="2"/>
  <c r="U3603" i="2" s="1"/>
  <c r="U3604" i="2" s="1"/>
  <c r="U3605" i="2" s="1"/>
  <c r="U3606" i="2" s="1"/>
  <c r="U3607" i="2" s="1"/>
  <c r="U3608" i="2" s="1"/>
  <c r="U3609" i="2" s="1"/>
  <c r="T3674" i="2"/>
  <c r="U3674" i="2"/>
  <c r="U3675" i="2" s="1"/>
  <c r="U3676" i="2" s="1"/>
  <c r="U3677" i="2" s="1"/>
  <c r="U3678" i="2" s="1"/>
  <c r="U3679" i="2" s="1"/>
  <c r="U3680" i="2" s="1"/>
  <c r="U3681" i="2" s="1"/>
  <c r="U3682" i="2" s="1"/>
  <c r="U3683" i="2" s="1"/>
  <c r="T3746" i="2"/>
  <c r="U3746" i="2"/>
  <c r="U3747" i="2" s="1"/>
  <c r="U3748" i="2" s="1"/>
  <c r="U3749" i="2" s="1"/>
  <c r="U3750" i="2" s="1"/>
  <c r="U3751" i="2" s="1"/>
  <c r="U3752" i="2" s="1"/>
  <c r="U3753" i="2" s="1"/>
  <c r="T3818" i="2"/>
  <c r="U3818" i="2"/>
  <c r="U3819" i="2" s="1"/>
  <c r="U3820" i="2" s="1"/>
  <c r="U3821" i="2" s="1"/>
  <c r="U3822" i="2" s="1"/>
  <c r="U3823" i="2" s="1"/>
  <c r="U3824" i="2" s="1"/>
  <c r="U3825" i="2" s="1"/>
  <c r="U3826" i="2" s="1"/>
  <c r="U3827" i="2" s="1"/>
  <c r="T3890" i="2"/>
  <c r="U3890" i="2"/>
  <c r="T3962" i="2"/>
  <c r="U3962" i="2"/>
  <c r="U3963" i="2" s="1"/>
  <c r="U3964" i="2" s="1"/>
  <c r="U3965" i="2" s="1"/>
  <c r="U3966" i="2" s="1"/>
  <c r="T4034" i="2"/>
  <c r="U4034" i="2"/>
  <c r="U4035" i="2" s="1"/>
  <c r="U4036" i="2" s="1"/>
  <c r="U4037" i="2" s="1"/>
  <c r="U4038" i="2" s="1"/>
  <c r="U4039" i="2" s="1"/>
  <c r="T4106" i="2"/>
  <c r="U4106" i="2"/>
  <c r="U4107" i="2" s="1"/>
  <c r="U4108" i="2" s="1"/>
  <c r="U4109" i="2" s="1"/>
  <c r="U4110" i="2" s="1"/>
  <c r="U4111" i="2" s="1"/>
  <c r="U4112" i="2" s="1"/>
  <c r="T4178" i="2"/>
  <c r="U4178" i="2"/>
  <c r="U4179" i="2" s="1"/>
  <c r="U4180" i="2" s="1"/>
  <c r="U4181" i="2" s="1"/>
  <c r="U4182" i="2" s="1"/>
  <c r="U4183" i="2" s="1"/>
  <c r="T4250" i="2"/>
  <c r="U4250" i="2"/>
  <c r="U4251" i="2" s="1"/>
  <c r="U4252" i="2" s="1"/>
  <c r="U4253" i="2" s="1"/>
  <c r="U4254" i="2" s="1"/>
  <c r="U4255" i="2" s="1"/>
  <c r="U4256" i="2" s="1"/>
  <c r="U4257" i="2" s="1"/>
  <c r="U4258" i="2" s="1"/>
  <c r="R650" i="2"/>
  <c r="S650" i="2" s="1"/>
  <c r="T650" i="2"/>
  <c r="R722" i="2"/>
  <c r="S722" i="2" s="1"/>
  <c r="T722" i="2"/>
  <c r="R794" i="2"/>
  <c r="T794" i="2"/>
  <c r="S794" i="2"/>
  <c r="R866" i="2"/>
  <c r="S866" i="2"/>
  <c r="T866" i="2"/>
  <c r="R938" i="2"/>
  <c r="S938" i="2"/>
  <c r="T938" i="2"/>
  <c r="R1010" i="2"/>
  <c r="S1010" i="2" s="1"/>
  <c r="T1010" i="2"/>
  <c r="R1082" i="2"/>
  <c r="S1082" i="2"/>
  <c r="T1082" i="2"/>
  <c r="R1154" i="2"/>
  <c r="S1154" i="2"/>
  <c r="T1154" i="2"/>
  <c r="R1226" i="2"/>
  <c r="R1227" i="2" s="1"/>
  <c r="S1227" i="2" s="1"/>
  <c r="S1226" i="2"/>
  <c r="T1226" i="2"/>
  <c r="R1298" i="2"/>
  <c r="R1299" i="2" s="1"/>
  <c r="S1299" i="2" s="1"/>
  <c r="S1298" i="2"/>
  <c r="T1298" i="2"/>
  <c r="R1370" i="2"/>
  <c r="T1370" i="2"/>
  <c r="R1442" i="2"/>
  <c r="T1442" i="2"/>
  <c r="S1442" i="2"/>
  <c r="S1443" i="2" s="1"/>
  <c r="R1514" i="2"/>
  <c r="S1514" i="2" s="1"/>
  <c r="S1515" i="2" s="1"/>
  <c r="S1516" i="2" s="1"/>
  <c r="S1517" i="2" s="1"/>
  <c r="T1514" i="2"/>
  <c r="R1586" i="2"/>
  <c r="T1586" i="2"/>
  <c r="R1658" i="2"/>
  <c r="T1658" i="2"/>
  <c r="S1658" i="2"/>
  <c r="R1730" i="2"/>
  <c r="S1730" i="2"/>
  <c r="T1730" i="2"/>
  <c r="R1802" i="2"/>
  <c r="S1802" i="2"/>
  <c r="S1803" i="2" s="1"/>
  <c r="T1802" i="2"/>
  <c r="R1874" i="2"/>
  <c r="S1874" i="2"/>
  <c r="S1875" i="2" s="1"/>
  <c r="S1876" i="2" s="1"/>
  <c r="S1877" i="2" s="1"/>
  <c r="T1874" i="2"/>
  <c r="R1946" i="2"/>
  <c r="R1947" i="2" s="1"/>
  <c r="S1946" i="2"/>
  <c r="T1946" i="2"/>
  <c r="R2018" i="2"/>
  <c r="R2019" i="2" s="1"/>
  <c r="S2019" i="2" s="1"/>
  <c r="S2018" i="2"/>
  <c r="T2018" i="2"/>
  <c r="R2090" i="2"/>
  <c r="R2091" i="2" s="1"/>
  <c r="S2090" i="2"/>
  <c r="T2090" i="2"/>
  <c r="R2162" i="2"/>
  <c r="S2162" i="2" s="1"/>
  <c r="S2163" i="2" s="1"/>
  <c r="S2164" i="2" s="1"/>
  <c r="T2162" i="2"/>
  <c r="R2234" i="2"/>
  <c r="T2234" i="2"/>
  <c r="S2234" i="2"/>
  <c r="S2235" i="2" s="1"/>
  <c r="R2306" i="2"/>
  <c r="S2306" i="2"/>
  <c r="T2306" i="2"/>
  <c r="R2378" i="2"/>
  <c r="T2378" i="2"/>
  <c r="S2378" i="2"/>
  <c r="R2450" i="2"/>
  <c r="T2450" i="2"/>
  <c r="S2450" i="2"/>
  <c r="R2522" i="2"/>
  <c r="T2522" i="2"/>
  <c r="S2522" i="2"/>
  <c r="S2523" i="2" s="1"/>
  <c r="S2524" i="2" s="1"/>
  <c r="S2525" i="2" s="1"/>
  <c r="R2594" i="2"/>
  <c r="R2595" i="2" s="1"/>
  <c r="R2596" i="2" s="1"/>
  <c r="S2594" i="2"/>
  <c r="S2595" i="2" s="1"/>
  <c r="T2594" i="2"/>
  <c r="R2666" i="2"/>
  <c r="R2667" i="2" s="1"/>
  <c r="S2666" i="2"/>
  <c r="S2667" i="2" s="1"/>
  <c r="S2668" i="2" s="1"/>
  <c r="S2669" i="2" s="1"/>
  <c r="S2670" i="2" s="1"/>
  <c r="S2671" i="2" s="1"/>
  <c r="T2666" i="2"/>
  <c r="R2738" i="2"/>
  <c r="S2738" i="2"/>
  <c r="T2738" i="2"/>
  <c r="R2810" i="2"/>
  <c r="S2810" i="2"/>
  <c r="T2810" i="2"/>
  <c r="R2882" i="2"/>
  <c r="S2882" i="2"/>
  <c r="S2883" i="2" s="1"/>
  <c r="S2884" i="2" s="1"/>
  <c r="T2882" i="2"/>
  <c r="R2954" i="2"/>
  <c r="S2954" i="2"/>
  <c r="S2955" i="2" s="1"/>
  <c r="S2956" i="2" s="1"/>
  <c r="S2957" i="2" s="1"/>
  <c r="S2958" i="2" s="1"/>
  <c r="S2959" i="2" s="1"/>
  <c r="S2960" i="2" s="1"/>
  <c r="S2961" i="2" s="1"/>
  <c r="S2962" i="2" s="1"/>
  <c r="S2963" i="2" s="1"/>
  <c r="T2954" i="2"/>
  <c r="R3026" i="2"/>
  <c r="S3026" i="2" s="1"/>
  <c r="S3027" i="2" s="1"/>
  <c r="S3028" i="2" s="1"/>
  <c r="S3029" i="2" s="1"/>
  <c r="S3030" i="2" s="1"/>
  <c r="S3031" i="2" s="1"/>
  <c r="T3026" i="2"/>
  <c r="R3098" i="2"/>
  <c r="S3098" i="2"/>
  <c r="S3099" i="2" s="1"/>
  <c r="T3098" i="2"/>
  <c r="R3170" i="2"/>
  <c r="T3170" i="2"/>
  <c r="S3170" i="2"/>
  <c r="S3171" i="2" s="1"/>
  <c r="S3172" i="2" s="1"/>
  <c r="S3173" i="2" s="1"/>
  <c r="S3174" i="2" s="1"/>
  <c r="R3242" i="2"/>
  <c r="R3243" i="2" s="1"/>
  <c r="T3242" i="2"/>
  <c r="S3242" i="2"/>
  <c r="S3243" i="2" s="1"/>
  <c r="S3244" i="2" s="1"/>
  <c r="S3245" i="2" s="1"/>
  <c r="S3246" i="2" s="1"/>
  <c r="S3247" i="2" s="1"/>
  <c r="S3248" i="2" s="1"/>
  <c r="S3249" i="2" s="1"/>
  <c r="S3250" i="2" s="1"/>
  <c r="S3251" i="2" s="1"/>
  <c r="S3252" i="2" s="1"/>
  <c r="S3253" i="2" s="1"/>
  <c r="S3254" i="2" s="1"/>
  <c r="S3255" i="2" s="1"/>
  <c r="S3256" i="2" s="1"/>
  <c r="S3257" i="2" s="1"/>
  <c r="S3258" i="2" s="1"/>
  <c r="S3259" i="2" s="1"/>
  <c r="S3260" i="2" s="1"/>
  <c r="S3261" i="2" s="1"/>
  <c r="R3314" i="2"/>
  <c r="R3315" i="2" s="1"/>
  <c r="S3314" i="2"/>
  <c r="S3315" i="2" s="1"/>
  <c r="S3316" i="2" s="1"/>
  <c r="S3317" i="2" s="1"/>
  <c r="S3318" i="2" s="1"/>
  <c r="S3319" i="2" s="1"/>
  <c r="S3320" i="2" s="1"/>
  <c r="S3321" i="2" s="1"/>
  <c r="S3322" i="2" s="1"/>
  <c r="T3314" i="2"/>
  <c r="R2" i="2"/>
  <c r="S2" i="2"/>
  <c r="R74" i="2"/>
  <c r="S74" i="2"/>
  <c r="R146" i="2"/>
  <c r="S146" i="2"/>
  <c r="R218" i="2"/>
  <c r="S218" i="2"/>
  <c r="R290" i="2"/>
  <c r="S290" i="2"/>
  <c r="R362" i="2"/>
  <c r="S362" i="2"/>
  <c r="R434" i="2"/>
  <c r="S434" i="2" s="1"/>
  <c r="R506" i="2"/>
  <c r="S506" i="2"/>
  <c r="R578" i="2"/>
  <c r="S578" i="2"/>
  <c r="R3386" i="2"/>
  <c r="S3386" i="2"/>
  <c r="S3387" i="2" s="1"/>
  <c r="S3388" i="2" s="1"/>
  <c r="S3389" i="2" s="1"/>
  <c r="S3390" i="2" s="1"/>
  <c r="S3391" i="2" s="1"/>
  <c r="S3392" i="2" s="1"/>
  <c r="S3393" i="2" s="1"/>
  <c r="S3394" i="2" s="1"/>
  <c r="S3395" i="2" s="1"/>
  <c r="S3396" i="2" s="1"/>
  <c r="S3397" i="2" s="1"/>
  <c r="S3398" i="2" s="1"/>
  <c r="S3399" i="2" s="1"/>
  <c r="S3400" i="2" s="1"/>
  <c r="S3401" i="2" s="1"/>
  <c r="S3402" i="2" s="1"/>
  <c r="S3403" i="2" s="1"/>
  <c r="S3404" i="2" s="1"/>
  <c r="S3405" i="2" s="1"/>
  <c r="S3406" i="2" s="1"/>
  <c r="S3407" i="2" s="1"/>
  <c r="S3408" i="2" s="1"/>
  <c r="S3409" i="2" s="1"/>
  <c r="S3410" i="2" s="1"/>
  <c r="R3458" i="2"/>
  <c r="S3458" i="2"/>
  <c r="S3459" i="2" s="1"/>
  <c r="S3460" i="2" s="1"/>
  <c r="S3461" i="2" s="1"/>
  <c r="S3462" i="2" s="1"/>
  <c r="R3530" i="2"/>
  <c r="S3530" i="2"/>
  <c r="R3602" i="2"/>
  <c r="S3602" i="2"/>
  <c r="S3603" i="2" s="1"/>
  <c r="S3604" i="2" s="1"/>
  <c r="S3605" i="2" s="1"/>
  <c r="S3606" i="2" s="1"/>
  <c r="S3607" i="2" s="1"/>
  <c r="S3608" i="2" s="1"/>
  <c r="S3609" i="2" s="1"/>
  <c r="R3674" i="2"/>
  <c r="S3674" i="2"/>
  <c r="S3675" i="2" s="1"/>
  <c r="S3676" i="2" s="1"/>
  <c r="S3677" i="2" s="1"/>
  <c r="S3678" i="2" s="1"/>
  <c r="S3679" i="2" s="1"/>
  <c r="S3680" i="2" s="1"/>
  <c r="S3681" i="2" s="1"/>
  <c r="S3682" i="2" s="1"/>
  <c r="S3683" i="2" s="1"/>
  <c r="R3746" i="2"/>
  <c r="S3746" i="2"/>
  <c r="S3747" i="2" s="1"/>
  <c r="S3748" i="2" s="1"/>
  <c r="S3749" i="2" s="1"/>
  <c r="S3750" i="2" s="1"/>
  <c r="S3751" i="2" s="1"/>
  <c r="S3752" i="2" s="1"/>
  <c r="S3753" i="2" s="1"/>
  <c r="R3818" i="2"/>
  <c r="S3818" i="2"/>
  <c r="S3819" i="2" s="1"/>
  <c r="S3820" i="2" s="1"/>
  <c r="S3821" i="2" s="1"/>
  <c r="S3822" i="2" s="1"/>
  <c r="S3823" i="2" s="1"/>
  <c r="S3824" i="2" s="1"/>
  <c r="S3825" i="2" s="1"/>
  <c r="S3826" i="2" s="1"/>
  <c r="S3827" i="2" s="1"/>
  <c r="R3890" i="2"/>
  <c r="S3890" i="2"/>
  <c r="R3962" i="2"/>
  <c r="S3962" i="2"/>
  <c r="S3963" i="2" s="1"/>
  <c r="S3964" i="2" s="1"/>
  <c r="S3965" i="2" s="1"/>
  <c r="S3966" i="2" s="1"/>
  <c r="R4034" i="2"/>
  <c r="S4034" i="2"/>
  <c r="S4035" i="2" s="1"/>
  <c r="S4036" i="2" s="1"/>
  <c r="S4037" i="2" s="1"/>
  <c r="S4038" i="2" s="1"/>
  <c r="S4039" i="2" s="1"/>
  <c r="R4106" i="2"/>
  <c r="S4106" i="2"/>
  <c r="S4107" i="2" s="1"/>
  <c r="S4108" i="2" s="1"/>
  <c r="S4109" i="2" s="1"/>
  <c r="S4110" i="2" s="1"/>
  <c r="S4111" i="2" s="1"/>
  <c r="S4112" i="2" s="1"/>
  <c r="R4178" i="2"/>
  <c r="S4178" i="2" s="1"/>
  <c r="S4179" i="2" s="1"/>
  <c r="S4180" i="2" s="1"/>
  <c r="S4181" i="2" s="1"/>
  <c r="S4182" i="2" s="1"/>
  <c r="S4183" i="2" s="1"/>
  <c r="R4250" i="2"/>
  <c r="S4250" i="2"/>
  <c r="S4251" i="2" s="1"/>
  <c r="S4252" i="2" s="1"/>
  <c r="S4253" i="2" s="1"/>
  <c r="S4254" i="2" s="1"/>
  <c r="S4255" i="2" s="1"/>
  <c r="S4256" i="2" s="1"/>
  <c r="S4257" i="2" s="1"/>
  <c r="S4258" i="2" s="1"/>
  <c r="F46" i="1"/>
  <c r="U46" i="1" s="1" a="1"/>
  <c r="S2" i="1" a="1"/>
  <c r="S3" i="1" a="1"/>
  <c r="T3" i="1" s="1"/>
  <c r="S4" i="1" a="1"/>
  <c r="T4" i="1" s="1"/>
  <c r="S5" i="1" a="1"/>
  <c r="T5" i="1" s="1"/>
  <c r="S6" i="1" a="1"/>
  <c r="T6" i="1" s="1"/>
  <c r="S7" i="1" a="1"/>
  <c r="T7" i="1" s="1"/>
  <c r="S8" i="1" a="1"/>
  <c r="T8" i="1" s="1"/>
  <c r="S9" i="1" a="1"/>
  <c r="T9" i="1" s="1"/>
  <c r="S10" i="1" a="1"/>
  <c r="T10" i="1" s="1"/>
  <c r="S11" i="1" a="1"/>
  <c r="T11" i="1" s="1"/>
  <c r="S12" i="1" a="1"/>
  <c r="T12" i="1" s="1"/>
  <c r="S13" i="1" a="1"/>
  <c r="T13" i="1" s="1"/>
  <c r="S14" i="1" a="1"/>
  <c r="T14" i="1" s="1"/>
  <c r="S15" i="1" a="1"/>
  <c r="T15" i="1" s="1"/>
  <c r="S16" i="1" a="1"/>
  <c r="T16" i="1" s="1"/>
  <c r="S17" i="1" a="1"/>
  <c r="T17" i="1" s="1"/>
  <c r="S18" i="1" a="1"/>
  <c r="T18" i="1" s="1"/>
  <c r="S19" i="1" a="1"/>
  <c r="T19" i="1" s="1"/>
  <c r="S20" i="1" a="1"/>
  <c r="T20" i="1" s="1"/>
  <c r="S21" i="1" a="1"/>
  <c r="T21" i="1" s="1"/>
  <c r="S22" i="1" a="1"/>
  <c r="T22" i="1" s="1"/>
  <c r="S23" i="1" a="1"/>
  <c r="T23" i="1" s="1"/>
  <c r="S24" i="1" a="1"/>
  <c r="T24" i="1" s="1"/>
  <c r="S25" i="1" a="1"/>
  <c r="T25" i="1" s="1"/>
  <c r="S26" i="1" a="1"/>
  <c r="T26" i="1" s="1"/>
  <c r="S27" i="1" a="1"/>
  <c r="T27" i="1" s="1"/>
  <c r="S28" i="1" a="1"/>
  <c r="T28" i="1" s="1"/>
  <c r="S29" i="1" a="1"/>
  <c r="T29" i="1" s="1"/>
  <c r="S30" i="1" a="1"/>
  <c r="T30" i="1" s="1"/>
  <c r="S31" i="1" a="1"/>
  <c r="T31" i="1" s="1"/>
  <c r="S32" i="1" a="1"/>
  <c r="T32" i="1" s="1"/>
  <c r="S33" i="1" a="1"/>
  <c r="T33" i="1" s="1"/>
  <c r="S34" i="1" a="1"/>
  <c r="T34" i="1" s="1"/>
  <c r="S35" i="1" a="1"/>
  <c r="T35" i="1" s="1"/>
  <c r="S36" i="1" a="1"/>
  <c r="T36" i="1" s="1"/>
  <c r="S37" i="1" a="1"/>
  <c r="T37" i="1" s="1"/>
  <c r="S38" i="1" a="1"/>
  <c r="T38" i="1" s="1"/>
  <c r="S39" i="1" a="1"/>
  <c r="T39" i="1" s="1"/>
  <c r="S40" i="1" a="1"/>
  <c r="T40" i="1" s="1"/>
  <c r="S41" i="1" a="1"/>
  <c r="T41" i="1" s="1"/>
  <c r="S42" i="1" a="1"/>
  <c r="T42" i="1" s="1"/>
  <c r="S43" i="1" a="1"/>
  <c r="T43" i="1" s="1"/>
  <c r="S44" i="1" a="1"/>
  <c r="T44" i="1" s="1"/>
  <c r="S45" i="1" a="1"/>
  <c r="T45" i="1" s="1"/>
  <c r="S46" i="1" a="1"/>
  <c r="T46" i="1" s="1"/>
  <c r="S47" i="1" a="1"/>
  <c r="T47" i="1" s="1"/>
  <c r="S48" i="1" a="1"/>
  <c r="T48" i="1" s="1"/>
  <c r="S49" i="1" a="1"/>
  <c r="T49" i="1" s="1"/>
  <c r="S50" i="1" a="1"/>
  <c r="T50" i="1" s="1"/>
  <c r="S51" i="1" a="1"/>
  <c r="T51" i="1" s="1"/>
  <c r="S52" i="1" a="1"/>
  <c r="T52" i="1" s="1"/>
  <c r="S53" i="1" a="1"/>
  <c r="T53" i="1" s="1"/>
  <c r="S54" i="1" a="1"/>
  <c r="T54" i="1" s="1"/>
  <c r="S55" i="1" a="1"/>
  <c r="T55" i="1" s="1"/>
  <c r="S56" i="1" a="1"/>
  <c r="T56" i="1" s="1"/>
  <c r="S57" i="1" a="1"/>
  <c r="T57" i="1" s="1"/>
  <c r="S58" i="1" a="1"/>
  <c r="T58" i="1" s="1"/>
  <c r="S59" i="1" a="1"/>
  <c r="T59" i="1" s="1"/>
  <c r="S60" i="1" a="1"/>
  <c r="T60" i="1" s="1"/>
  <c r="S61" i="1" a="1"/>
  <c r="T61" i="1" s="1"/>
  <c r="F58" i="1"/>
  <c r="U58" i="1" s="1" a="1"/>
  <c r="F47" i="1"/>
  <c r="U47" i="1" s="1" a="1"/>
  <c r="F9" i="1"/>
  <c r="U9" i="1" s="1" a="1"/>
  <c r="F17" i="1"/>
  <c r="U17" i="1" s="1" a="1"/>
  <c r="F11" i="1"/>
  <c r="U11" i="1" s="1" a="1"/>
  <c r="F15" i="1"/>
  <c r="U15" i="1" s="1" a="1"/>
  <c r="F8" i="1"/>
  <c r="U8" i="1" s="1" a="1"/>
  <c r="F31" i="1"/>
  <c r="U31" i="1" s="1" a="1"/>
  <c r="F34" i="1"/>
  <c r="U34" i="1" s="1" a="1"/>
  <c r="F29" i="1"/>
  <c r="U29" i="1" s="1" a="1"/>
  <c r="F55" i="1"/>
  <c r="U55" i="1" s="1" a="1"/>
  <c r="F59" i="1"/>
  <c r="U59" i="1" s="1" a="1"/>
  <c r="F57" i="1"/>
  <c r="U57" i="1" s="1" a="1"/>
  <c r="F6" i="1"/>
  <c r="U6" i="1" s="1" a="1"/>
  <c r="F28" i="1"/>
  <c r="U28" i="1" s="1" a="1"/>
  <c r="F39" i="1"/>
  <c r="U39" i="1" s="1" a="1"/>
  <c r="F24" i="1"/>
  <c r="U24" i="1" s="1" a="1"/>
  <c r="F51" i="1"/>
  <c r="U51" i="1" s="1" a="1"/>
  <c r="F48" i="1"/>
  <c r="U48" i="1" s="1" a="1"/>
  <c r="F50" i="1"/>
  <c r="U50" i="1" s="1" a="1"/>
  <c r="F18" i="1"/>
  <c r="U18" i="1" s="1" a="1"/>
  <c r="F14" i="1"/>
  <c r="U14" i="1" s="1" a="1"/>
  <c r="F2" i="1"/>
  <c r="U2" i="1" s="1" a="1"/>
  <c r="F7" i="1"/>
  <c r="U7" i="1" s="1" a="1"/>
  <c r="F41" i="1"/>
  <c r="U41" i="1" s="1" a="1"/>
  <c r="F22" i="1"/>
  <c r="U22" i="1" s="1" a="1"/>
  <c r="F35" i="1"/>
  <c r="U35" i="1" s="1" a="1"/>
  <c r="F27" i="1"/>
  <c r="U27" i="1" s="1" a="1"/>
  <c r="F43" i="1"/>
  <c r="U43" i="1" s="1" a="1"/>
  <c r="F45" i="1"/>
  <c r="U45" i="1" s="1" a="1"/>
  <c r="F49" i="1"/>
  <c r="U49" i="1" s="1" a="1"/>
  <c r="F4" i="1"/>
  <c r="U4" i="1" s="1" a="1"/>
  <c r="F12" i="1"/>
  <c r="U12" i="1" s="1" a="1"/>
  <c r="F13" i="1"/>
  <c r="U13" i="1" s="1" a="1"/>
  <c r="F30" i="1"/>
  <c r="U30" i="1" s="1" a="1"/>
  <c r="F33" i="1"/>
  <c r="U33" i="1" s="1" a="1"/>
  <c r="F38" i="1"/>
  <c r="U38" i="1" s="1" a="1"/>
  <c r="F32" i="1"/>
  <c r="U32" i="1" s="1" a="1"/>
  <c r="F53" i="1"/>
  <c r="U53" i="1" s="1" a="1"/>
  <c r="F56" i="1"/>
  <c r="U56" i="1" s="1" a="1"/>
  <c r="F52" i="1"/>
  <c r="U52" i="1" s="1" a="1"/>
  <c r="F21" i="1"/>
  <c r="U21" i="1" s="1" a="1"/>
  <c r="F20" i="1"/>
  <c r="U20" i="1" s="1" a="1"/>
  <c r="F19" i="1"/>
  <c r="U19" i="1" s="1" a="1"/>
  <c r="F26" i="1"/>
  <c r="U26" i="1" s="1" a="1"/>
  <c r="F40" i="1"/>
  <c r="U40" i="1" s="1" a="1"/>
  <c r="F25" i="1"/>
  <c r="U25" i="1" s="1" a="1"/>
  <c r="F44" i="1"/>
  <c r="U44" i="1" s="1" a="1"/>
  <c r="F54" i="1"/>
  <c r="U54" i="1" s="1" a="1"/>
  <c r="F5" i="1"/>
  <c r="U5" i="1" s="1" a="1"/>
  <c r="F3" i="1"/>
  <c r="U3" i="1" s="1" a="1"/>
  <c r="F10" i="1"/>
  <c r="U10" i="1" s="1" a="1"/>
  <c r="F36" i="1"/>
  <c r="U36" i="1" s="1" a="1"/>
  <c r="F23" i="1"/>
  <c r="U23" i="1" s="1" a="1"/>
  <c r="F37" i="1"/>
  <c r="U37" i="1" s="1" a="1"/>
  <c r="F61" i="1"/>
  <c r="U61" i="1" s="1" a="1"/>
  <c r="F42" i="1"/>
  <c r="U42" i="1" s="1" a="1"/>
  <c r="N14" i="1"/>
  <c r="O14" i="1" s="1"/>
  <c r="N10" i="1"/>
  <c r="O10" i="1" s="1"/>
  <c r="N30" i="1"/>
  <c r="O30" i="1" s="1"/>
  <c r="N36" i="1"/>
  <c r="O36" i="1" s="1"/>
  <c r="N23" i="1"/>
  <c r="O23" i="1" s="1"/>
  <c r="N37" i="1"/>
  <c r="O37" i="1" s="1"/>
  <c r="N59" i="1"/>
  <c r="O59" i="1" s="1"/>
  <c r="N49" i="1"/>
  <c r="O49" i="1" s="1"/>
  <c r="N9" i="1"/>
  <c r="O9" i="1" s="1"/>
  <c r="N20" i="1"/>
  <c r="O20" i="1" s="1"/>
  <c r="N28" i="1"/>
  <c r="O28" i="1" s="1"/>
  <c r="N34" i="1"/>
  <c r="O34" i="1" s="1"/>
  <c r="N27" i="1"/>
  <c r="O27" i="1" s="1"/>
  <c r="N53" i="1"/>
  <c r="O53" i="1" s="1"/>
  <c r="N50" i="1"/>
  <c r="O50" i="1" s="1"/>
  <c r="N46" i="1"/>
  <c r="O46" i="1" s="1"/>
  <c r="N18" i="1"/>
  <c r="O18" i="1" s="1"/>
  <c r="N11" i="1"/>
  <c r="O11" i="1" s="1"/>
  <c r="N13" i="1"/>
  <c r="O13" i="1" s="1"/>
  <c r="N31" i="1"/>
  <c r="O31" i="1" s="1"/>
  <c r="N38" i="1"/>
  <c r="O38" i="1" s="1"/>
  <c r="N25" i="1"/>
  <c r="O25" i="1" s="1"/>
  <c r="N48" i="1"/>
  <c r="O48" i="1" s="1"/>
  <c r="N52" i="1"/>
  <c r="O52" i="1" s="1"/>
  <c r="N16" i="1"/>
  <c r="O16" i="1" s="1"/>
  <c r="N17" i="1"/>
  <c r="O17" i="1" s="1"/>
  <c r="N7" i="1"/>
  <c r="O7" i="1" s="1"/>
  <c r="N33" i="1"/>
  <c r="O33" i="1" s="1"/>
  <c r="N35" i="1"/>
  <c r="O35" i="1" s="1"/>
  <c r="N32" i="1"/>
  <c r="O32" i="1" s="1"/>
  <c r="N61" i="1"/>
  <c r="O61" i="1" s="1"/>
  <c r="N57" i="1"/>
  <c r="O57" i="1" s="1"/>
  <c r="N19" i="1"/>
  <c r="O19" i="1" s="1"/>
  <c r="N41" i="1"/>
  <c r="O41" i="1" s="1"/>
  <c r="N39" i="1"/>
  <c r="O39" i="1" s="1"/>
  <c r="N29" i="1"/>
  <c r="O29" i="1" s="1"/>
  <c r="N43" i="1"/>
  <c r="O43" i="1" s="1"/>
  <c r="N54" i="1"/>
  <c r="O54" i="1" s="1"/>
  <c r="N60" i="1"/>
  <c r="O60" i="1" s="1"/>
  <c r="N5" i="1"/>
  <c r="O5" i="1" s="1"/>
  <c r="N2" i="1"/>
  <c r="O2" i="1" s="1"/>
  <c r="N15" i="1"/>
  <c r="O15" i="1" s="1"/>
  <c r="N22" i="1"/>
  <c r="O22" i="1" s="1"/>
  <c r="N40" i="1"/>
  <c r="O40" i="1" s="1"/>
  <c r="N51" i="1"/>
  <c r="O51" i="1" s="1"/>
  <c r="N56" i="1"/>
  <c r="O56" i="1" s="1"/>
  <c r="N47" i="1"/>
  <c r="O47" i="1" s="1"/>
  <c r="N21" i="1"/>
  <c r="O21" i="1" s="1"/>
  <c r="N3" i="1"/>
  <c r="O3" i="1" s="1"/>
  <c r="N6" i="1"/>
  <c r="O6" i="1" s="1"/>
  <c r="N44" i="1"/>
  <c r="O44" i="1" s="1"/>
  <c r="N42" i="1"/>
  <c r="O42" i="1" s="1"/>
  <c r="N4" i="1"/>
  <c r="O4" i="1" s="1"/>
  <c r="N12" i="1"/>
  <c r="O12" i="1" s="1"/>
  <c r="N8" i="1"/>
  <c r="O8" i="1" s="1"/>
  <c r="N26" i="1"/>
  <c r="O26" i="1" s="1"/>
  <c r="N24" i="1"/>
  <c r="O24" i="1" s="1"/>
  <c r="N55" i="1"/>
  <c r="O55" i="1" s="1"/>
  <c r="N45" i="1"/>
  <c r="O45" i="1" s="1"/>
  <c r="N58" i="1"/>
  <c r="O58" i="1" s="1"/>
  <c r="J15" i="1"/>
  <c r="J16" i="1"/>
  <c r="J20" i="1"/>
  <c r="J8" i="1"/>
  <c r="J28" i="1"/>
  <c r="J34" i="1"/>
  <c r="J23" i="1"/>
  <c r="J25" i="1"/>
  <c r="J53" i="1"/>
  <c r="J56" i="1"/>
  <c r="J49" i="1"/>
  <c r="J60" i="1"/>
  <c r="J14" i="1"/>
  <c r="J17" i="1"/>
  <c r="J19" i="1"/>
  <c r="J33" i="1"/>
  <c r="J40" i="1"/>
  <c r="J32" i="1"/>
  <c r="J43" i="1"/>
  <c r="J45" i="1"/>
  <c r="J42" i="1"/>
  <c r="J46" i="1"/>
  <c r="J21" i="1"/>
  <c r="J10" i="1"/>
  <c r="J6" i="1"/>
  <c r="J31" i="1"/>
  <c r="J35" i="1"/>
  <c r="J24" i="1"/>
  <c r="J51" i="1"/>
  <c r="J48" i="1"/>
  <c r="J54" i="1"/>
  <c r="J52" i="1"/>
  <c r="J4" i="1"/>
  <c r="J12" i="1"/>
  <c r="J18" i="1"/>
  <c r="J2" i="1"/>
  <c r="J13" i="1"/>
  <c r="J9" i="1"/>
  <c r="J3" i="1"/>
  <c r="J30" i="1"/>
  <c r="J22" i="1"/>
  <c r="J39" i="1"/>
  <c r="J27" i="1"/>
  <c r="J37" i="1"/>
  <c r="J44" i="1"/>
  <c r="J59" i="1"/>
  <c r="J57" i="1"/>
  <c r="J58" i="1"/>
  <c r="J5" i="1"/>
  <c r="J11" i="1"/>
  <c r="J7" i="1"/>
  <c r="J26" i="1"/>
  <c r="J38" i="1"/>
  <c r="J29" i="1"/>
  <c r="J55" i="1"/>
  <c r="J61" i="1"/>
  <c r="J50" i="1"/>
  <c r="J47" i="1"/>
  <c r="J41" i="1"/>
  <c r="J36" i="1"/>
  <c r="G21" i="1"/>
  <c r="G2" i="1"/>
  <c r="G30" i="1"/>
  <c r="G34" i="1"/>
  <c r="G57" i="1"/>
  <c r="G14" i="1"/>
  <c r="G20" i="1"/>
  <c r="G7" i="1"/>
  <c r="G22" i="1"/>
  <c r="G23" i="1"/>
  <c r="G55" i="1"/>
  <c r="G59" i="1"/>
  <c r="G52" i="1"/>
  <c r="G4" i="1"/>
  <c r="G15" i="1"/>
  <c r="G31" i="1"/>
  <c r="G36" i="1"/>
  <c r="G29" i="1"/>
  <c r="G43" i="1"/>
  <c r="G45" i="1"/>
  <c r="G58" i="1"/>
  <c r="G16" i="1"/>
  <c r="H16" i="1" s="1"/>
  <c r="G12" i="1"/>
  <c r="G6" i="1"/>
  <c r="G35" i="1"/>
  <c r="G25" i="1"/>
  <c r="G61" i="1"/>
  <c r="G42" i="1"/>
  <c r="G5" i="1"/>
  <c r="G10" i="1"/>
  <c r="G41" i="1"/>
  <c r="G39" i="1"/>
  <c r="G32" i="1"/>
  <c r="G44" i="1"/>
  <c r="G54" i="1"/>
  <c r="G46" i="1"/>
  <c r="G18" i="1"/>
  <c r="G19" i="1"/>
  <c r="G28" i="1"/>
  <c r="G26" i="1"/>
  <c r="G27" i="1"/>
  <c r="G53" i="1"/>
  <c r="G50" i="1"/>
  <c r="G60" i="1"/>
  <c r="H60" i="1" s="1"/>
  <c r="G17" i="1"/>
  <c r="G3" i="1"/>
  <c r="G13" i="1"/>
  <c r="G38" i="1"/>
  <c r="G24" i="1"/>
  <c r="G37" i="1"/>
  <c r="G56" i="1"/>
  <c r="G47" i="1"/>
  <c r="G9" i="1"/>
  <c r="G11" i="1"/>
  <c r="G8" i="1"/>
  <c r="G33" i="1"/>
  <c r="G40" i="1"/>
  <c r="G51" i="1"/>
  <c r="G48" i="1"/>
  <c r="G49" i="1"/>
  <c r="R1371" i="2" l="1"/>
  <c r="S1370" i="2"/>
  <c r="W16" i="1"/>
  <c r="Z16" i="1" s="1"/>
  <c r="H46" i="1"/>
  <c r="T3" i="2"/>
  <c r="V2" i="2"/>
  <c r="T75" i="2"/>
  <c r="V74" i="2"/>
  <c r="T147" i="2"/>
  <c r="V146" i="2"/>
  <c r="T219" i="2"/>
  <c r="V218" i="2"/>
  <c r="T291" i="2"/>
  <c r="V290" i="2"/>
  <c r="T363" i="2"/>
  <c r="V362" i="2"/>
  <c r="T435" i="2"/>
  <c r="V434" i="2"/>
  <c r="T507" i="2"/>
  <c r="V506" i="2"/>
  <c r="T579" i="2"/>
  <c r="V578" i="2"/>
  <c r="T3387" i="2"/>
  <c r="V3386" i="2"/>
  <c r="T3459" i="2"/>
  <c r="V3458" i="2"/>
  <c r="T3531" i="2"/>
  <c r="V3530" i="2"/>
  <c r="T3603" i="2"/>
  <c r="V3602" i="2"/>
  <c r="T3675" i="2"/>
  <c r="V3674" i="2"/>
  <c r="T3747" i="2"/>
  <c r="V3746" i="2"/>
  <c r="T3819" i="2"/>
  <c r="V3818" i="2"/>
  <c r="T3891" i="2"/>
  <c r="V3890" i="2"/>
  <c r="T3963" i="2"/>
  <c r="V3962" i="2"/>
  <c r="T4035" i="2"/>
  <c r="V4034" i="2"/>
  <c r="T4107" i="2"/>
  <c r="V4106" i="2"/>
  <c r="T4179" i="2"/>
  <c r="V4178" i="2"/>
  <c r="T4251" i="2"/>
  <c r="V4250" i="2"/>
  <c r="T651" i="2"/>
  <c r="V650" i="2"/>
  <c r="T723" i="2"/>
  <c r="V722" i="2"/>
  <c r="T795" i="2"/>
  <c r="V794" i="2"/>
  <c r="T867" i="2"/>
  <c r="V866" i="2"/>
  <c r="T939" i="2"/>
  <c r="V938" i="2"/>
  <c r="T1011" i="2"/>
  <c r="V1010" i="2"/>
  <c r="T1083" i="2"/>
  <c r="V1082" i="2"/>
  <c r="T1155" i="2"/>
  <c r="V1154" i="2"/>
  <c r="T1227" i="2"/>
  <c r="V1226" i="2"/>
  <c r="T1299" i="2"/>
  <c r="V1298" i="2"/>
  <c r="T1371" i="2"/>
  <c r="V1370" i="2"/>
  <c r="T1443" i="2"/>
  <c r="V1442" i="2"/>
  <c r="T1515" i="2"/>
  <c r="V1514" i="2"/>
  <c r="T1587" i="2"/>
  <c r="V1586" i="2"/>
  <c r="T1659" i="2"/>
  <c r="V1658" i="2"/>
  <c r="T1731" i="2"/>
  <c r="V1730" i="2"/>
  <c r="T1803" i="2"/>
  <c r="V1802" i="2"/>
  <c r="T1875" i="2"/>
  <c r="V1874" i="2"/>
  <c r="T1947" i="2"/>
  <c r="V1946" i="2"/>
  <c r="T2019" i="2"/>
  <c r="V2018" i="2"/>
  <c r="T2091" i="2"/>
  <c r="V2090" i="2"/>
  <c r="T2163" i="2"/>
  <c r="V2162" i="2"/>
  <c r="T2235" i="2"/>
  <c r="V2234" i="2"/>
  <c r="T2307" i="2"/>
  <c r="V2306" i="2"/>
  <c r="T2379" i="2"/>
  <c r="V2378" i="2"/>
  <c r="T2451" i="2"/>
  <c r="V2450" i="2"/>
  <c r="T2523" i="2"/>
  <c r="V2522" i="2"/>
  <c r="T2595" i="2"/>
  <c r="V2594" i="2"/>
  <c r="T2667" i="2"/>
  <c r="V2666" i="2"/>
  <c r="T2739" i="2"/>
  <c r="V2738" i="2"/>
  <c r="T2811" i="2"/>
  <c r="V2810" i="2"/>
  <c r="T2883" i="2"/>
  <c r="V2882" i="2"/>
  <c r="T2955" i="2"/>
  <c r="V2954" i="2"/>
  <c r="T3027" i="2"/>
  <c r="V3026" i="2"/>
  <c r="T3099" i="2"/>
  <c r="V3098" i="2"/>
  <c r="T3171" i="2"/>
  <c r="V3170" i="2"/>
  <c r="T3243" i="2"/>
  <c r="V3242" i="2"/>
  <c r="T3315" i="2"/>
  <c r="V3314" i="2"/>
  <c r="S1947" i="2"/>
  <c r="R1948" i="2"/>
  <c r="S2091" i="2"/>
  <c r="R651" i="2"/>
  <c r="R723" i="2"/>
  <c r="R795" i="2"/>
  <c r="R867" i="2"/>
  <c r="U867" i="2" s="1"/>
  <c r="R939" i="2"/>
  <c r="R1011" i="2"/>
  <c r="R1083" i="2"/>
  <c r="R1155" i="2"/>
  <c r="R1443" i="2"/>
  <c r="R1515" i="2"/>
  <c r="R1587" i="2"/>
  <c r="S1586" i="2"/>
  <c r="R1659" i="2"/>
  <c r="U1659" i="2" s="1"/>
  <c r="R1731" i="2"/>
  <c r="U1731" i="2" s="1"/>
  <c r="R1803" i="2"/>
  <c r="R1875" i="2"/>
  <c r="R2163" i="2"/>
  <c r="R2235" i="2"/>
  <c r="R2307" i="2"/>
  <c r="R2379" i="2"/>
  <c r="R2451" i="2"/>
  <c r="U2451" i="2" s="1"/>
  <c r="R2523" i="2"/>
  <c r="R2739" i="2"/>
  <c r="R2811" i="2"/>
  <c r="U2811" i="2" s="1"/>
  <c r="R2883" i="2"/>
  <c r="R2955" i="2"/>
  <c r="R3027" i="2"/>
  <c r="R3099" i="2"/>
  <c r="R3171" i="2"/>
  <c r="U1947" i="2"/>
  <c r="R2668" i="2"/>
  <c r="R3244" i="2"/>
  <c r="R3316" i="2"/>
  <c r="U2596" i="2"/>
  <c r="R3" i="2"/>
  <c r="R75" i="2"/>
  <c r="R147" i="2"/>
  <c r="R219" i="2"/>
  <c r="R291" i="2"/>
  <c r="R363" i="2"/>
  <c r="R435" i="2"/>
  <c r="R507" i="2"/>
  <c r="R579" i="2"/>
  <c r="R3387" i="2"/>
  <c r="R3459" i="2"/>
  <c r="R3531" i="2"/>
  <c r="U3531" i="2" s="1"/>
  <c r="U3532" i="2" s="1"/>
  <c r="U3533" i="2" s="1"/>
  <c r="U3534" i="2" s="1"/>
  <c r="U3535" i="2" s="1"/>
  <c r="U3536" i="2" s="1"/>
  <c r="R3603" i="2"/>
  <c r="R3675" i="2"/>
  <c r="R3747" i="2"/>
  <c r="R3819" i="2"/>
  <c r="R3891" i="2"/>
  <c r="U3891" i="2" s="1"/>
  <c r="U3892" i="2" s="1"/>
  <c r="U3893" i="2" s="1"/>
  <c r="U3894" i="2" s="1"/>
  <c r="U3895" i="2" s="1"/>
  <c r="U3896" i="2" s="1"/>
  <c r="R3963" i="2"/>
  <c r="R4035" i="2"/>
  <c r="R4107" i="2"/>
  <c r="R4179" i="2"/>
  <c r="R4251" i="2"/>
  <c r="U1371" i="2"/>
  <c r="U1227" i="2"/>
  <c r="R1228" i="2"/>
  <c r="U1299" i="2"/>
  <c r="R1300" i="2"/>
  <c r="U2019" i="2"/>
  <c r="R2020" i="2"/>
  <c r="U2091" i="2"/>
  <c r="R2092" i="2"/>
  <c r="S1371" i="2"/>
  <c r="R1372" i="2"/>
  <c r="S2596" i="2"/>
  <c r="R2597" i="2"/>
  <c r="H23" i="1"/>
  <c r="H55" i="1"/>
  <c r="H59" i="1"/>
  <c r="H15" i="1"/>
  <c r="W15" i="1" s="1"/>
  <c r="Z15" i="1" s="1"/>
  <c r="H31" i="1"/>
  <c r="H36" i="1"/>
  <c r="H29" i="1"/>
  <c r="H25" i="1"/>
  <c r="T2" i="1"/>
  <c r="H34" i="1"/>
  <c r="H57" i="1"/>
  <c r="H17" i="1"/>
  <c r="W17" i="1" s="1"/>
  <c r="Z17" i="1" s="1"/>
  <c r="H24" i="1"/>
  <c r="H47" i="1"/>
  <c r="H9" i="1"/>
  <c r="W9" i="1" s="1"/>
  <c r="Z9" i="1" s="1"/>
  <c r="H43" i="1"/>
  <c r="H2" i="1"/>
  <c r="H30" i="1"/>
  <c r="H45" i="1"/>
  <c r="H28" i="1"/>
  <c r="H50" i="1"/>
  <c r="H58" i="1"/>
  <c r="H13" i="1"/>
  <c r="W13" i="1" s="1"/>
  <c r="Z13" i="1" s="1"/>
  <c r="H56" i="1"/>
  <c r="H11" i="1"/>
  <c r="W11" i="1" s="1"/>
  <c r="Z11" i="1" s="1"/>
  <c r="H6" i="1"/>
  <c r="W6" i="1" s="1"/>
  <c r="Z6" i="1" s="1"/>
  <c r="H12" i="1"/>
  <c r="W12" i="1" s="1"/>
  <c r="Z12" i="1" s="1"/>
  <c r="H35" i="1"/>
  <c r="H61" i="1"/>
  <c r="H42" i="1"/>
  <c r="H5" i="1"/>
  <c r="W5" i="1" s="1"/>
  <c r="Z5" i="1" s="1"/>
  <c r="H10" i="1"/>
  <c r="W10" i="1" s="1"/>
  <c r="Z10" i="1" s="1"/>
  <c r="H18" i="1"/>
  <c r="W18" i="1" s="1"/>
  <c r="Z18" i="1" s="1"/>
  <c r="H27" i="1"/>
  <c r="H3" i="1"/>
  <c r="W3" i="1" s="1"/>
  <c r="Z3" i="1" s="1"/>
  <c r="H38" i="1"/>
  <c r="H37" i="1"/>
  <c r="H21" i="1"/>
  <c r="W21" i="1" s="1"/>
  <c r="Z21" i="1" s="1"/>
  <c r="H8" i="1"/>
  <c r="W8" i="1" s="1"/>
  <c r="Z8" i="1" s="1"/>
  <c r="H48" i="1"/>
  <c r="H14" i="1"/>
  <c r="W14" i="1" s="1"/>
  <c r="Z14" i="1" s="1"/>
  <c r="H20" i="1"/>
  <c r="W20" i="1" s="1"/>
  <c r="Z20" i="1" s="1"/>
  <c r="H7" i="1"/>
  <c r="W7" i="1" s="1"/>
  <c r="Z7" i="1" s="1"/>
  <c r="H22" i="1"/>
  <c r="H52" i="1"/>
  <c r="H4" i="1"/>
  <c r="W4" i="1" s="1"/>
  <c r="Z4" i="1" s="1"/>
  <c r="H41" i="1"/>
  <c r="H39" i="1"/>
  <c r="H32" i="1"/>
  <c r="H44" i="1"/>
  <c r="H54" i="1"/>
  <c r="H19" i="1"/>
  <c r="W19" i="1" s="1"/>
  <c r="Z19" i="1" s="1"/>
  <c r="H26" i="1"/>
  <c r="H53" i="1"/>
  <c r="H33" i="1"/>
  <c r="H40" i="1"/>
  <c r="H51" i="1"/>
  <c r="H49" i="1"/>
  <c r="K41" i="1"/>
  <c r="L41" i="1" s="1"/>
  <c r="M41" i="1" s="1"/>
  <c r="P41" i="1" s="1"/>
  <c r="K36" i="1"/>
  <c r="L36" i="1" s="1"/>
  <c r="M36" i="1" s="1"/>
  <c r="P36" i="1" s="1"/>
  <c r="K15" i="1"/>
  <c r="L15" i="1" s="1"/>
  <c r="M15" i="1" s="1"/>
  <c r="P15" i="1" s="1"/>
  <c r="K16" i="1"/>
  <c r="L16" i="1" s="1"/>
  <c r="M16" i="1" s="1"/>
  <c r="P16" i="1" s="1"/>
  <c r="K8" i="1"/>
  <c r="L8" i="1" s="1"/>
  <c r="M8" i="1" s="1"/>
  <c r="P8" i="1" s="1"/>
  <c r="K28" i="1"/>
  <c r="L28" i="1" s="1"/>
  <c r="M28" i="1" s="1"/>
  <c r="P28" i="1" s="1"/>
  <c r="K23" i="1"/>
  <c r="L23" i="1" s="1"/>
  <c r="M23" i="1" s="1"/>
  <c r="P23" i="1" s="1"/>
  <c r="K53" i="1"/>
  <c r="L53" i="1" s="1"/>
  <c r="M53" i="1" s="1"/>
  <c r="P53" i="1" s="1"/>
  <c r="K14" i="1"/>
  <c r="L14" i="1" s="1"/>
  <c r="M14" i="1" s="1"/>
  <c r="P14" i="1" s="1"/>
  <c r="K33" i="1"/>
  <c r="L33" i="1" s="1"/>
  <c r="M33" i="1" s="1"/>
  <c r="P33" i="1" s="1"/>
  <c r="K43" i="1"/>
  <c r="L43" i="1" s="1"/>
  <c r="M43" i="1" s="1"/>
  <c r="P43" i="1" s="1"/>
  <c r="K54" i="1"/>
  <c r="L54" i="1" s="1"/>
  <c r="M54" i="1" s="1"/>
  <c r="P54" i="1" s="1"/>
  <c r="K13" i="1"/>
  <c r="L13" i="1" s="1"/>
  <c r="M13" i="1" s="1"/>
  <c r="P13" i="1" s="1"/>
  <c r="K37" i="1"/>
  <c r="L37" i="1" s="1"/>
  <c r="M37" i="1" s="1"/>
  <c r="P37" i="1" s="1"/>
  <c r="K5" i="1"/>
  <c r="L5" i="1" s="1"/>
  <c r="M5" i="1" s="1"/>
  <c r="P5" i="1" s="1"/>
  <c r="K50" i="1"/>
  <c r="L50" i="1" s="1"/>
  <c r="M50" i="1" s="1"/>
  <c r="P50" i="1" s="1"/>
  <c r="K45" i="1"/>
  <c r="L45" i="1" s="1"/>
  <c r="M45" i="1" s="1"/>
  <c r="P45" i="1" s="1"/>
  <c r="K42" i="1"/>
  <c r="L42" i="1" s="1"/>
  <c r="M42" i="1" s="1"/>
  <c r="P42" i="1" s="1"/>
  <c r="K46" i="1"/>
  <c r="L46" i="1" s="1"/>
  <c r="M46" i="1" s="1"/>
  <c r="P46" i="1" s="1"/>
  <c r="K21" i="1"/>
  <c r="L21" i="1" s="1"/>
  <c r="M21" i="1" s="1"/>
  <c r="P21" i="1" s="1"/>
  <c r="K10" i="1"/>
  <c r="L10" i="1" s="1"/>
  <c r="M10" i="1" s="1"/>
  <c r="P10" i="1" s="1"/>
  <c r="K6" i="1"/>
  <c r="L6" i="1" s="1"/>
  <c r="M6" i="1" s="1"/>
  <c r="P6" i="1" s="1"/>
  <c r="K31" i="1"/>
  <c r="L31" i="1" s="1"/>
  <c r="M31" i="1" s="1"/>
  <c r="P31" i="1" s="1"/>
  <c r="K4" i="1"/>
  <c r="L4" i="1" s="1"/>
  <c r="M4" i="1" s="1"/>
  <c r="P4" i="1" s="1"/>
  <c r="K3" i="1"/>
  <c r="L3" i="1" s="1"/>
  <c r="M3" i="1" s="1"/>
  <c r="P3" i="1" s="1"/>
  <c r="K27" i="1"/>
  <c r="L27" i="1" s="1"/>
  <c r="M27" i="1" s="1"/>
  <c r="P27" i="1" s="1"/>
  <c r="K26" i="1"/>
  <c r="L26" i="1" s="1"/>
  <c r="M26" i="1" s="1"/>
  <c r="P26" i="1" s="1"/>
  <c r="K47" i="1"/>
  <c r="L47" i="1" s="1"/>
  <c r="M47" i="1" s="1"/>
  <c r="P47" i="1" s="1"/>
  <c r="K19" i="1"/>
  <c r="L19" i="1" s="1"/>
  <c r="M19" i="1" s="1"/>
  <c r="P19" i="1" s="1"/>
  <c r="K24" i="1"/>
  <c r="L24" i="1" s="1"/>
  <c r="M24" i="1" s="1"/>
  <c r="P24" i="1" s="1"/>
  <c r="K12" i="1"/>
  <c r="L12" i="1" s="1"/>
  <c r="M12" i="1" s="1"/>
  <c r="P12" i="1" s="1"/>
  <c r="K30" i="1"/>
  <c r="L30" i="1" s="1"/>
  <c r="M30" i="1" s="1"/>
  <c r="P30" i="1" s="1"/>
  <c r="K59" i="1"/>
  <c r="L59" i="1" s="1"/>
  <c r="M59" i="1" s="1"/>
  <c r="P59" i="1" s="1"/>
  <c r="K7" i="1"/>
  <c r="L7" i="1" s="1"/>
  <c r="M7" i="1" s="1"/>
  <c r="P7" i="1" s="1"/>
  <c r="K61" i="1"/>
  <c r="L61" i="1" s="1"/>
  <c r="M61" i="1" s="1"/>
  <c r="P61" i="1" s="1"/>
  <c r="K60" i="1"/>
  <c r="L60" i="1" s="1"/>
  <c r="M60" i="1" s="1"/>
  <c r="P60" i="1" s="1"/>
  <c r="K48" i="1"/>
  <c r="L48" i="1" s="1"/>
  <c r="M48" i="1" s="1"/>
  <c r="P48" i="1" s="1"/>
  <c r="K2" i="1"/>
  <c r="L2" i="1" s="1"/>
  <c r="M2" i="1" s="1"/>
  <c r="P2" i="1" s="1"/>
  <c r="K39" i="1"/>
  <c r="L39" i="1" s="1"/>
  <c r="M39" i="1" s="1"/>
  <c r="P39" i="1" s="1"/>
  <c r="K58" i="1"/>
  <c r="L58" i="1" s="1"/>
  <c r="M58" i="1" s="1"/>
  <c r="P58" i="1" s="1"/>
  <c r="K29" i="1"/>
  <c r="L29" i="1" s="1"/>
  <c r="M29" i="1" s="1"/>
  <c r="P29" i="1" s="1"/>
  <c r="K49" i="1"/>
  <c r="L49" i="1" s="1"/>
  <c r="M49" i="1" s="1"/>
  <c r="P49" i="1" s="1"/>
  <c r="K32" i="1"/>
  <c r="L32" i="1" s="1"/>
  <c r="M32" i="1" s="1"/>
  <c r="P32" i="1" s="1"/>
  <c r="K51" i="1"/>
  <c r="L51" i="1" s="1"/>
  <c r="M51" i="1" s="1"/>
  <c r="P51" i="1" s="1"/>
  <c r="K18" i="1"/>
  <c r="L18" i="1" s="1"/>
  <c r="M18" i="1" s="1"/>
  <c r="P18" i="1" s="1"/>
  <c r="K22" i="1"/>
  <c r="L22" i="1" s="1"/>
  <c r="M22" i="1" s="1"/>
  <c r="P22" i="1" s="1"/>
  <c r="K57" i="1"/>
  <c r="L57" i="1" s="1"/>
  <c r="M57" i="1" s="1"/>
  <c r="P57" i="1" s="1"/>
  <c r="K38" i="1"/>
  <c r="L38" i="1" s="1"/>
  <c r="M38" i="1" s="1"/>
  <c r="P38" i="1" s="1"/>
  <c r="K20" i="1"/>
  <c r="L20" i="1" s="1"/>
  <c r="M20" i="1" s="1"/>
  <c r="P20" i="1" s="1"/>
  <c r="K34" i="1"/>
  <c r="L34" i="1" s="1"/>
  <c r="M34" i="1" s="1"/>
  <c r="P34" i="1" s="1"/>
  <c r="K25" i="1"/>
  <c r="L25" i="1" s="1"/>
  <c r="M25" i="1" s="1"/>
  <c r="P25" i="1" s="1"/>
  <c r="K56" i="1"/>
  <c r="L56" i="1" s="1"/>
  <c r="M56" i="1" s="1"/>
  <c r="P56" i="1" s="1"/>
  <c r="K17" i="1"/>
  <c r="L17" i="1" s="1"/>
  <c r="M17" i="1" s="1"/>
  <c r="P17" i="1" s="1"/>
  <c r="K40" i="1"/>
  <c r="L40" i="1" s="1"/>
  <c r="M40" i="1" s="1"/>
  <c r="P40" i="1" s="1"/>
  <c r="K35" i="1"/>
  <c r="L35" i="1" s="1"/>
  <c r="M35" i="1" s="1"/>
  <c r="P35" i="1" s="1"/>
  <c r="K52" i="1"/>
  <c r="L52" i="1" s="1"/>
  <c r="M52" i="1" s="1"/>
  <c r="P52" i="1" s="1"/>
  <c r="K9" i="1"/>
  <c r="L9" i="1" s="1"/>
  <c r="M9" i="1" s="1"/>
  <c r="P9" i="1" s="1"/>
  <c r="K44" i="1"/>
  <c r="L44" i="1" s="1"/>
  <c r="M44" i="1" s="1"/>
  <c r="P44" i="1" s="1"/>
  <c r="K11" i="1"/>
  <c r="L11" i="1" s="1"/>
  <c r="M11" i="1" s="1"/>
  <c r="P11" i="1" s="1"/>
  <c r="K55" i="1"/>
  <c r="L55" i="1" s="1"/>
  <c r="M55" i="1" s="1"/>
  <c r="P55" i="1" s="1"/>
  <c r="W2" i="1" l="1"/>
  <c r="Z2" i="1" s="1"/>
  <c r="U1587" i="2"/>
  <c r="V1587" i="2" s="1"/>
  <c r="S1948" i="2"/>
  <c r="R1949" i="2"/>
  <c r="U651" i="2"/>
  <c r="V651" i="2" s="1"/>
  <c r="S651" i="2"/>
  <c r="R652" i="2"/>
  <c r="R796" i="2"/>
  <c r="U795" i="2"/>
  <c r="V795" i="2" s="1"/>
  <c r="S795" i="2"/>
  <c r="U939" i="2"/>
  <c r="R940" i="2"/>
  <c r="R941" i="2" s="1"/>
  <c r="S939" i="2"/>
  <c r="S940" i="2" s="1"/>
  <c r="R1012" i="2"/>
  <c r="U1011" i="2"/>
  <c r="V1011" i="2" s="1"/>
  <c r="S1011" i="2"/>
  <c r="R1084" i="2"/>
  <c r="U1083" i="2"/>
  <c r="V1083" i="2" s="1"/>
  <c r="S1083" i="2"/>
  <c r="U1155" i="2"/>
  <c r="V1155" i="2" s="1"/>
  <c r="R1156" i="2"/>
  <c r="S1155" i="2"/>
  <c r="U219" i="2"/>
  <c r="S219" i="2"/>
  <c r="S220" i="2" s="1"/>
  <c r="R220" i="2"/>
  <c r="R221" i="2" s="1"/>
  <c r="U291" i="2"/>
  <c r="V291" i="2" s="1"/>
  <c r="S291" i="2"/>
  <c r="R292" i="2"/>
  <c r="U292" i="2" s="1"/>
  <c r="U1948" i="2"/>
  <c r="T4" i="2"/>
  <c r="T76" i="2"/>
  <c r="T148" i="2"/>
  <c r="T220" i="2"/>
  <c r="T292" i="2"/>
  <c r="T364" i="2"/>
  <c r="T436" i="2"/>
  <c r="T508" i="2"/>
  <c r="T580" i="2"/>
  <c r="V3387" i="2"/>
  <c r="T3388" i="2"/>
  <c r="V3459" i="2"/>
  <c r="T3460" i="2"/>
  <c r="V3531" i="2"/>
  <c r="T3532" i="2"/>
  <c r="V3603" i="2"/>
  <c r="T3604" i="2"/>
  <c r="V3675" i="2"/>
  <c r="T3676" i="2"/>
  <c r="V3747" i="2"/>
  <c r="T3748" i="2"/>
  <c r="V3819" i="2"/>
  <c r="T3820" i="2"/>
  <c r="V3891" i="2"/>
  <c r="T3892" i="2"/>
  <c r="V3963" i="2"/>
  <c r="T3964" i="2"/>
  <c r="V4035" i="2"/>
  <c r="T4036" i="2"/>
  <c r="V4107" i="2"/>
  <c r="T4108" i="2"/>
  <c r="V4179" i="2"/>
  <c r="T4180" i="2"/>
  <c r="V4251" i="2"/>
  <c r="T4252" i="2"/>
  <c r="T652" i="2"/>
  <c r="T724" i="2"/>
  <c r="T796" i="2"/>
  <c r="V867" i="2"/>
  <c r="T868" i="2"/>
  <c r="T940" i="2"/>
  <c r="T1012" i="2"/>
  <c r="T1084" i="2"/>
  <c r="T1156" i="2"/>
  <c r="V1227" i="2"/>
  <c r="T1228" i="2"/>
  <c r="V1299" i="2"/>
  <c r="T1300" i="2"/>
  <c r="V1371" i="2"/>
  <c r="T1372" i="2"/>
  <c r="V1443" i="2"/>
  <c r="T1444" i="2"/>
  <c r="V1515" i="2"/>
  <c r="T1516" i="2"/>
  <c r="T1588" i="2"/>
  <c r="V1659" i="2"/>
  <c r="T1660" i="2"/>
  <c r="V1731" i="2"/>
  <c r="T1732" i="2"/>
  <c r="V1803" i="2"/>
  <c r="T1804" i="2"/>
  <c r="V1875" i="2"/>
  <c r="T1876" i="2"/>
  <c r="V1947" i="2"/>
  <c r="T1948" i="2"/>
  <c r="V2019" i="2"/>
  <c r="T2020" i="2"/>
  <c r="V2091" i="2"/>
  <c r="T2092" i="2"/>
  <c r="V2163" i="2"/>
  <c r="T2164" i="2"/>
  <c r="V2235" i="2"/>
  <c r="T2236" i="2"/>
  <c r="T2308" i="2"/>
  <c r="T2380" i="2"/>
  <c r="V2451" i="2"/>
  <c r="T2452" i="2"/>
  <c r="V2523" i="2"/>
  <c r="T2524" i="2"/>
  <c r="V2595" i="2"/>
  <c r="T2596" i="2"/>
  <c r="V2667" i="2"/>
  <c r="T2668" i="2"/>
  <c r="T2740" i="2"/>
  <c r="V2811" i="2"/>
  <c r="T2812" i="2"/>
  <c r="V2883" i="2"/>
  <c r="T2884" i="2"/>
  <c r="V2955" i="2"/>
  <c r="T2956" i="2"/>
  <c r="V3027" i="2"/>
  <c r="T3028" i="2"/>
  <c r="V3099" i="2"/>
  <c r="T3100" i="2"/>
  <c r="V3171" i="2"/>
  <c r="T3172" i="2"/>
  <c r="V3243" i="2"/>
  <c r="T3244" i="2"/>
  <c r="V3315" i="2"/>
  <c r="T3316" i="2"/>
  <c r="S867" i="2"/>
  <c r="R868" i="2"/>
  <c r="S435" i="2"/>
  <c r="R436" i="2"/>
  <c r="S1587" i="2"/>
  <c r="R1588" i="2"/>
  <c r="S1659" i="2"/>
  <c r="R1660" i="2"/>
  <c r="S1731" i="2"/>
  <c r="R1732" i="2"/>
  <c r="S2307" i="2"/>
  <c r="R2308" i="2"/>
  <c r="S2451" i="2"/>
  <c r="R2452" i="2"/>
  <c r="S2811" i="2"/>
  <c r="R2812" i="2"/>
  <c r="S3531" i="2"/>
  <c r="S3532" i="2" s="1"/>
  <c r="S3533" i="2" s="1"/>
  <c r="S3534" i="2" s="1"/>
  <c r="S3535" i="2" s="1"/>
  <c r="S3536" i="2" s="1"/>
  <c r="R3532" i="2"/>
  <c r="R3533" i="2" s="1"/>
  <c r="S3891" i="2"/>
  <c r="S3892" i="2" s="1"/>
  <c r="S3893" i="2" s="1"/>
  <c r="S3894" i="2" s="1"/>
  <c r="S3895" i="2" s="1"/>
  <c r="S3896" i="2" s="1"/>
  <c r="R3892" i="2"/>
  <c r="R3893" i="2" s="1"/>
  <c r="U2307" i="2"/>
  <c r="V2307" i="2" s="1"/>
  <c r="R2380" i="2"/>
  <c r="R2381" i="2" s="1"/>
  <c r="S2379" i="2"/>
  <c r="S2380" i="2" s="1"/>
  <c r="U2379" i="2"/>
  <c r="U3" i="2"/>
  <c r="V3" i="2" s="1"/>
  <c r="S3" i="2"/>
  <c r="R4" i="2"/>
  <c r="U75" i="2"/>
  <c r="V75" i="2" s="1"/>
  <c r="S75" i="2"/>
  <c r="R76" i="2"/>
  <c r="U147" i="2"/>
  <c r="V147" i="2" s="1"/>
  <c r="S147" i="2"/>
  <c r="R148" i="2"/>
  <c r="U363" i="2"/>
  <c r="V363" i="2" s="1"/>
  <c r="S363" i="2"/>
  <c r="R364" i="2"/>
  <c r="U435" i="2"/>
  <c r="V435" i="2" s="1"/>
  <c r="U507" i="2"/>
  <c r="V507" i="2" s="1"/>
  <c r="S507" i="2"/>
  <c r="R508" i="2"/>
  <c r="U579" i="2"/>
  <c r="V579" i="2" s="1"/>
  <c r="S579" i="2"/>
  <c r="R580" i="2"/>
  <c r="U723" i="2"/>
  <c r="V723" i="2" s="1"/>
  <c r="R1444" i="2"/>
  <c r="R1516" i="2"/>
  <c r="R1804" i="2"/>
  <c r="R1876" i="2"/>
  <c r="R2164" i="2"/>
  <c r="R2236" i="2"/>
  <c r="R2524" i="2"/>
  <c r="R2884" i="2"/>
  <c r="R2956" i="2"/>
  <c r="R3028" i="2"/>
  <c r="R3100" i="2"/>
  <c r="R3172" i="2"/>
  <c r="R2669" i="2"/>
  <c r="R3245" i="2"/>
  <c r="R3317" i="2"/>
  <c r="R3388" i="2"/>
  <c r="R3460" i="2"/>
  <c r="R3604" i="2"/>
  <c r="R3676" i="2"/>
  <c r="R3748" i="2"/>
  <c r="R3820" i="2"/>
  <c r="R3964" i="2"/>
  <c r="R4036" i="2"/>
  <c r="R4108" i="2"/>
  <c r="R4180" i="2"/>
  <c r="R4252" i="2"/>
  <c r="S723" i="2"/>
  <c r="R724" i="2"/>
  <c r="U2739" i="2"/>
  <c r="V2739" i="2" s="1"/>
  <c r="S2739" i="2"/>
  <c r="R2740" i="2"/>
  <c r="U2597" i="2"/>
  <c r="U1372" i="2"/>
  <c r="U1228" i="2"/>
  <c r="S1228" i="2"/>
  <c r="R1229" i="2"/>
  <c r="U1300" i="2"/>
  <c r="S1300" i="2"/>
  <c r="R1301" i="2"/>
  <c r="U2020" i="2"/>
  <c r="S2020" i="2"/>
  <c r="R2021" i="2"/>
  <c r="U2092" i="2"/>
  <c r="S2092" i="2"/>
  <c r="R2093" i="2"/>
  <c r="S796" i="2"/>
  <c r="R797" i="2"/>
  <c r="S1012" i="2"/>
  <c r="R1013" i="2"/>
  <c r="S1372" i="2"/>
  <c r="R1373" i="2"/>
  <c r="S2812" i="2"/>
  <c r="S2813" i="2" s="1"/>
  <c r="R2813" i="2"/>
  <c r="S1949" i="2"/>
  <c r="R1950" i="2"/>
  <c r="S2597" i="2"/>
  <c r="R2598" i="2"/>
  <c r="U1084" i="2" l="1"/>
  <c r="U1012" i="2"/>
  <c r="U796" i="2"/>
  <c r="V796" i="2" s="1"/>
  <c r="U797" i="2"/>
  <c r="U1949" i="2"/>
  <c r="U1950" i="2" s="1"/>
  <c r="U940" i="2"/>
  <c r="V939" i="2"/>
  <c r="S1084" i="2"/>
  <c r="R1085" i="2"/>
  <c r="S1156" i="2"/>
  <c r="R1157" i="2"/>
  <c r="U1156" i="2"/>
  <c r="U220" i="2"/>
  <c r="V219" i="2"/>
  <c r="U868" i="2"/>
  <c r="V868" i="2" s="1"/>
  <c r="U1588" i="2"/>
  <c r="U1732" i="2"/>
  <c r="V1732" i="2" s="1"/>
  <c r="U2452" i="2"/>
  <c r="U4" i="2"/>
  <c r="V4" i="2" s="1"/>
  <c r="U1085" i="2"/>
  <c r="U1086" i="2" s="1"/>
  <c r="U652" i="2"/>
  <c r="V652" i="2" s="1"/>
  <c r="S652" i="2"/>
  <c r="R653" i="2"/>
  <c r="S292" i="2"/>
  <c r="R293" i="2"/>
  <c r="S868" i="2"/>
  <c r="R869" i="2"/>
  <c r="S436" i="2"/>
  <c r="R437" i="2"/>
  <c r="S1588" i="2"/>
  <c r="S1589" i="2" s="1"/>
  <c r="R1589" i="2"/>
  <c r="R1590" i="2" s="1"/>
  <c r="S1660" i="2"/>
  <c r="S1661" i="2" s="1"/>
  <c r="R1661" i="2"/>
  <c r="R1662" i="2" s="1"/>
  <c r="S1732" i="2"/>
  <c r="R1733" i="2"/>
  <c r="S2308" i="2"/>
  <c r="S2309" i="2" s="1"/>
  <c r="R2309" i="2"/>
  <c r="R2310" i="2" s="1"/>
  <c r="S2452" i="2"/>
  <c r="S2453" i="2" s="1"/>
  <c r="R2453" i="2"/>
  <c r="R2454" i="2" s="1"/>
  <c r="R5" i="2"/>
  <c r="S4" i="2"/>
  <c r="S221" i="2"/>
  <c r="R222" i="2"/>
  <c r="S797" i="2"/>
  <c r="R798" i="2"/>
  <c r="U2308" i="2"/>
  <c r="U2380" i="2"/>
  <c r="V2379" i="2"/>
  <c r="T5" i="2"/>
  <c r="T77" i="2"/>
  <c r="T149" i="2"/>
  <c r="T221" i="2"/>
  <c r="V292" i="2"/>
  <c r="T293" i="2"/>
  <c r="T365" i="2"/>
  <c r="T437" i="2"/>
  <c r="T509" i="2"/>
  <c r="T581" i="2"/>
  <c r="V3388" i="2"/>
  <c r="T3389" i="2"/>
  <c r="V3460" i="2"/>
  <c r="T3461" i="2"/>
  <c r="V3532" i="2"/>
  <c r="T3533" i="2"/>
  <c r="V3604" i="2"/>
  <c r="T3605" i="2"/>
  <c r="V3676" i="2"/>
  <c r="T3677" i="2"/>
  <c r="V3748" i="2"/>
  <c r="T3749" i="2"/>
  <c r="V3820" i="2"/>
  <c r="T3821" i="2"/>
  <c r="V3892" i="2"/>
  <c r="T3893" i="2"/>
  <c r="V3964" i="2"/>
  <c r="T3965" i="2"/>
  <c r="V4036" i="2"/>
  <c r="T4037" i="2"/>
  <c r="V4108" i="2"/>
  <c r="T4109" i="2"/>
  <c r="V4180" i="2"/>
  <c r="T4181" i="2"/>
  <c r="V4252" i="2"/>
  <c r="T4253" i="2"/>
  <c r="T653" i="2"/>
  <c r="T725" i="2"/>
  <c r="T797" i="2"/>
  <c r="T869" i="2"/>
  <c r="T941" i="2"/>
  <c r="T1013" i="2"/>
  <c r="V1084" i="2"/>
  <c r="T1085" i="2"/>
  <c r="T1157" i="2"/>
  <c r="V1228" i="2"/>
  <c r="T1229" i="2"/>
  <c r="V1300" i="2"/>
  <c r="T1301" i="2"/>
  <c r="V1372" i="2"/>
  <c r="T1373" i="2"/>
  <c r="T1445" i="2"/>
  <c r="V1516" i="2"/>
  <c r="T1517" i="2"/>
  <c r="T1589" i="2"/>
  <c r="T1661" i="2"/>
  <c r="T1733" i="2"/>
  <c r="T1805" i="2"/>
  <c r="V1876" i="2"/>
  <c r="T1877" i="2"/>
  <c r="V1948" i="2"/>
  <c r="T1949" i="2"/>
  <c r="V2020" i="2"/>
  <c r="T2021" i="2"/>
  <c r="V2092" i="2"/>
  <c r="T2093" i="2"/>
  <c r="V2164" i="2"/>
  <c r="T2165" i="2"/>
  <c r="T2237" i="2"/>
  <c r="T2309" i="2"/>
  <c r="T2381" i="2"/>
  <c r="T2453" i="2"/>
  <c r="V2524" i="2"/>
  <c r="T2525" i="2"/>
  <c r="V2596" i="2"/>
  <c r="T2597" i="2"/>
  <c r="V2668" i="2"/>
  <c r="T2669" i="2"/>
  <c r="T2741" i="2"/>
  <c r="T2813" i="2"/>
  <c r="V2884" i="2"/>
  <c r="T2885" i="2"/>
  <c r="V2956" i="2"/>
  <c r="T2957" i="2"/>
  <c r="V3028" i="2"/>
  <c r="T3029" i="2"/>
  <c r="T3101" i="2"/>
  <c r="V3172" i="2"/>
  <c r="T3173" i="2"/>
  <c r="V3244" i="2"/>
  <c r="T3245" i="2"/>
  <c r="V3316" i="2"/>
  <c r="T3317" i="2"/>
  <c r="U436" i="2"/>
  <c r="U1660" i="2"/>
  <c r="U2812" i="2"/>
  <c r="U364" i="2"/>
  <c r="V364" i="2" s="1"/>
  <c r="U76" i="2"/>
  <c r="V76" i="2" s="1"/>
  <c r="S76" i="2"/>
  <c r="R77" i="2"/>
  <c r="S148" i="2"/>
  <c r="R149" i="2"/>
  <c r="S364" i="2"/>
  <c r="R365" i="2"/>
  <c r="U508" i="2"/>
  <c r="V508" i="2" s="1"/>
  <c r="S508" i="2"/>
  <c r="R509" i="2"/>
  <c r="S580" i="2"/>
  <c r="R581" i="2"/>
  <c r="U580" i="2"/>
  <c r="V580" i="2" s="1"/>
  <c r="U148" i="2"/>
  <c r="V148" i="2" s="1"/>
  <c r="U1444" i="2"/>
  <c r="V1444" i="2" s="1"/>
  <c r="S1444" i="2"/>
  <c r="R1445" i="2"/>
  <c r="U1804" i="2"/>
  <c r="V1804" i="2" s="1"/>
  <c r="S1804" i="2"/>
  <c r="R1805" i="2"/>
  <c r="R2237" i="2"/>
  <c r="S2236" i="2"/>
  <c r="S2237" i="2" s="1"/>
  <c r="U2236" i="2"/>
  <c r="S3100" i="2"/>
  <c r="S3101" i="2" s="1"/>
  <c r="U3100" i="2"/>
  <c r="R3101" i="2"/>
  <c r="S2381" i="2"/>
  <c r="R2382" i="2"/>
  <c r="S941" i="2"/>
  <c r="R942" i="2"/>
  <c r="R1517" i="2"/>
  <c r="R1877" i="2"/>
  <c r="R2165" i="2"/>
  <c r="R2525" i="2"/>
  <c r="R2885" i="2"/>
  <c r="R2957" i="2"/>
  <c r="R3029" i="2"/>
  <c r="R3173" i="2"/>
  <c r="R2670" i="2"/>
  <c r="R3246" i="2"/>
  <c r="R3318" i="2"/>
  <c r="R3389" i="2"/>
  <c r="R3461" i="2"/>
  <c r="R3605" i="2"/>
  <c r="R3677" i="2"/>
  <c r="R3749" i="2"/>
  <c r="R3821" i="2"/>
  <c r="R3965" i="2"/>
  <c r="R4037" i="2"/>
  <c r="R4109" i="2"/>
  <c r="R4181" i="2"/>
  <c r="R4253" i="2"/>
  <c r="U724" i="2"/>
  <c r="V724" i="2" s="1"/>
  <c r="U2740" i="2"/>
  <c r="V2740" i="2" s="1"/>
  <c r="R3534" i="2"/>
  <c r="R3894" i="2"/>
  <c r="U1373" i="2"/>
  <c r="S724" i="2"/>
  <c r="R725" i="2"/>
  <c r="S2740" i="2"/>
  <c r="R2741" i="2"/>
  <c r="R2814" i="2"/>
  <c r="U2598" i="2"/>
  <c r="U2599" i="2" s="1"/>
  <c r="U1229" i="2"/>
  <c r="S1229" i="2"/>
  <c r="R1230" i="2"/>
  <c r="U1301" i="2"/>
  <c r="S1301" i="2"/>
  <c r="R1302" i="2"/>
  <c r="U2021" i="2"/>
  <c r="U2022" i="2" s="1"/>
  <c r="U2023" i="2" s="1"/>
  <c r="S2021" i="2"/>
  <c r="S2022" i="2" s="1"/>
  <c r="S2023" i="2" s="1"/>
  <c r="R2022" i="2"/>
  <c r="U2093" i="2"/>
  <c r="S2093" i="2"/>
  <c r="R2094" i="2"/>
  <c r="R1014" i="2"/>
  <c r="S1013" i="2"/>
  <c r="S1373" i="2"/>
  <c r="R1374" i="2"/>
  <c r="S1950" i="2"/>
  <c r="R1951" i="2"/>
  <c r="S2598" i="2"/>
  <c r="S2599" i="2" s="1"/>
  <c r="R2599" i="2"/>
  <c r="U869" i="2" l="1"/>
  <c r="S1157" i="2"/>
  <c r="R1158" i="2"/>
  <c r="S5" i="2"/>
  <c r="R6" i="2"/>
  <c r="V1012" i="2"/>
  <c r="U1013" i="2"/>
  <c r="U798" i="2"/>
  <c r="U293" i="2"/>
  <c r="V293" i="2" s="1"/>
  <c r="U2453" i="2"/>
  <c r="V2452" i="2"/>
  <c r="V2380" i="2"/>
  <c r="U2381" i="2"/>
  <c r="V940" i="2"/>
  <c r="U941" i="2"/>
  <c r="U221" i="2"/>
  <c r="V221" i="2" s="1"/>
  <c r="V220" i="2"/>
  <c r="U1733" i="2"/>
  <c r="U222" i="2"/>
  <c r="U5" i="2"/>
  <c r="S1085" i="2"/>
  <c r="S1086" i="2" s="1"/>
  <c r="R1086" i="2"/>
  <c r="R1087" i="2" s="1"/>
  <c r="U1157" i="2"/>
  <c r="V1156" i="2"/>
  <c r="U1589" i="2"/>
  <c r="V1588" i="2"/>
  <c r="S2382" i="2"/>
  <c r="R2383" i="2"/>
  <c r="U77" i="2"/>
  <c r="V77" i="2" s="1"/>
  <c r="U365" i="2"/>
  <c r="V365" i="2" s="1"/>
  <c r="U509" i="2"/>
  <c r="V509" i="2" s="1"/>
  <c r="U653" i="2"/>
  <c r="V653" i="2" s="1"/>
  <c r="S653" i="2"/>
  <c r="R654" i="2"/>
  <c r="S293" i="2"/>
  <c r="R294" i="2"/>
  <c r="S869" i="2"/>
  <c r="R870" i="2"/>
  <c r="S437" i="2"/>
  <c r="R438" i="2"/>
  <c r="S1733" i="2"/>
  <c r="S1734" i="2" s="1"/>
  <c r="R1734" i="2"/>
  <c r="R1735" i="2" s="1"/>
  <c r="S222" i="2"/>
  <c r="R223" i="2"/>
  <c r="S798" i="2"/>
  <c r="R799" i="2"/>
  <c r="U2309" i="2"/>
  <c r="V2308" i="2"/>
  <c r="S77" i="2"/>
  <c r="R78" i="2"/>
  <c r="S149" i="2"/>
  <c r="R150" i="2"/>
  <c r="S365" i="2"/>
  <c r="R366" i="2"/>
  <c r="S509" i="2"/>
  <c r="R510" i="2"/>
  <c r="S581" i="2"/>
  <c r="R582" i="2"/>
  <c r="U2237" i="2"/>
  <c r="V2237" i="2" s="1"/>
  <c r="V2236" i="2"/>
  <c r="V436" i="2"/>
  <c r="U437" i="2"/>
  <c r="U581" i="2"/>
  <c r="U1661" i="2"/>
  <c r="V1660" i="2"/>
  <c r="T6" i="2"/>
  <c r="T78" i="2"/>
  <c r="T150" i="2"/>
  <c r="T222" i="2"/>
  <c r="T294" i="2"/>
  <c r="T366" i="2"/>
  <c r="T438" i="2"/>
  <c r="T510" i="2"/>
  <c r="T582" i="2"/>
  <c r="V3389" i="2"/>
  <c r="T3390" i="2"/>
  <c r="V3461" i="2"/>
  <c r="T3462" i="2"/>
  <c r="V3533" i="2"/>
  <c r="T3534" i="2"/>
  <c r="V3605" i="2"/>
  <c r="T3606" i="2"/>
  <c r="V3677" i="2"/>
  <c r="T3678" i="2"/>
  <c r="V3749" i="2"/>
  <c r="T3750" i="2"/>
  <c r="V3821" i="2"/>
  <c r="T3822" i="2"/>
  <c r="V3893" i="2"/>
  <c r="T3894" i="2"/>
  <c r="V3965" i="2"/>
  <c r="T3966" i="2"/>
  <c r="V4037" i="2"/>
  <c r="T4038" i="2"/>
  <c r="V4109" i="2"/>
  <c r="T4110" i="2"/>
  <c r="V4181" i="2"/>
  <c r="T4182" i="2"/>
  <c r="V4253" i="2"/>
  <c r="T4254" i="2"/>
  <c r="T654" i="2"/>
  <c r="T726" i="2"/>
  <c r="V797" i="2"/>
  <c r="T798" i="2"/>
  <c r="V869" i="2"/>
  <c r="T870" i="2"/>
  <c r="T942" i="2"/>
  <c r="T1014" i="2"/>
  <c r="V1085" i="2"/>
  <c r="T1086" i="2"/>
  <c r="T1158" i="2"/>
  <c r="V1229" i="2"/>
  <c r="T1230" i="2"/>
  <c r="V1301" i="2"/>
  <c r="T1302" i="2"/>
  <c r="V1373" i="2"/>
  <c r="T1374" i="2"/>
  <c r="T1446" i="2"/>
  <c r="V1517" i="2"/>
  <c r="T1518" i="2"/>
  <c r="T1590" i="2"/>
  <c r="T1662" i="2"/>
  <c r="T1734" i="2"/>
  <c r="T1806" i="2"/>
  <c r="V1877" i="2"/>
  <c r="T1878" i="2"/>
  <c r="V1949" i="2"/>
  <c r="T1950" i="2"/>
  <c r="V2021" i="2"/>
  <c r="T2022" i="2"/>
  <c r="V2093" i="2"/>
  <c r="T2094" i="2"/>
  <c r="T2166" i="2"/>
  <c r="T2238" i="2"/>
  <c r="T2310" i="2"/>
  <c r="T2382" i="2"/>
  <c r="T2454" i="2"/>
  <c r="V2525" i="2"/>
  <c r="T2526" i="2"/>
  <c r="V2597" i="2"/>
  <c r="T2598" i="2"/>
  <c r="V2669" i="2"/>
  <c r="T2670" i="2"/>
  <c r="T2742" i="2"/>
  <c r="T2814" i="2"/>
  <c r="T2886" i="2"/>
  <c r="V2957" i="2"/>
  <c r="T2958" i="2"/>
  <c r="V3029" i="2"/>
  <c r="T3030" i="2"/>
  <c r="T3102" i="2"/>
  <c r="V3173" i="2"/>
  <c r="T3174" i="2"/>
  <c r="V3245" i="2"/>
  <c r="T3246" i="2"/>
  <c r="V3317" i="2"/>
  <c r="T3318" i="2"/>
  <c r="U149" i="2"/>
  <c r="U2813" i="2"/>
  <c r="V2812" i="2"/>
  <c r="U3101" i="2"/>
  <c r="V3101" i="2" s="1"/>
  <c r="V3100" i="2"/>
  <c r="S2741" i="2"/>
  <c r="S2742" i="2" s="1"/>
  <c r="S2743" i="2" s="1"/>
  <c r="R2742" i="2"/>
  <c r="R2743" i="2" s="1"/>
  <c r="S1590" i="2"/>
  <c r="R1591" i="2"/>
  <c r="S1662" i="2"/>
  <c r="R1663" i="2"/>
  <c r="S2454" i="2"/>
  <c r="R2455" i="2"/>
  <c r="S725" i="2"/>
  <c r="R726" i="2"/>
  <c r="S2310" i="2"/>
  <c r="S2311" i="2" s="1"/>
  <c r="S2312" i="2" s="1"/>
  <c r="R2311" i="2"/>
  <c r="R2312" i="2" s="1"/>
  <c r="R1446" i="2"/>
  <c r="S1445" i="2"/>
  <c r="U1445" i="2"/>
  <c r="V1445" i="2" s="1"/>
  <c r="R1806" i="2"/>
  <c r="S1805" i="2"/>
  <c r="U1805" i="2"/>
  <c r="V1805" i="2" s="1"/>
  <c r="R2238" i="2"/>
  <c r="R3102" i="2"/>
  <c r="R943" i="2"/>
  <c r="S942" i="2"/>
  <c r="S1158" i="2"/>
  <c r="R1159" i="2"/>
  <c r="U2165" i="2"/>
  <c r="S2165" i="2"/>
  <c r="S2166" i="2" s="1"/>
  <c r="R2166" i="2"/>
  <c r="U2885" i="2"/>
  <c r="R2886" i="2"/>
  <c r="S2885" i="2"/>
  <c r="S2886" i="2" s="1"/>
  <c r="S2887" i="2" s="1"/>
  <c r="S2888" i="2" s="1"/>
  <c r="S2889" i="2" s="1"/>
  <c r="S2890" i="2" s="1"/>
  <c r="S2891" i="2" s="1"/>
  <c r="S2892" i="2" s="1"/>
  <c r="S2893" i="2" s="1"/>
  <c r="S2894" i="2" s="1"/>
  <c r="S2895" i="2" s="1"/>
  <c r="S2896" i="2" s="1"/>
  <c r="S2897" i="2" s="1"/>
  <c r="S2898" i="2" s="1"/>
  <c r="S2899" i="2" s="1"/>
  <c r="S2814" i="2"/>
  <c r="R2815" i="2"/>
  <c r="S2094" i="2"/>
  <c r="S2095" i="2" s="1"/>
  <c r="S2096" i="2" s="1"/>
  <c r="S2097" i="2" s="1"/>
  <c r="S2098" i="2" s="1"/>
  <c r="R2095" i="2"/>
  <c r="R1518" i="2"/>
  <c r="R1878" i="2"/>
  <c r="R2526" i="2"/>
  <c r="R2958" i="2"/>
  <c r="R3030" i="2"/>
  <c r="R3174" i="2"/>
  <c r="R2671" i="2"/>
  <c r="R3247" i="2"/>
  <c r="R3319" i="2"/>
  <c r="R3390" i="2"/>
  <c r="R3462" i="2"/>
  <c r="R3606" i="2"/>
  <c r="R3678" i="2"/>
  <c r="R3750" i="2"/>
  <c r="R3822" i="2"/>
  <c r="R3966" i="2"/>
  <c r="R4038" i="2"/>
  <c r="R4110" i="2"/>
  <c r="R4182" i="2"/>
  <c r="R4254" i="2"/>
  <c r="R3535" i="2"/>
  <c r="R3895" i="2"/>
  <c r="U725" i="2"/>
  <c r="V725" i="2" s="1"/>
  <c r="U2741" i="2"/>
  <c r="U1374" i="2"/>
  <c r="R2023" i="2"/>
  <c r="U2094" i="2"/>
  <c r="U2095" i="2" s="1"/>
  <c r="U2096" i="2" s="1"/>
  <c r="U2097" i="2" s="1"/>
  <c r="U2098" i="2" s="1"/>
  <c r="U1951" i="2"/>
  <c r="U1952" i="2" s="1"/>
  <c r="U1953" i="2" s="1"/>
  <c r="R2600" i="2"/>
  <c r="U1230" i="2"/>
  <c r="S1230" i="2"/>
  <c r="R1231" i="2"/>
  <c r="U1302" i="2"/>
  <c r="S1302" i="2"/>
  <c r="R1303" i="2"/>
  <c r="R1015" i="2"/>
  <c r="S1014" i="2"/>
  <c r="R7" i="2"/>
  <c r="S6" i="2"/>
  <c r="S1374" i="2"/>
  <c r="R1375" i="2"/>
  <c r="S1951" i="2"/>
  <c r="S1952" i="2" s="1"/>
  <c r="S1953" i="2" s="1"/>
  <c r="R1952" i="2"/>
  <c r="V941" i="2" l="1"/>
  <c r="U942" i="2"/>
  <c r="V2381" i="2"/>
  <c r="U2382" i="2"/>
  <c r="V2382" i="2" s="1"/>
  <c r="V1013" i="2"/>
  <c r="U1014" i="2"/>
  <c r="V2453" i="2"/>
  <c r="U2454" i="2"/>
  <c r="V1157" i="2"/>
  <c r="U1158" i="2"/>
  <c r="U1734" i="2"/>
  <c r="V1733" i="2"/>
  <c r="U6" i="2"/>
  <c r="V5" i="2"/>
  <c r="V1589" i="2"/>
  <c r="U1590" i="2"/>
  <c r="U2742" i="2"/>
  <c r="V2741" i="2"/>
  <c r="U1087" i="2"/>
  <c r="S1087" i="2"/>
  <c r="R1088" i="2"/>
  <c r="U2383" i="2"/>
  <c r="S2383" i="2"/>
  <c r="R2384" i="2"/>
  <c r="S654" i="2"/>
  <c r="S655" i="2" s="1"/>
  <c r="U654" i="2"/>
  <c r="R655" i="2"/>
  <c r="R656" i="2" s="1"/>
  <c r="U294" i="2"/>
  <c r="V294" i="2" s="1"/>
  <c r="S294" i="2"/>
  <c r="R295" i="2"/>
  <c r="U870" i="2"/>
  <c r="V870" i="2" s="1"/>
  <c r="S870" i="2"/>
  <c r="R871" i="2"/>
  <c r="S438" i="2"/>
  <c r="R439" i="2"/>
  <c r="U223" i="2"/>
  <c r="S223" i="2"/>
  <c r="R224" i="2"/>
  <c r="U799" i="2"/>
  <c r="S799" i="2"/>
  <c r="R800" i="2"/>
  <c r="V2309" i="2"/>
  <c r="U2310" i="2"/>
  <c r="U78" i="2"/>
  <c r="V78" i="2" s="1"/>
  <c r="R79" i="2"/>
  <c r="S78" i="2"/>
  <c r="S150" i="2"/>
  <c r="R151" i="2"/>
  <c r="U366" i="2"/>
  <c r="V366" i="2" s="1"/>
  <c r="R367" i="2"/>
  <c r="S366" i="2"/>
  <c r="U510" i="2"/>
  <c r="V510" i="2" s="1"/>
  <c r="R511" i="2"/>
  <c r="S510" i="2"/>
  <c r="S582" i="2"/>
  <c r="R583" i="2"/>
  <c r="U438" i="2"/>
  <c r="V438" i="2" s="1"/>
  <c r="V437" i="2"/>
  <c r="U582" i="2"/>
  <c r="V582" i="2" s="1"/>
  <c r="V581" i="2"/>
  <c r="S2600" i="2"/>
  <c r="R2601" i="2"/>
  <c r="U1662" i="2"/>
  <c r="V1661" i="2"/>
  <c r="U2814" i="2"/>
  <c r="V2813" i="2"/>
  <c r="U2166" i="2"/>
  <c r="V2166" i="2" s="1"/>
  <c r="V2165" i="2"/>
  <c r="U2886" i="2"/>
  <c r="V2885" i="2"/>
  <c r="V149" i="2"/>
  <c r="U150" i="2"/>
  <c r="V150" i="2" s="1"/>
  <c r="T7" i="2"/>
  <c r="T79" i="2"/>
  <c r="T151" i="2"/>
  <c r="V222" i="2"/>
  <c r="T223" i="2"/>
  <c r="T295" i="2"/>
  <c r="T367" i="2"/>
  <c r="T439" i="2"/>
  <c r="T511" i="2"/>
  <c r="T583" i="2"/>
  <c r="V3390" i="2"/>
  <c r="T3391" i="2"/>
  <c r="V3462" i="2"/>
  <c r="T3463" i="2"/>
  <c r="V3534" i="2"/>
  <c r="T3535" i="2"/>
  <c r="V3606" i="2"/>
  <c r="T3607" i="2"/>
  <c r="V3678" i="2"/>
  <c r="T3679" i="2"/>
  <c r="V3750" i="2"/>
  <c r="T3751" i="2"/>
  <c r="V3822" i="2"/>
  <c r="T3823" i="2"/>
  <c r="V3894" i="2"/>
  <c r="T3895" i="2"/>
  <c r="V3966" i="2"/>
  <c r="T3967" i="2"/>
  <c r="V4038" i="2"/>
  <c r="T4039" i="2"/>
  <c r="V4110" i="2"/>
  <c r="T4111" i="2"/>
  <c r="V4182" i="2"/>
  <c r="T4183" i="2"/>
  <c r="V4254" i="2"/>
  <c r="T4255" i="2"/>
  <c r="T655" i="2"/>
  <c r="T727" i="2"/>
  <c r="V798" i="2"/>
  <c r="T799" i="2"/>
  <c r="T871" i="2"/>
  <c r="T943" i="2"/>
  <c r="T1015" i="2"/>
  <c r="V1086" i="2"/>
  <c r="T1087" i="2"/>
  <c r="T1159" i="2"/>
  <c r="V1230" i="2"/>
  <c r="T1231" i="2"/>
  <c r="V1302" i="2"/>
  <c r="T1303" i="2"/>
  <c r="V1374" i="2"/>
  <c r="T1375" i="2"/>
  <c r="T1447" i="2"/>
  <c r="T1519" i="2"/>
  <c r="T1591" i="2"/>
  <c r="T1663" i="2"/>
  <c r="T1735" i="2"/>
  <c r="T1807" i="2"/>
  <c r="T1879" i="2"/>
  <c r="V1950" i="2"/>
  <c r="T1951" i="2"/>
  <c r="V2022" i="2"/>
  <c r="T2023" i="2"/>
  <c r="V2094" i="2"/>
  <c r="T2095" i="2"/>
  <c r="T2167" i="2"/>
  <c r="T2239" i="2"/>
  <c r="T2311" i="2"/>
  <c r="T2383" i="2"/>
  <c r="T2455" i="2"/>
  <c r="T2527" i="2"/>
  <c r="V2598" i="2"/>
  <c r="T2599" i="2"/>
  <c r="V2670" i="2"/>
  <c r="T2671" i="2"/>
  <c r="T2743" i="2"/>
  <c r="T2815" i="2"/>
  <c r="T2887" i="2"/>
  <c r="V2958" i="2"/>
  <c r="T2959" i="2"/>
  <c r="V3030" i="2"/>
  <c r="T3031" i="2"/>
  <c r="T3103" i="2"/>
  <c r="V3174" i="2"/>
  <c r="T3175" i="2"/>
  <c r="V3246" i="2"/>
  <c r="T3247" i="2"/>
  <c r="V3318" i="2"/>
  <c r="T3319" i="2"/>
  <c r="U726" i="2"/>
  <c r="V726" i="2" s="1"/>
  <c r="S1591" i="2"/>
  <c r="R1592" i="2"/>
  <c r="S1663" i="2"/>
  <c r="S1664" i="2" s="1"/>
  <c r="R1664" i="2"/>
  <c r="R1665" i="2" s="1"/>
  <c r="S2455" i="2"/>
  <c r="S2456" i="2" s="1"/>
  <c r="R2456" i="2"/>
  <c r="R2457" i="2" s="1"/>
  <c r="S726" i="2"/>
  <c r="R727" i="2"/>
  <c r="R1447" i="2"/>
  <c r="S1446" i="2"/>
  <c r="S1447" i="2" s="1"/>
  <c r="S1448" i="2" s="1"/>
  <c r="U1446" i="2"/>
  <c r="R1807" i="2"/>
  <c r="S1806" i="2"/>
  <c r="U1806" i="2"/>
  <c r="V1806" i="2" s="1"/>
  <c r="U2238" i="2"/>
  <c r="V2238" i="2" s="1"/>
  <c r="R2239" i="2"/>
  <c r="S2238" i="2"/>
  <c r="R3103" i="2"/>
  <c r="S3102" i="2"/>
  <c r="S3103" i="2" s="1"/>
  <c r="S3104" i="2" s="1"/>
  <c r="S3105" i="2" s="1"/>
  <c r="S3106" i="2" s="1"/>
  <c r="S3107" i="2" s="1"/>
  <c r="S3108" i="2" s="1"/>
  <c r="S3109" i="2" s="1"/>
  <c r="S3110" i="2" s="1"/>
  <c r="S3111" i="2" s="1"/>
  <c r="U3102" i="2"/>
  <c r="R944" i="2"/>
  <c r="S943" i="2"/>
  <c r="R2167" i="2"/>
  <c r="R2887" i="2"/>
  <c r="S1159" i="2"/>
  <c r="R1160" i="2"/>
  <c r="S2815" i="2"/>
  <c r="S2816" i="2" s="1"/>
  <c r="R2816" i="2"/>
  <c r="R2817" i="2" s="1"/>
  <c r="R2096" i="2"/>
  <c r="U1518" i="2"/>
  <c r="S1518" i="2"/>
  <c r="S1519" i="2" s="1"/>
  <c r="S1520" i="2" s="1"/>
  <c r="R1519" i="2"/>
  <c r="U1878" i="2"/>
  <c r="V1878" i="2" s="1"/>
  <c r="S1878" i="2"/>
  <c r="R1879" i="2"/>
  <c r="U2526" i="2"/>
  <c r="S2526" i="2"/>
  <c r="S2527" i="2" s="1"/>
  <c r="S2528" i="2" s="1"/>
  <c r="S2529" i="2" s="1"/>
  <c r="R2527" i="2"/>
  <c r="S1735" i="2"/>
  <c r="S1736" i="2" s="1"/>
  <c r="S1737" i="2" s="1"/>
  <c r="R1736" i="2"/>
  <c r="R2959" i="2"/>
  <c r="R3031" i="2"/>
  <c r="R3175" i="2"/>
  <c r="R2672" i="2"/>
  <c r="R3248" i="2"/>
  <c r="R3320" i="2"/>
  <c r="R3391" i="2"/>
  <c r="R3463" i="2"/>
  <c r="R3607" i="2"/>
  <c r="R3679" i="2"/>
  <c r="R3751" i="2"/>
  <c r="R3823" i="2"/>
  <c r="R3967" i="2"/>
  <c r="R4039" i="2"/>
  <c r="R4111" i="2"/>
  <c r="R4183" i="2"/>
  <c r="R4255" i="2"/>
  <c r="R3536" i="2"/>
  <c r="R3896" i="2"/>
  <c r="R2024" i="2"/>
  <c r="R2313" i="2"/>
  <c r="R2744" i="2"/>
  <c r="U2600" i="2"/>
  <c r="U1375" i="2"/>
  <c r="U1231" i="2"/>
  <c r="S1231" i="2"/>
  <c r="R1232" i="2"/>
  <c r="U1303" i="2"/>
  <c r="S1303" i="2"/>
  <c r="R1304" i="2"/>
  <c r="R1953" i="2"/>
  <c r="R1016" i="2"/>
  <c r="S1015" i="2"/>
  <c r="S7" i="2"/>
  <c r="R8" i="2"/>
  <c r="S1375" i="2"/>
  <c r="R1376" i="2"/>
  <c r="S1592" i="2"/>
  <c r="R1593" i="2"/>
  <c r="S2601" i="2" l="1"/>
  <c r="R2602" i="2"/>
  <c r="U943" i="2"/>
  <c r="V942" i="2"/>
  <c r="U1015" i="2"/>
  <c r="V1014" i="2"/>
  <c r="U1159" i="2"/>
  <c r="V1158" i="2"/>
  <c r="V2454" i="2"/>
  <c r="U2455" i="2"/>
  <c r="U2456" i="2" s="1"/>
  <c r="U2457" i="2" s="1"/>
  <c r="U1735" i="2"/>
  <c r="V1734" i="2"/>
  <c r="U1591" i="2"/>
  <c r="V1590" i="2"/>
  <c r="U1663" i="2"/>
  <c r="V1662" i="2"/>
  <c r="U7" i="2"/>
  <c r="V6" i="2"/>
  <c r="U2743" i="2"/>
  <c r="V2742" i="2"/>
  <c r="U655" i="2"/>
  <c r="V654" i="2"/>
  <c r="U2311" i="2"/>
  <c r="V2310" i="2"/>
  <c r="U151" i="2"/>
  <c r="V151" i="2" s="1"/>
  <c r="U1088" i="2"/>
  <c r="S1088" i="2"/>
  <c r="R1089" i="2"/>
  <c r="S2384" i="2"/>
  <c r="R2385" i="2"/>
  <c r="U2384" i="2"/>
  <c r="U2385" i="2" s="1"/>
  <c r="U295" i="2"/>
  <c r="V295" i="2" s="1"/>
  <c r="S295" i="2"/>
  <c r="R296" i="2"/>
  <c r="U871" i="2"/>
  <c r="V871" i="2" s="1"/>
  <c r="S871" i="2"/>
  <c r="R872" i="2"/>
  <c r="U439" i="2"/>
  <c r="V439" i="2" s="1"/>
  <c r="S439" i="2"/>
  <c r="R440" i="2"/>
  <c r="U224" i="2"/>
  <c r="S224" i="2"/>
  <c r="R225" i="2"/>
  <c r="U800" i="2"/>
  <c r="S800" i="2"/>
  <c r="R801" i="2"/>
  <c r="U367" i="2"/>
  <c r="V367" i="2" s="1"/>
  <c r="R368" i="2"/>
  <c r="S367" i="2"/>
  <c r="U2601" i="2"/>
  <c r="U2602" i="2" s="1"/>
  <c r="U79" i="2"/>
  <c r="V79" i="2" s="1"/>
  <c r="S79" i="2"/>
  <c r="R80" i="2"/>
  <c r="S151" i="2"/>
  <c r="R152" i="2"/>
  <c r="U511" i="2"/>
  <c r="V511" i="2" s="1"/>
  <c r="S511" i="2"/>
  <c r="R512" i="2"/>
  <c r="U583" i="2"/>
  <c r="V583" i="2" s="1"/>
  <c r="S583" i="2"/>
  <c r="R584" i="2"/>
  <c r="R1090" i="2"/>
  <c r="V2814" i="2"/>
  <c r="U2815" i="2"/>
  <c r="U2887" i="2"/>
  <c r="V2886" i="2"/>
  <c r="U727" i="2"/>
  <c r="V727" i="2" s="1"/>
  <c r="U2527" i="2"/>
  <c r="V2526" i="2"/>
  <c r="T8" i="2"/>
  <c r="T80" i="2"/>
  <c r="T152" i="2"/>
  <c r="V223" i="2"/>
  <c r="T224" i="2"/>
  <c r="T296" i="2"/>
  <c r="T368" i="2"/>
  <c r="T440" i="2"/>
  <c r="T512" i="2"/>
  <c r="T584" i="2"/>
  <c r="V3391" i="2"/>
  <c r="T3392" i="2"/>
  <c r="T3464" i="2"/>
  <c r="V3535" i="2"/>
  <c r="T3536" i="2"/>
  <c r="V3607" i="2"/>
  <c r="T3608" i="2"/>
  <c r="V3679" i="2"/>
  <c r="T3680" i="2"/>
  <c r="V3751" i="2"/>
  <c r="T3752" i="2"/>
  <c r="V3823" i="2"/>
  <c r="T3824" i="2"/>
  <c r="V3895" i="2"/>
  <c r="T3896" i="2"/>
  <c r="T3968" i="2"/>
  <c r="V4039" i="2"/>
  <c r="T4040" i="2"/>
  <c r="V4111" i="2"/>
  <c r="T4112" i="2"/>
  <c r="V4183" i="2"/>
  <c r="T4184" i="2"/>
  <c r="V4255" i="2"/>
  <c r="T4256" i="2"/>
  <c r="T656" i="2"/>
  <c r="T728" i="2"/>
  <c r="V799" i="2"/>
  <c r="T800" i="2"/>
  <c r="T872" i="2"/>
  <c r="T944" i="2"/>
  <c r="T1016" i="2"/>
  <c r="V1087" i="2"/>
  <c r="T1088" i="2"/>
  <c r="T1160" i="2"/>
  <c r="V1231" i="2"/>
  <c r="T1232" i="2"/>
  <c r="V1303" i="2"/>
  <c r="T1304" i="2"/>
  <c r="V1375" i="2"/>
  <c r="T1376" i="2"/>
  <c r="T1448" i="2"/>
  <c r="T1520" i="2"/>
  <c r="T1592" i="2"/>
  <c r="T1664" i="2"/>
  <c r="T1736" i="2"/>
  <c r="T1808" i="2"/>
  <c r="T1880" i="2"/>
  <c r="V1951" i="2"/>
  <c r="T1952" i="2"/>
  <c r="V2023" i="2"/>
  <c r="T2024" i="2"/>
  <c r="V2095" i="2"/>
  <c r="T2096" i="2"/>
  <c r="T2168" i="2"/>
  <c r="T2240" i="2"/>
  <c r="T2312" i="2"/>
  <c r="V2383" i="2"/>
  <c r="T2384" i="2"/>
  <c r="V2455" i="2"/>
  <c r="T2456" i="2"/>
  <c r="T2528" i="2"/>
  <c r="V2599" i="2"/>
  <c r="T2600" i="2"/>
  <c r="V2671" i="2"/>
  <c r="T2672" i="2"/>
  <c r="T2744" i="2"/>
  <c r="T2816" i="2"/>
  <c r="T2888" i="2"/>
  <c r="V2959" i="2"/>
  <c r="T2960" i="2"/>
  <c r="V3031" i="2"/>
  <c r="T3032" i="2"/>
  <c r="T3104" i="2"/>
  <c r="T3176" i="2"/>
  <c r="V3247" i="2"/>
  <c r="T3248" i="2"/>
  <c r="V3319" i="2"/>
  <c r="T3320" i="2"/>
  <c r="U1447" i="2"/>
  <c r="V1446" i="2"/>
  <c r="U3103" i="2"/>
  <c r="V3102" i="2"/>
  <c r="U1519" i="2"/>
  <c r="V1518" i="2"/>
  <c r="S727" i="2"/>
  <c r="R728" i="2"/>
  <c r="S1160" i="2"/>
  <c r="R1161" i="2"/>
  <c r="S1665" i="2"/>
  <c r="S1666" i="2" s="1"/>
  <c r="R1666" i="2"/>
  <c r="R1667" i="2" s="1"/>
  <c r="S2457" i="2"/>
  <c r="R2458" i="2"/>
  <c r="S2817" i="2"/>
  <c r="S2818" i="2" s="1"/>
  <c r="R2818" i="2"/>
  <c r="R2819" i="2" s="1"/>
  <c r="R1448" i="2"/>
  <c r="R1808" i="2"/>
  <c r="S1807" i="2"/>
  <c r="U1807" i="2"/>
  <c r="V1807" i="2" s="1"/>
  <c r="R2240" i="2"/>
  <c r="S2239" i="2"/>
  <c r="R3104" i="2"/>
  <c r="R945" i="2"/>
  <c r="S944" i="2"/>
  <c r="S2167" i="2"/>
  <c r="S2168" i="2" s="1"/>
  <c r="S2169" i="2" s="1"/>
  <c r="S2170" i="2" s="1"/>
  <c r="S2171" i="2" s="1"/>
  <c r="R2168" i="2"/>
  <c r="U2167" i="2"/>
  <c r="R2888" i="2"/>
  <c r="R1520" i="2"/>
  <c r="R1880" i="2"/>
  <c r="S1879" i="2"/>
  <c r="U1879" i="2"/>
  <c r="V1879" i="2" s="1"/>
  <c r="R2528" i="2"/>
  <c r="U2239" i="2"/>
  <c r="V2239" i="2" s="1"/>
  <c r="R2097" i="2"/>
  <c r="R1737" i="2"/>
  <c r="R3176" i="2"/>
  <c r="U3175" i="2"/>
  <c r="S3175" i="2"/>
  <c r="S3176" i="2" s="1"/>
  <c r="S3177" i="2" s="1"/>
  <c r="S3178" i="2" s="1"/>
  <c r="S3179" i="2" s="1"/>
  <c r="S3180" i="2" s="1"/>
  <c r="S2672" i="2"/>
  <c r="R2673" i="2"/>
  <c r="U3463" i="2"/>
  <c r="S3463" i="2"/>
  <c r="S3464" i="2" s="1"/>
  <c r="S3465" i="2" s="1"/>
  <c r="S3466" i="2" s="1"/>
  <c r="S3467" i="2" s="1"/>
  <c r="S3468" i="2" s="1"/>
  <c r="S3469" i="2" s="1"/>
  <c r="S3470" i="2" s="1"/>
  <c r="R3464" i="2"/>
  <c r="U3967" i="2"/>
  <c r="S3967" i="2"/>
  <c r="S3968" i="2" s="1"/>
  <c r="S3969" i="2" s="1"/>
  <c r="S3970" i="2" s="1"/>
  <c r="S3971" i="2" s="1"/>
  <c r="S3972" i="2" s="1"/>
  <c r="S3973" i="2" s="1"/>
  <c r="S3974" i="2" s="1"/>
  <c r="S3975" i="2" s="1"/>
  <c r="S3976" i="2" s="1"/>
  <c r="S3977" i="2" s="1"/>
  <c r="S3978" i="2" s="1"/>
  <c r="S3979" i="2" s="1"/>
  <c r="S3980" i="2" s="1"/>
  <c r="S3981" i="2" s="1"/>
  <c r="S3982" i="2" s="1"/>
  <c r="S3983" i="2" s="1"/>
  <c r="S3984" i="2" s="1"/>
  <c r="S3985" i="2" s="1"/>
  <c r="S3986" i="2" s="1"/>
  <c r="S3987" i="2" s="1"/>
  <c r="S3988" i="2" s="1"/>
  <c r="S3989" i="2" s="1"/>
  <c r="S3990" i="2" s="1"/>
  <c r="S3991" i="2" s="1"/>
  <c r="R3968" i="2"/>
  <c r="U2024" i="2"/>
  <c r="U2025" i="2" s="1"/>
  <c r="U2026" i="2" s="1"/>
  <c r="S2024" i="2"/>
  <c r="S2025" i="2" s="1"/>
  <c r="S2026" i="2" s="1"/>
  <c r="R2025" i="2"/>
  <c r="S2313" i="2"/>
  <c r="R2314" i="2"/>
  <c r="S2744" i="2"/>
  <c r="R2745" i="2"/>
  <c r="S656" i="2"/>
  <c r="R657" i="2"/>
  <c r="R2960" i="2"/>
  <c r="R3032" i="2"/>
  <c r="U2672" i="2"/>
  <c r="R3249" i="2"/>
  <c r="R3321" i="2"/>
  <c r="R3392" i="2"/>
  <c r="R3608" i="2"/>
  <c r="R3680" i="2"/>
  <c r="R3752" i="2"/>
  <c r="R3824" i="2"/>
  <c r="R4040" i="2"/>
  <c r="R4112" i="2"/>
  <c r="R4184" i="2"/>
  <c r="R4256" i="2"/>
  <c r="R3537" i="2"/>
  <c r="R3897" i="2"/>
  <c r="R1954" i="2"/>
  <c r="U1232" i="2"/>
  <c r="S1232" i="2"/>
  <c r="R1233" i="2"/>
  <c r="U1304" i="2"/>
  <c r="S1304" i="2"/>
  <c r="R1305" i="2"/>
  <c r="U1376" i="2"/>
  <c r="R1017" i="2"/>
  <c r="S1016" i="2"/>
  <c r="S8" i="2"/>
  <c r="R9" i="2"/>
  <c r="S1376" i="2"/>
  <c r="R1377" i="2"/>
  <c r="S1593" i="2"/>
  <c r="R1594" i="2"/>
  <c r="S2602" i="2"/>
  <c r="R2603" i="2"/>
  <c r="U1089" i="2" l="1"/>
  <c r="S1089" i="2"/>
  <c r="V943" i="2"/>
  <c r="U944" i="2"/>
  <c r="V1015" i="2"/>
  <c r="U1016" i="2"/>
  <c r="V1159" i="2"/>
  <c r="U1160" i="2"/>
  <c r="U1736" i="2"/>
  <c r="V1735" i="2"/>
  <c r="U1592" i="2"/>
  <c r="V1591" i="2"/>
  <c r="U1664" i="2"/>
  <c r="V1663" i="2"/>
  <c r="U8" i="2"/>
  <c r="V7" i="2"/>
  <c r="U656" i="2"/>
  <c r="V655" i="2"/>
  <c r="V2743" i="2"/>
  <c r="U2744" i="2"/>
  <c r="U2312" i="2"/>
  <c r="V2311" i="2"/>
  <c r="U2528" i="2"/>
  <c r="V2527" i="2"/>
  <c r="U2888" i="2"/>
  <c r="V2887" i="2"/>
  <c r="U728" i="2"/>
  <c r="V728" i="2" s="1"/>
  <c r="R2386" i="2"/>
  <c r="S2385" i="2"/>
  <c r="S296" i="2"/>
  <c r="R297" i="2"/>
  <c r="U296" i="2"/>
  <c r="V296" i="2" s="1"/>
  <c r="R873" i="2"/>
  <c r="S872" i="2"/>
  <c r="U872" i="2"/>
  <c r="V872" i="2" s="1"/>
  <c r="R441" i="2"/>
  <c r="S440" i="2"/>
  <c r="U440" i="2"/>
  <c r="V440" i="2" s="1"/>
  <c r="U225" i="2"/>
  <c r="R226" i="2"/>
  <c r="S225" i="2"/>
  <c r="S801" i="2"/>
  <c r="R802" i="2"/>
  <c r="U801" i="2"/>
  <c r="U368" i="2"/>
  <c r="V368" i="2" s="1"/>
  <c r="S368" i="2"/>
  <c r="R369" i="2"/>
  <c r="R81" i="2"/>
  <c r="U80" i="2"/>
  <c r="V80" i="2" s="1"/>
  <c r="S80" i="2"/>
  <c r="U152" i="2"/>
  <c r="V152" i="2" s="1"/>
  <c r="R153" i="2"/>
  <c r="S152" i="2"/>
  <c r="U512" i="2"/>
  <c r="V512" i="2" s="1"/>
  <c r="S512" i="2"/>
  <c r="R513" i="2"/>
  <c r="U584" i="2"/>
  <c r="V584" i="2" s="1"/>
  <c r="R585" i="2"/>
  <c r="S584" i="2"/>
  <c r="R1091" i="2"/>
  <c r="S1090" i="2"/>
  <c r="U1090" i="2"/>
  <c r="U2816" i="2"/>
  <c r="V2815" i="2"/>
  <c r="U2168" i="2"/>
  <c r="V2167" i="2"/>
  <c r="U2458" i="2"/>
  <c r="U2459" i="2" s="1"/>
  <c r="U2460" i="2" s="1"/>
  <c r="R82" i="2"/>
  <c r="S81" i="2"/>
  <c r="S728" i="2"/>
  <c r="R729" i="2"/>
  <c r="S1161" i="2"/>
  <c r="R1162" i="2"/>
  <c r="S2458" i="2"/>
  <c r="S2459" i="2" s="1"/>
  <c r="S2460" i="2" s="1"/>
  <c r="R2459" i="2"/>
  <c r="R2460" i="2" s="1"/>
  <c r="S9" i="2"/>
  <c r="R10" i="2"/>
  <c r="U1448" i="2"/>
  <c r="V1448" i="2" s="1"/>
  <c r="V1447" i="2"/>
  <c r="U3104" i="2"/>
  <c r="V3103" i="2"/>
  <c r="U1520" i="2"/>
  <c r="V1520" i="2" s="1"/>
  <c r="V1519" i="2"/>
  <c r="T9" i="2"/>
  <c r="T81" i="2"/>
  <c r="T153" i="2"/>
  <c r="V224" i="2"/>
  <c r="T225" i="2"/>
  <c r="T297" i="2"/>
  <c r="T369" i="2"/>
  <c r="T441" i="2"/>
  <c r="T513" i="2"/>
  <c r="T585" i="2"/>
  <c r="V3392" i="2"/>
  <c r="T3393" i="2"/>
  <c r="T3465" i="2"/>
  <c r="V3536" i="2"/>
  <c r="T3537" i="2"/>
  <c r="V3608" i="2"/>
  <c r="T3609" i="2"/>
  <c r="V3680" i="2"/>
  <c r="T3681" i="2"/>
  <c r="V3752" i="2"/>
  <c r="T3753" i="2"/>
  <c r="V3824" i="2"/>
  <c r="T3825" i="2"/>
  <c r="V3896" i="2"/>
  <c r="T3897" i="2"/>
  <c r="T3969" i="2"/>
  <c r="T4041" i="2"/>
  <c r="V4112" i="2"/>
  <c r="T4113" i="2"/>
  <c r="T4185" i="2"/>
  <c r="V4256" i="2"/>
  <c r="T4257" i="2"/>
  <c r="T657" i="2"/>
  <c r="T729" i="2"/>
  <c r="V800" i="2"/>
  <c r="T801" i="2"/>
  <c r="T873" i="2"/>
  <c r="T945" i="2"/>
  <c r="T1017" i="2"/>
  <c r="V1088" i="2"/>
  <c r="T1089" i="2"/>
  <c r="T1161" i="2"/>
  <c r="V1232" i="2"/>
  <c r="T1233" i="2"/>
  <c r="V1304" i="2"/>
  <c r="T1305" i="2"/>
  <c r="V1376" i="2"/>
  <c r="T1377" i="2"/>
  <c r="T1449" i="2"/>
  <c r="T1521" i="2"/>
  <c r="T1593" i="2"/>
  <c r="T1665" i="2"/>
  <c r="T1737" i="2"/>
  <c r="T1809" i="2"/>
  <c r="T1881" i="2"/>
  <c r="V1952" i="2"/>
  <c r="T1953" i="2"/>
  <c r="V2024" i="2"/>
  <c r="T2025" i="2"/>
  <c r="V2096" i="2"/>
  <c r="T2097" i="2"/>
  <c r="T2169" i="2"/>
  <c r="T2241" i="2"/>
  <c r="T2313" i="2"/>
  <c r="V2384" i="2"/>
  <c r="T2385" i="2"/>
  <c r="V2456" i="2"/>
  <c r="T2457" i="2"/>
  <c r="T2529" i="2"/>
  <c r="V2600" i="2"/>
  <c r="T2601" i="2"/>
  <c r="V2672" i="2"/>
  <c r="T2673" i="2"/>
  <c r="T2745" i="2"/>
  <c r="T2817" i="2"/>
  <c r="T2889" i="2"/>
  <c r="V2960" i="2"/>
  <c r="T2961" i="2"/>
  <c r="T3033" i="2"/>
  <c r="T3105" i="2"/>
  <c r="T3177" i="2"/>
  <c r="V3248" i="2"/>
  <c r="T3249" i="2"/>
  <c r="V3320" i="2"/>
  <c r="T3321" i="2"/>
  <c r="U3176" i="2"/>
  <c r="V3175" i="2"/>
  <c r="U3464" i="2"/>
  <c r="V3463" i="2"/>
  <c r="U3968" i="2"/>
  <c r="V3967" i="2"/>
  <c r="S2819" i="2"/>
  <c r="S2820" i="2" s="1"/>
  <c r="R2820" i="2"/>
  <c r="R1449" i="2"/>
  <c r="S1808" i="2"/>
  <c r="S1809" i="2" s="1"/>
  <c r="R1809" i="2"/>
  <c r="U1808" i="2"/>
  <c r="R2241" i="2"/>
  <c r="S2240" i="2"/>
  <c r="R3105" i="2"/>
  <c r="S945" i="2"/>
  <c r="R946" i="2"/>
  <c r="R2169" i="2"/>
  <c r="R2889" i="2"/>
  <c r="R1521" i="2"/>
  <c r="U1880" i="2"/>
  <c r="R1881" i="2"/>
  <c r="S1880" i="2"/>
  <c r="S1881" i="2" s="1"/>
  <c r="S1882" i="2" s="1"/>
  <c r="S1883" i="2" s="1"/>
  <c r="S1884" i="2" s="1"/>
  <c r="R2529" i="2"/>
  <c r="R3177" i="2"/>
  <c r="S2673" i="2"/>
  <c r="S2674" i="2" s="1"/>
  <c r="S2675" i="2" s="1"/>
  <c r="R2674" i="2"/>
  <c r="R3465" i="2"/>
  <c r="R3969" i="2"/>
  <c r="R2026" i="2"/>
  <c r="R2315" i="2"/>
  <c r="S2314" i="2"/>
  <c r="S2745" i="2"/>
  <c r="R2746" i="2"/>
  <c r="U2240" i="2"/>
  <c r="V2240" i="2" s="1"/>
  <c r="U2673" i="2"/>
  <c r="U2674" i="2" s="1"/>
  <c r="U2675" i="2" s="1"/>
  <c r="R2098" i="2"/>
  <c r="R1738" i="2"/>
  <c r="S657" i="2"/>
  <c r="S658" i="2" s="1"/>
  <c r="R658" i="2"/>
  <c r="U3032" i="2"/>
  <c r="R3033" i="2"/>
  <c r="S3032" i="2"/>
  <c r="S3033" i="2" s="1"/>
  <c r="S3034" i="2" s="1"/>
  <c r="S3035" i="2" s="1"/>
  <c r="U4040" i="2"/>
  <c r="V4040" i="2" s="1"/>
  <c r="S4040" i="2"/>
  <c r="R4041" i="2"/>
  <c r="U4184" i="2"/>
  <c r="R4185" i="2"/>
  <c r="S4184" i="2"/>
  <c r="S4185" i="2" s="1"/>
  <c r="U3537" i="2"/>
  <c r="U3538" i="2" s="1"/>
  <c r="S3537" i="2"/>
  <c r="S3538" i="2" s="1"/>
  <c r="R3538" i="2"/>
  <c r="U3897" i="2"/>
  <c r="R3898" i="2"/>
  <c r="S3897" i="2"/>
  <c r="S1954" i="2"/>
  <c r="R1955" i="2"/>
  <c r="S1667" i="2"/>
  <c r="R1668" i="2"/>
  <c r="R1669" i="2" s="1"/>
  <c r="R2961" i="2"/>
  <c r="R3250" i="2"/>
  <c r="R3322" i="2"/>
  <c r="R3393" i="2"/>
  <c r="R3609" i="2"/>
  <c r="R3681" i="2"/>
  <c r="R3753" i="2"/>
  <c r="R3825" i="2"/>
  <c r="R4113" i="2"/>
  <c r="R4257" i="2"/>
  <c r="U1954" i="2"/>
  <c r="U1233" i="2"/>
  <c r="U1305" i="2"/>
  <c r="S1233" i="2"/>
  <c r="R1234" i="2"/>
  <c r="S1305" i="2"/>
  <c r="R1306" i="2"/>
  <c r="R370" i="2"/>
  <c r="S369" i="2"/>
  <c r="U1377" i="2"/>
  <c r="R2821" i="2"/>
  <c r="U2603" i="2"/>
  <c r="S1017" i="2"/>
  <c r="R1018" i="2"/>
  <c r="S1377" i="2"/>
  <c r="R1378" i="2"/>
  <c r="S1594" i="2"/>
  <c r="S1595" i="2" s="1"/>
  <c r="R1595" i="2"/>
  <c r="S2603" i="2"/>
  <c r="R2604" i="2"/>
  <c r="S729" i="2" l="1"/>
  <c r="R730" i="2"/>
  <c r="S1162" i="2"/>
  <c r="R1163" i="2"/>
  <c r="S10" i="2"/>
  <c r="R11" i="2"/>
  <c r="V944" i="2"/>
  <c r="U945" i="2"/>
  <c r="V1016" i="2"/>
  <c r="U1017" i="2"/>
  <c r="U1161" i="2"/>
  <c r="V1161" i="2" s="1"/>
  <c r="V1160" i="2"/>
  <c r="U369" i="2"/>
  <c r="U513" i="2"/>
  <c r="V513" i="2" s="1"/>
  <c r="R83" i="2"/>
  <c r="S82" i="2"/>
  <c r="U1593" i="2"/>
  <c r="V1592" i="2"/>
  <c r="U1737" i="2"/>
  <c r="V1736" i="2"/>
  <c r="U1665" i="2"/>
  <c r="V1664" i="2"/>
  <c r="V8" i="2"/>
  <c r="U9" i="2"/>
  <c r="V656" i="2"/>
  <c r="U657" i="2"/>
  <c r="U81" i="2"/>
  <c r="U226" i="2"/>
  <c r="U729" i="2"/>
  <c r="V2744" i="2"/>
  <c r="U2745" i="2"/>
  <c r="U2313" i="2"/>
  <c r="V2312" i="2"/>
  <c r="U2529" i="2"/>
  <c r="V2529" i="2" s="1"/>
  <c r="V2528" i="2"/>
  <c r="U2889" i="2"/>
  <c r="V2888" i="2"/>
  <c r="U873" i="2"/>
  <c r="V873" i="2" s="1"/>
  <c r="U441" i="2"/>
  <c r="V441" i="2" s="1"/>
  <c r="U1162" i="2"/>
  <c r="U1163" i="2" s="1"/>
  <c r="U297" i="2"/>
  <c r="V297" i="2" s="1"/>
  <c r="U153" i="2"/>
  <c r="U585" i="2"/>
  <c r="V585" i="2" s="1"/>
  <c r="U2817" i="2"/>
  <c r="V2816" i="2"/>
  <c r="U2169" i="2"/>
  <c r="V2168" i="2"/>
  <c r="R2387" i="2"/>
  <c r="S2386" i="2"/>
  <c r="U2386" i="2"/>
  <c r="R154" i="2"/>
  <c r="R155" i="2" s="1"/>
  <c r="S153" i="2"/>
  <c r="S154" i="2" s="1"/>
  <c r="R514" i="2"/>
  <c r="S513" i="2"/>
  <c r="R586" i="2"/>
  <c r="S585" i="2"/>
  <c r="S297" i="2"/>
  <c r="R298" i="2"/>
  <c r="S873" i="2"/>
  <c r="R874" i="2"/>
  <c r="S441" i="2"/>
  <c r="R442" i="2"/>
  <c r="S226" i="2"/>
  <c r="R227" i="2"/>
  <c r="U802" i="2"/>
  <c r="R803" i="2"/>
  <c r="S802" i="2"/>
  <c r="U1091" i="2"/>
  <c r="R1092" i="2"/>
  <c r="S1091" i="2"/>
  <c r="U3105" i="2"/>
  <c r="V3104" i="2"/>
  <c r="U3033" i="2"/>
  <c r="V3032" i="2"/>
  <c r="U3177" i="2"/>
  <c r="V3176" i="2"/>
  <c r="U3465" i="2"/>
  <c r="V3464" i="2"/>
  <c r="U3969" i="2"/>
  <c r="V3968" i="2"/>
  <c r="U1809" i="2"/>
  <c r="V1809" i="2" s="1"/>
  <c r="V1808" i="2"/>
  <c r="U1881" i="2"/>
  <c r="V1880" i="2"/>
  <c r="T10" i="2"/>
  <c r="T82" i="2"/>
  <c r="T154" i="2"/>
  <c r="V225" i="2"/>
  <c r="T226" i="2"/>
  <c r="T298" i="2"/>
  <c r="T370" i="2"/>
  <c r="T442" i="2"/>
  <c r="T514" i="2"/>
  <c r="T586" i="2"/>
  <c r="V3393" i="2"/>
  <c r="T3394" i="2"/>
  <c r="T3466" i="2"/>
  <c r="V3537" i="2"/>
  <c r="T3538" i="2"/>
  <c r="V3609" i="2"/>
  <c r="T3610" i="2"/>
  <c r="V3681" i="2"/>
  <c r="T3682" i="2"/>
  <c r="V3753" i="2"/>
  <c r="T3754" i="2"/>
  <c r="V3825" i="2"/>
  <c r="T3826" i="2"/>
  <c r="V3897" i="2"/>
  <c r="T3898" i="2"/>
  <c r="T3970" i="2"/>
  <c r="T4042" i="2"/>
  <c r="T4114" i="2"/>
  <c r="T4186" i="2"/>
  <c r="V4257" i="2"/>
  <c r="T4258" i="2"/>
  <c r="T658" i="2"/>
  <c r="T730" i="2"/>
  <c r="V801" i="2"/>
  <c r="T802" i="2"/>
  <c r="T874" i="2"/>
  <c r="T946" i="2"/>
  <c r="T1018" i="2"/>
  <c r="V1089" i="2"/>
  <c r="T1090" i="2"/>
  <c r="T1162" i="2"/>
  <c r="V1233" i="2"/>
  <c r="T1234" i="2"/>
  <c r="V1305" i="2"/>
  <c r="T1306" i="2"/>
  <c r="V1377" i="2"/>
  <c r="T1378" i="2"/>
  <c r="T1450" i="2"/>
  <c r="T1522" i="2"/>
  <c r="T1594" i="2"/>
  <c r="T1666" i="2"/>
  <c r="T1738" i="2"/>
  <c r="T1810" i="2"/>
  <c r="T1882" i="2"/>
  <c r="V1953" i="2"/>
  <c r="T1954" i="2"/>
  <c r="V2025" i="2"/>
  <c r="T2026" i="2"/>
  <c r="V2097" i="2"/>
  <c r="T2098" i="2"/>
  <c r="T2170" i="2"/>
  <c r="T2242" i="2"/>
  <c r="T2314" i="2"/>
  <c r="V2385" i="2"/>
  <c r="T2386" i="2"/>
  <c r="V2457" i="2"/>
  <c r="T2458" i="2"/>
  <c r="T2530" i="2"/>
  <c r="V2601" i="2"/>
  <c r="T2602" i="2"/>
  <c r="V2673" i="2"/>
  <c r="T2674" i="2"/>
  <c r="T2746" i="2"/>
  <c r="T2818" i="2"/>
  <c r="T2890" i="2"/>
  <c r="V2961" i="2"/>
  <c r="T2962" i="2"/>
  <c r="T3034" i="2"/>
  <c r="T3106" i="2"/>
  <c r="T3178" i="2"/>
  <c r="V3249" i="2"/>
  <c r="T3250" i="2"/>
  <c r="V3321" i="2"/>
  <c r="T3322" i="2"/>
  <c r="U4185" i="2"/>
  <c r="V4185" i="2" s="1"/>
  <c r="V4184" i="2"/>
  <c r="U1955" i="2"/>
  <c r="S1668" i="2"/>
  <c r="R1450" i="2"/>
  <c r="S1449" i="2"/>
  <c r="S1450" i="2" s="1"/>
  <c r="U1449" i="2"/>
  <c r="R1810" i="2"/>
  <c r="R2242" i="2"/>
  <c r="S2241" i="2"/>
  <c r="U2241" i="2"/>
  <c r="V2241" i="2" s="1"/>
  <c r="R3106" i="2"/>
  <c r="S946" i="2"/>
  <c r="R947" i="2"/>
  <c r="R2170" i="2"/>
  <c r="R2890" i="2"/>
  <c r="R1522" i="2"/>
  <c r="U1521" i="2"/>
  <c r="V1521" i="2" s="1"/>
  <c r="S1521" i="2"/>
  <c r="R1882" i="2"/>
  <c r="R2530" i="2"/>
  <c r="R3178" i="2"/>
  <c r="R2675" i="2"/>
  <c r="R3466" i="2"/>
  <c r="R3970" i="2"/>
  <c r="R2027" i="2"/>
  <c r="R2316" i="2"/>
  <c r="S2315" i="2"/>
  <c r="S2316" i="2" s="1"/>
  <c r="R2747" i="2"/>
  <c r="S2746" i="2"/>
  <c r="S2747" i="2" s="1"/>
  <c r="S2748" i="2" s="1"/>
  <c r="S2749" i="2" s="1"/>
  <c r="R1739" i="2"/>
  <c r="S1738" i="2"/>
  <c r="R3034" i="2"/>
  <c r="R4042" i="2"/>
  <c r="S4041" i="2"/>
  <c r="S4042" i="2" s="1"/>
  <c r="S4043" i="2" s="1"/>
  <c r="S4044" i="2" s="1"/>
  <c r="S4045" i="2" s="1"/>
  <c r="S4046" i="2" s="1"/>
  <c r="S4047" i="2" s="1"/>
  <c r="S4048" i="2" s="1"/>
  <c r="S4049" i="2" s="1"/>
  <c r="S4050" i="2" s="1"/>
  <c r="S4051" i="2" s="1"/>
  <c r="S4052" i="2" s="1"/>
  <c r="S4053" i="2" s="1"/>
  <c r="S4054" i="2" s="1"/>
  <c r="U4041" i="2"/>
  <c r="R4186" i="2"/>
  <c r="R3539" i="2"/>
  <c r="S3898" i="2"/>
  <c r="S3899" i="2" s="1"/>
  <c r="S3900" i="2" s="1"/>
  <c r="S3901" i="2" s="1"/>
  <c r="S3902" i="2" s="1"/>
  <c r="S3903" i="2" s="1"/>
  <c r="S3904" i="2" s="1"/>
  <c r="U3898" i="2"/>
  <c r="U3899" i="2" s="1"/>
  <c r="U3900" i="2" s="1"/>
  <c r="U3901" i="2" s="1"/>
  <c r="U3902" i="2" s="1"/>
  <c r="U3903" i="2" s="1"/>
  <c r="U3904" i="2" s="1"/>
  <c r="R3899" i="2"/>
  <c r="R1956" i="2"/>
  <c r="S1955" i="2"/>
  <c r="R2099" i="2"/>
  <c r="R659" i="2"/>
  <c r="R4114" i="2"/>
  <c r="U4113" i="2"/>
  <c r="S4113" i="2"/>
  <c r="S4114" i="2" s="1"/>
  <c r="S4115" i="2" s="1"/>
  <c r="S4116" i="2" s="1"/>
  <c r="S4117" i="2" s="1"/>
  <c r="S4118" i="2" s="1"/>
  <c r="R1307" i="2"/>
  <c r="S1306" i="2"/>
  <c r="R371" i="2"/>
  <c r="S370" i="2"/>
  <c r="R1670" i="2"/>
  <c r="S1669" i="2"/>
  <c r="S2821" i="2"/>
  <c r="S2822" i="2" s="1"/>
  <c r="S2823" i="2" s="1"/>
  <c r="S2824" i="2" s="1"/>
  <c r="R2822" i="2"/>
  <c r="R2823" i="2" s="1"/>
  <c r="S155" i="2"/>
  <c r="R156" i="2"/>
  <c r="R2962" i="2"/>
  <c r="R3251" i="2"/>
  <c r="R3323" i="2"/>
  <c r="R3394" i="2"/>
  <c r="R3610" i="2"/>
  <c r="R3682" i="2"/>
  <c r="R3754" i="2"/>
  <c r="R3826" i="2"/>
  <c r="R4258" i="2"/>
  <c r="U1234" i="2"/>
  <c r="U1306" i="2"/>
  <c r="R2461" i="2"/>
  <c r="R1235" i="2"/>
  <c r="S1234" i="2"/>
  <c r="U1378" i="2"/>
  <c r="R1596" i="2"/>
  <c r="U2604" i="2"/>
  <c r="U2605" i="2" s="1"/>
  <c r="U2606" i="2" s="1"/>
  <c r="U2607" i="2" s="1"/>
  <c r="S1018" i="2"/>
  <c r="R1019" i="2"/>
  <c r="S730" i="2"/>
  <c r="R731" i="2"/>
  <c r="S1378" i="2"/>
  <c r="R1379" i="2"/>
  <c r="S1163" i="2"/>
  <c r="R1164" i="2"/>
  <c r="S2604" i="2"/>
  <c r="S2605" i="2" s="1"/>
  <c r="S2606" i="2" s="1"/>
  <c r="S2607" i="2" s="1"/>
  <c r="R2605" i="2"/>
  <c r="S11" i="2"/>
  <c r="R12" i="2"/>
  <c r="S83" i="2"/>
  <c r="R84" i="2"/>
  <c r="S298" i="2" l="1"/>
  <c r="R299" i="2"/>
  <c r="S874" i="2"/>
  <c r="R875" i="2"/>
  <c r="S442" i="2"/>
  <c r="R443" i="2"/>
  <c r="S227" i="2"/>
  <c r="R228" i="2"/>
  <c r="V945" i="2"/>
  <c r="U946" i="2"/>
  <c r="V946" i="2" s="1"/>
  <c r="V1017" i="2"/>
  <c r="U1018" i="2"/>
  <c r="V369" i="2"/>
  <c r="U370" i="2"/>
  <c r="V81" i="2"/>
  <c r="U82" i="2"/>
  <c r="R804" i="2"/>
  <c r="S803" i="2"/>
  <c r="R1093" i="2"/>
  <c r="S1092" i="2"/>
  <c r="U1594" i="2"/>
  <c r="V1593" i="2"/>
  <c r="U1738" i="2"/>
  <c r="V1737" i="2"/>
  <c r="U1666" i="2"/>
  <c r="V1665" i="2"/>
  <c r="V9" i="2"/>
  <c r="U10" i="2"/>
  <c r="U658" i="2"/>
  <c r="V658" i="2" s="1"/>
  <c r="V657" i="2"/>
  <c r="U730" i="2"/>
  <c r="V729" i="2"/>
  <c r="U2314" i="2"/>
  <c r="V2313" i="2"/>
  <c r="U659" i="2"/>
  <c r="U2746" i="2"/>
  <c r="V2745" i="2"/>
  <c r="U2890" i="2"/>
  <c r="V2889" i="2"/>
  <c r="U298" i="2"/>
  <c r="U874" i="2"/>
  <c r="U442" i="2"/>
  <c r="U227" i="2"/>
  <c r="U228" i="2" s="1"/>
  <c r="U803" i="2"/>
  <c r="U154" i="2"/>
  <c r="V153" i="2"/>
  <c r="U2818" i="2"/>
  <c r="V2817" i="2"/>
  <c r="U2170" i="2"/>
  <c r="V2169" i="2"/>
  <c r="U3970" i="2"/>
  <c r="V3969" i="2"/>
  <c r="U1092" i="2"/>
  <c r="U3106" i="2"/>
  <c r="V3105" i="2"/>
  <c r="U3034" i="2"/>
  <c r="V3033" i="2"/>
  <c r="U3178" i="2"/>
  <c r="V3177" i="2"/>
  <c r="R2388" i="2"/>
  <c r="S2387" i="2"/>
  <c r="U2387" i="2"/>
  <c r="R515" i="2"/>
  <c r="S514" i="2"/>
  <c r="U514" i="2"/>
  <c r="V514" i="2" s="1"/>
  <c r="U586" i="2"/>
  <c r="V586" i="2" s="1"/>
  <c r="R587" i="2"/>
  <c r="S586" i="2"/>
  <c r="U3466" i="2"/>
  <c r="V3465" i="2"/>
  <c r="U4114" i="2"/>
  <c r="V4113" i="2"/>
  <c r="U1882" i="2"/>
  <c r="V1881" i="2"/>
  <c r="R1308" i="2"/>
  <c r="S1307" i="2"/>
  <c r="R1236" i="2"/>
  <c r="S1235" i="2"/>
  <c r="U1450" i="2"/>
  <c r="V1450" i="2" s="1"/>
  <c r="V1449" i="2"/>
  <c r="U4042" i="2"/>
  <c r="V4041" i="2"/>
  <c r="T11" i="2"/>
  <c r="T83" i="2"/>
  <c r="T155" i="2"/>
  <c r="V226" i="2"/>
  <c r="T227" i="2"/>
  <c r="T299" i="2"/>
  <c r="T371" i="2"/>
  <c r="T443" i="2"/>
  <c r="T515" i="2"/>
  <c r="T587" i="2"/>
  <c r="V3394" i="2"/>
  <c r="T3395" i="2"/>
  <c r="T3467" i="2"/>
  <c r="V3538" i="2"/>
  <c r="T3539" i="2"/>
  <c r="T3611" i="2"/>
  <c r="V3682" i="2"/>
  <c r="T3683" i="2"/>
  <c r="T3755" i="2"/>
  <c r="V3826" i="2"/>
  <c r="T3827" i="2"/>
  <c r="V3898" i="2"/>
  <c r="T3899" i="2"/>
  <c r="T3971" i="2"/>
  <c r="T4043" i="2"/>
  <c r="T4115" i="2"/>
  <c r="T4187" i="2"/>
  <c r="V4258" i="2"/>
  <c r="T4259" i="2"/>
  <c r="T659" i="2"/>
  <c r="T731" i="2"/>
  <c r="V802" i="2"/>
  <c r="T803" i="2"/>
  <c r="T875" i="2"/>
  <c r="T947" i="2"/>
  <c r="T1019" i="2"/>
  <c r="V1090" i="2"/>
  <c r="T1091" i="2"/>
  <c r="V1162" i="2"/>
  <c r="T1163" i="2"/>
  <c r="V1234" i="2"/>
  <c r="T1235" i="2"/>
  <c r="V1306" i="2"/>
  <c r="T1307" i="2"/>
  <c r="V1378" i="2"/>
  <c r="T1379" i="2"/>
  <c r="T1451" i="2"/>
  <c r="T1523" i="2"/>
  <c r="T1595" i="2"/>
  <c r="T1667" i="2"/>
  <c r="T1739" i="2"/>
  <c r="T1811" i="2"/>
  <c r="T1883" i="2"/>
  <c r="V1954" i="2"/>
  <c r="T1955" i="2"/>
  <c r="V2026" i="2"/>
  <c r="T2027" i="2"/>
  <c r="V2098" i="2"/>
  <c r="T2099" i="2"/>
  <c r="T2171" i="2"/>
  <c r="T2243" i="2"/>
  <c r="T2315" i="2"/>
  <c r="V2386" i="2"/>
  <c r="T2387" i="2"/>
  <c r="V2458" i="2"/>
  <c r="T2459" i="2"/>
  <c r="T2531" i="2"/>
  <c r="V2602" i="2"/>
  <c r="T2603" i="2"/>
  <c r="V2674" i="2"/>
  <c r="T2675" i="2"/>
  <c r="T2747" i="2"/>
  <c r="T2819" i="2"/>
  <c r="T2891" i="2"/>
  <c r="V2962" i="2"/>
  <c r="T2963" i="2"/>
  <c r="T3035" i="2"/>
  <c r="T3107" i="2"/>
  <c r="T3179" i="2"/>
  <c r="V3250" i="2"/>
  <c r="T3251" i="2"/>
  <c r="V3322" i="2"/>
  <c r="T3323" i="2"/>
  <c r="U1307" i="2"/>
  <c r="R1451" i="2"/>
  <c r="U1810" i="2"/>
  <c r="V1810" i="2" s="1"/>
  <c r="R1811" i="2"/>
  <c r="S1810" i="2"/>
  <c r="R2243" i="2"/>
  <c r="S2242" i="2"/>
  <c r="U2242" i="2"/>
  <c r="V2242" i="2" s="1"/>
  <c r="R3107" i="2"/>
  <c r="R948" i="2"/>
  <c r="S947" i="2"/>
  <c r="U947" i="2"/>
  <c r="R2171" i="2"/>
  <c r="R2891" i="2"/>
  <c r="S1522" i="2"/>
  <c r="R1523" i="2"/>
  <c r="U1522" i="2"/>
  <c r="V1522" i="2" s="1"/>
  <c r="R1883" i="2"/>
  <c r="S2530" i="2"/>
  <c r="S2531" i="2" s="1"/>
  <c r="R2531" i="2"/>
  <c r="U2530" i="2"/>
  <c r="R3179" i="2"/>
  <c r="R2676" i="2"/>
  <c r="R3467" i="2"/>
  <c r="R3971" i="2"/>
  <c r="S2027" i="2"/>
  <c r="R2028" i="2"/>
  <c r="U2027" i="2"/>
  <c r="R2317" i="2"/>
  <c r="R2748" i="2"/>
  <c r="R1740" i="2"/>
  <c r="S1739" i="2"/>
  <c r="R3035" i="2"/>
  <c r="R4043" i="2"/>
  <c r="S4186" i="2"/>
  <c r="S4187" i="2" s="1"/>
  <c r="S4188" i="2" s="1"/>
  <c r="S4189" i="2" s="1"/>
  <c r="S4190" i="2" s="1"/>
  <c r="U4186" i="2"/>
  <c r="R4187" i="2"/>
  <c r="S3539" i="2"/>
  <c r="R3540" i="2"/>
  <c r="U3539" i="2"/>
  <c r="R3900" i="2"/>
  <c r="R1957" i="2"/>
  <c r="S1956" i="2"/>
  <c r="S1957" i="2" s="1"/>
  <c r="U1956" i="2"/>
  <c r="U1957" i="2" s="1"/>
  <c r="S2099" i="2"/>
  <c r="R2100" i="2"/>
  <c r="U2099" i="2"/>
  <c r="S659" i="2"/>
  <c r="R660" i="2"/>
  <c r="R4115" i="2"/>
  <c r="R372" i="2"/>
  <c r="S371" i="2"/>
  <c r="S1670" i="2"/>
  <c r="R1671" i="2"/>
  <c r="S156" i="2"/>
  <c r="R157" i="2"/>
  <c r="U3323" i="2"/>
  <c r="U3324" i="2" s="1"/>
  <c r="U3325" i="2" s="1"/>
  <c r="U3326" i="2" s="1"/>
  <c r="U3327" i="2" s="1"/>
  <c r="U3328" i="2" s="1"/>
  <c r="U3329" i="2" s="1"/>
  <c r="U3330" i="2" s="1"/>
  <c r="U3331" i="2" s="1"/>
  <c r="U3332" i="2" s="1"/>
  <c r="U3333" i="2" s="1"/>
  <c r="U3334" i="2" s="1"/>
  <c r="S3323" i="2"/>
  <c r="S3324" i="2" s="1"/>
  <c r="S3325" i="2" s="1"/>
  <c r="S3326" i="2" s="1"/>
  <c r="S3327" i="2" s="1"/>
  <c r="S3328" i="2" s="1"/>
  <c r="S3329" i="2" s="1"/>
  <c r="S3330" i="2" s="1"/>
  <c r="S3331" i="2" s="1"/>
  <c r="S3332" i="2" s="1"/>
  <c r="S3333" i="2" s="1"/>
  <c r="S3334" i="2" s="1"/>
  <c r="R3324" i="2"/>
  <c r="U3610" i="2"/>
  <c r="S3610" i="2"/>
  <c r="S3611" i="2" s="1"/>
  <c r="S3612" i="2" s="1"/>
  <c r="S3613" i="2" s="1"/>
  <c r="R3611" i="2"/>
  <c r="U3754" i="2"/>
  <c r="S3754" i="2"/>
  <c r="S3755" i="2" s="1"/>
  <c r="S3756" i="2" s="1"/>
  <c r="R3755" i="2"/>
  <c r="U2461" i="2"/>
  <c r="U2462" i="2" s="1"/>
  <c r="S2461" i="2"/>
  <c r="S2462" i="2" s="1"/>
  <c r="R2462" i="2"/>
  <c r="S1596" i="2"/>
  <c r="R1597" i="2"/>
  <c r="U1235" i="2"/>
  <c r="R2963" i="2"/>
  <c r="R3252" i="2"/>
  <c r="R3395" i="2"/>
  <c r="R3683" i="2"/>
  <c r="R3827" i="2"/>
  <c r="R4259" i="2"/>
  <c r="R2824" i="2"/>
  <c r="U1379" i="2"/>
  <c r="U1164" i="2"/>
  <c r="R2606" i="2"/>
  <c r="S1019" i="2"/>
  <c r="R1020" i="2"/>
  <c r="R805" i="2"/>
  <c r="S804" i="2"/>
  <c r="R1094" i="2"/>
  <c r="S1093" i="2"/>
  <c r="S228" i="2"/>
  <c r="R229" i="2"/>
  <c r="S299" i="2"/>
  <c r="R300" i="2"/>
  <c r="S443" i="2"/>
  <c r="R444" i="2"/>
  <c r="S731" i="2"/>
  <c r="R732" i="2"/>
  <c r="S875" i="2"/>
  <c r="R876" i="2"/>
  <c r="S1379" i="2"/>
  <c r="R1380" i="2"/>
  <c r="S1164" i="2"/>
  <c r="R1165" i="2"/>
  <c r="R13" i="2"/>
  <c r="S12" i="2"/>
  <c r="S84" i="2"/>
  <c r="R85" i="2"/>
  <c r="U371" i="2" l="1"/>
  <c r="V371" i="2" s="1"/>
  <c r="V370" i="2"/>
  <c r="U83" i="2"/>
  <c r="V82" i="2"/>
  <c r="U804" i="2"/>
  <c r="U805" i="2" s="1"/>
  <c r="V1018" i="2"/>
  <c r="U1019" i="2"/>
  <c r="U1595" i="2"/>
  <c r="V1594" i="2"/>
  <c r="U1739" i="2"/>
  <c r="V1738" i="2"/>
  <c r="U1093" i="2"/>
  <c r="U1094" i="2" s="1"/>
  <c r="U1667" i="2"/>
  <c r="V1666" i="2"/>
  <c r="U11" i="2"/>
  <c r="V10" i="2"/>
  <c r="U731" i="2"/>
  <c r="V730" i="2"/>
  <c r="U2747" i="2"/>
  <c r="V2746" i="2"/>
  <c r="U2891" i="2"/>
  <c r="V2890" i="2"/>
  <c r="U2315" i="2"/>
  <c r="V2314" i="2"/>
  <c r="V298" i="2"/>
  <c r="U299" i="2"/>
  <c r="V874" i="2"/>
  <c r="U875" i="2"/>
  <c r="V442" i="2"/>
  <c r="U443" i="2"/>
  <c r="U2819" i="2"/>
  <c r="V2818" i="2"/>
  <c r="U155" i="2"/>
  <c r="V154" i="2"/>
  <c r="U2171" i="2"/>
  <c r="V2171" i="2" s="1"/>
  <c r="V2170" i="2"/>
  <c r="U3971" i="2"/>
  <c r="V3970" i="2"/>
  <c r="U4187" i="2"/>
  <c r="V4186" i="2"/>
  <c r="U1236" i="2"/>
  <c r="U3107" i="2"/>
  <c r="V3106" i="2"/>
  <c r="U3035" i="2"/>
  <c r="V3035" i="2" s="1"/>
  <c r="V3034" i="2"/>
  <c r="U3179" i="2"/>
  <c r="V3178" i="2"/>
  <c r="U1308" i="2"/>
  <c r="U3467" i="2"/>
  <c r="V3466" i="2"/>
  <c r="U4115" i="2"/>
  <c r="V4114" i="2"/>
  <c r="U1883" i="2"/>
  <c r="V1882" i="2"/>
  <c r="R2389" i="2"/>
  <c r="S2388" i="2"/>
  <c r="U2388" i="2"/>
  <c r="R516" i="2"/>
  <c r="S515" i="2"/>
  <c r="U515" i="2"/>
  <c r="V515" i="2" s="1"/>
  <c r="R588" i="2"/>
  <c r="S587" i="2"/>
  <c r="U587" i="2"/>
  <c r="V587" i="2" s="1"/>
  <c r="R1309" i="2"/>
  <c r="S1308" i="2"/>
  <c r="R1237" i="2"/>
  <c r="S1236" i="2"/>
  <c r="U4043" i="2"/>
  <c r="V4042" i="2"/>
  <c r="U3755" i="2"/>
  <c r="V3754" i="2"/>
  <c r="S157" i="2"/>
  <c r="R158" i="2"/>
  <c r="U3611" i="2"/>
  <c r="V3610" i="2"/>
  <c r="T12" i="2"/>
  <c r="T84" i="2"/>
  <c r="T156" i="2"/>
  <c r="V227" i="2"/>
  <c r="T228" i="2"/>
  <c r="T300" i="2"/>
  <c r="T372" i="2"/>
  <c r="T444" i="2"/>
  <c r="T516" i="2"/>
  <c r="T588" i="2"/>
  <c r="V3395" i="2"/>
  <c r="T3396" i="2"/>
  <c r="T3468" i="2"/>
  <c r="V3539" i="2"/>
  <c r="T3540" i="2"/>
  <c r="T3612" i="2"/>
  <c r="V3683" i="2"/>
  <c r="T3684" i="2"/>
  <c r="T3756" i="2"/>
  <c r="V3827" i="2"/>
  <c r="T3828" i="2"/>
  <c r="V3899" i="2"/>
  <c r="T3900" i="2"/>
  <c r="T3972" i="2"/>
  <c r="T4044" i="2"/>
  <c r="T4116" i="2"/>
  <c r="T4188" i="2"/>
  <c r="T4260" i="2"/>
  <c r="V659" i="2"/>
  <c r="T660" i="2"/>
  <c r="T732" i="2"/>
  <c r="V803" i="2"/>
  <c r="T804" i="2"/>
  <c r="T876" i="2"/>
  <c r="V947" i="2"/>
  <c r="T948" i="2"/>
  <c r="T1020" i="2"/>
  <c r="V1091" i="2"/>
  <c r="T1092" i="2"/>
  <c r="V1163" i="2"/>
  <c r="T1164" i="2"/>
  <c r="V1235" i="2"/>
  <c r="T1236" i="2"/>
  <c r="V1307" i="2"/>
  <c r="T1308" i="2"/>
  <c r="V1379" i="2"/>
  <c r="T1380" i="2"/>
  <c r="T1452" i="2"/>
  <c r="T1524" i="2"/>
  <c r="T1596" i="2"/>
  <c r="T1668" i="2"/>
  <c r="T1740" i="2"/>
  <c r="T1812" i="2"/>
  <c r="T1884" i="2"/>
  <c r="V1955" i="2"/>
  <c r="T1956" i="2"/>
  <c r="V2027" i="2"/>
  <c r="T2028" i="2"/>
  <c r="V2099" i="2"/>
  <c r="T2100" i="2"/>
  <c r="T2172" i="2"/>
  <c r="T2244" i="2"/>
  <c r="T2316" i="2"/>
  <c r="V2387" i="2"/>
  <c r="T2388" i="2"/>
  <c r="V2459" i="2"/>
  <c r="T2460" i="2"/>
  <c r="T2532" i="2"/>
  <c r="V2603" i="2"/>
  <c r="T2604" i="2"/>
  <c r="V2675" i="2"/>
  <c r="T2676" i="2"/>
  <c r="T2748" i="2"/>
  <c r="T2820" i="2"/>
  <c r="T2892" i="2"/>
  <c r="V2963" i="2"/>
  <c r="T2964" i="2"/>
  <c r="T3036" i="2"/>
  <c r="T3108" i="2"/>
  <c r="T3180" i="2"/>
  <c r="V3251" i="2"/>
  <c r="T3252" i="2"/>
  <c r="V3323" i="2"/>
  <c r="T3324" i="2"/>
  <c r="U2531" i="2"/>
  <c r="V2531" i="2" s="1"/>
  <c r="V2530" i="2"/>
  <c r="S1671" i="2"/>
  <c r="S1672" i="2" s="1"/>
  <c r="R1672" i="2"/>
  <c r="R1673" i="2" s="1"/>
  <c r="U372" i="2"/>
  <c r="U1451" i="2"/>
  <c r="V1451" i="2" s="1"/>
  <c r="R1452" i="2"/>
  <c r="S1451" i="2"/>
  <c r="R1812" i="2"/>
  <c r="S1811" i="2"/>
  <c r="U1811" i="2"/>
  <c r="V1811" i="2" s="1"/>
  <c r="S2243" i="2"/>
  <c r="R2244" i="2"/>
  <c r="U2243" i="2"/>
  <c r="V2243" i="2" s="1"/>
  <c r="R3108" i="2"/>
  <c r="R949" i="2"/>
  <c r="S948" i="2"/>
  <c r="U948" i="2"/>
  <c r="R2172" i="2"/>
  <c r="R2892" i="2"/>
  <c r="S1523" i="2"/>
  <c r="R1524" i="2"/>
  <c r="U1523" i="2"/>
  <c r="V1523" i="2" s="1"/>
  <c r="R1884" i="2"/>
  <c r="R2532" i="2"/>
  <c r="R3180" i="2"/>
  <c r="U2676" i="2"/>
  <c r="S2676" i="2"/>
  <c r="R2677" i="2"/>
  <c r="R3468" i="2"/>
  <c r="R3972" i="2"/>
  <c r="U2028" i="2"/>
  <c r="R2029" i="2"/>
  <c r="S2028" i="2"/>
  <c r="S2317" i="2"/>
  <c r="S2318" i="2" s="1"/>
  <c r="R2318" i="2"/>
  <c r="R2749" i="2"/>
  <c r="R1741" i="2"/>
  <c r="S1740" i="2"/>
  <c r="R3036" i="2"/>
  <c r="R4044" i="2"/>
  <c r="R4188" i="2"/>
  <c r="R3541" i="2"/>
  <c r="S3540" i="2"/>
  <c r="S3541" i="2" s="1"/>
  <c r="S3542" i="2" s="1"/>
  <c r="S3543" i="2" s="1"/>
  <c r="S3544" i="2" s="1"/>
  <c r="S3545" i="2" s="1"/>
  <c r="S3546" i="2" s="1"/>
  <c r="S3547" i="2" s="1"/>
  <c r="S3548" i="2" s="1"/>
  <c r="S3549" i="2" s="1"/>
  <c r="S3550" i="2" s="1"/>
  <c r="U3540" i="2"/>
  <c r="U3541" i="2" s="1"/>
  <c r="U3542" i="2" s="1"/>
  <c r="U3543" i="2" s="1"/>
  <c r="U3544" i="2" s="1"/>
  <c r="U3545" i="2" s="1"/>
  <c r="U3546" i="2" s="1"/>
  <c r="U3547" i="2" s="1"/>
  <c r="U3548" i="2" s="1"/>
  <c r="U3549" i="2" s="1"/>
  <c r="U3550" i="2" s="1"/>
  <c r="R3901" i="2"/>
  <c r="R1958" i="2"/>
  <c r="S2100" i="2"/>
  <c r="R2101" i="2"/>
  <c r="U2100" i="2"/>
  <c r="U660" i="2"/>
  <c r="S660" i="2"/>
  <c r="R661" i="2"/>
  <c r="R4116" i="2"/>
  <c r="R3325" i="2"/>
  <c r="R3612" i="2"/>
  <c r="R3756" i="2"/>
  <c r="R2463" i="2"/>
  <c r="R373" i="2"/>
  <c r="S372" i="2"/>
  <c r="S1597" i="2"/>
  <c r="R1598" i="2"/>
  <c r="U4259" i="2"/>
  <c r="S4259" i="2"/>
  <c r="S4260" i="2" s="1"/>
  <c r="R4260" i="2"/>
  <c r="R2964" i="2"/>
  <c r="R3253" i="2"/>
  <c r="R3396" i="2"/>
  <c r="R3684" i="2"/>
  <c r="R3828" i="2"/>
  <c r="R2825" i="2"/>
  <c r="R2607" i="2"/>
  <c r="U229" i="2"/>
  <c r="U1380" i="2"/>
  <c r="U1165" i="2"/>
  <c r="S1020" i="2"/>
  <c r="R1021" i="2"/>
  <c r="R806" i="2"/>
  <c r="S805" i="2"/>
  <c r="S1094" i="2"/>
  <c r="R1095" i="2"/>
  <c r="S229" i="2"/>
  <c r="R230" i="2"/>
  <c r="S300" i="2"/>
  <c r="R301" i="2"/>
  <c r="S444" i="2"/>
  <c r="R445" i="2"/>
  <c r="S732" i="2"/>
  <c r="R733" i="2"/>
  <c r="S876" i="2"/>
  <c r="R877" i="2"/>
  <c r="S1380" i="2"/>
  <c r="R1381" i="2"/>
  <c r="S1165" i="2"/>
  <c r="R1166" i="2"/>
  <c r="S13" i="2"/>
  <c r="R14" i="2"/>
  <c r="S85" i="2"/>
  <c r="R86" i="2"/>
  <c r="S158" i="2"/>
  <c r="R159" i="2"/>
  <c r="R1310" i="2" l="1"/>
  <c r="S1309" i="2"/>
  <c r="R1238" i="2"/>
  <c r="S1237" i="2"/>
  <c r="U84" i="2"/>
  <c r="V83" i="2"/>
  <c r="U1596" i="2"/>
  <c r="V1595" i="2"/>
  <c r="V1739" i="2"/>
  <c r="U1740" i="2"/>
  <c r="V1019" i="2"/>
  <c r="U1020" i="2"/>
  <c r="U1668" i="2"/>
  <c r="V1667" i="2"/>
  <c r="U12" i="2"/>
  <c r="V11" i="2"/>
  <c r="U732" i="2"/>
  <c r="V731" i="2"/>
  <c r="U2316" i="2"/>
  <c r="V2315" i="2"/>
  <c r="U2748" i="2"/>
  <c r="V2747" i="2"/>
  <c r="U2892" i="2"/>
  <c r="V2891" i="2"/>
  <c r="U300" i="2"/>
  <c r="V299" i="2"/>
  <c r="U3972" i="2"/>
  <c r="V3971" i="2"/>
  <c r="U444" i="2"/>
  <c r="V443" i="2"/>
  <c r="U156" i="2"/>
  <c r="V155" i="2"/>
  <c r="U4188" i="2"/>
  <c r="V4187" i="2"/>
  <c r="V875" i="2"/>
  <c r="U876" i="2"/>
  <c r="U2820" i="2"/>
  <c r="V2819" i="2"/>
  <c r="U3468" i="2"/>
  <c r="V3467" i="2"/>
  <c r="U1309" i="2"/>
  <c r="U1310" i="2" s="1"/>
  <c r="U1237" i="2"/>
  <c r="U1238" i="2" s="1"/>
  <c r="U3108" i="2"/>
  <c r="V3107" i="2"/>
  <c r="U3180" i="2"/>
  <c r="V3180" i="2" s="1"/>
  <c r="V3179" i="2"/>
  <c r="U3612" i="2"/>
  <c r="V3611" i="2"/>
  <c r="U3756" i="2"/>
  <c r="V3756" i="2" s="1"/>
  <c r="V3755" i="2"/>
  <c r="U4116" i="2"/>
  <c r="V4115" i="2"/>
  <c r="U1884" i="2"/>
  <c r="V1884" i="2" s="1"/>
  <c r="V1883" i="2"/>
  <c r="U4044" i="2"/>
  <c r="V4043" i="2"/>
  <c r="R2390" i="2"/>
  <c r="S2389" i="2"/>
  <c r="U2389" i="2"/>
  <c r="R517" i="2"/>
  <c r="S516" i="2"/>
  <c r="U516" i="2"/>
  <c r="V516" i="2" s="1"/>
  <c r="R589" i="2"/>
  <c r="S588" i="2"/>
  <c r="U588" i="2"/>
  <c r="V588" i="2" s="1"/>
  <c r="S373" i="2"/>
  <c r="R374" i="2"/>
  <c r="U4260" i="2"/>
  <c r="V4260" i="2" s="1"/>
  <c r="V4259" i="2"/>
  <c r="T13" i="2"/>
  <c r="T85" i="2"/>
  <c r="T157" i="2"/>
  <c r="V228" i="2"/>
  <c r="T229" i="2"/>
  <c r="T301" i="2"/>
  <c r="V372" i="2"/>
  <c r="T373" i="2"/>
  <c r="T445" i="2"/>
  <c r="T517" i="2"/>
  <c r="T589" i="2"/>
  <c r="V3396" i="2"/>
  <c r="T3397" i="2"/>
  <c r="T3469" i="2"/>
  <c r="V3540" i="2"/>
  <c r="T3541" i="2"/>
  <c r="T3613" i="2"/>
  <c r="T3685" i="2"/>
  <c r="T3757" i="2"/>
  <c r="T3829" i="2"/>
  <c r="V3900" i="2"/>
  <c r="T3901" i="2"/>
  <c r="T3973" i="2"/>
  <c r="T4045" i="2"/>
  <c r="T4117" i="2"/>
  <c r="T4189" i="2"/>
  <c r="T4261" i="2"/>
  <c r="V660" i="2"/>
  <c r="T661" i="2"/>
  <c r="T733" i="2"/>
  <c r="V804" i="2"/>
  <c r="T805" i="2"/>
  <c r="T877" i="2"/>
  <c r="V948" i="2"/>
  <c r="T949" i="2"/>
  <c r="T1021" i="2"/>
  <c r="V1092" i="2"/>
  <c r="T1093" i="2"/>
  <c r="V1164" i="2"/>
  <c r="T1165" i="2"/>
  <c r="V1236" i="2"/>
  <c r="T1237" i="2"/>
  <c r="V1308" i="2"/>
  <c r="T1309" i="2"/>
  <c r="V1380" i="2"/>
  <c r="T1381" i="2"/>
  <c r="T1453" i="2"/>
  <c r="T1525" i="2"/>
  <c r="T1597" i="2"/>
  <c r="T1669" i="2"/>
  <c r="T1741" i="2"/>
  <c r="T1813" i="2"/>
  <c r="T1885" i="2"/>
  <c r="V1956" i="2"/>
  <c r="T1957" i="2"/>
  <c r="V2028" i="2"/>
  <c r="T2029" i="2"/>
  <c r="V2100" i="2"/>
  <c r="T2101" i="2"/>
  <c r="T2173" i="2"/>
  <c r="T2245" i="2"/>
  <c r="T2317" i="2"/>
  <c r="V2388" i="2"/>
  <c r="T2389" i="2"/>
  <c r="V2460" i="2"/>
  <c r="T2461" i="2"/>
  <c r="T2533" i="2"/>
  <c r="V2604" i="2"/>
  <c r="T2605" i="2"/>
  <c r="V2676" i="2"/>
  <c r="T2677" i="2"/>
  <c r="T2749" i="2"/>
  <c r="T2821" i="2"/>
  <c r="T2893" i="2"/>
  <c r="T2965" i="2"/>
  <c r="T3037" i="2"/>
  <c r="T3109" i="2"/>
  <c r="T3181" i="2"/>
  <c r="V3252" i="2"/>
  <c r="T3253" i="2"/>
  <c r="V3324" i="2"/>
  <c r="T3325" i="2"/>
  <c r="S1598" i="2"/>
  <c r="S1599" i="2" s="1"/>
  <c r="R1599" i="2"/>
  <c r="R1600" i="2" s="1"/>
  <c r="U373" i="2"/>
  <c r="S1673" i="2"/>
  <c r="R1674" i="2"/>
  <c r="R1453" i="2"/>
  <c r="S1452" i="2"/>
  <c r="U1452" i="2"/>
  <c r="V1452" i="2" s="1"/>
  <c r="R1813" i="2"/>
  <c r="S1812" i="2"/>
  <c r="S1813" i="2" s="1"/>
  <c r="U1812" i="2"/>
  <c r="S2244" i="2"/>
  <c r="S2245" i="2" s="1"/>
  <c r="R2245" i="2"/>
  <c r="U2244" i="2"/>
  <c r="R3109" i="2"/>
  <c r="U949" i="2"/>
  <c r="R950" i="2"/>
  <c r="S949" i="2"/>
  <c r="S2172" i="2"/>
  <c r="R2173" i="2"/>
  <c r="U2172" i="2"/>
  <c r="V2172" i="2" s="1"/>
  <c r="R2893" i="2"/>
  <c r="S1524" i="2"/>
  <c r="R1525" i="2"/>
  <c r="U1524" i="2"/>
  <c r="V1524" i="2" s="1"/>
  <c r="R1885" i="2"/>
  <c r="U2532" i="2"/>
  <c r="S2532" i="2"/>
  <c r="S2533" i="2" s="1"/>
  <c r="S2534" i="2" s="1"/>
  <c r="R2533" i="2"/>
  <c r="R3181" i="2"/>
  <c r="S2677" i="2"/>
  <c r="S2678" i="2" s="1"/>
  <c r="S2679" i="2" s="1"/>
  <c r="R2678" i="2"/>
  <c r="R3469" i="2"/>
  <c r="R3973" i="2"/>
  <c r="U2029" i="2"/>
  <c r="U2030" i="2" s="1"/>
  <c r="R2030" i="2"/>
  <c r="S2029" i="2"/>
  <c r="S2030" i="2" s="1"/>
  <c r="R2319" i="2"/>
  <c r="R2750" i="2"/>
  <c r="R1742" i="2"/>
  <c r="S1741" i="2"/>
  <c r="R3037" i="2"/>
  <c r="S3036" i="2"/>
  <c r="S3037" i="2" s="1"/>
  <c r="S3038" i="2" s="1"/>
  <c r="S3039" i="2" s="1"/>
  <c r="S3040" i="2" s="1"/>
  <c r="S3041" i="2" s="1"/>
  <c r="U3036" i="2"/>
  <c r="R4045" i="2"/>
  <c r="R4189" i="2"/>
  <c r="R3542" i="2"/>
  <c r="R3902" i="2"/>
  <c r="U1958" i="2"/>
  <c r="R1959" i="2"/>
  <c r="S1958" i="2"/>
  <c r="S2101" i="2"/>
  <c r="S2102" i="2" s="1"/>
  <c r="S2103" i="2" s="1"/>
  <c r="R2102" i="2"/>
  <c r="U2101" i="2"/>
  <c r="U2102" i="2" s="1"/>
  <c r="U2103" i="2" s="1"/>
  <c r="S661" i="2"/>
  <c r="R662" i="2"/>
  <c r="R4117" i="2"/>
  <c r="R3326" i="2"/>
  <c r="R3613" i="2"/>
  <c r="R3757" i="2"/>
  <c r="R2464" i="2"/>
  <c r="S2463" i="2"/>
  <c r="S2464" i="2" s="1"/>
  <c r="U2463" i="2"/>
  <c r="U2464" i="2" s="1"/>
  <c r="R4261" i="2"/>
  <c r="U2677" i="2"/>
  <c r="U2678" i="2" s="1"/>
  <c r="U2679" i="2" s="1"/>
  <c r="U661" i="2"/>
  <c r="S2964" i="2"/>
  <c r="U2964" i="2"/>
  <c r="V2964" i="2" s="1"/>
  <c r="R2965" i="2"/>
  <c r="U3684" i="2"/>
  <c r="S3684" i="2"/>
  <c r="S3685" i="2" s="1"/>
  <c r="S3686" i="2" s="1"/>
  <c r="R3685" i="2"/>
  <c r="U3828" i="2"/>
  <c r="S3828" i="2"/>
  <c r="S3829" i="2" s="1"/>
  <c r="S3830" i="2" s="1"/>
  <c r="S3831" i="2" s="1"/>
  <c r="S3832" i="2" s="1"/>
  <c r="S3833" i="2" s="1"/>
  <c r="S3834" i="2" s="1"/>
  <c r="R3829" i="2"/>
  <c r="S2825" i="2"/>
  <c r="R2826" i="2"/>
  <c r="R3254" i="2"/>
  <c r="R3397" i="2"/>
  <c r="R2608" i="2"/>
  <c r="U230" i="2"/>
  <c r="U1381" i="2"/>
  <c r="U1166" i="2"/>
  <c r="U1095" i="2"/>
  <c r="U806" i="2"/>
  <c r="S1021" i="2"/>
  <c r="R1022" i="2"/>
  <c r="R807" i="2"/>
  <c r="S806" i="2"/>
  <c r="R1096" i="2"/>
  <c r="S1095" i="2"/>
  <c r="R1239" i="2"/>
  <c r="S1238" i="2"/>
  <c r="R1311" i="2"/>
  <c r="S1310" i="2"/>
  <c r="S230" i="2"/>
  <c r="R231" i="2"/>
  <c r="S301" i="2"/>
  <c r="R302" i="2"/>
  <c r="S445" i="2"/>
  <c r="R446" i="2"/>
  <c r="S733" i="2"/>
  <c r="R734" i="2"/>
  <c r="S877" i="2"/>
  <c r="S878" i="2" s="1"/>
  <c r="R878" i="2"/>
  <c r="S1381" i="2"/>
  <c r="R1382" i="2"/>
  <c r="S1166" i="2"/>
  <c r="R1167" i="2"/>
  <c r="R15" i="2"/>
  <c r="S14" i="2"/>
  <c r="S15" i="2" s="1"/>
  <c r="S86" i="2"/>
  <c r="R87" i="2"/>
  <c r="S159" i="2"/>
  <c r="R160" i="2"/>
  <c r="R375" i="2" l="1"/>
  <c r="S374" i="2"/>
  <c r="U1597" i="2"/>
  <c r="U1598" i="2" s="1"/>
  <c r="U1599" i="2" s="1"/>
  <c r="V1596" i="2"/>
  <c r="U85" i="2"/>
  <c r="V84" i="2"/>
  <c r="V1740" i="2"/>
  <c r="U1741" i="2"/>
  <c r="U1021" i="2"/>
  <c r="V1020" i="2"/>
  <c r="U1669" i="2"/>
  <c r="V1668" i="2"/>
  <c r="U13" i="2"/>
  <c r="V12" i="2"/>
  <c r="V732" i="2"/>
  <c r="U733" i="2"/>
  <c r="U2317" i="2"/>
  <c r="V2316" i="2"/>
  <c r="U2749" i="2"/>
  <c r="V2748" i="2"/>
  <c r="U2893" i="2"/>
  <c r="V2892" i="2"/>
  <c r="V300" i="2"/>
  <c r="U301" i="2"/>
  <c r="U3109" i="2"/>
  <c r="V3108" i="2"/>
  <c r="U3973" i="2"/>
  <c r="V3972" i="2"/>
  <c r="V444" i="2"/>
  <c r="U445" i="2"/>
  <c r="U157" i="2"/>
  <c r="V156" i="2"/>
  <c r="U4189" i="2"/>
  <c r="V4188" i="2"/>
  <c r="V876" i="2"/>
  <c r="U877" i="2"/>
  <c r="U2821" i="2"/>
  <c r="V2820" i="2"/>
  <c r="U3469" i="2"/>
  <c r="V3468" i="2"/>
  <c r="U3613" i="2"/>
  <c r="V3613" i="2" s="1"/>
  <c r="V3612" i="2"/>
  <c r="U4117" i="2"/>
  <c r="V4116" i="2"/>
  <c r="U374" i="2"/>
  <c r="U375" i="2" s="1"/>
  <c r="U4045" i="2"/>
  <c r="V4044" i="2"/>
  <c r="R2391" i="2"/>
  <c r="S2390" i="2"/>
  <c r="U2390" i="2"/>
  <c r="R518" i="2"/>
  <c r="S517" i="2"/>
  <c r="U517" i="2"/>
  <c r="V517" i="2" s="1"/>
  <c r="R590" i="2"/>
  <c r="S589" i="2"/>
  <c r="U589" i="2"/>
  <c r="V589" i="2" s="1"/>
  <c r="T14" i="2"/>
  <c r="T86" i="2"/>
  <c r="T158" i="2"/>
  <c r="V229" i="2"/>
  <c r="T230" i="2"/>
  <c r="T302" i="2"/>
  <c r="V373" i="2"/>
  <c r="T374" i="2"/>
  <c r="T446" i="2"/>
  <c r="T518" i="2"/>
  <c r="T590" i="2"/>
  <c r="V3397" i="2"/>
  <c r="T3398" i="2"/>
  <c r="T3470" i="2"/>
  <c r="V3541" i="2"/>
  <c r="T3542" i="2"/>
  <c r="T3614" i="2"/>
  <c r="T3686" i="2"/>
  <c r="T3758" i="2"/>
  <c r="T3830" i="2"/>
  <c r="V3901" i="2"/>
  <c r="T3902" i="2"/>
  <c r="T3974" i="2"/>
  <c r="T4046" i="2"/>
  <c r="T4118" i="2"/>
  <c r="T4190" i="2"/>
  <c r="T4262" i="2"/>
  <c r="V661" i="2"/>
  <c r="T662" i="2"/>
  <c r="T734" i="2"/>
  <c r="V805" i="2"/>
  <c r="T806" i="2"/>
  <c r="T878" i="2"/>
  <c r="V949" i="2"/>
  <c r="T950" i="2"/>
  <c r="T1022" i="2"/>
  <c r="V1093" i="2"/>
  <c r="T1094" i="2"/>
  <c r="V1165" i="2"/>
  <c r="T1166" i="2"/>
  <c r="V1237" i="2"/>
  <c r="T1238" i="2"/>
  <c r="V1309" i="2"/>
  <c r="T1310" i="2"/>
  <c r="V1381" i="2"/>
  <c r="T1382" i="2"/>
  <c r="T1454" i="2"/>
  <c r="T1526" i="2"/>
  <c r="V1597" i="2"/>
  <c r="T1598" i="2"/>
  <c r="T1670" i="2"/>
  <c r="T1742" i="2"/>
  <c r="T1814" i="2"/>
  <c r="T1886" i="2"/>
  <c r="V1957" i="2"/>
  <c r="T1958" i="2"/>
  <c r="V2029" i="2"/>
  <c r="T2030" i="2"/>
  <c r="V2101" i="2"/>
  <c r="T2102" i="2"/>
  <c r="T2174" i="2"/>
  <c r="T2246" i="2"/>
  <c r="T2318" i="2"/>
  <c r="V2389" i="2"/>
  <c r="T2390" i="2"/>
  <c r="V2461" i="2"/>
  <c r="T2462" i="2"/>
  <c r="T2534" i="2"/>
  <c r="V2605" i="2"/>
  <c r="T2606" i="2"/>
  <c r="V2677" i="2"/>
  <c r="T2678" i="2"/>
  <c r="T2750" i="2"/>
  <c r="T2822" i="2"/>
  <c r="T2894" i="2"/>
  <c r="T2966" i="2"/>
  <c r="T3038" i="2"/>
  <c r="T3110" i="2"/>
  <c r="T3182" i="2"/>
  <c r="V3253" i="2"/>
  <c r="T3254" i="2"/>
  <c r="V3325" i="2"/>
  <c r="T3326" i="2"/>
  <c r="U1813" i="2"/>
  <c r="V1813" i="2" s="1"/>
  <c r="V1812" i="2"/>
  <c r="U2245" i="2"/>
  <c r="V2245" i="2" s="1"/>
  <c r="V2244" i="2"/>
  <c r="U2533" i="2"/>
  <c r="V2532" i="2"/>
  <c r="U3037" i="2"/>
  <c r="V3036" i="2"/>
  <c r="U3685" i="2"/>
  <c r="V3684" i="2"/>
  <c r="U3829" i="2"/>
  <c r="V3828" i="2"/>
  <c r="S1674" i="2"/>
  <c r="R1675" i="2"/>
  <c r="R1454" i="2"/>
  <c r="S1453" i="2"/>
  <c r="U1453" i="2"/>
  <c r="V1453" i="2" s="1"/>
  <c r="R1814" i="2"/>
  <c r="R2246" i="2"/>
  <c r="R3110" i="2"/>
  <c r="R951" i="2"/>
  <c r="S950" i="2"/>
  <c r="U950" i="2"/>
  <c r="S2173" i="2"/>
  <c r="R2174" i="2"/>
  <c r="U2173" i="2"/>
  <c r="V2173" i="2" s="1"/>
  <c r="R2894" i="2"/>
  <c r="S1525" i="2"/>
  <c r="R1526" i="2"/>
  <c r="U1525" i="2"/>
  <c r="V1525" i="2" s="1"/>
  <c r="U1885" i="2"/>
  <c r="R1886" i="2"/>
  <c r="S1885" i="2"/>
  <c r="S1886" i="2" s="1"/>
  <c r="S1887" i="2" s="1"/>
  <c r="S1888" i="2" s="1"/>
  <c r="S1889" i="2" s="1"/>
  <c r="R2534" i="2"/>
  <c r="S3181" i="2"/>
  <c r="S3182" i="2" s="1"/>
  <c r="S3183" i="2" s="1"/>
  <c r="S3184" i="2" s="1"/>
  <c r="S3185" i="2" s="1"/>
  <c r="S3186" i="2" s="1"/>
  <c r="R3182" i="2"/>
  <c r="U3181" i="2"/>
  <c r="R2679" i="2"/>
  <c r="R3470" i="2"/>
  <c r="R3974" i="2"/>
  <c r="R2031" i="2"/>
  <c r="R2320" i="2"/>
  <c r="S2319" i="2"/>
  <c r="S2750" i="2"/>
  <c r="R2751" i="2"/>
  <c r="R1743" i="2"/>
  <c r="S1742" i="2"/>
  <c r="R3038" i="2"/>
  <c r="R4046" i="2"/>
  <c r="R4190" i="2"/>
  <c r="R3543" i="2"/>
  <c r="R3903" i="2"/>
  <c r="R1960" i="2"/>
  <c r="S1959" i="2"/>
  <c r="S1960" i="2" s="1"/>
  <c r="S1961" i="2" s="1"/>
  <c r="U1959" i="2"/>
  <c r="U1960" i="2" s="1"/>
  <c r="U1961" i="2" s="1"/>
  <c r="R2103" i="2"/>
  <c r="S662" i="2"/>
  <c r="R663" i="2"/>
  <c r="U662" i="2"/>
  <c r="R4118" i="2"/>
  <c r="R3327" i="2"/>
  <c r="R3614" i="2"/>
  <c r="R3758" i="2"/>
  <c r="S3757" i="2"/>
  <c r="S3758" i="2" s="1"/>
  <c r="S3759" i="2" s="1"/>
  <c r="S3760" i="2" s="1"/>
  <c r="S3761" i="2" s="1"/>
  <c r="S3762" i="2" s="1"/>
  <c r="S3763" i="2" s="1"/>
  <c r="S3764" i="2" s="1"/>
  <c r="S3765" i="2" s="1"/>
  <c r="S3766" i="2" s="1"/>
  <c r="S3767" i="2" s="1"/>
  <c r="S3768" i="2" s="1"/>
  <c r="S3769" i="2" s="1"/>
  <c r="U3757" i="2"/>
  <c r="R2465" i="2"/>
  <c r="S4261" i="2"/>
  <c r="S4262" i="2" s="1"/>
  <c r="R4262" i="2"/>
  <c r="U4261" i="2"/>
  <c r="R2966" i="2"/>
  <c r="S2965" i="2"/>
  <c r="U2965" i="2"/>
  <c r="V2965" i="2" s="1"/>
  <c r="R3686" i="2"/>
  <c r="R3830" i="2"/>
  <c r="R2827" i="2"/>
  <c r="S2826" i="2"/>
  <c r="S2827" i="2" s="1"/>
  <c r="U2608" i="2"/>
  <c r="U2609" i="2" s="1"/>
  <c r="S2608" i="2"/>
  <c r="S2609" i="2" s="1"/>
  <c r="R2609" i="2"/>
  <c r="S1600" i="2"/>
  <c r="R1601" i="2"/>
  <c r="R3255" i="2"/>
  <c r="R3398" i="2"/>
  <c r="U1600" i="2"/>
  <c r="U231" i="2"/>
  <c r="R879" i="2"/>
  <c r="U1382" i="2"/>
  <c r="U1167" i="2"/>
  <c r="R16" i="2"/>
  <c r="U1239" i="2"/>
  <c r="U1240" i="2" s="1"/>
  <c r="U1311" i="2"/>
  <c r="U807" i="2"/>
  <c r="U1096" i="2"/>
  <c r="U1097" i="2" s="1"/>
  <c r="S1022" i="2"/>
  <c r="R1023" i="2"/>
  <c r="R808" i="2"/>
  <c r="S807" i="2"/>
  <c r="R1097" i="2"/>
  <c r="S1096" i="2"/>
  <c r="S1097" i="2" s="1"/>
  <c r="R1240" i="2"/>
  <c r="S1239" i="2"/>
  <c r="S1240" i="2" s="1"/>
  <c r="R1312" i="2"/>
  <c r="S1311" i="2"/>
  <c r="R376" i="2"/>
  <c r="S375" i="2"/>
  <c r="S231" i="2"/>
  <c r="R232" i="2"/>
  <c r="S302" i="2"/>
  <c r="R303" i="2"/>
  <c r="S446" i="2"/>
  <c r="R447" i="2"/>
  <c r="S734" i="2"/>
  <c r="R735" i="2"/>
  <c r="S1382" i="2"/>
  <c r="R1383" i="2"/>
  <c r="S1167" i="2"/>
  <c r="R1168" i="2"/>
  <c r="S87" i="2"/>
  <c r="R88" i="2"/>
  <c r="S160" i="2"/>
  <c r="R161" i="2"/>
  <c r="U86" i="2" l="1"/>
  <c r="V85" i="2"/>
  <c r="U1742" i="2"/>
  <c r="U1743" i="2" s="1"/>
  <c r="V1741" i="2"/>
  <c r="U1022" i="2"/>
  <c r="V1021" i="2"/>
  <c r="U1670" i="2"/>
  <c r="V1669" i="2"/>
  <c r="U14" i="2"/>
  <c r="V13" i="2"/>
  <c r="U734" i="2"/>
  <c r="V733" i="2"/>
  <c r="U2318" i="2"/>
  <c r="V2317" i="2"/>
  <c r="V2749" i="2"/>
  <c r="U2750" i="2"/>
  <c r="U2894" i="2"/>
  <c r="V2893" i="2"/>
  <c r="V301" i="2"/>
  <c r="U302" i="2"/>
  <c r="U3110" i="2"/>
  <c r="V3109" i="2"/>
  <c r="U446" i="2"/>
  <c r="V445" i="2"/>
  <c r="U3974" i="2"/>
  <c r="V3973" i="2"/>
  <c r="U158" i="2"/>
  <c r="V157" i="2"/>
  <c r="U4046" i="2"/>
  <c r="V4045" i="2"/>
  <c r="U878" i="2"/>
  <c r="V877" i="2"/>
  <c r="U2822" i="2"/>
  <c r="V2821" i="2"/>
  <c r="U3470" i="2"/>
  <c r="V3470" i="2" s="1"/>
  <c r="V3469" i="2"/>
  <c r="U4190" i="2"/>
  <c r="V4190" i="2" s="1"/>
  <c r="V4189" i="2"/>
  <c r="U4118" i="2"/>
  <c r="V4118" i="2" s="1"/>
  <c r="V4117" i="2"/>
  <c r="U2534" i="2"/>
  <c r="V2534" i="2" s="1"/>
  <c r="V2533" i="2"/>
  <c r="U3686" i="2"/>
  <c r="V3686" i="2" s="1"/>
  <c r="V3685" i="2"/>
  <c r="U3830" i="2"/>
  <c r="V3829" i="2"/>
  <c r="U3038" i="2"/>
  <c r="V3037" i="2"/>
  <c r="U3182" i="2"/>
  <c r="V3181" i="2"/>
  <c r="U1886" i="2"/>
  <c r="V1885" i="2"/>
  <c r="R2392" i="2"/>
  <c r="S2391" i="2"/>
  <c r="U2391" i="2"/>
  <c r="R519" i="2"/>
  <c r="S518" i="2"/>
  <c r="U518" i="2"/>
  <c r="V518" i="2" s="1"/>
  <c r="R591" i="2"/>
  <c r="S590" i="2"/>
  <c r="U590" i="2"/>
  <c r="V590" i="2" s="1"/>
  <c r="U4262" i="2"/>
  <c r="V4262" i="2" s="1"/>
  <c r="V4261" i="2"/>
  <c r="T15" i="2"/>
  <c r="T87" i="2"/>
  <c r="T159" i="2"/>
  <c r="V230" i="2"/>
  <c r="T231" i="2"/>
  <c r="T303" i="2"/>
  <c r="V374" i="2"/>
  <c r="T375" i="2"/>
  <c r="T447" i="2"/>
  <c r="T519" i="2"/>
  <c r="T591" i="2"/>
  <c r="V3398" i="2"/>
  <c r="T3399" i="2"/>
  <c r="T3471" i="2"/>
  <c r="V3542" i="2"/>
  <c r="T3543" i="2"/>
  <c r="T3615" i="2"/>
  <c r="T3687" i="2"/>
  <c r="T3759" i="2"/>
  <c r="T3831" i="2"/>
  <c r="V3902" i="2"/>
  <c r="T3903" i="2"/>
  <c r="T3975" i="2"/>
  <c r="T4047" i="2"/>
  <c r="T4119" i="2"/>
  <c r="T4191" i="2"/>
  <c r="T4263" i="2"/>
  <c r="V662" i="2"/>
  <c r="T663" i="2"/>
  <c r="T735" i="2"/>
  <c r="V806" i="2"/>
  <c r="T807" i="2"/>
  <c r="T879" i="2"/>
  <c r="V950" i="2"/>
  <c r="T951" i="2"/>
  <c r="T1023" i="2"/>
  <c r="V1094" i="2"/>
  <c r="T1095" i="2"/>
  <c r="V1166" i="2"/>
  <c r="T1167" i="2"/>
  <c r="V1238" i="2"/>
  <c r="T1239" i="2"/>
  <c r="V1310" i="2"/>
  <c r="T1311" i="2"/>
  <c r="V1382" i="2"/>
  <c r="T1383" i="2"/>
  <c r="T1455" i="2"/>
  <c r="T1527" i="2"/>
  <c r="V1598" i="2"/>
  <c r="T1599" i="2"/>
  <c r="T1671" i="2"/>
  <c r="V1742" i="2"/>
  <c r="T1743" i="2"/>
  <c r="T1815" i="2"/>
  <c r="T1887" i="2"/>
  <c r="V1958" i="2"/>
  <c r="T1959" i="2"/>
  <c r="V2030" i="2"/>
  <c r="T2031" i="2"/>
  <c r="V2102" i="2"/>
  <c r="T2103" i="2"/>
  <c r="T2175" i="2"/>
  <c r="T2247" i="2"/>
  <c r="T2319" i="2"/>
  <c r="V2390" i="2"/>
  <c r="T2391" i="2"/>
  <c r="V2462" i="2"/>
  <c r="T2463" i="2"/>
  <c r="T2535" i="2"/>
  <c r="V2606" i="2"/>
  <c r="T2607" i="2"/>
  <c r="V2678" i="2"/>
  <c r="T2679" i="2"/>
  <c r="T2751" i="2"/>
  <c r="T2823" i="2"/>
  <c r="T2895" i="2"/>
  <c r="T2967" i="2"/>
  <c r="T3039" i="2"/>
  <c r="T3111" i="2"/>
  <c r="T3183" i="2"/>
  <c r="V3254" i="2"/>
  <c r="T3255" i="2"/>
  <c r="V3326" i="2"/>
  <c r="T3327" i="2"/>
  <c r="U3758" i="2"/>
  <c r="V3757" i="2"/>
  <c r="S1675" i="2"/>
  <c r="R1676" i="2"/>
  <c r="S16" i="2"/>
  <c r="R17" i="2"/>
  <c r="R1455" i="2"/>
  <c r="S1454" i="2"/>
  <c r="S1455" i="2" s="1"/>
  <c r="S1456" i="2" s="1"/>
  <c r="U1454" i="2"/>
  <c r="U1814" i="2"/>
  <c r="V1814" i="2" s="1"/>
  <c r="R1815" i="2"/>
  <c r="S1814" i="2"/>
  <c r="R2247" i="2"/>
  <c r="S2246" i="2"/>
  <c r="S2247" i="2" s="1"/>
  <c r="U2246" i="2"/>
  <c r="R3111" i="2"/>
  <c r="R952" i="2"/>
  <c r="S951" i="2"/>
  <c r="U951" i="2"/>
  <c r="S2174" i="2"/>
  <c r="R2175" i="2"/>
  <c r="U2174" i="2"/>
  <c r="V2174" i="2" s="1"/>
  <c r="R2895" i="2"/>
  <c r="S1526" i="2"/>
  <c r="R1527" i="2"/>
  <c r="U1526" i="2"/>
  <c r="V1526" i="2" s="1"/>
  <c r="R1887" i="2"/>
  <c r="R2535" i="2"/>
  <c r="R3183" i="2"/>
  <c r="R2680" i="2"/>
  <c r="R3471" i="2"/>
  <c r="R3975" i="2"/>
  <c r="S2031" i="2"/>
  <c r="U2031" i="2"/>
  <c r="R2032" i="2"/>
  <c r="R2321" i="2"/>
  <c r="S2320" i="2"/>
  <c r="R2752" i="2"/>
  <c r="S2751" i="2"/>
  <c r="R1744" i="2"/>
  <c r="S1743" i="2"/>
  <c r="R3039" i="2"/>
  <c r="R4047" i="2"/>
  <c r="R4191" i="2"/>
  <c r="R3544" i="2"/>
  <c r="R3904" i="2"/>
  <c r="R1961" i="2"/>
  <c r="R2104" i="2"/>
  <c r="S663" i="2"/>
  <c r="S664" i="2" s="1"/>
  <c r="R664" i="2"/>
  <c r="U663" i="2"/>
  <c r="U664" i="2" s="1"/>
  <c r="R4119" i="2"/>
  <c r="R3328" i="2"/>
  <c r="R3615" i="2"/>
  <c r="S3614" i="2"/>
  <c r="S3615" i="2" s="1"/>
  <c r="S3616" i="2" s="1"/>
  <c r="S3617" i="2" s="1"/>
  <c r="S3618" i="2" s="1"/>
  <c r="S3619" i="2" s="1"/>
  <c r="S3620" i="2" s="1"/>
  <c r="S3621" i="2" s="1"/>
  <c r="S3622" i="2" s="1"/>
  <c r="S3623" i="2" s="1"/>
  <c r="S3624" i="2" s="1"/>
  <c r="S3625" i="2" s="1"/>
  <c r="S3626" i="2" s="1"/>
  <c r="S3627" i="2" s="1"/>
  <c r="U3614" i="2"/>
  <c r="R3759" i="2"/>
  <c r="R2466" i="2"/>
  <c r="S2465" i="2"/>
  <c r="S2466" i="2" s="1"/>
  <c r="U2465" i="2"/>
  <c r="U2466" i="2" s="1"/>
  <c r="R4263" i="2"/>
  <c r="U2966" i="2"/>
  <c r="R2967" i="2"/>
  <c r="S2966" i="2"/>
  <c r="S2967" i="2" s="1"/>
  <c r="S2968" i="2" s="1"/>
  <c r="S2969" i="2" s="1"/>
  <c r="S2970" i="2" s="1"/>
  <c r="S2971" i="2" s="1"/>
  <c r="R3687" i="2"/>
  <c r="R3831" i="2"/>
  <c r="R2828" i="2"/>
  <c r="R2610" i="2"/>
  <c r="U1601" i="2"/>
  <c r="S1601" i="2"/>
  <c r="R1602" i="2"/>
  <c r="S879" i="2"/>
  <c r="R880" i="2"/>
  <c r="R3256" i="2"/>
  <c r="R3399" i="2"/>
  <c r="R1098" i="2"/>
  <c r="U1098" i="2" s="1"/>
  <c r="R1241" i="2"/>
  <c r="U232" i="2"/>
  <c r="U1383" i="2"/>
  <c r="U1168" i="2"/>
  <c r="U808" i="2"/>
  <c r="U1312" i="2"/>
  <c r="U376" i="2"/>
  <c r="S1023" i="2"/>
  <c r="R1024" i="2"/>
  <c r="R809" i="2"/>
  <c r="S808" i="2"/>
  <c r="R1313" i="2"/>
  <c r="S1312" i="2"/>
  <c r="R377" i="2"/>
  <c r="S376" i="2"/>
  <c r="S232" i="2"/>
  <c r="R233" i="2"/>
  <c r="S303" i="2"/>
  <c r="R304" i="2"/>
  <c r="S447" i="2"/>
  <c r="R448" i="2"/>
  <c r="S735" i="2"/>
  <c r="R736" i="2"/>
  <c r="S1383" i="2"/>
  <c r="R1384" i="2"/>
  <c r="S1602" i="2"/>
  <c r="S1603" i="2" s="1"/>
  <c r="R1603" i="2"/>
  <c r="S1168" i="2"/>
  <c r="R1169" i="2"/>
  <c r="S88" i="2"/>
  <c r="R89" i="2"/>
  <c r="S161" i="2"/>
  <c r="R162" i="2"/>
  <c r="U87" i="2" l="1"/>
  <c r="U88" i="2" s="1"/>
  <c r="U89" i="2" s="1"/>
  <c r="V86" i="2"/>
  <c r="V1022" i="2"/>
  <c r="U1023" i="2"/>
  <c r="U1671" i="2"/>
  <c r="V1670" i="2"/>
  <c r="U15" i="2"/>
  <c r="V14" i="2"/>
  <c r="U735" i="2"/>
  <c r="V734" i="2"/>
  <c r="U2319" i="2"/>
  <c r="V2318" i="2"/>
  <c r="U2751" i="2"/>
  <c r="V2750" i="2"/>
  <c r="U2895" i="2"/>
  <c r="V2894" i="2"/>
  <c r="U303" i="2"/>
  <c r="V302" i="2"/>
  <c r="U3111" i="2"/>
  <c r="V3111" i="2" s="1"/>
  <c r="V3110" i="2"/>
  <c r="U447" i="2"/>
  <c r="V446" i="2"/>
  <c r="U3975" i="2"/>
  <c r="V3974" i="2"/>
  <c r="U879" i="2"/>
  <c r="V878" i="2"/>
  <c r="U159" i="2"/>
  <c r="V158" i="2"/>
  <c r="U4047" i="2"/>
  <c r="V4046" i="2"/>
  <c r="U2823" i="2"/>
  <c r="V2822" i="2"/>
  <c r="U3039" i="2"/>
  <c r="V3038" i="2"/>
  <c r="U3183" i="2"/>
  <c r="V3182" i="2"/>
  <c r="U3831" i="2"/>
  <c r="V3830" i="2"/>
  <c r="U1887" i="2"/>
  <c r="V1886" i="2"/>
  <c r="U3615" i="2"/>
  <c r="V3614" i="2"/>
  <c r="U2392" i="2"/>
  <c r="U2393" i="2" s="1"/>
  <c r="U2394" i="2" s="1"/>
  <c r="R2393" i="2"/>
  <c r="R2394" i="2" s="1"/>
  <c r="R2395" i="2" s="1"/>
  <c r="S2392" i="2"/>
  <c r="S2393" i="2" s="1"/>
  <c r="S2394" i="2" s="1"/>
  <c r="R520" i="2"/>
  <c r="U519" i="2"/>
  <c r="V519" i="2" s="1"/>
  <c r="S519" i="2"/>
  <c r="S591" i="2"/>
  <c r="U591" i="2"/>
  <c r="V591" i="2" s="1"/>
  <c r="R592" i="2"/>
  <c r="S1676" i="2"/>
  <c r="R1677" i="2"/>
  <c r="S17" i="2"/>
  <c r="R18" i="2"/>
  <c r="S880" i="2"/>
  <c r="R881" i="2"/>
  <c r="R1099" i="2"/>
  <c r="S1098" i="2"/>
  <c r="U1241" i="2"/>
  <c r="R1242" i="2"/>
  <c r="S1241" i="2"/>
  <c r="U3759" i="2"/>
  <c r="V3758" i="2"/>
  <c r="U1455" i="2"/>
  <c r="V1454" i="2"/>
  <c r="T16" i="2"/>
  <c r="V87" i="2"/>
  <c r="T88" i="2"/>
  <c r="T160" i="2"/>
  <c r="V231" i="2"/>
  <c r="T232" i="2"/>
  <c r="T304" i="2"/>
  <c r="V375" i="2"/>
  <c r="T376" i="2"/>
  <c r="T448" i="2"/>
  <c r="T520" i="2"/>
  <c r="T592" i="2"/>
  <c r="V3399" i="2"/>
  <c r="T3400" i="2"/>
  <c r="T3472" i="2"/>
  <c r="V3543" i="2"/>
  <c r="T3544" i="2"/>
  <c r="T3616" i="2"/>
  <c r="T3688" i="2"/>
  <c r="T3760" i="2"/>
  <c r="T3832" i="2"/>
  <c r="V3903" i="2"/>
  <c r="T3904" i="2"/>
  <c r="T3976" i="2"/>
  <c r="T4048" i="2"/>
  <c r="T4120" i="2"/>
  <c r="T4192" i="2"/>
  <c r="T4264" i="2"/>
  <c r="V663" i="2"/>
  <c r="T664" i="2"/>
  <c r="T736" i="2"/>
  <c r="V807" i="2"/>
  <c r="T808" i="2"/>
  <c r="T880" i="2"/>
  <c r="V951" i="2"/>
  <c r="T952" i="2"/>
  <c r="T1024" i="2"/>
  <c r="V1095" i="2"/>
  <c r="T1096" i="2"/>
  <c r="V1167" i="2"/>
  <c r="T1168" i="2"/>
  <c r="V1239" i="2"/>
  <c r="T1240" i="2"/>
  <c r="V1311" i="2"/>
  <c r="T1312" i="2"/>
  <c r="V1383" i="2"/>
  <c r="T1384" i="2"/>
  <c r="T1456" i="2"/>
  <c r="T1528" i="2"/>
  <c r="V1599" i="2"/>
  <c r="T1600" i="2"/>
  <c r="T1672" i="2"/>
  <c r="V1743" i="2"/>
  <c r="T1744" i="2"/>
  <c r="T1816" i="2"/>
  <c r="T1888" i="2"/>
  <c r="V1959" i="2"/>
  <c r="T1960" i="2"/>
  <c r="V2031" i="2"/>
  <c r="T2032" i="2"/>
  <c r="V2103" i="2"/>
  <c r="T2104" i="2"/>
  <c r="T2176" i="2"/>
  <c r="T2248" i="2"/>
  <c r="T2320" i="2"/>
  <c r="V2391" i="2"/>
  <c r="T2392" i="2"/>
  <c r="V2463" i="2"/>
  <c r="T2464" i="2"/>
  <c r="T2536" i="2"/>
  <c r="V2607" i="2"/>
  <c r="T2608" i="2"/>
  <c r="V2679" i="2"/>
  <c r="T2680" i="2"/>
  <c r="T2752" i="2"/>
  <c r="T2824" i="2"/>
  <c r="T2896" i="2"/>
  <c r="T2968" i="2"/>
  <c r="T3040" i="2"/>
  <c r="T3112" i="2"/>
  <c r="T3184" i="2"/>
  <c r="V3255" i="2"/>
  <c r="T3256" i="2"/>
  <c r="V3327" i="2"/>
  <c r="T3328" i="2"/>
  <c r="U2247" i="2"/>
  <c r="V2247" i="2" s="1"/>
  <c r="V2246" i="2"/>
  <c r="U2967" i="2"/>
  <c r="V2966" i="2"/>
  <c r="R1456" i="2"/>
  <c r="S1815" i="2"/>
  <c r="R1816" i="2"/>
  <c r="U1815" i="2"/>
  <c r="V1815" i="2" s="1"/>
  <c r="R2248" i="2"/>
  <c r="R3112" i="2"/>
  <c r="R953" i="2"/>
  <c r="S952" i="2"/>
  <c r="U952" i="2"/>
  <c r="S2175" i="2"/>
  <c r="R2176" i="2"/>
  <c r="U2175" i="2"/>
  <c r="V2175" i="2" s="1"/>
  <c r="R2896" i="2"/>
  <c r="S1527" i="2"/>
  <c r="S1528" i="2" s="1"/>
  <c r="S1529" i="2" s="1"/>
  <c r="R1528" i="2"/>
  <c r="U1527" i="2"/>
  <c r="R1888" i="2"/>
  <c r="R2536" i="2"/>
  <c r="S2535" i="2"/>
  <c r="U2535" i="2"/>
  <c r="V2535" i="2" s="1"/>
  <c r="R3184" i="2"/>
  <c r="U2680" i="2"/>
  <c r="S2680" i="2"/>
  <c r="R2681" i="2"/>
  <c r="R3472" i="2"/>
  <c r="S3471" i="2"/>
  <c r="S3472" i="2" s="1"/>
  <c r="S3473" i="2" s="1"/>
  <c r="U3471" i="2"/>
  <c r="R3976" i="2"/>
  <c r="U2032" i="2"/>
  <c r="R2033" i="2"/>
  <c r="S2032" i="2"/>
  <c r="R2322" i="2"/>
  <c r="S2321" i="2"/>
  <c r="R2753" i="2"/>
  <c r="S2752" i="2"/>
  <c r="S2753" i="2" s="1"/>
  <c r="R1745" i="2"/>
  <c r="S1744" i="2"/>
  <c r="U1744" i="2"/>
  <c r="R3040" i="2"/>
  <c r="R4048" i="2"/>
  <c r="U4191" i="2"/>
  <c r="S4191" i="2"/>
  <c r="S4192" i="2" s="1"/>
  <c r="S4193" i="2" s="1"/>
  <c r="S4194" i="2" s="1"/>
  <c r="S4195" i="2" s="1"/>
  <c r="S4196" i="2" s="1"/>
  <c r="S4197" i="2" s="1"/>
  <c r="S4198" i="2" s="1"/>
  <c r="S4199" i="2" s="1"/>
  <c r="S4200" i="2" s="1"/>
  <c r="S4201" i="2" s="1"/>
  <c r="R4192" i="2"/>
  <c r="R3545" i="2"/>
  <c r="R3905" i="2"/>
  <c r="R1962" i="2"/>
  <c r="S2104" i="2"/>
  <c r="S2105" i="2" s="1"/>
  <c r="R2105" i="2"/>
  <c r="U2104" i="2"/>
  <c r="U2105" i="2" s="1"/>
  <c r="R665" i="2"/>
  <c r="R4120" i="2"/>
  <c r="S4119" i="2"/>
  <c r="S4120" i="2" s="1"/>
  <c r="S4121" i="2" s="1"/>
  <c r="S4122" i="2" s="1"/>
  <c r="S4123" i="2" s="1"/>
  <c r="S4124" i="2" s="1"/>
  <c r="S4125" i="2" s="1"/>
  <c r="S4126" i="2" s="1"/>
  <c r="S4127" i="2" s="1"/>
  <c r="S4128" i="2" s="1"/>
  <c r="S4129" i="2" s="1"/>
  <c r="S4130" i="2" s="1"/>
  <c r="S4131" i="2" s="1"/>
  <c r="S4132" i="2" s="1"/>
  <c r="S4133" i="2" s="1"/>
  <c r="S4134" i="2" s="1"/>
  <c r="S4135" i="2" s="1"/>
  <c r="S4136" i="2" s="1"/>
  <c r="S4137" i="2" s="1"/>
  <c r="S4138" i="2" s="1"/>
  <c r="U4119" i="2"/>
  <c r="R3329" i="2"/>
  <c r="R3616" i="2"/>
  <c r="R3760" i="2"/>
  <c r="R2467" i="2"/>
  <c r="R4264" i="2"/>
  <c r="S4263" i="2"/>
  <c r="S4264" i="2" s="1"/>
  <c r="S4265" i="2" s="1"/>
  <c r="S4266" i="2" s="1"/>
  <c r="S4267" i="2" s="1"/>
  <c r="S4268" i="2" s="1"/>
  <c r="S4269" i="2" s="1"/>
  <c r="S4270" i="2" s="1"/>
  <c r="S4271" i="2" s="1"/>
  <c r="S4272" i="2" s="1"/>
  <c r="S4273" i="2" s="1"/>
  <c r="S4274" i="2" s="1"/>
  <c r="S4275" i="2" s="1"/>
  <c r="S4276" i="2" s="1"/>
  <c r="S4277" i="2" s="1"/>
  <c r="S4278" i="2" s="1"/>
  <c r="S4279" i="2" s="1"/>
  <c r="S4280" i="2" s="1"/>
  <c r="S4281" i="2" s="1"/>
  <c r="S4282" i="2" s="1"/>
  <c r="S4283" i="2" s="1"/>
  <c r="S4284" i="2" s="1"/>
  <c r="S4285" i="2" s="1"/>
  <c r="S4286" i="2" s="1"/>
  <c r="S4287" i="2" s="1"/>
  <c r="S4288" i="2" s="1"/>
  <c r="S4289" i="2" s="1"/>
  <c r="S4290" i="2" s="1"/>
  <c r="S4291" i="2" s="1"/>
  <c r="U4263" i="2"/>
  <c r="R2968" i="2"/>
  <c r="S3687" i="2"/>
  <c r="R3688" i="2"/>
  <c r="U3687" i="2"/>
  <c r="V3687" i="2" s="1"/>
  <c r="R3832" i="2"/>
  <c r="S2828" i="2"/>
  <c r="R2829" i="2"/>
  <c r="U2610" i="2"/>
  <c r="S2610" i="2"/>
  <c r="R2611" i="2"/>
  <c r="U1602" i="2"/>
  <c r="U1603" i="2" s="1"/>
  <c r="R3257" i="2"/>
  <c r="R3400" i="2"/>
  <c r="U233" i="2"/>
  <c r="U1384" i="2"/>
  <c r="R1604" i="2"/>
  <c r="U1169" i="2"/>
  <c r="U809" i="2"/>
  <c r="U1313" i="2"/>
  <c r="U377" i="2"/>
  <c r="S1024" i="2"/>
  <c r="R1025" i="2"/>
  <c r="R810" i="2"/>
  <c r="S809" i="2"/>
  <c r="R1314" i="2"/>
  <c r="S1313" i="2"/>
  <c r="R378" i="2"/>
  <c r="S377" i="2"/>
  <c r="S233" i="2"/>
  <c r="R234" i="2"/>
  <c r="S304" i="2"/>
  <c r="R305" i="2"/>
  <c r="S448" i="2"/>
  <c r="R449" i="2"/>
  <c r="S736" i="2"/>
  <c r="R737" i="2"/>
  <c r="S1384" i="2"/>
  <c r="R1385" i="2"/>
  <c r="S1677" i="2"/>
  <c r="S1678" i="2" s="1"/>
  <c r="S1679" i="2" s="1"/>
  <c r="S1680" i="2" s="1"/>
  <c r="R1678" i="2"/>
  <c r="S1169" i="2"/>
  <c r="R1170" i="2"/>
  <c r="R19" i="2"/>
  <c r="S18" i="2"/>
  <c r="S89" i="2"/>
  <c r="R90" i="2"/>
  <c r="S162" i="2"/>
  <c r="R163" i="2"/>
  <c r="V1023" i="2" l="1"/>
  <c r="U1024" i="2"/>
  <c r="U1672" i="2"/>
  <c r="V1671" i="2"/>
  <c r="U16" i="2"/>
  <c r="U17" i="2" s="1"/>
  <c r="U18" i="2" s="1"/>
  <c r="U19" i="2" s="1"/>
  <c r="V15" i="2"/>
  <c r="U736" i="2"/>
  <c r="V735" i="2"/>
  <c r="U2320" i="2"/>
  <c r="V2319" i="2"/>
  <c r="U2752" i="2"/>
  <c r="V2751" i="2"/>
  <c r="U2896" i="2"/>
  <c r="V2895" i="2"/>
  <c r="V303" i="2"/>
  <c r="U304" i="2"/>
  <c r="U448" i="2"/>
  <c r="V447" i="2"/>
  <c r="U3976" i="2"/>
  <c r="V3975" i="2"/>
  <c r="U880" i="2"/>
  <c r="V879" i="2"/>
  <c r="U2824" i="2"/>
  <c r="V2823" i="2"/>
  <c r="U3040" i="2"/>
  <c r="V3039" i="2"/>
  <c r="U3184" i="2"/>
  <c r="V3183" i="2"/>
  <c r="U160" i="2"/>
  <c r="V159" i="2"/>
  <c r="U4048" i="2"/>
  <c r="V4047" i="2"/>
  <c r="U3832" i="2"/>
  <c r="V3831" i="2"/>
  <c r="U1888" i="2"/>
  <c r="V1887" i="2"/>
  <c r="U3616" i="2"/>
  <c r="V3615" i="2"/>
  <c r="U3760" i="2"/>
  <c r="V3759" i="2"/>
  <c r="R521" i="2"/>
  <c r="S520" i="2"/>
  <c r="U520" i="2"/>
  <c r="V520" i="2" s="1"/>
  <c r="R593" i="2"/>
  <c r="S592" i="2"/>
  <c r="U592" i="2"/>
  <c r="V592" i="2" s="1"/>
  <c r="U1242" i="2"/>
  <c r="S881" i="2"/>
  <c r="R882" i="2"/>
  <c r="U1099" i="2"/>
  <c r="R1100" i="2"/>
  <c r="S1099" i="2"/>
  <c r="R1243" i="2"/>
  <c r="S1242" i="2"/>
  <c r="U1456" i="2"/>
  <c r="V1456" i="2" s="1"/>
  <c r="V1455" i="2"/>
  <c r="U2968" i="2"/>
  <c r="V2967" i="2"/>
  <c r="V16" i="2"/>
  <c r="T17" i="2"/>
  <c r="V88" i="2"/>
  <c r="T89" i="2"/>
  <c r="T161" i="2"/>
  <c r="V232" i="2"/>
  <c r="T233" i="2"/>
  <c r="T305" i="2"/>
  <c r="V376" i="2"/>
  <c r="T377" i="2"/>
  <c r="T449" i="2"/>
  <c r="T521" i="2"/>
  <c r="T593" i="2"/>
  <c r="V3400" i="2"/>
  <c r="T3401" i="2"/>
  <c r="T3473" i="2"/>
  <c r="V3544" i="2"/>
  <c r="T3545" i="2"/>
  <c r="T3617" i="2"/>
  <c r="T3689" i="2"/>
  <c r="T3761" i="2"/>
  <c r="T3833" i="2"/>
  <c r="V3904" i="2"/>
  <c r="T3905" i="2"/>
  <c r="T3977" i="2"/>
  <c r="T4049" i="2"/>
  <c r="T4121" i="2"/>
  <c r="T4193" i="2"/>
  <c r="T4265" i="2"/>
  <c r="V664" i="2"/>
  <c r="T665" i="2"/>
  <c r="T737" i="2"/>
  <c r="V808" i="2"/>
  <c r="T809" i="2"/>
  <c r="T881" i="2"/>
  <c r="V952" i="2"/>
  <c r="T953" i="2"/>
  <c r="T1025" i="2"/>
  <c r="V1096" i="2"/>
  <c r="T1097" i="2"/>
  <c r="V1168" i="2"/>
  <c r="T1169" i="2"/>
  <c r="V1240" i="2"/>
  <c r="T1241" i="2"/>
  <c r="V1312" i="2"/>
  <c r="T1313" i="2"/>
  <c r="V1384" i="2"/>
  <c r="T1385" i="2"/>
  <c r="T1457" i="2"/>
  <c r="T1529" i="2"/>
  <c r="V1600" i="2"/>
  <c r="T1601" i="2"/>
  <c r="T1673" i="2"/>
  <c r="V1744" i="2"/>
  <c r="T1745" i="2"/>
  <c r="T1817" i="2"/>
  <c r="T1889" i="2"/>
  <c r="V1960" i="2"/>
  <c r="T1961" i="2"/>
  <c r="V2032" i="2"/>
  <c r="T2033" i="2"/>
  <c r="V2104" i="2"/>
  <c r="T2105" i="2"/>
  <c r="T2177" i="2"/>
  <c r="T2249" i="2"/>
  <c r="T2321" i="2"/>
  <c r="V2392" i="2"/>
  <c r="T2393" i="2"/>
  <c r="V2464" i="2"/>
  <c r="T2465" i="2"/>
  <c r="T2537" i="2"/>
  <c r="V2608" i="2"/>
  <c r="T2609" i="2"/>
  <c r="V2680" i="2"/>
  <c r="T2681" i="2"/>
  <c r="T2753" i="2"/>
  <c r="T2825" i="2"/>
  <c r="T2897" i="2"/>
  <c r="T2969" i="2"/>
  <c r="T3041" i="2"/>
  <c r="T3113" i="2"/>
  <c r="T3185" i="2"/>
  <c r="V3256" i="2"/>
  <c r="T3257" i="2"/>
  <c r="V3328" i="2"/>
  <c r="T3329" i="2"/>
  <c r="U1528" i="2"/>
  <c r="V1527" i="2"/>
  <c r="U3472" i="2"/>
  <c r="V3471" i="2"/>
  <c r="U4192" i="2"/>
  <c r="V4191" i="2"/>
  <c r="U4120" i="2"/>
  <c r="V4119" i="2"/>
  <c r="U4264" i="2"/>
  <c r="V4263" i="2"/>
  <c r="U2681" i="2"/>
  <c r="U2682" i="2" s="1"/>
  <c r="R1457" i="2"/>
  <c r="R1817" i="2"/>
  <c r="S1816" i="2"/>
  <c r="S1817" i="2" s="1"/>
  <c r="U1816" i="2"/>
  <c r="U2248" i="2"/>
  <c r="S2248" i="2"/>
  <c r="S2249" i="2" s="1"/>
  <c r="S2250" i="2" s="1"/>
  <c r="R2249" i="2"/>
  <c r="U3112" i="2"/>
  <c r="R3113" i="2"/>
  <c r="S3112" i="2"/>
  <c r="S3113" i="2" s="1"/>
  <c r="S3114" i="2" s="1"/>
  <c r="S3115" i="2" s="1"/>
  <c r="S3116" i="2" s="1"/>
  <c r="S3117" i="2" s="1"/>
  <c r="S3118" i="2" s="1"/>
  <c r="S953" i="2"/>
  <c r="R954" i="2"/>
  <c r="U953" i="2"/>
  <c r="S2176" i="2"/>
  <c r="R2177" i="2"/>
  <c r="U2176" i="2"/>
  <c r="V2176" i="2" s="1"/>
  <c r="R2897" i="2"/>
  <c r="R1529" i="2"/>
  <c r="R1889" i="2"/>
  <c r="S2536" i="2"/>
  <c r="R2537" i="2"/>
  <c r="U2536" i="2"/>
  <c r="V2536" i="2" s="1"/>
  <c r="R3185" i="2"/>
  <c r="S2681" i="2"/>
  <c r="S2682" i="2" s="1"/>
  <c r="R2682" i="2"/>
  <c r="R3473" i="2"/>
  <c r="R3977" i="2"/>
  <c r="R2034" i="2"/>
  <c r="U2033" i="2"/>
  <c r="U2034" i="2" s="1"/>
  <c r="S2033" i="2"/>
  <c r="S2034" i="2" s="1"/>
  <c r="R2323" i="2"/>
  <c r="S2322" i="2"/>
  <c r="S2323" i="2" s="1"/>
  <c r="S2324" i="2" s="1"/>
  <c r="R2754" i="2"/>
  <c r="R1746" i="2"/>
  <c r="S1745" i="2"/>
  <c r="U1745" i="2"/>
  <c r="R3041" i="2"/>
  <c r="R4049" i="2"/>
  <c r="R4193" i="2"/>
  <c r="R3546" i="2"/>
  <c r="U3905" i="2"/>
  <c r="U3906" i="2" s="1"/>
  <c r="U3907" i="2" s="1"/>
  <c r="U3908" i="2" s="1"/>
  <c r="U3909" i="2" s="1"/>
  <c r="U3910" i="2" s="1"/>
  <c r="U3911" i="2" s="1"/>
  <c r="R3906" i="2"/>
  <c r="S3905" i="2"/>
  <c r="S3906" i="2" s="1"/>
  <c r="S3907" i="2" s="1"/>
  <c r="S3908" i="2" s="1"/>
  <c r="S3909" i="2" s="1"/>
  <c r="S3910" i="2" s="1"/>
  <c r="S3911" i="2" s="1"/>
  <c r="S1962" i="2"/>
  <c r="S1963" i="2" s="1"/>
  <c r="U1962" i="2"/>
  <c r="U1963" i="2" s="1"/>
  <c r="R1963" i="2"/>
  <c r="R2106" i="2"/>
  <c r="R666" i="2"/>
  <c r="S665" i="2"/>
  <c r="U665" i="2"/>
  <c r="R4121" i="2"/>
  <c r="R3330" i="2"/>
  <c r="R3617" i="2"/>
  <c r="R3761" i="2"/>
  <c r="R2468" i="2"/>
  <c r="S2467" i="2"/>
  <c r="U2467" i="2"/>
  <c r="R4265" i="2"/>
  <c r="R2969" i="2"/>
  <c r="U3688" i="2"/>
  <c r="R3689" i="2"/>
  <c r="S3688" i="2"/>
  <c r="S3689" i="2" s="1"/>
  <c r="S3690" i="2" s="1"/>
  <c r="R3833" i="2"/>
  <c r="R2830" i="2"/>
  <c r="S2829" i="2"/>
  <c r="R2612" i="2"/>
  <c r="S2611" i="2"/>
  <c r="U2611" i="2"/>
  <c r="S2395" i="2"/>
  <c r="S2396" i="2" s="1"/>
  <c r="S2397" i="2" s="1"/>
  <c r="R2396" i="2"/>
  <c r="S1604" i="2"/>
  <c r="S1605" i="2" s="1"/>
  <c r="S1606" i="2" s="1"/>
  <c r="R1605" i="2"/>
  <c r="R3258" i="2"/>
  <c r="R3401" i="2"/>
  <c r="U2395" i="2"/>
  <c r="U2396" i="2" s="1"/>
  <c r="U2397" i="2" s="1"/>
  <c r="U1604" i="2"/>
  <c r="U1605" i="2" s="1"/>
  <c r="U1606" i="2" s="1"/>
  <c r="U234" i="2"/>
  <c r="U1385" i="2"/>
  <c r="R1679" i="2"/>
  <c r="U1170" i="2"/>
  <c r="U1171" i="2" s="1"/>
  <c r="U1172" i="2" s="1"/>
  <c r="U90" i="2"/>
  <c r="U810" i="2"/>
  <c r="U1314" i="2"/>
  <c r="U378" i="2"/>
  <c r="S1025" i="2"/>
  <c r="R1026" i="2"/>
  <c r="S810" i="2"/>
  <c r="R811" i="2"/>
  <c r="R1315" i="2"/>
  <c r="S1314" i="2"/>
  <c r="R379" i="2"/>
  <c r="S378" i="2"/>
  <c r="S234" i="2"/>
  <c r="R235" i="2"/>
  <c r="S305" i="2"/>
  <c r="R306" i="2"/>
  <c r="S449" i="2"/>
  <c r="R450" i="2"/>
  <c r="S737" i="2"/>
  <c r="R738" i="2"/>
  <c r="S1385" i="2"/>
  <c r="R1386" i="2"/>
  <c r="S1170" i="2"/>
  <c r="S1171" i="2" s="1"/>
  <c r="S1172" i="2" s="1"/>
  <c r="R1171" i="2"/>
  <c r="S19" i="2"/>
  <c r="R20" i="2"/>
  <c r="S90" i="2"/>
  <c r="R91" i="2"/>
  <c r="S163" i="2"/>
  <c r="R164" i="2"/>
  <c r="U1673" i="2" l="1"/>
  <c r="U1674" i="2" s="1"/>
  <c r="U1675" i="2" s="1"/>
  <c r="U1676" i="2" s="1"/>
  <c r="U1677" i="2" s="1"/>
  <c r="U1678" i="2" s="1"/>
  <c r="U1679" i="2" s="1"/>
  <c r="U1680" i="2" s="1"/>
  <c r="V1672" i="2"/>
  <c r="U737" i="2"/>
  <c r="U738" i="2" s="1"/>
  <c r="V736" i="2"/>
  <c r="U2321" i="2"/>
  <c r="U2322" i="2" s="1"/>
  <c r="U2323" i="2" s="1"/>
  <c r="U2324" i="2" s="1"/>
  <c r="V2320" i="2"/>
  <c r="V1024" i="2"/>
  <c r="U1025" i="2"/>
  <c r="U449" i="2"/>
  <c r="U450" i="2" s="1"/>
  <c r="V448" i="2"/>
  <c r="U2753" i="2"/>
  <c r="U2754" i="2" s="1"/>
  <c r="V2752" i="2"/>
  <c r="U2897" i="2"/>
  <c r="U2898" i="2" s="1"/>
  <c r="U2899" i="2" s="1"/>
  <c r="V2896" i="2"/>
  <c r="V304" i="2"/>
  <c r="U305" i="2"/>
  <c r="U3977" i="2"/>
  <c r="V3976" i="2"/>
  <c r="U881" i="2"/>
  <c r="V880" i="2"/>
  <c r="U2825" i="2"/>
  <c r="V2824" i="2"/>
  <c r="U3041" i="2"/>
  <c r="V3041" i="2" s="1"/>
  <c r="V3040" i="2"/>
  <c r="U3185" i="2"/>
  <c r="V3184" i="2"/>
  <c r="U161" i="2"/>
  <c r="V160" i="2"/>
  <c r="U3833" i="2"/>
  <c r="V3832" i="2"/>
  <c r="U1889" i="2"/>
  <c r="V1889" i="2" s="1"/>
  <c r="V1888" i="2"/>
  <c r="U4049" i="2"/>
  <c r="V4048" i="2"/>
  <c r="U3617" i="2"/>
  <c r="V3616" i="2"/>
  <c r="U3761" i="2"/>
  <c r="V3760" i="2"/>
  <c r="U1100" i="2"/>
  <c r="U1243" i="2"/>
  <c r="U2969" i="2"/>
  <c r="V2968" i="2"/>
  <c r="U1817" i="2"/>
  <c r="V1817" i="2" s="1"/>
  <c r="V1816" i="2"/>
  <c r="S521" i="2"/>
  <c r="R522" i="2"/>
  <c r="U521" i="2"/>
  <c r="V521" i="2" s="1"/>
  <c r="R594" i="2"/>
  <c r="U593" i="2"/>
  <c r="V593" i="2" s="1"/>
  <c r="S593" i="2"/>
  <c r="S882" i="2"/>
  <c r="R883" i="2"/>
  <c r="R1101" i="2"/>
  <c r="S1100" i="2"/>
  <c r="R1244" i="2"/>
  <c r="S1243" i="2"/>
  <c r="U3113" i="2"/>
  <c r="V3112" i="2"/>
  <c r="U2249" i="2"/>
  <c r="V2248" i="2"/>
  <c r="U4193" i="2"/>
  <c r="V4192" i="2"/>
  <c r="U4265" i="2"/>
  <c r="V4264" i="2"/>
  <c r="U1529" i="2"/>
  <c r="V1529" i="2" s="1"/>
  <c r="V1528" i="2"/>
  <c r="U3473" i="2"/>
  <c r="V3473" i="2" s="1"/>
  <c r="V3472" i="2"/>
  <c r="U4121" i="2"/>
  <c r="V4120" i="2"/>
  <c r="V17" i="2"/>
  <c r="T18" i="2"/>
  <c r="V89" i="2"/>
  <c r="T90" i="2"/>
  <c r="T162" i="2"/>
  <c r="V233" i="2"/>
  <c r="T234" i="2"/>
  <c r="T306" i="2"/>
  <c r="V377" i="2"/>
  <c r="T378" i="2"/>
  <c r="V449" i="2"/>
  <c r="T450" i="2"/>
  <c r="T522" i="2"/>
  <c r="T594" i="2"/>
  <c r="V3401" i="2"/>
  <c r="T3402" i="2"/>
  <c r="T3474" i="2"/>
  <c r="V3545" i="2"/>
  <c r="T3546" i="2"/>
  <c r="T3618" i="2"/>
  <c r="T3690" i="2"/>
  <c r="T3762" i="2"/>
  <c r="T3834" i="2"/>
  <c r="V3905" i="2"/>
  <c r="T3906" i="2"/>
  <c r="T3978" i="2"/>
  <c r="T4050" i="2"/>
  <c r="T4122" i="2"/>
  <c r="T4194" i="2"/>
  <c r="T4266" i="2"/>
  <c r="V665" i="2"/>
  <c r="T666" i="2"/>
  <c r="V737" i="2"/>
  <c r="T738" i="2"/>
  <c r="V809" i="2"/>
  <c r="T810" i="2"/>
  <c r="T882" i="2"/>
  <c r="V953" i="2"/>
  <c r="T954" i="2"/>
  <c r="T1026" i="2"/>
  <c r="V1097" i="2"/>
  <c r="T1098" i="2"/>
  <c r="V1169" i="2"/>
  <c r="T1170" i="2"/>
  <c r="V1241" i="2"/>
  <c r="T1242" i="2"/>
  <c r="V1313" i="2"/>
  <c r="T1314" i="2"/>
  <c r="V1385" i="2"/>
  <c r="T1386" i="2"/>
  <c r="T1458" i="2"/>
  <c r="T1530" i="2"/>
  <c r="V1601" i="2"/>
  <c r="T1602" i="2"/>
  <c r="V1673" i="2"/>
  <c r="T1674" i="2"/>
  <c r="V1745" i="2"/>
  <c r="T1746" i="2"/>
  <c r="T1818" i="2"/>
  <c r="T1890" i="2"/>
  <c r="V1961" i="2"/>
  <c r="T1962" i="2"/>
  <c r="V2033" i="2"/>
  <c r="T2034" i="2"/>
  <c r="V2105" i="2"/>
  <c r="T2106" i="2"/>
  <c r="T2178" i="2"/>
  <c r="T2250" i="2"/>
  <c r="V2321" i="2"/>
  <c r="T2322" i="2"/>
  <c r="V2393" i="2"/>
  <c r="T2394" i="2"/>
  <c r="V2465" i="2"/>
  <c r="T2466" i="2"/>
  <c r="T2538" i="2"/>
  <c r="V2609" i="2"/>
  <c r="T2610" i="2"/>
  <c r="V2681" i="2"/>
  <c r="T2682" i="2"/>
  <c r="V2753" i="2"/>
  <c r="T2754" i="2"/>
  <c r="T2826" i="2"/>
  <c r="V2897" i="2"/>
  <c r="T2898" i="2"/>
  <c r="T2970" i="2"/>
  <c r="T3042" i="2"/>
  <c r="T3114" i="2"/>
  <c r="T3186" i="2"/>
  <c r="V3257" i="2"/>
  <c r="T3258" i="2"/>
  <c r="V3329" i="2"/>
  <c r="T3330" i="2"/>
  <c r="U3689" i="2"/>
  <c r="V3688" i="2"/>
  <c r="R1458" i="2"/>
  <c r="S1457" i="2"/>
  <c r="S1458" i="2" s="1"/>
  <c r="U1457" i="2"/>
  <c r="R1818" i="2"/>
  <c r="R2250" i="2"/>
  <c r="R3114" i="2"/>
  <c r="R955" i="2"/>
  <c r="S954" i="2"/>
  <c r="U954" i="2"/>
  <c r="S2177" i="2"/>
  <c r="R2178" i="2"/>
  <c r="U2177" i="2"/>
  <c r="V2177" i="2" s="1"/>
  <c r="R2898" i="2"/>
  <c r="R1530" i="2"/>
  <c r="R1890" i="2"/>
  <c r="R2538" i="2"/>
  <c r="S2537" i="2"/>
  <c r="U2537" i="2"/>
  <c r="V2537" i="2" s="1"/>
  <c r="R3186" i="2"/>
  <c r="R2683" i="2"/>
  <c r="R3474" i="2"/>
  <c r="R3978" i="2"/>
  <c r="R2035" i="2"/>
  <c r="R2324" i="2"/>
  <c r="R2755" i="2"/>
  <c r="S2754" i="2"/>
  <c r="R1747" i="2"/>
  <c r="S1746" i="2"/>
  <c r="U1746" i="2"/>
  <c r="R3042" i="2"/>
  <c r="R4050" i="2"/>
  <c r="R4194" i="2"/>
  <c r="R3547" i="2"/>
  <c r="R3907" i="2"/>
  <c r="R1964" i="2"/>
  <c r="S2106" i="2"/>
  <c r="R2107" i="2"/>
  <c r="U2106" i="2"/>
  <c r="S666" i="2"/>
  <c r="R667" i="2"/>
  <c r="U666" i="2"/>
  <c r="R4122" i="2"/>
  <c r="R3331" i="2"/>
  <c r="R3618" i="2"/>
  <c r="R3762" i="2"/>
  <c r="R2469" i="2"/>
  <c r="S2468" i="2"/>
  <c r="U2468" i="2"/>
  <c r="R4266" i="2"/>
  <c r="R2970" i="2"/>
  <c r="R3690" i="2"/>
  <c r="R3834" i="2"/>
  <c r="R2831" i="2"/>
  <c r="S2830" i="2"/>
  <c r="R2613" i="2"/>
  <c r="S2612" i="2"/>
  <c r="U2612" i="2"/>
  <c r="R2397" i="2"/>
  <c r="R1606" i="2"/>
  <c r="R3259" i="2"/>
  <c r="R3402" i="2"/>
  <c r="R1680" i="2"/>
  <c r="U811" i="2"/>
  <c r="U235" i="2"/>
  <c r="U1386" i="2"/>
  <c r="R1172" i="2"/>
  <c r="U91" i="2"/>
  <c r="U1315" i="2"/>
  <c r="U379" i="2"/>
  <c r="U20" i="2"/>
  <c r="R1027" i="2"/>
  <c r="S1026" i="2"/>
  <c r="S811" i="2"/>
  <c r="R812" i="2"/>
  <c r="S1315" i="2"/>
  <c r="R1316" i="2"/>
  <c r="R380" i="2"/>
  <c r="S379" i="2"/>
  <c r="S235" i="2"/>
  <c r="R236" i="2"/>
  <c r="S306" i="2"/>
  <c r="R307" i="2"/>
  <c r="S450" i="2"/>
  <c r="R451" i="2"/>
  <c r="S738" i="2"/>
  <c r="R739" i="2"/>
  <c r="S883" i="2"/>
  <c r="R884" i="2"/>
  <c r="S1386" i="2"/>
  <c r="R1387" i="2"/>
  <c r="R21" i="2"/>
  <c r="S20" i="2"/>
  <c r="S91" i="2"/>
  <c r="R92" i="2"/>
  <c r="S164" i="2"/>
  <c r="R165" i="2"/>
  <c r="V1025" i="2" l="1"/>
  <c r="U1026" i="2"/>
  <c r="U1027" i="2" s="1"/>
  <c r="U306" i="2"/>
  <c r="V305" i="2"/>
  <c r="U3978" i="2"/>
  <c r="U3979" i="2" s="1"/>
  <c r="U3980" i="2" s="1"/>
  <c r="U3981" i="2" s="1"/>
  <c r="U3982" i="2" s="1"/>
  <c r="U3983" i="2" s="1"/>
  <c r="U3984" i="2" s="1"/>
  <c r="U3985" i="2" s="1"/>
  <c r="U3986" i="2" s="1"/>
  <c r="U3987" i="2" s="1"/>
  <c r="U3988" i="2" s="1"/>
  <c r="U3989" i="2" s="1"/>
  <c r="U3990" i="2" s="1"/>
  <c r="U3991" i="2" s="1"/>
  <c r="V3977" i="2"/>
  <c r="U882" i="2"/>
  <c r="V882" i="2" s="1"/>
  <c r="V881" i="2"/>
  <c r="U883" i="2"/>
  <c r="U884" i="2" s="1"/>
  <c r="U2826" i="2"/>
  <c r="V2825" i="2"/>
  <c r="U3186" i="2"/>
  <c r="V3186" i="2" s="1"/>
  <c r="V3185" i="2"/>
  <c r="U162" i="2"/>
  <c r="V161" i="2"/>
  <c r="U3834" i="2"/>
  <c r="V3834" i="2" s="1"/>
  <c r="V3833" i="2"/>
  <c r="U4050" i="2"/>
  <c r="V4049" i="2"/>
  <c r="U3762" i="2"/>
  <c r="V3761" i="2"/>
  <c r="U3618" i="2"/>
  <c r="V3617" i="2"/>
  <c r="U1101" i="2"/>
  <c r="U2970" i="2"/>
  <c r="V2969" i="2"/>
  <c r="U3114" i="2"/>
  <c r="V3113" i="2"/>
  <c r="U2250" i="2"/>
  <c r="V2250" i="2" s="1"/>
  <c r="V2249" i="2"/>
  <c r="U4194" i="2"/>
  <c r="V4193" i="2"/>
  <c r="U4266" i="2"/>
  <c r="V4265" i="2"/>
  <c r="R523" i="2"/>
  <c r="S522" i="2"/>
  <c r="U522" i="2"/>
  <c r="V522" i="2" s="1"/>
  <c r="R595" i="2"/>
  <c r="S594" i="2"/>
  <c r="U594" i="2"/>
  <c r="V594" i="2" s="1"/>
  <c r="S1101" i="2"/>
  <c r="R1102" i="2"/>
  <c r="U1244" i="2"/>
  <c r="S1244" i="2"/>
  <c r="R1245" i="2"/>
  <c r="U4122" i="2"/>
  <c r="V4121" i="2"/>
  <c r="U3690" i="2"/>
  <c r="V3690" i="2" s="1"/>
  <c r="V3689" i="2"/>
  <c r="U1458" i="2"/>
  <c r="V1458" i="2" s="1"/>
  <c r="V1457" i="2"/>
  <c r="V18" i="2"/>
  <c r="T19" i="2"/>
  <c r="V90" i="2"/>
  <c r="T91" i="2"/>
  <c r="T163" i="2"/>
  <c r="V234" i="2"/>
  <c r="T235" i="2"/>
  <c r="T307" i="2"/>
  <c r="V378" i="2"/>
  <c r="T379" i="2"/>
  <c r="V450" i="2"/>
  <c r="T451" i="2"/>
  <c r="T523" i="2"/>
  <c r="T595" i="2"/>
  <c r="V3402" i="2"/>
  <c r="T3403" i="2"/>
  <c r="T3475" i="2"/>
  <c r="V3546" i="2"/>
  <c r="T3547" i="2"/>
  <c r="T3619" i="2"/>
  <c r="T3691" i="2"/>
  <c r="T3763" i="2"/>
  <c r="T3835" i="2"/>
  <c r="V3906" i="2"/>
  <c r="T3907" i="2"/>
  <c r="V3978" i="2"/>
  <c r="T3979" i="2"/>
  <c r="T4051" i="2"/>
  <c r="T4123" i="2"/>
  <c r="T4195" i="2"/>
  <c r="T4267" i="2"/>
  <c r="V666" i="2"/>
  <c r="T667" i="2"/>
  <c r="V738" i="2"/>
  <c r="T739" i="2"/>
  <c r="V810" i="2"/>
  <c r="T811" i="2"/>
  <c r="T883" i="2"/>
  <c r="V954" i="2"/>
  <c r="T955" i="2"/>
  <c r="V1026" i="2"/>
  <c r="T1027" i="2"/>
  <c r="V1098" i="2"/>
  <c r="T1099" i="2"/>
  <c r="V1170" i="2"/>
  <c r="T1171" i="2"/>
  <c r="V1242" i="2"/>
  <c r="T1243" i="2"/>
  <c r="V1314" i="2"/>
  <c r="T1315" i="2"/>
  <c r="V1386" i="2"/>
  <c r="T1387" i="2"/>
  <c r="T1459" i="2"/>
  <c r="T1531" i="2"/>
  <c r="V1602" i="2"/>
  <c r="T1603" i="2"/>
  <c r="V1674" i="2"/>
  <c r="T1675" i="2"/>
  <c r="V1746" i="2"/>
  <c r="T1747" i="2"/>
  <c r="T1819" i="2"/>
  <c r="T1891" i="2"/>
  <c r="V1962" i="2"/>
  <c r="T1963" i="2"/>
  <c r="V2034" i="2"/>
  <c r="T2035" i="2"/>
  <c r="V2106" i="2"/>
  <c r="T2107" i="2"/>
  <c r="T2179" i="2"/>
  <c r="T2251" i="2"/>
  <c r="V2322" i="2"/>
  <c r="T2323" i="2"/>
  <c r="V2394" i="2"/>
  <c r="T2395" i="2"/>
  <c r="V2466" i="2"/>
  <c r="T2467" i="2"/>
  <c r="T2539" i="2"/>
  <c r="V2610" i="2"/>
  <c r="T2611" i="2"/>
  <c r="V2682" i="2"/>
  <c r="T2683" i="2"/>
  <c r="V2754" i="2"/>
  <c r="T2755" i="2"/>
  <c r="T2827" i="2"/>
  <c r="V2898" i="2"/>
  <c r="T2899" i="2"/>
  <c r="T2971" i="2"/>
  <c r="T3043" i="2"/>
  <c r="T3115" i="2"/>
  <c r="T3187" i="2"/>
  <c r="V3258" i="2"/>
  <c r="T3259" i="2"/>
  <c r="V3330" i="2"/>
  <c r="T3331" i="2"/>
  <c r="R1459" i="2"/>
  <c r="R1819" i="2"/>
  <c r="S1818" i="2"/>
  <c r="S1819" i="2" s="1"/>
  <c r="U1818" i="2"/>
  <c r="R2251" i="2"/>
  <c r="R3115" i="2"/>
  <c r="R956" i="2"/>
  <c r="S955" i="2"/>
  <c r="U955" i="2"/>
  <c r="S2178" i="2"/>
  <c r="R2179" i="2"/>
  <c r="U2178" i="2"/>
  <c r="V2178" i="2" s="1"/>
  <c r="R2899" i="2"/>
  <c r="S1530" i="2"/>
  <c r="R1531" i="2"/>
  <c r="U1530" i="2"/>
  <c r="V1530" i="2" s="1"/>
  <c r="U1890" i="2"/>
  <c r="S1890" i="2"/>
  <c r="S1891" i="2" s="1"/>
  <c r="R1891" i="2"/>
  <c r="S2538" i="2"/>
  <c r="R2539" i="2"/>
  <c r="U2538" i="2"/>
  <c r="V2538" i="2" s="1"/>
  <c r="R3187" i="2"/>
  <c r="S2683" i="2"/>
  <c r="R2684" i="2"/>
  <c r="U2683" i="2"/>
  <c r="R3475" i="2"/>
  <c r="S3474" i="2"/>
  <c r="S3475" i="2" s="1"/>
  <c r="S3476" i="2" s="1"/>
  <c r="S3477" i="2" s="1"/>
  <c r="S3478" i="2" s="1"/>
  <c r="S3479" i="2" s="1"/>
  <c r="S3480" i="2" s="1"/>
  <c r="U3474" i="2"/>
  <c r="R3979" i="2"/>
  <c r="U2035" i="2"/>
  <c r="R2036" i="2"/>
  <c r="S2035" i="2"/>
  <c r="R2325" i="2"/>
  <c r="R2756" i="2"/>
  <c r="S2755" i="2"/>
  <c r="S2756" i="2" s="1"/>
  <c r="S2757" i="2" s="1"/>
  <c r="U2755" i="2"/>
  <c r="U2756" i="2" s="1"/>
  <c r="U2757" i="2" s="1"/>
  <c r="R1748" i="2"/>
  <c r="S1747" i="2"/>
  <c r="U1747" i="2"/>
  <c r="R3043" i="2"/>
  <c r="S3042" i="2"/>
  <c r="S3043" i="2" s="1"/>
  <c r="S3044" i="2" s="1"/>
  <c r="S3045" i="2" s="1"/>
  <c r="S3046" i="2" s="1"/>
  <c r="S3047" i="2" s="1"/>
  <c r="S3048" i="2" s="1"/>
  <c r="S3049" i="2" s="1"/>
  <c r="S3050" i="2" s="1"/>
  <c r="U3042" i="2"/>
  <c r="R4051" i="2"/>
  <c r="R4195" i="2"/>
  <c r="R3548" i="2"/>
  <c r="R3908" i="2"/>
  <c r="U1964" i="2"/>
  <c r="R1965" i="2"/>
  <c r="S1964" i="2"/>
  <c r="S2107" i="2"/>
  <c r="R2108" i="2"/>
  <c r="U2107" i="2"/>
  <c r="R668" i="2"/>
  <c r="U667" i="2"/>
  <c r="S667" i="2"/>
  <c r="R4123" i="2"/>
  <c r="R3332" i="2"/>
  <c r="R3619" i="2"/>
  <c r="R3763" i="2"/>
  <c r="R2470" i="2"/>
  <c r="S2469" i="2"/>
  <c r="U2469" i="2"/>
  <c r="R4267" i="2"/>
  <c r="R2971" i="2"/>
  <c r="R3691" i="2"/>
  <c r="R3835" i="2"/>
  <c r="S2831" i="2"/>
  <c r="R2832" i="2"/>
  <c r="R2614" i="2"/>
  <c r="U2613" i="2"/>
  <c r="U2614" i="2" s="1"/>
  <c r="S2613" i="2"/>
  <c r="S2614" i="2" s="1"/>
  <c r="R2398" i="2"/>
  <c r="R1607" i="2"/>
  <c r="R3260" i="2"/>
  <c r="R3403" i="2"/>
  <c r="R1681" i="2"/>
  <c r="R1173" i="2"/>
  <c r="U1316" i="2"/>
  <c r="U812" i="2"/>
  <c r="U236" i="2"/>
  <c r="U237" i="2" s="1"/>
  <c r="U451" i="2"/>
  <c r="U739" i="2"/>
  <c r="U1387" i="2"/>
  <c r="U92" i="2"/>
  <c r="U380" i="2"/>
  <c r="U21" i="2"/>
  <c r="R1028" i="2"/>
  <c r="S1027" i="2"/>
  <c r="R813" i="2"/>
  <c r="S812" i="2"/>
  <c r="R1317" i="2"/>
  <c r="S1316" i="2"/>
  <c r="R381" i="2"/>
  <c r="S380" i="2"/>
  <c r="S236" i="2"/>
  <c r="S237" i="2" s="1"/>
  <c r="R237" i="2"/>
  <c r="S307" i="2"/>
  <c r="R308" i="2"/>
  <c r="S451" i="2"/>
  <c r="R452" i="2"/>
  <c r="S739" i="2"/>
  <c r="R740" i="2"/>
  <c r="S884" i="2"/>
  <c r="R885" i="2"/>
  <c r="S1387" i="2"/>
  <c r="R1388" i="2"/>
  <c r="S21" i="2"/>
  <c r="R22" i="2"/>
  <c r="S92" i="2"/>
  <c r="R93" i="2"/>
  <c r="S165" i="2"/>
  <c r="R166" i="2"/>
  <c r="R1103" i="2" l="1"/>
  <c r="S1102" i="2"/>
  <c r="S1245" i="2"/>
  <c r="R1246" i="2"/>
  <c r="U307" i="2"/>
  <c r="V307" i="2" s="1"/>
  <c r="V306" i="2"/>
  <c r="U2827" i="2"/>
  <c r="V2826" i="2"/>
  <c r="U1245" i="2"/>
  <c r="U1246" i="2" s="1"/>
  <c r="U163" i="2"/>
  <c r="V162" i="2"/>
  <c r="U4051" i="2"/>
  <c r="V4050" i="2"/>
  <c r="U3763" i="2"/>
  <c r="V3762" i="2"/>
  <c r="U1102" i="2"/>
  <c r="U1103" i="2" s="1"/>
  <c r="U3619" i="2"/>
  <c r="V3618" i="2"/>
  <c r="U2971" i="2"/>
  <c r="V2971" i="2" s="1"/>
  <c r="V2970" i="2"/>
  <c r="U4123" i="2"/>
  <c r="V4122" i="2"/>
  <c r="U3115" i="2"/>
  <c r="V3114" i="2"/>
  <c r="U4195" i="2"/>
  <c r="V4194" i="2"/>
  <c r="U4267" i="2"/>
  <c r="V4266" i="2"/>
  <c r="R524" i="2"/>
  <c r="S523" i="2"/>
  <c r="U523" i="2"/>
  <c r="V523" i="2" s="1"/>
  <c r="R596" i="2"/>
  <c r="S595" i="2"/>
  <c r="U595" i="2"/>
  <c r="V595" i="2" s="1"/>
  <c r="U3475" i="2"/>
  <c r="V3474" i="2"/>
  <c r="V19" i="2"/>
  <c r="T20" i="2"/>
  <c r="V91" i="2"/>
  <c r="T92" i="2"/>
  <c r="T164" i="2"/>
  <c r="V235" i="2"/>
  <c r="T236" i="2"/>
  <c r="T308" i="2"/>
  <c r="V379" i="2"/>
  <c r="T380" i="2"/>
  <c r="V451" i="2"/>
  <c r="T452" i="2"/>
  <c r="T524" i="2"/>
  <c r="T596" i="2"/>
  <c r="V3403" i="2"/>
  <c r="T3404" i="2"/>
  <c r="T3476" i="2"/>
  <c r="V3547" i="2"/>
  <c r="T3548" i="2"/>
  <c r="T3620" i="2"/>
  <c r="T3692" i="2"/>
  <c r="T3764" i="2"/>
  <c r="T3836" i="2"/>
  <c r="V3907" i="2"/>
  <c r="T3908" i="2"/>
  <c r="V3979" i="2"/>
  <c r="T3980" i="2"/>
  <c r="T4052" i="2"/>
  <c r="T4124" i="2"/>
  <c r="T4196" i="2"/>
  <c r="T4268" i="2"/>
  <c r="V667" i="2"/>
  <c r="T668" i="2"/>
  <c r="V739" i="2"/>
  <c r="T740" i="2"/>
  <c r="V811" i="2"/>
  <c r="T812" i="2"/>
  <c r="V883" i="2"/>
  <c r="T884" i="2"/>
  <c r="V955" i="2"/>
  <c r="T956" i="2"/>
  <c r="V1027" i="2"/>
  <c r="T1028" i="2"/>
  <c r="V1099" i="2"/>
  <c r="T1100" i="2"/>
  <c r="V1171" i="2"/>
  <c r="T1172" i="2"/>
  <c r="V1243" i="2"/>
  <c r="T1244" i="2"/>
  <c r="V1315" i="2"/>
  <c r="T1316" i="2"/>
  <c r="V1387" i="2"/>
  <c r="T1388" i="2"/>
  <c r="T1460" i="2"/>
  <c r="T1532" i="2"/>
  <c r="V1603" i="2"/>
  <c r="T1604" i="2"/>
  <c r="V1675" i="2"/>
  <c r="T1676" i="2"/>
  <c r="V1747" i="2"/>
  <c r="T1748" i="2"/>
  <c r="T1820" i="2"/>
  <c r="T1892" i="2"/>
  <c r="V1963" i="2"/>
  <c r="T1964" i="2"/>
  <c r="V2035" i="2"/>
  <c r="T2036" i="2"/>
  <c r="V2107" i="2"/>
  <c r="T2108" i="2"/>
  <c r="T2180" i="2"/>
  <c r="T2252" i="2"/>
  <c r="V2323" i="2"/>
  <c r="T2324" i="2"/>
  <c r="V2395" i="2"/>
  <c r="T2396" i="2"/>
  <c r="V2467" i="2"/>
  <c r="T2468" i="2"/>
  <c r="T2540" i="2"/>
  <c r="V2611" i="2"/>
  <c r="T2612" i="2"/>
  <c r="V2683" i="2"/>
  <c r="T2684" i="2"/>
  <c r="V2755" i="2"/>
  <c r="T2756" i="2"/>
  <c r="T2828" i="2"/>
  <c r="V2899" i="2"/>
  <c r="T2900" i="2"/>
  <c r="T2972" i="2"/>
  <c r="T3044" i="2"/>
  <c r="T3116" i="2"/>
  <c r="T3188" i="2"/>
  <c r="V3259" i="2"/>
  <c r="T3260" i="2"/>
  <c r="V3331" i="2"/>
  <c r="T3332" i="2"/>
  <c r="U1819" i="2"/>
  <c r="V1819" i="2" s="1"/>
  <c r="V1818" i="2"/>
  <c r="U1891" i="2"/>
  <c r="V1891" i="2" s="1"/>
  <c r="V1890" i="2"/>
  <c r="U3043" i="2"/>
  <c r="V3042" i="2"/>
  <c r="R1460" i="2"/>
  <c r="S1459" i="2"/>
  <c r="U1459" i="2"/>
  <c r="V1459" i="2" s="1"/>
  <c r="R1820" i="2"/>
  <c r="R2252" i="2"/>
  <c r="S2251" i="2"/>
  <c r="U2251" i="2"/>
  <c r="V2251" i="2" s="1"/>
  <c r="R3116" i="2"/>
  <c r="U956" i="2"/>
  <c r="R957" i="2"/>
  <c r="S956" i="2"/>
  <c r="S2179" i="2"/>
  <c r="R2180" i="2"/>
  <c r="U2179" i="2"/>
  <c r="V2179" i="2" s="1"/>
  <c r="R2900" i="2"/>
  <c r="S1531" i="2"/>
  <c r="S1532" i="2" s="1"/>
  <c r="S1533" i="2" s="1"/>
  <c r="S1534" i="2" s="1"/>
  <c r="S1535" i="2" s="1"/>
  <c r="R1532" i="2"/>
  <c r="U1531" i="2"/>
  <c r="R1892" i="2"/>
  <c r="S2539" i="2"/>
  <c r="R2540" i="2"/>
  <c r="U2539" i="2"/>
  <c r="V2539" i="2" s="1"/>
  <c r="R3188" i="2"/>
  <c r="S3187" i="2"/>
  <c r="S3188" i="2" s="1"/>
  <c r="S3189" i="2" s="1"/>
  <c r="U3187" i="2"/>
  <c r="R2685" i="2"/>
  <c r="S2684" i="2"/>
  <c r="U2684" i="2"/>
  <c r="R3476" i="2"/>
  <c r="R3980" i="2"/>
  <c r="R2037" i="2"/>
  <c r="U2036" i="2"/>
  <c r="U2037" i="2" s="1"/>
  <c r="S2036" i="2"/>
  <c r="S2037" i="2" s="1"/>
  <c r="R2326" i="2"/>
  <c r="S2325" i="2"/>
  <c r="S2326" i="2" s="1"/>
  <c r="S2327" i="2" s="1"/>
  <c r="U2325" i="2"/>
  <c r="U2326" i="2" s="1"/>
  <c r="U2327" i="2" s="1"/>
  <c r="R2757" i="2"/>
  <c r="R1749" i="2"/>
  <c r="S1748" i="2"/>
  <c r="S1749" i="2" s="1"/>
  <c r="U1748" i="2"/>
  <c r="U1749" i="2" s="1"/>
  <c r="R3044" i="2"/>
  <c r="R4052" i="2"/>
  <c r="R4196" i="2"/>
  <c r="R3549" i="2"/>
  <c r="R3909" i="2"/>
  <c r="R1966" i="2"/>
  <c r="S1965" i="2"/>
  <c r="U1965" i="2"/>
  <c r="S2108" i="2"/>
  <c r="R2109" i="2"/>
  <c r="U2108" i="2"/>
  <c r="R669" i="2"/>
  <c r="U668" i="2"/>
  <c r="S668" i="2"/>
  <c r="R4124" i="2"/>
  <c r="R3333" i="2"/>
  <c r="R3620" i="2"/>
  <c r="R3764" i="2"/>
  <c r="S2470" i="2"/>
  <c r="R2471" i="2"/>
  <c r="U2470" i="2"/>
  <c r="R4268" i="2"/>
  <c r="R2972" i="2"/>
  <c r="R3692" i="2"/>
  <c r="S3691" i="2"/>
  <c r="S3692" i="2" s="1"/>
  <c r="S3693" i="2" s="1"/>
  <c r="S3694" i="2" s="1"/>
  <c r="S3695" i="2" s="1"/>
  <c r="S3696" i="2" s="1"/>
  <c r="S3697" i="2" s="1"/>
  <c r="S3698" i="2" s="1"/>
  <c r="U3691" i="2"/>
  <c r="S3835" i="2"/>
  <c r="S3836" i="2" s="1"/>
  <c r="R3836" i="2"/>
  <c r="U3835" i="2"/>
  <c r="R2833" i="2"/>
  <c r="S2832" i="2"/>
  <c r="R2615" i="2"/>
  <c r="U2398" i="2"/>
  <c r="R2399" i="2"/>
  <c r="S2398" i="2"/>
  <c r="R1608" i="2"/>
  <c r="S1607" i="2"/>
  <c r="U1607" i="2"/>
  <c r="U1608" i="2" s="1"/>
  <c r="U1681" i="2"/>
  <c r="S1681" i="2"/>
  <c r="R1682" i="2"/>
  <c r="U1173" i="2"/>
  <c r="S1173" i="2"/>
  <c r="R1174" i="2"/>
  <c r="R3261" i="2"/>
  <c r="R3404" i="2"/>
  <c r="R238" i="2"/>
  <c r="U308" i="2"/>
  <c r="U452" i="2"/>
  <c r="U740" i="2"/>
  <c r="U885" i="2"/>
  <c r="U1388" i="2"/>
  <c r="U93" i="2"/>
  <c r="U813" i="2"/>
  <c r="U1317" i="2"/>
  <c r="U381" i="2"/>
  <c r="U22" i="2"/>
  <c r="S1028" i="2"/>
  <c r="S1029" i="2" s="1"/>
  <c r="R1029" i="2"/>
  <c r="U1028" i="2"/>
  <c r="U1029" i="2" s="1"/>
  <c r="R814" i="2"/>
  <c r="S813" i="2"/>
  <c r="R1104" i="2"/>
  <c r="S1103" i="2"/>
  <c r="R1247" i="2"/>
  <c r="S1246" i="2"/>
  <c r="R1318" i="2"/>
  <c r="S1317" i="2"/>
  <c r="R382" i="2"/>
  <c r="S381" i="2"/>
  <c r="S308" i="2"/>
  <c r="R309" i="2"/>
  <c r="S452" i="2"/>
  <c r="R453" i="2"/>
  <c r="S740" i="2"/>
  <c r="R741" i="2"/>
  <c r="S885" i="2"/>
  <c r="R886" i="2"/>
  <c r="S1388" i="2"/>
  <c r="R1389" i="2"/>
  <c r="S22" i="2"/>
  <c r="R23" i="2"/>
  <c r="S93" i="2"/>
  <c r="R94" i="2"/>
  <c r="S166" i="2"/>
  <c r="R167" i="2"/>
  <c r="U3764" i="2" l="1"/>
  <c r="V3763" i="2"/>
  <c r="U2828" i="2"/>
  <c r="V2827" i="2"/>
  <c r="U4052" i="2"/>
  <c r="V4051" i="2"/>
  <c r="U164" i="2"/>
  <c r="V163" i="2"/>
  <c r="U3620" i="2"/>
  <c r="V3619" i="2"/>
  <c r="U4124" i="2"/>
  <c r="V4123" i="2"/>
  <c r="U4196" i="2"/>
  <c r="V4195" i="2"/>
  <c r="U3476" i="2"/>
  <c r="V3475" i="2"/>
  <c r="U3116" i="2"/>
  <c r="V3115" i="2"/>
  <c r="U4268" i="2"/>
  <c r="V4267" i="2"/>
  <c r="U1532" i="2"/>
  <c r="V1531" i="2"/>
  <c r="U3836" i="2"/>
  <c r="V3836" i="2" s="1"/>
  <c r="V3835" i="2"/>
  <c r="R525" i="2"/>
  <c r="S524" i="2"/>
  <c r="U524" i="2"/>
  <c r="V524" i="2" s="1"/>
  <c r="R597" i="2"/>
  <c r="S596" i="2"/>
  <c r="U596" i="2"/>
  <c r="V596" i="2" s="1"/>
  <c r="U3692" i="2"/>
  <c r="V3691" i="2"/>
  <c r="U3188" i="2"/>
  <c r="V3187" i="2"/>
  <c r="U3044" i="2"/>
  <c r="V3043" i="2"/>
  <c r="V20" i="2"/>
  <c r="T21" i="2"/>
  <c r="V92" i="2"/>
  <c r="T93" i="2"/>
  <c r="T165" i="2"/>
  <c r="V236" i="2"/>
  <c r="T237" i="2"/>
  <c r="V308" i="2"/>
  <c r="T309" i="2"/>
  <c r="V380" i="2"/>
  <c r="T381" i="2"/>
  <c r="V452" i="2"/>
  <c r="T453" i="2"/>
  <c r="T525" i="2"/>
  <c r="T597" i="2"/>
  <c r="V3404" i="2"/>
  <c r="T3405" i="2"/>
  <c r="T3477" i="2"/>
  <c r="V3548" i="2"/>
  <c r="T3549" i="2"/>
  <c r="T3621" i="2"/>
  <c r="T3693" i="2"/>
  <c r="T3765" i="2"/>
  <c r="T3837" i="2"/>
  <c r="V3908" i="2"/>
  <c r="T3909" i="2"/>
  <c r="V3980" i="2"/>
  <c r="T3981" i="2"/>
  <c r="T4053" i="2"/>
  <c r="T4125" i="2"/>
  <c r="T4197" i="2"/>
  <c r="T4269" i="2"/>
  <c r="V668" i="2"/>
  <c r="T669" i="2"/>
  <c r="V740" i="2"/>
  <c r="T741" i="2"/>
  <c r="V812" i="2"/>
  <c r="T813" i="2"/>
  <c r="V884" i="2"/>
  <c r="T885" i="2"/>
  <c r="V956" i="2"/>
  <c r="T957" i="2"/>
  <c r="V1028" i="2"/>
  <c r="T1029" i="2"/>
  <c r="V1100" i="2"/>
  <c r="T1101" i="2"/>
  <c r="V1172" i="2"/>
  <c r="T1173" i="2"/>
  <c r="V1244" i="2"/>
  <c r="T1245" i="2"/>
  <c r="V1316" i="2"/>
  <c r="T1317" i="2"/>
  <c r="V1388" i="2"/>
  <c r="T1389" i="2"/>
  <c r="T1461" i="2"/>
  <c r="T1533" i="2"/>
  <c r="V1604" i="2"/>
  <c r="T1605" i="2"/>
  <c r="V1676" i="2"/>
  <c r="T1677" i="2"/>
  <c r="V1748" i="2"/>
  <c r="T1749" i="2"/>
  <c r="T1821" i="2"/>
  <c r="T1893" i="2"/>
  <c r="V1964" i="2"/>
  <c r="T1965" i="2"/>
  <c r="V2036" i="2"/>
  <c r="T2037" i="2"/>
  <c r="V2108" i="2"/>
  <c r="T2109" i="2"/>
  <c r="T2181" i="2"/>
  <c r="T2253" i="2"/>
  <c r="V2324" i="2"/>
  <c r="T2325" i="2"/>
  <c r="V2396" i="2"/>
  <c r="T2397" i="2"/>
  <c r="V2468" i="2"/>
  <c r="T2469" i="2"/>
  <c r="T2541" i="2"/>
  <c r="V2612" i="2"/>
  <c r="T2613" i="2"/>
  <c r="V2684" i="2"/>
  <c r="T2685" i="2"/>
  <c r="V2756" i="2"/>
  <c r="T2757" i="2"/>
  <c r="T2829" i="2"/>
  <c r="T2901" i="2"/>
  <c r="T2973" i="2"/>
  <c r="T3045" i="2"/>
  <c r="T3117" i="2"/>
  <c r="T3189" i="2"/>
  <c r="V3260" i="2"/>
  <c r="T3261" i="2"/>
  <c r="V3332" i="2"/>
  <c r="T3333" i="2"/>
  <c r="S238" i="2"/>
  <c r="R239" i="2"/>
  <c r="R1461" i="2"/>
  <c r="S1460" i="2"/>
  <c r="U1460" i="2"/>
  <c r="V1460" i="2" s="1"/>
  <c r="S1820" i="2"/>
  <c r="U1820" i="2"/>
  <c r="V1820" i="2" s="1"/>
  <c r="R1821" i="2"/>
  <c r="S2252" i="2"/>
  <c r="S2253" i="2" s="1"/>
  <c r="R2253" i="2"/>
  <c r="U2252" i="2"/>
  <c r="R3117" i="2"/>
  <c r="R958" i="2"/>
  <c r="S957" i="2"/>
  <c r="U957" i="2"/>
  <c r="R2181" i="2"/>
  <c r="S2180" i="2"/>
  <c r="U2180" i="2"/>
  <c r="V2180" i="2" s="1"/>
  <c r="R2901" i="2"/>
  <c r="S2900" i="2"/>
  <c r="S2901" i="2" s="1"/>
  <c r="S2902" i="2" s="1"/>
  <c r="S2903" i="2" s="1"/>
  <c r="S2904" i="2" s="1"/>
  <c r="S2905" i="2" s="1"/>
  <c r="U2900" i="2"/>
  <c r="R1533" i="2"/>
  <c r="U1892" i="2"/>
  <c r="V1892" i="2" s="1"/>
  <c r="R1893" i="2"/>
  <c r="S1892" i="2"/>
  <c r="S2540" i="2"/>
  <c r="R2541" i="2"/>
  <c r="U2540" i="2"/>
  <c r="V2540" i="2" s="1"/>
  <c r="R3189" i="2"/>
  <c r="S2685" i="2"/>
  <c r="R2686" i="2"/>
  <c r="U2685" i="2"/>
  <c r="R3477" i="2"/>
  <c r="R3981" i="2"/>
  <c r="R2038" i="2"/>
  <c r="R2327" i="2"/>
  <c r="R2758" i="2"/>
  <c r="R1750" i="2"/>
  <c r="R3045" i="2"/>
  <c r="R4053" i="2"/>
  <c r="R4197" i="2"/>
  <c r="R3550" i="2"/>
  <c r="R3910" i="2"/>
  <c r="R1967" i="2"/>
  <c r="U1966" i="2"/>
  <c r="U1967" i="2" s="1"/>
  <c r="U1968" i="2" s="1"/>
  <c r="U1969" i="2" s="1"/>
  <c r="S1966" i="2"/>
  <c r="S1967" i="2" s="1"/>
  <c r="S1968" i="2" s="1"/>
  <c r="S1969" i="2" s="1"/>
  <c r="S2109" i="2"/>
  <c r="R2110" i="2"/>
  <c r="U2109" i="2"/>
  <c r="U669" i="2"/>
  <c r="R670" i="2"/>
  <c r="S669" i="2"/>
  <c r="R4125" i="2"/>
  <c r="R3334" i="2"/>
  <c r="R3621" i="2"/>
  <c r="R3765" i="2"/>
  <c r="R2472" i="2"/>
  <c r="S2471" i="2"/>
  <c r="S2472" i="2" s="1"/>
  <c r="S2473" i="2" s="1"/>
  <c r="U2471" i="2"/>
  <c r="U2472" i="2" s="1"/>
  <c r="U2473" i="2" s="1"/>
  <c r="R4269" i="2"/>
  <c r="S2972" i="2"/>
  <c r="S2973" i="2" s="1"/>
  <c r="S2974" i="2" s="1"/>
  <c r="S2975" i="2" s="1"/>
  <c r="S2976" i="2" s="1"/>
  <c r="S2977" i="2" s="1"/>
  <c r="S2978" i="2" s="1"/>
  <c r="S2979" i="2" s="1"/>
  <c r="S2980" i="2" s="1"/>
  <c r="S2981" i="2" s="1"/>
  <c r="S2982" i="2" s="1"/>
  <c r="S2983" i="2" s="1"/>
  <c r="S2984" i="2" s="1"/>
  <c r="S2985" i="2" s="1"/>
  <c r="S2986" i="2" s="1"/>
  <c r="R2973" i="2"/>
  <c r="U2972" i="2"/>
  <c r="R3693" i="2"/>
  <c r="R3837" i="2"/>
  <c r="R2834" i="2"/>
  <c r="S2833" i="2"/>
  <c r="U2615" i="2"/>
  <c r="R2616" i="2"/>
  <c r="S2615" i="2"/>
  <c r="R2400" i="2"/>
  <c r="S2399" i="2"/>
  <c r="R1609" i="2"/>
  <c r="S1608" i="2"/>
  <c r="U1682" i="2"/>
  <c r="R1683" i="2"/>
  <c r="S1682" i="2"/>
  <c r="R1175" i="2"/>
  <c r="S1174" i="2"/>
  <c r="U1174" i="2"/>
  <c r="U2399" i="2"/>
  <c r="R3262" i="2"/>
  <c r="R3405" i="2"/>
  <c r="U238" i="2"/>
  <c r="R1030" i="2"/>
  <c r="U309" i="2"/>
  <c r="U453" i="2"/>
  <c r="U741" i="2"/>
  <c r="U886" i="2"/>
  <c r="U1389" i="2"/>
  <c r="U94" i="2"/>
  <c r="U814" i="2"/>
  <c r="U1104" i="2"/>
  <c r="U1247" i="2"/>
  <c r="U1318" i="2"/>
  <c r="U382" i="2"/>
  <c r="U23" i="2"/>
  <c r="R815" i="2"/>
  <c r="S814" i="2"/>
  <c r="R1105" i="2"/>
  <c r="S1104" i="2"/>
  <c r="R1248" i="2"/>
  <c r="S1247" i="2"/>
  <c r="R1319" i="2"/>
  <c r="S1318" i="2"/>
  <c r="R383" i="2"/>
  <c r="S382" i="2"/>
  <c r="S309" i="2"/>
  <c r="R310" i="2"/>
  <c r="S453" i="2"/>
  <c r="R454" i="2"/>
  <c r="S741" i="2"/>
  <c r="R742" i="2"/>
  <c r="S886" i="2"/>
  <c r="R887" i="2"/>
  <c r="S1389" i="2"/>
  <c r="R1390" i="2"/>
  <c r="S23" i="2"/>
  <c r="R24" i="2"/>
  <c r="S94" i="2"/>
  <c r="R95" i="2"/>
  <c r="S167" i="2"/>
  <c r="R168" i="2"/>
  <c r="U3765" i="2" l="1"/>
  <c r="U3766" i="2" s="1"/>
  <c r="U3767" i="2" s="1"/>
  <c r="U3768" i="2" s="1"/>
  <c r="U3769" i="2" s="1"/>
  <c r="V3764" i="2"/>
  <c r="U2829" i="2"/>
  <c r="V2828" i="2"/>
  <c r="U4053" i="2"/>
  <c r="V4052" i="2"/>
  <c r="U165" i="2"/>
  <c r="V164" i="2"/>
  <c r="U3621" i="2"/>
  <c r="V3620" i="2"/>
  <c r="U4125" i="2"/>
  <c r="V4124" i="2"/>
  <c r="U3117" i="2"/>
  <c r="V3116" i="2"/>
  <c r="U4197" i="2"/>
  <c r="V4196" i="2"/>
  <c r="U3477" i="2"/>
  <c r="V3476" i="2"/>
  <c r="U4269" i="2"/>
  <c r="V4268" i="2"/>
  <c r="U1533" i="2"/>
  <c r="V1532" i="2"/>
  <c r="U239" i="2"/>
  <c r="S525" i="2"/>
  <c r="R526" i="2"/>
  <c r="U525" i="2"/>
  <c r="V525" i="2" s="1"/>
  <c r="S597" i="2"/>
  <c r="U597" i="2"/>
  <c r="V597" i="2" s="1"/>
  <c r="R598" i="2"/>
  <c r="S1030" i="2"/>
  <c r="R1031" i="2"/>
  <c r="U1030" i="2"/>
  <c r="U3693" i="2"/>
  <c r="V3692" i="2"/>
  <c r="U3189" i="2"/>
  <c r="V3189" i="2" s="1"/>
  <c r="V3188" i="2"/>
  <c r="U3045" i="2"/>
  <c r="V3044" i="2"/>
  <c r="U2253" i="2"/>
  <c r="V2253" i="2" s="1"/>
  <c r="V2252" i="2"/>
  <c r="V21" i="2"/>
  <c r="T22" i="2"/>
  <c r="V93" i="2"/>
  <c r="T94" i="2"/>
  <c r="T166" i="2"/>
  <c r="V237" i="2"/>
  <c r="T238" i="2"/>
  <c r="V309" i="2"/>
  <c r="T310" i="2"/>
  <c r="V381" i="2"/>
  <c r="T382" i="2"/>
  <c r="V453" i="2"/>
  <c r="T454" i="2"/>
  <c r="T526" i="2"/>
  <c r="T598" i="2"/>
  <c r="V3405" i="2"/>
  <c r="T3406" i="2"/>
  <c r="T3478" i="2"/>
  <c r="V3549" i="2"/>
  <c r="T3550" i="2"/>
  <c r="T3622" i="2"/>
  <c r="T3694" i="2"/>
  <c r="V3765" i="2"/>
  <c r="T3766" i="2"/>
  <c r="T3838" i="2"/>
  <c r="V3909" i="2"/>
  <c r="T3910" i="2"/>
  <c r="V3981" i="2"/>
  <c r="T3982" i="2"/>
  <c r="T4054" i="2"/>
  <c r="T4126" i="2"/>
  <c r="T4198" i="2"/>
  <c r="T4270" i="2"/>
  <c r="V669" i="2"/>
  <c r="T670" i="2"/>
  <c r="V741" i="2"/>
  <c r="T742" i="2"/>
  <c r="V813" i="2"/>
  <c r="T814" i="2"/>
  <c r="V885" i="2"/>
  <c r="T886" i="2"/>
  <c r="V957" i="2"/>
  <c r="T958" i="2"/>
  <c r="V1029" i="2"/>
  <c r="T1030" i="2"/>
  <c r="V1101" i="2"/>
  <c r="T1102" i="2"/>
  <c r="V1173" i="2"/>
  <c r="T1174" i="2"/>
  <c r="V1245" i="2"/>
  <c r="T1246" i="2"/>
  <c r="V1317" i="2"/>
  <c r="T1318" i="2"/>
  <c r="V1389" i="2"/>
  <c r="T1390" i="2"/>
  <c r="T1462" i="2"/>
  <c r="T1534" i="2"/>
  <c r="V1605" i="2"/>
  <c r="T1606" i="2"/>
  <c r="V1677" i="2"/>
  <c r="T1678" i="2"/>
  <c r="V1749" i="2"/>
  <c r="T1750" i="2"/>
  <c r="T1822" i="2"/>
  <c r="T1894" i="2"/>
  <c r="V1965" i="2"/>
  <c r="T1966" i="2"/>
  <c r="V2037" i="2"/>
  <c r="T2038" i="2"/>
  <c r="V2109" i="2"/>
  <c r="T2110" i="2"/>
  <c r="T2182" i="2"/>
  <c r="T2254" i="2"/>
  <c r="V2325" i="2"/>
  <c r="T2326" i="2"/>
  <c r="V2397" i="2"/>
  <c r="T2398" i="2"/>
  <c r="V2469" i="2"/>
  <c r="T2470" i="2"/>
  <c r="T2542" i="2"/>
  <c r="V2613" i="2"/>
  <c r="T2614" i="2"/>
  <c r="V2685" i="2"/>
  <c r="T2686" i="2"/>
  <c r="V2757" i="2"/>
  <c r="T2758" i="2"/>
  <c r="T2830" i="2"/>
  <c r="T2902" i="2"/>
  <c r="T2974" i="2"/>
  <c r="T3046" i="2"/>
  <c r="T3118" i="2"/>
  <c r="T3190" i="2"/>
  <c r="V3261" i="2"/>
  <c r="T3262" i="2"/>
  <c r="V3333" i="2"/>
  <c r="T3334" i="2"/>
  <c r="U2901" i="2"/>
  <c r="V2900" i="2"/>
  <c r="U2973" i="2"/>
  <c r="V2972" i="2"/>
  <c r="S239" i="2"/>
  <c r="R240" i="2"/>
  <c r="R1462" i="2"/>
  <c r="S1461" i="2"/>
  <c r="S1462" i="2" s="1"/>
  <c r="U1461" i="2"/>
  <c r="R1822" i="2"/>
  <c r="S1821" i="2"/>
  <c r="U1821" i="2"/>
  <c r="V1821" i="2" s="1"/>
  <c r="R2254" i="2"/>
  <c r="R3118" i="2"/>
  <c r="R959" i="2"/>
  <c r="S958" i="2"/>
  <c r="U958" i="2"/>
  <c r="S2181" i="2"/>
  <c r="R2182" i="2"/>
  <c r="U2181" i="2"/>
  <c r="V2181" i="2" s="1"/>
  <c r="R2902" i="2"/>
  <c r="R1534" i="2"/>
  <c r="R1894" i="2"/>
  <c r="S1893" i="2"/>
  <c r="S1894" i="2" s="1"/>
  <c r="S1895" i="2" s="1"/>
  <c r="S1896" i="2" s="1"/>
  <c r="S1897" i="2" s="1"/>
  <c r="S1898" i="2" s="1"/>
  <c r="S2541" i="2"/>
  <c r="S2542" i="2" s="1"/>
  <c r="R2542" i="2"/>
  <c r="U2541" i="2"/>
  <c r="R3190" i="2"/>
  <c r="S2686" i="2"/>
  <c r="S2687" i="2" s="1"/>
  <c r="S2688" i="2" s="1"/>
  <c r="R2687" i="2"/>
  <c r="U2686" i="2"/>
  <c r="U2687" i="2" s="1"/>
  <c r="U2688" i="2" s="1"/>
  <c r="R3478" i="2"/>
  <c r="R3982" i="2"/>
  <c r="U2038" i="2"/>
  <c r="S2038" i="2"/>
  <c r="R2039" i="2"/>
  <c r="R2328" i="2"/>
  <c r="R2759" i="2"/>
  <c r="S2758" i="2"/>
  <c r="S2759" i="2" s="1"/>
  <c r="U2758" i="2"/>
  <c r="U2759" i="2" s="1"/>
  <c r="U1750" i="2"/>
  <c r="U1751" i="2" s="1"/>
  <c r="R1751" i="2"/>
  <c r="S1750" i="2"/>
  <c r="S1751" i="2" s="1"/>
  <c r="R3046" i="2"/>
  <c r="R4054" i="2"/>
  <c r="R4198" i="2"/>
  <c r="R3551" i="2"/>
  <c r="R3911" i="2"/>
  <c r="R1968" i="2"/>
  <c r="S2110" i="2"/>
  <c r="R2111" i="2"/>
  <c r="U2110" i="2"/>
  <c r="S670" i="2"/>
  <c r="R671" i="2"/>
  <c r="U670" i="2"/>
  <c r="R4126" i="2"/>
  <c r="R3335" i="2"/>
  <c r="R3622" i="2"/>
  <c r="R3766" i="2"/>
  <c r="R2473" i="2"/>
  <c r="R4270" i="2"/>
  <c r="R2974" i="2"/>
  <c r="R3694" i="2"/>
  <c r="R3838" i="2"/>
  <c r="S3837" i="2"/>
  <c r="S3838" i="2" s="1"/>
  <c r="S3839" i="2" s="1"/>
  <c r="S3840" i="2" s="1"/>
  <c r="S3841" i="2" s="1"/>
  <c r="S3842" i="2" s="1"/>
  <c r="S3843" i="2" s="1"/>
  <c r="S3844" i="2" s="1"/>
  <c r="S3845" i="2" s="1"/>
  <c r="S3846" i="2" s="1"/>
  <c r="S3847" i="2" s="1"/>
  <c r="S3848" i="2" s="1"/>
  <c r="S3849" i="2" s="1"/>
  <c r="S3850" i="2" s="1"/>
  <c r="S3851" i="2" s="1"/>
  <c r="S3852" i="2" s="1"/>
  <c r="U3837" i="2"/>
  <c r="R2835" i="2"/>
  <c r="S2834" i="2"/>
  <c r="R2617" i="2"/>
  <c r="S2616" i="2"/>
  <c r="U2616" i="2"/>
  <c r="R2401" i="2"/>
  <c r="S2400" i="2"/>
  <c r="U2400" i="2"/>
  <c r="U1609" i="2"/>
  <c r="R1610" i="2"/>
  <c r="S1609" i="2"/>
  <c r="R1684" i="2"/>
  <c r="S1683" i="2"/>
  <c r="U1683" i="2"/>
  <c r="R1176" i="2"/>
  <c r="S1175" i="2"/>
  <c r="S1176" i="2" s="1"/>
  <c r="U1175" i="2"/>
  <c r="U1176" i="2" s="1"/>
  <c r="U1893" i="2"/>
  <c r="U3262" i="2"/>
  <c r="U3263" i="2" s="1"/>
  <c r="U3264" i="2" s="1"/>
  <c r="U3265" i="2" s="1"/>
  <c r="U3266" i="2" s="1"/>
  <c r="U3267" i="2" s="1"/>
  <c r="U3268" i="2" s="1"/>
  <c r="U3269" i="2" s="1"/>
  <c r="U3270" i="2" s="1"/>
  <c r="U3271" i="2" s="1"/>
  <c r="U3272" i="2" s="1"/>
  <c r="R3263" i="2"/>
  <c r="S3262" i="2"/>
  <c r="S3263" i="2" s="1"/>
  <c r="S3264" i="2" s="1"/>
  <c r="S3265" i="2" s="1"/>
  <c r="S3266" i="2" s="1"/>
  <c r="S3267" i="2" s="1"/>
  <c r="S3268" i="2" s="1"/>
  <c r="S3269" i="2" s="1"/>
  <c r="S3270" i="2" s="1"/>
  <c r="S3271" i="2" s="1"/>
  <c r="S3272" i="2" s="1"/>
  <c r="R3406" i="2"/>
  <c r="U310" i="2"/>
  <c r="U454" i="2"/>
  <c r="U1390" i="2"/>
  <c r="U95" i="2"/>
  <c r="U887" i="2"/>
  <c r="U815" i="2"/>
  <c r="U1105" i="2"/>
  <c r="U1248" i="2"/>
  <c r="U1319" i="2"/>
  <c r="U383" i="2"/>
  <c r="U742" i="2"/>
  <c r="U24" i="2"/>
  <c r="R816" i="2"/>
  <c r="S815" i="2"/>
  <c r="R1106" i="2"/>
  <c r="S1105" i="2"/>
  <c r="S1248" i="2"/>
  <c r="R1249" i="2"/>
  <c r="S1319" i="2"/>
  <c r="R1320" i="2"/>
  <c r="S383" i="2"/>
  <c r="R384" i="2"/>
  <c r="S310" i="2"/>
  <c r="R311" i="2"/>
  <c r="S454" i="2"/>
  <c r="R455" i="2"/>
  <c r="S742" i="2"/>
  <c r="R743" i="2"/>
  <c r="S887" i="2"/>
  <c r="R888" i="2"/>
  <c r="S1390" i="2"/>
  <c r="R1391" i="2"/>
  <c r="S24" i="2"/>
  <c r="R25" i="2"/>
  <c r="S95" i="2"/>
  <c r="R96" i="2"/>
  <c r="S168" i="2"/>
  <c r="R169" i="2"/>
  <c r="U2830" i="2" l="1"/>
  <c r="U2831" i="2" s="1"/>
  <c r="U2832" i="2" s="1"/>
  <c r="U2833" i="2" s="1"/>
  <c r="U2834" i="2" s="1"/>
  <c r="V2829" i="2"/>
  <c r="U4054" i="2"/>
  <c r="V4054" i="2" s="1"/>
  <c r="V4053" i="2"/>
  <c r="U166" i="2"/>
  <c r="U167" i="2" s="1"/>
  <c r="U168" i="2" s="1"/>
  <c r="U169" i="2" s="1"/>
  <c r="V165" i="2"/>
  <c r="S1031" i="2"/>
  <c r="R1032" i="2"/>
  <c r="U3622" i="2"/>
  <c r="V3621" i="2"/>
  <c r="U4126" i="2"/>
  <c r="V4125" i="2"/>
  <c r="U3118" i="2"/>
  <c r="V3118" i="2" s="1"/>
  <c r="V3117" i="2"/>
  <c r="U1031" i="2"/>
  <c r="U1032" i="2" s="1"/>
  <c r="U4198" i="2"/>
  <c r="V4197" i="2"/>
  <c r="U3478" i="2"/>
  <c r="V3477" i="2"/>
  <c r="U4270" i="2"/>
  <c r="V4269" i="2"/>
  <c r="U1534" i="2"/>
  <c r="V1533" i="2"/>
  <c r="U3694" i="2"/>
  <c r="V3693" i="2"/>
  <c r="R527" i="2"/>
  <c r="S526" i="2"/>
  <c r="U526" i="2"/>
  <c r="V526" i="2" s="1"/>
  <c r="R599" i="2"/>
  <c r="S598" i="2"/>
  <c r="U598" i="2"/>
  <c r="V598" i="2" s="1"/>
  <c r="U3046" i="2"/>
  <c r="V3045" i="2"/>
  <c r="U3838" i="2"/>
  <c r="V3837" i="2"/>
  <c r="U1462" i="2"/>
  <c r="V1462" i="2" s="1"/>
  <c r="V1461" i="2"/>
  <c r="U2902" i="2"/>
  <c r="V2901" i="2"/>
  <c r="U2974" i="2"/>
  <c r="V2973" i="2"/>
  <c r="V22" i="2"/>
  <c r="T23" i="2"/>
  <c r="V94" i="2"/>
  <c r="T95" i="2"/>
  <c r="V166" i="2"/>
  <c r="T167" i="2"/>
  <c r="V238" i="2"/>
  <c r="T239" i="2"/>
  <c r="V310" i="2"/>
  <c r="T311" i="2"/>
  <c r="V382" i="2"/>
  <c r="T383" i="2"/>
  <c r="V454" i="2"/>
  <c r="T455" i="2"/>
  <c r="T527" i="2"/>
  <c r="T599" i="2"/>
  <c r="V3406" i="2"/>
  <c r="T3407" i="2"/>
  <c r="T3479" i="2"/>
  <c r="V3550" i="2"/>
  <c r="T3551" i="2"/>
  <c r="T3623" i="2"/>
  <c r="T3695" i="2"/>
  <c r="V3766" i="2"/>
  <c r="T3767" i="2"/>
  <c r="T3839" i="2"/>
  <c r="V3910" i="2"/>
  <c r="T3911" i="2"/>
  <c r="V3982" i="2"/>
  <c r="T3983" i="2"/>
  <c r="T4055" i="2"/>
  <c r="T4127" i="2"/>
  <c r="T4199" i="2"/>
  <c r="T4271" i="2"/>
  <c r="V670" i="2"/>
  <c r="T671" i="2"/>
  <c r="V742" i="2"/>
  <c r="T743" i="2"/>
  <c r="V814" i="2"/>
  <c r="T815" i="2"/>
  <c r="V886" i="2"/>
  <c r="T887" i="2"/>
  <c r="V958" i="2"/>
  <c r="T959" i="2"/>
  <c r="V1030" i="2"/>
  <c r="T1031" i="2"/>
  <c r="V1102" i="2"/>
  <c r="T1103" i="2"/>
  <c r="V1174" i="2"/>
  <c r="T1175" i="2"/>
  <c r="V1246" i="2"/>
  <c r="T1247" i="2"/>
  <c r="V1318" i="2"/>
  <c r="T1319" i="2"/>
  <c r="V1390" i="2"/>
  <c r="T1391" i="2"/>
  <c r="T1463" i="2"/>
  <c r="T1535" i="2"/>
  <c r="V1606" i="2"/>
  <c r="T1607" i="2"/>
  <c r="V1678" i="2"/>
  <c r="T1679" i="2"/>
  <c r="V1750" i="2"/>
  <c r="T1751" i="2"/>
  <c r="T1823" i="2"/>
  <c r="T1895" i="2"/>
  <c r="V1966" i="2"/>
  <c r="T1967" i="2"/>
  <c r="V2038" i="2"/>
  <c r="T2039" i="2"/>
  <c r="V2110" i="2"/>
  <c r="T2111" i="2"/>
  <c r="T2183" i="2"/>
  <c r="T2255" i="2"/>
  <c r="V2326" i="2"/>
  <c r="T2327" i="2"/>
  <c r="V2398" i="2"/>
  <c r="T2399" i="2"/>
  <c r="V2470" i="2"/>
  <c r="T2471" i="2"/>
  <c r="T2543" i="2"/>
  <c r="V2614" i="2"/>
  <c r="T2615" i="2"/>
  <c r="V2686" i="2"/>
  <c r="T2687" i="2"/>
  <c r="V2758" i="2"/>
  <c r="T2759" i="2"/>
  <c r="V2830" i="2"/>
  <c r="T2831" i="2"/>
  <c r="T2903" i="2"/>
  <c r="T2975" i="2"/>
  <c r="T3047" i="2"/>
  <c r="T3119" i="2"/>
  <c r="T3191" i="2"/>
  <c r="V3262" i="2"/>
  <c r="T3263" i="2"/>
  <c r="V3334" i="2"/>
  <c r="T3335" i="2"/>
  <c r="U2542" i="2"/>
  <c r="V2542" i="2" s="1"/>
  <c r="V2541" i="2"/>
  <c r="U1894" i="2"/>
  <c r="V1893" i="2"/>
  <c r="U240" i="2"/>
  <c r="S240" i="2"/>
  <c r="R241" i="2"/>
  <c r="R1463" i="2"/>
  <c r="R1823" i="2"/>
  <c r="S1822" i="2"/>
  <c r="S1823" i="2" s="1"/>
  <c r="U1822" i="2"/>
  <c r="R2255" i="2"/>
  <c r="S2254" i="2"/>
  <c r="U2254" i="2"/>
  <c r="V2254" i="2" s="1"/>
  <c r="R3119" i="2"/>
  <c r="R960" i="2"/>
  <c r="S959" i="2"/>
  <c r="U959" i="2"/>
  <c r="S2182" i="2"/>
  <c r="S2183" i="2" s="1"/>
  <c r="S2184" i="2" s="1"/>
  <c r="R2183" i="2"/>
  <c r="U2182" i="2"/>
  <c r="R2903" i="2"/>
  <c r="R1535" i="2"/>
  <c r="R1895" i="2"/>
  <c r="R2543" i="2"/>
  <c r="R3191" i="2"/>
  <c r="S3190" i="2"/>
  <c r="S3191" i="2" s="1"/>
  <c r="S3192" i="2" s="1"/>
  <c r="S3193" i="2" s="1"/>
  <c r="S3194" i="2" s="1"/>
  <c r="S3195" i="2" s="1"/>
  <c r="S3196" i="2" s="1"/>
  <c r="S3197" i="2" s="1"/>
  <c r="S3198" i="2" s="1"/>
  <c r="U3190" i="2"/>
  <c r="R2688" i="2"/>
  <c r="R3479" i="2"/>
  <c r="R3983" i="2"/>
  <c r="U2039" i="2"/>
  <c r="R2040" i="2"/>
  <c r="S2039" i="2"/>
  <c r="S2328" i="2"/>
  <c r="U2328" i="2"/>
  <c r="R2329" i="2"/>
  <c r="R2760" i="2"/>
  <c r="R1752" i="2"/>
  <c r="R3047" i="2"/>
  <c r="R4055" i="2"/>
  <c r="R4199" i="2"/>
  <c r="R3552" i="2"/>
  <c r="U3551" i="2"/>
  <c r="U3552" i="2" s="1"/>
  <c r="U3553" i="2" s="1"/>
  <c r="U3554" i="2" s="1"/>
  <c r="S3551" i="2"/>
  <c r="S3552" i="2" s="1"/>
  <c r="S3553" i="2" s="1"/>
  <c r="S3554" i="2" s="1"/>
  <c r="R3912" i="2"/>
  <c r="R1969" i="2"/>
  <c r="U2111" i="2"/>
  <c r="U2112" i="2" s="1"/>
  <c r="U2113" i="2" s="1"/>
  <c r="U2114" i="2" s="1"/>
  <c r="S2111" i="2"/>
  <c r="S2112" i="2" s="1"/>
  <c r="S2113" i="2" s="1"/>
  <c r="S2114" i="2" s="1"/>
  <c r="R2112" i="2"/>
  <c r="S671" i="2"/>
  <c r="R672" i="2"/>
  <c r="U671" i="2"/>
  <c r="R4127" i="2"/>
  <c r="R3336" i="2"/>
  <c r="S3335" i="2"/>
  <c r="S3336" i="2" s="1"/>
  <c r="S3337" i="2" s="1"/>
  <c r="S3338" i="2" s="1"/>
  <c r="S3339" i="2" s="1"/>
  <c r="S3340" i="2" s="1"/>
  <c r="U3335" i="2"/>
  <c r="U3336" i="2" s="1"/>
  <c r="U3337" i="2" s="1"/>
  <c r="U3338" i="2" s="1"/>
  <c r="U3339" i="2" s="1"/>
  <c r="U3340" i="2" s="1"/>
  <c r="R3623" i="2"/>
  <c r="R3767" i="2"/>
  <c r="R2474" i="2"/>
  <c r="R4271" i="2"/>
  <c r="R2975" i="2"/>
  <c r="R3695" i="2"/>
  <c r="R3839" i="2"/>
  <c r="R2836" i="2"/>
  <c r="S2835" i="2"/>
  <c r="S2836" i="2" s="1"/>
  <c r="S2837" i="2" s="1"/>
  <c r="S2838" i="2" s="1"/>
  <c r="U2835" i="2"/>
  <c r="U2836" i="2" s="1"/>
  <c r="U2837" i="2" s="1"/>
  <c r="U2838" i="2" s="1"/>
  <c r="R2618" i="2"/>
  <c r="S2617" i="2"/>
  <c r="U2617" i="2"/>
  <c r="R2402" i="2"/>
  <c r="S2401" i="2"/>
  <c r="U2401" i="2"/>
  <c r="R1611" i="2"/>
  <c r="S1610" i="2"/>
  <c r="S1611" i="2" s="1"/>
  <c r="S1612" i="2" s="1"/>
  <c r="U1610" i="2"/>
  <c r="U1611" i="2" s="1"/>
  <c r="U1612" i="2" s="1"/>
  <c r="R1685" i="2"/>
  <c r="S1684" i="2"/>
  <c r="U1684" i="2"/>
  <c r="R1177" i="2"/>
  <c r="R3264" i="2"/>
  <c r="R3407" i="2"/>
  <c r="U311" i="2"/>
  <c r="U455" i="2"/>
  <c r="U888" i="2"/>
  <c r="U1391" i="2"/>
  <c r="U96" i="2"/>
  <c r="U816" i="2"/>
  <c r="U1249" i="2"/>
  <c r="U1320" i="2"/>
  <c r="U1106" i="2"/>
  <c r="U384" i="2"/>
  <c r="U743" i="2"/>
  <c r="U25" i="2"/>
  <c r="S816" i="2"/>
  <c r="R817" i="2"/>
  <c r="R1107" i="2"/>
  <c r="S1106" i="2"/>
  <c r="R1250" i="2"/>
  <c r="S1249" i="2"/>
  <c r="R1321" i="2"/>
  <c r="S1320" i="2"/>
  <c r="R385" i="2"/>
  <c r="S384" i="2"/>
  <c r="S311" i="2"/>
  <c r="R312" i="2"/>
  <c r="S455" i="2"/>
  <c r="R456" i="2"/>
  <c r="S743" i="2"/>
  <c r="R744" i="2"/>
  <c r="S888" i="2"/>
  <c r="R889" i="2"/>
  <c r="S1391" i="2"/>
  <c r="R1392" i="2"/>
  <c r="R26" i="2"/>
  <c r="S25" i="2"/>
  <c r="S96" i="2"/>
  <c r="R97" i="2"/>
  <c r="S169" i="2"/>
  <c r="R170" i="2"/>
  <c r="R1033" i="2" l="1"/>
  <c r="S1032" i="2"/>
  <c r="U3623" i="2"/>
  <c r="V3622" i="2"/>
  <c r="U4127" i="2"/>
  <c r="V4126" i="2"/>
  <c r="U3839" i="2"/>
  <c r="V3838" i="2"/>
  <c r="U4199" i="2"/>
  <c r="V4198" i="2"/>
  <c r="U3479" i="2"/>
  <c r="V3478" i="2"/>
  <c r="U4271" i="2"/>
  <c r="V4270" i="2"/>
  <c r="U1535" i="2"/>
  <c r="V1535" i="2" s="1"/>
  <c r="V1534" i="2"/>
  <c r="U3695" i="2"/>
  <c r="V3694" i="2"/>
  <c r="U3047" i="2"/>
  <c r="V3046" i="2"/>
  <c r="R528" i="2"/>
  <c r="S527" i="2"/>
  <c r="U527" i="2"/>
  <c r="V527" i="2" s="1"/>
  <c r="R600" i="2"/>
  <c r="S599" i="2"/>
  <c r="U599" i="2"/>
  <c r="V599" i="2" s="1"/>
  <c r="U2903" i="2"/>
  <c r="V2902" i="2"/>
  <c r="U2975" i="2"/>
  <c r="V2974" i="2"/>
  <c r="U241" i="2"/>
  <c r="U242" i="2" s="1"/>
  <c r="U1895" i="2"/>
  <c r="V1894" i="2"/>
  <c r="U1823" i="2"/>
  <c r="V1823" i="2" s="1"/>
  <c r="V1822" i="2"/>
  <c r="U3191" i="2"/>
  <c r="V3190" i="2"/>
  <c r="V23" i="2"/>
  <c r="T24" i="2"/>
  <c r="V95" i="2"/>
  <c r="T96" i="2"/>
  <c r="V167" i="2"/>
  <c r="T168" i="2"/>
  <c r="V239" i="2"/>
  <c r="T240" i="2"/>
  <c r="V311" i="2"/>
  <c r="T312" i="2"/>
  <c r="V383" i="2"/>
  <c r="T384" i="2"/>
  <c r="V455" i="2"/>
  <c r="T456" i="2"/>
  <c r="T528" i="2"/>
  <c r="T600" i="2"/>
  <c r="V3407" i="2"/>
  <c r="T3408" i="2"/>
  <c r="T3480" i="2"/>
  <c r="V3551" i="2"/>
  <c r="T3552" i="2"/>
  <c r="T3624" i="2"/>
  <c r="T3696" i="2"/>
  <c r="V3767" i="2"/>
  <c r="T3768" i="2"/>
  <c r="T3840" i="2"/>
  <c r="V3911" i="2"/>
  <c r="T3912" i="2"/>
  <c r="V3983" i="2"/>
  <c r="T3984" i="2"/>
  <c r="T4056" i="2"/>
  <c r="T4128" i="2"/>
  <c r="T4200" i="2"/>
  <c r="T4272" i="2"/>
  <c r="V671" i="2"/>
  <c r="T672" i="2"/>
  <c r="V743" i="2"/>
  <c r="T744" i="2"/>
  <c r="V815" i="2"/>
  <c r="T816" i="2"/>
  <c r="V887" i="2"/>
  <c r="T888" i="2"/>
  <c r="V959" i="2"/>
  <c r="T960" i="2"/>
  <c r="V1031" i="2"/>
  <c r="T1032" i="2"/>
  <c r="V1103" i="2"/>
  <c r="T1104" i="2"/>
  <c r="V1175" i="2"/>
  <c r="T1176" i="2"/>
  <c r="V1247" i="2"/>
  <c r="T1248" i="2"/>
  <c r="V1319" i="2"/>
  <c r="T1320" i="2"/>
  <c r="V1391" i="2"/>
  <c r="T1392" i="2"/>
  <c r="T1464" i="2"/>
  <c r="T1536" i="2"/>
  <c r="V1607" i="2"/>
  <c r="T1608" i="2"/>
  <c r="V1679" i="2"/>
  <c r="T1680" i="2"/>
  <c r="V1751" i="2"/>
  <c r="T1752" i="2"/>
  <c r="T1824" i="2"/>
  <c r="T1896" i="2"/>
  <c r="V1967" i="2"/>
  <c r="T1968" i="2"/>
  <c r="V2039" i="2"/>
  <c r="T2040" i="2"/>
  <c r="V2111" i="2"/>
  <c r="T2112" i="2"/>
  <c r="T2184" i="2"/>
  <c r="T2256" i="2"/>
  <c r="V2327" i="2"/>
  <c r="T2328" i="2"/>
  <c r="V2399" i="2"/>
  <c r="T2400" i="2"/>
  <c r="V2471" i="2"/>
  <c r="T2472" i="2"/>
  <c r="T2544" i="2"/>
  <c r="V2615" i="2"/>
  <c r="T2616" i="2"/>
  <c r="V2687" i="2"/>
  <c r="T2688" i="2"/>
  <c r="V2759" i="2"/>
  <c r="T2760" i="2"/>
  <c r="V2831" i="2"/>
  <c r="T2832" i="2"/>
  <c r="T2904" i="2"/>
  <c r="T2976" i="2"/>
  <c r="T3048" i="2"/>
  <c r="T3120" i="2"/>
  <c r="T3192" i="2"/>
  <c r="V3263" i="2"/>
  <c r="T3264" i="2"/>
  <c r="V3335" i="2"/>
  <c r="T3336" i="2"/>
  <c r="U2183" i="2"/>
  <c r="V2182" i="2"/>
  <c r="S241" i="2"/>
  <c r="S242" i="2" s="1"/>
  <c r="R242" i="2"/>
  <c r="R243" i="2" s="1"/>
  <c r="S1463" i="2"/>
  <c r="S1464" i="2" s="1"/>
  <c r="R1464" i="2"/>
  <c r="U1463" i="2"/>
  <c r="R1824" i="2"/>
  <c r="R2256" i="2"/>
  <c r="S2255" i="2"/>
  <c r="U2255" i="2"/>
  <c r="V2255" i="2" s="1"/>
  <c r="R3120" i="2"/>
  <c r="S3119" i="2"/>
  <c r="U3119" i="2"/>
  <c r="V3119" i="2" s="1"/>
  <c r="R961" i="2"/>
  <c r="U960" i="2"/>
  <c r="S960" i="2"/>
  <c r="R2184" i="2"/>
  <c r="R2904" i="2"/>
  <c r="R1536" i="2"/>
  <c r="R1896" i="2"/>
  <c r="S2543" i="2"/>
  <c r="S2544" i="2" s="1"/>
  <c r="R2544" i="2"/>
  <c r="U2543" i="2"/>
  <c r="R3192" i="2"/>
  <c r="R2689" i="2"/>
  <c r="R3480" i="2"/>
  <c r="R3984" i="2"/>
  <c r="U2040" i="2"/>
  <c r="R2041" i="2"/>
  <c r="S2040" i="2"/>
  <c r="R2330" i="2"/>
  <c r="S2329" i="2"/>
  <c r="U2329" i="2"/>
  <c r="R2761" i="2"/>
  <c r="U2760" i="2"/>
  <c r="S2760" i="2"/>
  <c r="U1752" i="2"/>
  <c r="R1753" i="2"/>
  <c r="S1752" i="2"/>
  <c r="R3048" i="2"/>
  <c r="U4055" i="2"/>
  <c r="V4055" i="2" s="1"/>
  <c r="R4056" i="2"/>
  <c r="S4055" i="2"/>
  <c r="R4200" i="2"/>
  <c r="R3553" i="2"/>
  <c r="U3912" i="2"/>
  <c r="U3913" i="2" s="1"/>
  <c r="U3914" i="2" s="1"/>
  <c r="U3915" i="2" s="1"/>
  <c r="U3916" i="2" s="1"/>
  <c r="U3917" i="2" s="1"/>
  <c r="U3918" i="2" s="1"/>
  <c r="R3913" i="2"/>
  <c r="S3912" i="2"/>
  <c r="S3913" i="2" s="1"/>
  <c r="S3914" i="2" s="1"/>
  <c r="S3915" i="2" s="1"/>
  <c r="S3916" i="2" s="1"/>
  <c r="S3917" i="2" s="1"/>
  <c r="S3918" i="2" s="1"/>
  <c r="R1970" i="2"/>
  <c r="R2113" i="2"/>
  <c r="S672" i="2"/>
  <c r="U672" i="2"/>
  <c r="R673" i="2"/>
  <c r="R4128" i="2"/>
  <c r="R3337" i="2"/>
  <c r="R3624" i="2"/>
  <c r="R3768" i="2"/>
  <c r="U2474" i="2"/>
  <c r="R2475" i="2"/>
  <c r="S2474" i="2"/>
  <c r="R4272" i="2"/>
  <c r="R2976" i="2"/>
  <c r="R3696" i="2"/>
  <c r="R3840" i="2"/>
  <c r="R2837" i="2"/>
  <c r="R2619" i="2"/>
  <c r="S2618" i="2"/>
  <c r="U2618" i="2"/>
  <c r="R2403" i="2"/>
  <c r="S2402" i="2"/>
  <c r="U2402" i="2"/>
  <c r="R1612" i="2"/>
  <c r="R1686" i="2"/>
  <c r="S1685" i="2"/>
  <c r="U1685" i="2"/>
  <c r="U1177" i="2"/>
  <c r="R1178" i="2"/>
  <c r="S1177" i="2"/>
  <c r="R3265" i="2"/>
  <c r="R3408" i="2"/>
  <c r="U817" i="2"/>
  <c r="U312" i="2"/>
  <c r="U456" i="2"/>
  <c r="U457" i="2" s="1"/>
  <c r="U889" i="2"/>
  <c r="U97" i="2"/>
  <c r="U170" i="2"/>
  <c r="U1107" i="2"/>
  <c r="U1250" i="2"/>
  <c r="U1321" i="2"/>
  <c r="U385" i="2"/>
  <c r="U744" i="2"/>
  <c r="U1392" i="2"/>
  <c r="U26" i="2"/>
  <c r="S1033" i="2"/>
  <c r="R1034" i="2"/>
  <c r="U1033" i="2"/>
  <c r="R818" i="2"/>
  <c r="S817" i="2"/>
  <c r="R1108" i="2"/>
  <c r="S1107" i="2"/>
  <c r="S1250" i="2"/>
  <c r="R1251" i="2"/>
  <c r="R1322" i="2"/>
  <c r="S1321" i="2"/>
  <c r="R386" i="2"/>
  <c r="S385" i="2"/>
  <c r="S312" i="2"/>
  <c r="R313" i="2"/>
  <c r="S456" i="2"/>
  <c r="S457" i="2" s="1"/>
  <c r="R457" i="2"/>
  <c r="S744" i="2"/>
  <c r="R745" i="2"/>
  <c r="S889" i="2"/>
  <c r="R890" i="2"/>
  <c r="S1392" i="2"/>
  <c r="R1393" i="2"/>
  <c r="S26" i="2"/>
  <c r="R27" i="2"/>
  <c r="S97" i="2"/>
  <c r="R98" i="2"/>
  <c r="S170" i="2"/>
  <c r="R171" i="2"/>
  <c r="U3624" i="2" l="1"/>
  <c r="U3625" i="2" s="1"/>
  <c r="U3626" i="2" s="1"/>
  <c r="U3627" i="2" s="1"/>
  <c r="V3623" i="2"/>
  <c r="U4128" i="2"/>
  <c r="V4127" i="2"/>
  <c r="U3840" i="2"/>
  <c r="V3839" i="2"/>
  <c r="U4200" i="2"/>
  <c r="V4199" i="2"/>
  <c r="U4272" i="2"/>
  <c r="V4271" i="2"/>
  <c r="U3480" i="2"/>
  <c r="V3480" i="2" s="1"/>
  <c r="V3479" i="2"/>
  <c r="U3696" i="2"/>
  <c r="V3695" i="2"/>
  <c r="U3048" i="2"/>
  <c r="V3047" i="2"/>
  <c r="U2904" i="2"/>
  <c r="V2903" i="2"/>
  <c r="U2976" i="2"/>
  <c r="V2975" i="2"/>
  <c r="S528" i="2"/>
  <c r="U528" i="2"/>
  <c r="V528" i="2" s="1"/>
  <c r="R529" i="2"/>
  <c r="S600" i="2"/>
  <c r="U600" i="2"/>
  <c r="V600" i="2" s="1"/>
  <c r="R601" i="2"/>
  <c r="U243" i="2"/>
  <c r="R244" i="2"/>
  <c r="S243" i="2"/>
  <c r="U1896" i="2"/>
  <c r="V1895" i="2"/>
  <c r="U3192" i="2"/>
  <c r="V3191" i="2"/>
  <c r="U2544" i="2"/>
  <c r="V2544" i="2" s="1"/>
  <c r="V2543" i="2"/>
  <c r="U2184" i="2"/>
  <c r="V2184" i="2" s="1"/>
  <c r="V2183" i="2"/>
  <c r="V24" i="2"/>
  <c r="T25" i="2"/>
  <c r="V96" i="2"/>
  <c r="T97" i="2"/>
  <c r="V168" i="2"/>
  <c r="T169" i="2"/>
  <c r="V240" i="2"/>
  <c r="T241" i="2"/>
  <c r="V312" i="2"/>
  <c r="T313" i="2"/>
  <c r="V384" i="2"/>
  <c r="T385" i="2"/>
  <c r="V456" i="2"/>
  <c r="T457" i="2"/>
  <c r="T529" i="2"/>
  <c r="T601" i="2"/>
  <c r="V3408" i="2"/>
  <c r="T3409" i="2"/>
  <c r="T3481" i="2"/>
  <c r="V3552" i="2"/>
  <c r="T3553" i="2"/>
  <c r="V3624" i="2"/>
  <c r="T3625" i="2"/>
  <c r="T3697" i="2"/>
  <c r="V3768" i="2"/>
  <c r="T3769" i="2"/>
  <c r="T3841" i="2"/>
  <c r="V3912" i="2"/>
  <c r="T3913" i="2"/>
  <c r="V3984" i="2"/>
  <c r="T3985" i="2"/>
  <c r="T4057" i="2"/>
  <c r="T4129" i="2"/>
  <c r="T4201" i="2"/>
  <c r="T4273" i="2"/>
  <c r="V672" i="2"/>
  <c r="T673" i="2"/>
  <c r="V744" i="2"/>
  <c r="T745" i="2"/>
  <c r="V816" i="2"/>
  <c r="T817" i="2"/>
  <c r="V888" i="2"/>
  <c r="T889" i="2"/>
  <c r="V960" i="2"/>
  <c r="T961" i="2"/>
  <c r="V1032" i="2"/>
  <c r="T1033" i="2"/>
  <c r="V1104" i="2"/>
  <c r="T1105" i="2"/>
  <c r="V1176" i="2"/>
  <c r="T1177" i="2"/>
  <c r="V1248" i="2"/>
  <c r="T1249" i="2"/>
  <c r="V1320" i="2"/>
  <c r="T1321" i="2"/>
  <c r="V1392" i="2"/>
  <c r="T1393" i="2"/>
  <c r="T1465" i="2"/>
  <c r="T1537" i="2"/>
  <c r="V1608" i="2"/>
  <c r="T1609" i="2"/>
  <c r="V1680" i="2"/>
  <c r="T1681" i="2"/>
  <c r="V1752" i="2"/>
  <c r="T1753" i="2"/>
  <c r="T1825" i="2"/>
  <c r="T1897" i="2"/>
  <c r="V1968" i="2"/>
  <c r="T1969" i="2"/>
  <c r="V2040" i="2"/>
  <c r="T2041" i="2"/>
  <c r="V2112" i="2"/>
  <c r="T2113" i="2"/>
  <c r="T2185" i="2"/>
  <c r="T2257" i="2"/>
  <c r="V2328" i="2"/>
  <c r="T2329" i="2"/>
  <c r="V2400" i="2"/>
  <c r="T2401" i="2"/>
  <c r="V2472" i="2"/>
  <c r="T2473" i="2"/>
  <c r="T2545" i="2"/>
  <c r="V2616" i="2"/>
  <c r="T2617" i="2"/>
  <c r="V2688" i="2"/>
  <c r="T2689" i="2"/>
  <c r="V2760" i="2"/>
  <c r="T2761" i="2"/>
  <c r="V2832" i="2"/>
  <c r="T2833" i="2"/>
  <c r="T2905" i="2"/>
  <c r="T2977" i="2"/>
  <c r="T3049" i="2"/>
  <c r="T3121" i="2"/>
  <c r="T3193" i="2"/>
  <c r="V3264" i="2"/>
  <c r="T3265" i="2"/>
  <c r="V3336" i="2"/>
  <c r="T3337" i="2"/>
  <c r="U1464" i="2"/>
  <c r="V1464" i="2" s="1"/>
  <c r="V1463" i="2"/>
  <c r="U2475" i="2"/>
  <c r="R1465" i="2"/>
  <c r="U1824" i="2"/>
  <c r="R1825" i="2"/>
  <c r="S1824" i="2"/>
  <c r="S1825" i="2" s="1"/>
  <c r="R2257" i="2"/>
  <c r="S2256" i="2"/>
  <c r="U2256" i="2"/>
  <c r="V2256" i="2" s="1"/>
  <c r="R3121" i="2"/>
  <c r="S3120" i="2"/>
  <c r="U3120" i="2"/>
  <c r="V3120" i="2" s="1"/>
  <c r="R962" i="2"/>
  <c r="S961" i="2"/>
  <c r="U961" i="2"/>
  <c r="R2185" i="2"/>
  <c r="R2905" i="2"/>
  <c r="S1536" i="2"/>
  <c r="R1537" i="2"/>
  <c r="U1536" i="2"/>
  <c r="V1536" i="2" s="1"/>
  <c r="R1897" i="2"/>
  <c r="R2545" i="2"/>
  <c r="R3193" i="2"/>
  <c r="S2689" i="2"/>
  <c r="R2690" i="2"/>
  <c r="U2689" i="2"/>
  <c r="R3481" i="2"/>
  <c r="R3985" i="2"/>
  <c r="R2042" i="2"/>
  <c r="U2041" i="2"/>
  <c r="S2041" i="2"/>
  <c r="R2331" i="2"/>
  <c r="S2330" i="2"/>
  <c r="U2330" i="2"/>
  <c r="R2762" i="2"/>
  <c r="S2761" i="2"/>
  <c r="U2761" i="2"/>
  <c r="R1754" i="2"/>
  <c r="S1753" i="2"/>
  <c r="U1753" i="2"/>
  <c r="R3049" i="2"/>
  <c r="R4057" i="2"/>
  <c r="S4056" i="2"/>
  <c r="S4057" i="2" s="1"/>
  <c r="S4058" i="2" s="1"/>
  <c r="S4059" i="2" s="1"/>
  <c r="S4060" i="2" s="1"/>
  <c r="U4056" i="2"/>
  <c r="R4201" i="2"/>
  <c r="R3554" i="2"/>
  <c r="R3914" i="2"/>
  <c r="R1971" i="2"/>
  <c r="S1970" i="2"/>
  <c r="U1970" i="2"/>
  <c r="R2114" i="2"/>
  <c r="R674" i="2"/>
  <c r="S673" i="2"/>
  <c r="U673" i="2"/>
  <c r="R4129" i="2"/>
  <c r="R3338" i="2"/>
  <c r="R3625" i="2"/>
  <c r="R3769" i="2"/>
  <c r="R2476" i="2"/>
  <c r="S2475" i="2"/>
  <c r="R4273" i="2"/>
  <c r="R2977" i="2"/>
  <c r="R3697" i="2"/>
  <c r="R3841" i="2"/>
  <c r="R2838" i="2"/>
  <c r="R2620" i="2"/>
  <c r="S2619" i="2"/>
  <c r="U2619" i="2"/>
  <c r="R2404" i="2"/>
  <c r="S2403" i="2"/>
  <c r="U2403" i="2"/>
  <c r="R1613" i="2"/>
  <c r="R1687" i="2"/>
  <c r="U1686" i="2"/>
  <c r="S1686" i="2"/>
  <c r="S1178" i="2"/>
  <c r="U1178" i="2"/>
  <c r="R1179" i="2"/>
  <c r="R3266" i="2"/>
  <c r="R3409" i="2"/>
  <c r="U313" i="2"/>
  <c r="R458" i="2"/>
  <c r="U890" i="2"/>
  <c r="U98" i="2"/>
  <c r="U171" i="2"/>
  <c r="U818" i="2"/>
  <c r="U1108" i="2"/>
  <c r="U1251" i="2"/>
  <c r="U386" i="2"/>
  <c r="U1322" i="2"/>
  <c r="U745" i="2"/>
  <c r="U1393" i="2"/>
  <c r="U27" i="2"/>
  <c r="S1034" i="2"/>
  <c r="R1035" i="2"/>
  <c r="U1034" i="2"/>
  <c r="R819" i="2"/>
  <c r="S818" i="2"/>
  <c r="R1109" i="2"/>
  <c r="S1108" i="2"/>
  <c r="R1252" i="2"/>
  <c r="S1251" i="2"/>
  <c r="R1323" i="2"/>
  <c r="S1322" i="2"/>
  <c r="R387" i="2"/>
  <c r="S386" i="2"/>
  <c r="S313" i="2"/>
  <c r="R314" i="2"/>
  <c r="S745" i="2"/>
  <c r="R746" i="2"/>
  <c r="S890" i="2"/>
  <c r="R891" i="2"/>
  <c r="S1393" i="2"/>
  <c r="R1394" i="2"/>
  <c r="S27" i="2"/>
  <c r="R28" i="2"/>
  <c r="S98" i="2"/>
  <c r="R99" i="2"/>
  <c r="S171" i="2"/>
  <c r="R172" i="2"/>
  <c r="U244" i="2" l="1"/>
  <c r="S244" i="2"/>
  <c r="U245" i="2" s="1"/>
  <c r="R245" i="2"/>
  <c r="U4129" i="2"/>
  <c r="V4128" i="2"/>
  <c r="U3841" i="2"/>
  <c r="V3840" i="2"/>
  <c r="U4201" i="2"/>
  <c r="V4201" i="2" s="1"/>
  <c r="V4200" i="2"/>
  <c r="U4273" i="2"/>
  <c r="V4272" i="2"/>
  <c r="U3049" i="2"/>
  <c r="V3048" i="2"/>
  <c r="U3697" i="2"/>
  <c r="V3696" i="2"/>
  <c r="U2905" i="2"/>
  <c r="V2905" i="2" s="1"/>
  <c r="V2904" i="2"/>
  <c r="U2977" i="2"/>
  <c r="V2976" i="2"/>
  <c r="U3193" i="2"/>
  <c r="V3192" i="2"/>
  <c r="U1897" i="2"/>
  <c r="V1896" i="2"/>
  <c r="R530" i="2"/>
  <c r="S529" i="2"/>
  <c r="U529" i="2"/>
  <c r="V529" i="2" s="1"/>
  <c r="R602" i="2"/>
  <c r="S601" i="2"/>
  <c r="U601" i="2"/>
  <c r="V601" i="2" s="1"/>
  <c r="S458" i="2"/>
  <c r="R459" i="2"/>
  <c r="U1825" i="2"/>
  <c r="V1825" i="2" s="1"/>
  <c r="V1824" i="2"/>
  <c r="V25" i="2"/>
  <c r="T26" i="2"/>
  <c r="V97" i="2"/>
  <c r="T98" i="2"/>
  <c r="V169" i="2"/>
  <c r="T170" i="2"/>
  <c r="V241" i="2"/>
  <c r="T242" i="2"/>
  <c r="V313" i="2"/>
  <c r="T314" i="2"/>
  <c r="V385" i="2"/>
  <c r="T386" i="2"/>
  <c r="V457" i="2"/>
  <c r="T458" i="2"/>
  <c r="T530" i="2"/>
  <c r="T602" i="2"/>
  <c r="V3409" i="2"/>
  <c r="T3410" i="2"/>
  <c r="T3482" i="2"/>
  <c r="V3553" i="2"/>
  <c r="T3554" i="2"/>
  <c r="V3625" i="2"/>
  <c r="T3626" i="2"/>
  <c r="T3698" i="2"/>
  <c r="V3769" i="2"/>
  <c r="T3770" i="2"/>
  <c r="T3842" i="2"/>
  <c r="V3913" i="2"/>
  <c r="T3914" i="2"/>
  <c r="V3985" i="2"/>
  <c r="T3986" i="2"/>
  <c r="T4058" i="2"/>
  <c r="T4130" i="2"/>
  <c r="T4202" i="2"/>
  <c r="T4274" i="2"/>
  <c r="V673" i="2"/>
  <c r="T674" i="2"/>
  <c r="V745" i="2"/>
  <c r="T746" i="2"/>
  <c r="V817" i="2"/>
  <c r="T818" i="2"/>
  <c r="V889" i="2"/>
  <c r="T890" i="2"/>
  <c r="V961" i="2"/>
  <c r="T962" i="2"/>
  <c r="V1033" i="2"/>
  <c r="T1034" i="2"/>
  <c r="V1105" i="2"/>
  <c r="T1106" i="2"/>
  <c r="V1177" i="2"/>
  <c r="T1178" i="2"/>
  <c r="V1249" i="2"/>
  <c r="T1250" i="2"/>
  <c r="V1321" i="2"/>
  <c r="T1322" i="2"/>
  <c r="V1393" i="2"/>
  <c r="T1394" i="2"/>
  <c r="T1466" i="2"/>
  <c r="T1538" i="2"/>
  <c r="V1609" i="2"/>
  <c r="T1610" i="2"/>
  <c r="V1681" i="2"/>
  <c r="T1682" i="2"/>
  <c r="V1753" i="2"/>
  <c r="T1754" i="2"/>
  <c r="T1826" i="2"/>
  <c r="T1898" i="2"/>
  <c r="V1969" i="2"/>
  <c r="T1970" i="2"/>
  <c r="V2041" i="2"/>
  <c r="T2042" i="2"/>
  <c r="V2113" i="2"/>
  <c r="T2114" i="2"/>
  <c r="T2186" i="2"/>
  <c r="T2258" i="2"/>
  <c r="V2329" i="2"/>
  <c r="T2330" i="2"/>
  <c r="V2401" i="2"/>
  <c r="T2402" i="2"/>
  <c r="V2473" i="2"/>
  <c r="T2474" i="2"/>
  <c r="T2546" i="2"/>
  <c r="V2617" i="2"/>
  <c r="T2618" i="2"/>
  <c r="V2689" i="2"/>
  <c r="T2690" i="2"/>
  <c r="V2761" i="2"/>
  <c r="T2762" i="2"/>
  <c r="V2833" i="2"/>
  <c r="T2834" i="2"/>
  <c r="T2906" i="2"/>
  <c r="T2978" i="2"/>
  <c r="T3050" i="2"/>
  <c r="T3122" i="2"/>
  <c r="T3194" i="2"/>
  <c r="V3265" i="2"/>
  <c r="T3266" i="2"/>
  <c r="V3337" i="2"/>
  <c r="T3338" i="2"/>
  <c r="U4057" i="2"/>
  <c r="V4056" i="2"/>
  <c r="U1465" i="2"/>
  <c r="R1466" i="2"/>
  <c r="S1465" i="2"/>
  <c r="S1466" i="2" s="1"/>
  <c r="S1467" i="2" s="1"/>
  <c r="R1826" i="2"/>
  <c r="S2257" i="2"/>
  <c r="U2257" i="2"/>
  <c r="V2257" i="2" s="1"/>
  <c r="R2258" i="2"/>
  <c r="R3122" i="2"/>
  <c r="S3121" i="2"/>
  <c r="S3122" i="2" s="1"/>
  <c r="S3123" i="2" s="1"/>
  <c r="U3121" i="2"/>
  <c r="R963" i="2"/>
  <c r="S962" i="2"/>
  <c r="U962" i="2"/>
  <c r="S2185" i="2"/>
  <c r="U2185" i="2"/>
  <c r="V2185" i="2" s="1"/>
  <c r="R2186" i="2"/>
  <c r="R2906" i="2"/>
  <c r="S1537" i="2"/>
  <c r="S1538" i="2" s="1"/>
  <c r="R1538" i="2"/>
  <c r="U1537" i="2"/>
  <c r="R1898" i="2"/>
  <c r="S2545" i="2"/>
  <c r="R2546" i="2"/>
  <c r="U2545" i="2"/>
  <c r="V2545" i="2" s="1"/>
  <c r="R3194" i="2"/>
  <c r="S2690" i="2"/>
  <c r="S2691" i="2" s="1"/>
  <c r="R2691" i="2"/>
  <c r="U2690" i="2"/>
  <c r="U2691" i="2" s="1"/>
  <c r="R3482" i="2"/>
  <c r="S3481" i="2"/>
  <c r="S3482" i="2" s="1"/>
  <c r="S3483" i="2" s="1"/>
  <c r="U3481" i="2"/>
  <c r="R3986" i="2"/>
  <c r="U2042" i="2"/>
  <c r="S2042" i="2"/>
  <c r="R2043" i="2"/>
  <c r="R2332" i="2"/>
  <c r="S2331" i="2"/>
  <c r="U2331" i="2"/>
  <c r="R2763" i="2"/>
  <c r="S2762" i="2"/>
  <c r="U2762" i="2"/>
  <c r="R1755" i="2"/>
  <c r="S1754" i="2"/>
  <c r="U1754" i="2"/>
  <c r="R3050" i="2"/>
  <c r="R4058" i="2"/>
  <c r="R4202" i="2"/>
  <c r="R3555" i="2"/>
  <c r="R3915" i="2"/>
  <c r="R1972" i="2"/>
  <c r="S1971" i="2"/>
  <c r="S1972" i="2" s="1"/>
  <c r="S1973" i="2" s="1"/>
  <c r="U1971" i="2"/>
  <c r="U1972" i="2" s="1"/>
  <c r="U1973" i="2" s="1"/>
  <c r="R2115" i="2"/>
  <c r="R675" i="2"/>
  <c r="U674" i="2"/>
  <c r="S674" i="2"/>
  <c r="R4130" i="2"/>
  <c r="R3339" i="2"/>
  <c r="R3626" i="2"/>
  <c r="R3770" i="2"/>
  <c r="U2476" i="2"/>
  <c r="R2477" i="2"/>
  <c r="S2476" i="2"/>
  <c r="R4274" i="2"/>
  <c r="R2978" i="2"/>
  <c r="R3698" i="2"/>
  <c r="R3842" i="2"/>
  <c r="R2839" i="2"/>
  <c r="R2621" i="2"/>
  <c r="S2620" i="2"/>
  <c r="U2620" i="2"/>
  <c r="R2405" i="2"/>
  <c r="U2404" i="2"/>
  <c r="S2404" i="2"/>
  <c r="R1614" i="2"/>
  <c r="S1613" i="2"/>
  <c r="U1613" i="2"/>
  <c r="R1688" i="2"/>
  <c r="S1687" i="2"/>
  <c r="S1688" i="2" s="1"/>
  <c r="U1687" i="2"/>
  <c r="U1688" i="2" s="1"/>
  <c r="R1180" i="2"/>
  <c r="S1179" i="2"/>
  <c r="U1179" i="2"/>
  <c r="R3267" i="2"/>
  <c r="R3410" i="2"/>
  <c r="U458" i="2"/>
  <c r="U314" i="2"/>
  <c r="U315" i="2" s="1"/>
  <c r="U891" i="2"/>
  <c r="U99" i="2"/>
  <c r="U172" i="2"/>
  <c r="U819" i="2"/>
  <c r="U1109" i="2"/>
  <c r="U1252" i="2"/>
  <c r="U1253" i="2" s="1"/>
  <c r="U1323" i="2"/>
  <c r="U387" i="2"/>
  <c r="U746" i="2"/>
  <c r="U1394" i="2"/>
  <c r="U28" i="2"/>
  <c r="S1035" i="2"/>
  <c r="R1036" i="2"/>
  <c r="U1035" i="2"/>
  <c r="S819" i="2"/>
  <c r="R820" i="2"/>
  <c r="R1110" i="2"/>
  <c r="S1109" i="2"/>
  <c r="R1253" i="2"/>
  <c r="S1252" i="2"/>
  <c r="S1253" i="2" s="1"/>
  <c r="R1324" i="2"/>
  <c r="S1323" i="2"/>
  <c r="R388" i="2"/>
  <c r="S387" i="2"/>
  <c r="S314" i="2"/>
  <c r="S315" i="2" s="1"/>
  <c r="R315" i="2"/>
  <c r="S746" i="2"/>
  <c r="R747" i="2"/>
  <c r="S891" i="2"/>
  <c r="R892" i="2"/>
  <c r="S1394" i="2"/>
  <c r="R1395" i="2"/>
  <c r="R29" i="2"/>
  <c r="S28" i="2"/>
  <c r="S99" i="2"/>
  <c r="R100" i="2"/>
  <c r="S172" i="2"/>
  <c r="R173" i="2"/>
  <c r="S245" i="2" l="1"/>
  <c r="R246" i="2"/>
  <c r="S459" i="2"/>
  <c r="R460" i="2"/>
  <c r="U4130" i="2"/>
  <c r="V4129" i="2"/>
  <c r="U3050" i="2"/>
  <c r="V3050" i="2" s="1"/>
  <c r="V3049" i="2"/>
  <c r="U3842" i="2"/>
  <c r="V3841" i="2"/>
  <c r="U1898" i="2"/>
  <c r="V1898" i="2" s="1"/>
  <c r="V1897" i="2"/>
  <c r="U4274" i="2"/>
  <c r="V4273" i="2"/>
  <c r="U3698" i="2"/>
  <c r="V3698" i="2" s="1"/>
  <c r="V3697" i="2"/>
  <c r="U2978" i="2"/>
  <c r="V2977" i="2"/>
  <c r="U3194" i="2"/>
  <c r="V3193" i="2"/>
  <c r="U459" i="2"/>
  <c r="R531" i="2"/>
  <c r="S530" i="2"/>
  <c r="U530" i="2"/>
  <c r="V530" i="2" s="1"/>
  <c r="R603" i="2"/>
  <c r="S602" i="2"/>
  <c r="U602" i="2"/>
  <c r="V602" i="2" s="1"/>
  <c r="U1538" i="2"/>
  <c r="V1538" i="2" s="1"/>
  <c r="V1537" i="2"/>
  <c r="U4058" i="2"/>
  <c r="V4057" i="2"/>
  <c r="V26" i="2"/>
  <c r="T27" i="2"/>
  <c r="V98" i="2"/>
  <c r="T99" i="2"/>
  <c r="V170" i="2"/>
  <c r="T171" i="2"/>
  <c r="V242" i="2"/>
  <c r="T243" i="2"/>
  <c r="V314" i="2"/>
  <c r="T315" i="2"/>
  <c r="V386" i="2"/>
  <c r="T387" i="2"/>
  <c r="V458" i="2"/>
  <c r="T459" i="2"/>
  <c r="T531" i="2"/>
  <c r="T603" i="2"/>
  <c r="V3410" i="2"/>
  <c r="T3411" i="2"/>
  <c r="T3483" i="2"/>
  <c r="V3554" i="2"/>
  <c r="T3555" i="2"/>
  <c r="V3626" i="2"/>
  <c r="T3627" i="2"/>
  <c r="T3699" i="2"/>
  <c r="T3771" i="2"/>
  <c r="T3843" i="2"/>
  <c r="V3914" i="2"/>
  <c r="T3915" i="2"/>
  <c r="V3986" i="2"/>
  <c r="T3987" i="2"/>
  <c r="T4059" i="2"/>
  <c r="T4131" i="2"/>
  <c r="T4203" i="2"/>
  <c r="T4275" i="2"/>
  <c r="V674" i="2"/>
  <c r="T675" i="2"/>
  <c r="V746" i="2"/>
  <c r="T747" i="2"/>
  <c r="V818" i="2"/>
  <c r="T819" i="2"/>
  <c r="V890" i="2"/>
  <c r="T891" i="2"/>
  <c r="V962" i="2"/>
  <c r="T963" i="2"/>
  <c r="V1034" i="2"/>
  <c r="T1035" i="2"/>
  <c r="V1106" i="2"/>
  <c r="T1107" i="2"/>
  <c r="V1178" i="2"/>
  <c r="T1179" i="2"/>
  <c r="V1250" i="2"/>
  <c r="T1251" i="2"/>
  <c r="V1322" i="2"/>
  <c r="T1323" i="2"/>
  <c r="V1394" i="2"/>
  <c r="T1395" i="2"/>
  <c r="T1467" i="2"/>
  <c r="T1539" i="2"/>
  <c r="V1610" i="2"/>
  <c r="T1611" i="2"/>
  <c r="V1682" i="2"/>
  <c r="T1683" i="2"/>
  <c r="V1754" i="2"/>
  <c r="T1755" i="2"/>
  <c r="T1827" i="2"/>
  <c r="T1899" i="2"/>
  <c r="V1970" i="2"/>
  <c r="T1971" i="2"/>
  <c r="V2042" i="2"/>
  <c r="T2043" i="2"/>
  <c r="V2114" i="2"/>
  <c r="T2115" i="2"/>
  <c r="T2187" i="2"/>
  <c r="T2259" i="2"/>
  <c r="V2330" i="2"/>
  <c r="T2331" i="2"/>
  <c r="V2402" i="2"/>
  <c r="T2403" i="2"/>
  <c r="V2474" i="2"/>
  <c r="T2475" i="2"/>
  <c r="T2547" i="2"/>
  <c r="V2618" i="2"/>
  <c r="T2619" i="2"/>
  <c r="V2690" i="2"/>
  <c r="T2691" i="2"/>
  <c r="V2762" i="2"/>
  <c r="T2763" i="2"/>
  <c r="V2834" i="2"/>
  <c r="T2835" i="2"/>
  <c r="T2907" i="2"/>
  <c r="T2979" i="2"/>
  <c r="T3051" i="2"/>
  <c r="T3123" i="2"/>
  <c r="T3195" i="2"/>
  <c r="V3266" i="2"/>
  <c r="T3267" i="2"/>
  <c r="V3338" i="2"/>
  <c r="T3339" i="2"/>
  <c r="U1466" i="2"/>
  <c r="V1465" i="2"/>
  <c r="U3122" i="2"/>
  <c r="V3121" i="2"/>
  <c r="U3482" i="2"/>
  <c r="V3481" i="2"/>
  <c r="R1467" i="2"/>
  <c r="U1826" i="2"/>
  <c r="R1827" i="2"/>
  <c r="S1826" i="2"/>
  <c r="S1827" i="2" s="1"/>
  <c r="U2258" i="2"/>
  <c r="V2258" i="2" s="1"/>
  <c r="S2258" i="2"/>
  <c r="R2259" i="2"/>
  <c r="R3123" i="2"/>
  <c r="R964" i="2"/>
  <c r="S963" i="2"/>
  <c r="U963" i="2"/>
  <c r="S2186" i="2"/>
  <c r="R2187" i="2"/>
  <c r="U2186" i="2"/>
  <c r="V2186" i="2" s="1"/>
  <c r="R2907" i="2"/>
  <c r="S2906" i="2"/>
  <c r="U2906" i="2"/>
  <c r="V2906" i="2" s="1"/>
  <c r="R1539" i="2"/>
  <c r="R1899" i="2"/>
  <c r="S2546" i="2"/>
  <c r="U2546" i="2"/>
  <c r="V2546" i="2" s="1"/>
  <c r="R2547" i="2"/>
  <c r="R3195" i="2"/>
  <c r="R2692" i="2"/>
  <c r="R3483" i="2"/>
  <c r="R3987" i="2"/>
  <c r="U2043" i="2"/>
  <c r="U2044" i="2" s="1"/>
  <c r="U2045" i="2" s="1"/>
  <c r="U2046" i="2" s="1"/>
  <c r="U2047" i="2" s="1"/>
  <c r="S2043" i="2"/>
  <c r="S2044" i="2" s="1"/>
  <c r="S2045" i="2" s="1"/>
  <c r="S2046" i="2" s="1"/>
  <c r="S2047" i="2" s="1"/>
  <c r="R2044" i="2"/>
  <c r="R2333" i="2"/>
  <c r="S2332" i="2"/>
  <c r="S2333" i="2" s="1"/>
  <c r="S2334" i="2" s="1"/>
  <c r="U2332" i="2"/>
  <c r="U2333" i="2" s="1"/>
  <c r="U2334" i="2" s="1"/>
  <c r="R2764" i="2"/>
  <c r="S2763" i="2"/>
  <c r="U2763" i="2"/>
  <c r="U1755" i="2"/>
  <c r="S1755" i="2"/>
  <c r="R1756" i="2"/>
  <c r="R3051" i="2"/>
  <c r="R4059" i="2"/>
  <c r="R4203" i="2"/>
  <c r="S4202" i="2"/>
  <c r="S4203" i="2" s="1"/>
  <c r="U4202" i="2"/>
  <c r="R3556" i="2"/>
  <c r="S3555" i="2"/>
  <c r="U3555" i="2"/>
  <c r="R3916" i="2"/>
  <c r="R1973" i="2"/>
  <c r="U2115" i="2"/>
  <c r="U2116" i="2" s="1"/>
  <c r="U2117" i="2" s="1"/>
  <c r="S2115" i="2"/>
  <c r="S2116" i="2" s="1"/>
  <c r="S2117" i="2" s="1"/>
  <c r="R2116" i="2"/>
  <c r="S675" i="2"/>
  <c r="R676" i="2"/>
  <c r="U675" i="2"/>
  <c r="R4131" i="2"/>
  <c r="R3340" i="2"/>
  <c r="R3627" i="2"/>
  <c r="U3770" i="2"/>
  <c r="S3770" i="2"/>
  <c r="S3771" i="2" s="1"/>
  <c r="R3771" i="2"/>
  <c r="R2478" i="2"/>
  <c r="S2477" i="2"/>
  <c r="U2477" i="2"/>
  <c r="R4275" i="2"/>
  <c r="R2979" i="2"/>
  <c r="R3699" i="2"/>
  <c r="R3843" i="2"/>
  <c r="R2840" i="2"/>
  <c r="S2839" i="2"/>
  <c r="S2840" i="2" s="1"/>
  <c r="U2839" i="2"/>
  <c r="U2840" i="2" s="1"/>
  <c r="R2622" i="2"/>
  <c r="U2621" i="2"/>
  <c r="U2622" i="2" s="1"/>
  <c r="U2623" i="2" s="1"/>
  <c r="S2621" i="2"/>
  <c r="S2622" i="2" s="1"/>
  <c r="S2623" i="2" s="1"/>
  <c r="R2406" i="2"/>
  <c r="S2405" i="2"/>
  <c r="U2405" i="2"/>
  <c r="R1615" i="2"/>
  <c r="U1614" i="2"/>
  <c r="S1614" i="2"/>
  <c r="R1689" i="2"/>
  <c r="R1181" i="2"/>
  <c r="S1180" i="2"/>
  <c r="U1180" i="2"/>
  <c r="R3268" i="2"/>
  <c r="R3411" i="2"/>
  <c r="U820" i="2"/>
  <c r="R1254" i="2"/>
  <c r="U1254" i="2" s="1"/>
  <c r="U246" i="2"/>
  <c r="R316" i="2"/>
  <c r="U892" i="2"/>
  <c r="U100" i="2"/>
  <c r="U173" i="2"/>
  <c r="U174" i="2" s="1"/>
  <c r="U1110" i="2"/>
  <c r="U1324" i="2"/>
  <c r="U388" i="2"/>
  <c r="U747" i="2"/>
  <c r="U1395" i="2"/>
  <c r="U29" i="2"/>
  <c r="S1036" i="2"/>
  <c r="R1037" i="2"/>
  <c r="U1036" i="2"/>
  <c r="R821" i="2"/>
  <c r="S820" i="2"/>
  <c r="R1111" i="2"/>
  <c r="S1110" i="2"/>
  <c r="R1325" i="2"/>
  <c r="S1324" i="2"/>
  <c r="R389" i="2"/>
  <c r="S388" i="2"/>
  <c r="S246" i="2"/>
  <c r="R247" i="2"/>
  <c r="S747" i="2"/>
  <c r="R748" i="2"/>
  <c r="S892" i="2"/>
  <c r="R893" i="2"/>
  <c r="S1395" i="2"/>
  <c r="R1396" i="2"/>
  <c r="S29" i="2"/>
  <c r="R30" i="2"/>
  <c r="S100" i="2"/>
  <c r="R101" i="2"/>
  <c r="S173" i="2"/>
  <c r="S174" i="2" s="1"/>
  <c r="R174" i="2"/>
  <c r="U460" i="2" l="1"/>
  <c r="S460" i="2"/>
  <c r="R461" i="2"/>
  <c r="U4131" i="2"/>
  <c r="V4130" i="2"/>
  <c r="U3843" i="2"/>
  <c r="V3842" i="2"/>
  <c r="U4275" i="2"/>
  <c r="V4274" i="2"/>
  <c r="U2979" i="2"/>
  <c r="V2978" i="2"/>
  <c r="U3195" i="2"/>
  <c r="V3194" i="2"/>
  <c r="R532" i="2"/>
  <c r="S531" i="2"/>
  <c r="U531" i="2"/>
  <c r="V531" i="2" s="1"/>
  <c r="R604" i="2"/>
  <c r="S603" i="2"/>
  <c r="U603" i="2"/>
  <c r="V603" i="2" s="1"/>
  <c r="U4059" i="2"/>
  <c r="V4058" i="2"/>
  <c r="U1467" i="2"/>
  <c r="V1467" i="2" s="1"/>
  <c r="V1466" i="2"/>
  <c r="U3123" i="2"/>
  <c r="V3123" i="2" s="1"/>
  <c r="V3122" i="2"/>
  <c r="U3483" i="2"/>
  <c r="V3483" i="2" s="1"/>
  <c r="V3482" i="2"/>
  <c r="U4203" i="2"/>
  <c r="V4203" i="2" s="1"/>
  <c r="V4202" i="2"/>
  <c r="V27" i="2"/>
  <c r="T28" i="2"/>
  <c r="V99" i="2"/>
  <c r="T100" i="2"/>
  <c r="V171" i="2"/>
  <c r="T172" i="2"/>
  <c r="V243" i="2"/>
  <c r="T244" i="2"/>
  <c r="V315" i="2"/>
  <c r="T316" i="2"/>
  <c r="V387" i="2"/>
  <c r="T388" i="2"/>
  <c r="V459" i="2"/>
  <c r="T460" i="2"/>
  <c r="T532" i="2"/>
  <c r="T604" i="2"/>
  <c r="T3412" i="2"/>
  <c r="T3484" i="2"/>
  <c r="V3555" i="2"/>
  <c r="T3556" i="2"/>
  <c r="V3627" i="2"/>
  <c r="T3628" i="2"/>
  <c r="T3700" i="2"/>
  <c r="T3772" i="2"/>
  <c r="T3844" i="2"/>
  <c r="V3915" i="2"/>
  <c r="T3916" i="2"/>
  <c r="V3987" i="2"/>
  <c r="T3988" i="2"/>
  <c r="T4060" i="2"/>
  <c r="T4132" i="2"/>
  <c r="T4204" i="2"/>
  <c r="T4276" i="2"/>
  <c r="V675" i="2"/>
  <c r="T676" i="2"/>
  <c r="V747" i="2"/>
  <c r="T748" i="2"/>
  <c r="V819" i="2"/>
  <c r="T820" i="2"/>
  <c r="V891" i="2"/>
  <c r="T892" i="2"/>
  <c r="V963" i="2"/>
  <c r="T964" i="2"/>
  <c r="V1035" i="2"/>
  <c r="T1036" i="2"/>
  <c r="V1107" i="2"/>
  <c r="T1108" i="2"/>
  <c r="V1179" i="2"/>
  <c r="T1180" i="2"/>
  <c r="V1251" i="2"/>
  <c r="T1252" i="2"/>
  <c r="V1323" i="2"/>
  <c r="T1324" i="2"/>
  <c r="V1395" i="2"/>
  <c r="T1396" i="2"/>
  <c r="T1468" i="2"/>
  <c r="T1540" i="2"/>
  <c r="V1611" i="2"/>
  <c r="T1612" i="2"/>
  <c r="V1683" i="2"/>
  <c r="T1684" i="2"/>
  <c r="V1755" i="2"/>
  <c r="T1756" i="2"/>
  <c r="T1828" i="2"/>
  <c r="T1900" i="2"/>
  <c r="V1971" i="2"/>
  <c r="T1972" i="2"/>
  <c r="V2043" i="2"/>
  <c r="T2044" i="2"/>
  <c r="V2115" i="2"/>
  <c r="T2116" i="2"/>
  <c r="T2188" i="2"/>
  <c r="T2260" i="2"/>
  <c r="V2331" i="2"/>
  <c r="T2332" i="2"/>
  <c r="V2403" i="2"/>
  <c r="T2404" i="2"/>
  <c r="V2475" i="2"/>
  <c r="T2476" i="2"/>
  <c r="T2548" i="2"/>
  <c r="V2619" i="2"/>
  <c r="T2620" i="2"/>
  <c r="V2691" i="2"/>
  <c r="T2692" i="2"/>
  <c r="V2763" i="2"/>
  <c r="T2764" i="2"/>
  <c r="V2835" i="2"/>
  <c r="T2836" i="2"/>
  <c r="T2908" i="2"/>
  <c r="T2980" i="2"/>
  <c r="T3052" i="2"/>
  <c r="T3124" i="2"/>
  <c r="T3196" i="2"/>
  <c r="V3267" i="2"/>
  <c r="T3268" i="2"/>
  <c r="V3339" i="2"/>
  <c r="T3340" i="2"/>
  <c r="U1827" i="2"/>
  <c r="V1827" i="2" s="1"/>
  <c r="V1826" i="2"/>
  <c r="U3771" i="2"/>
  <c r="V3771" i="2" s="1"/>
  <c r="V3770" i="2"/>
  <c r="R1468" i="2"/>
  <c r="R1828" i="2"/>
  <c r="S2259" i="2"/>
  <c r="R2260" i="2"/>
  <c r="U2259" i="2"/>
  <c r="V2259" i="2" s="1"/>
  <c r="R3124" i="2"/>
  <c r="R965" i="2"/>
  <c r="U964" i="2"/>
  <c r="S964" i="2"/>
  <c r="U2187" i="2"/>
  <c r="S2187" i="2"/>
  <c r="S2188" i="2" s="1"/>
  <c r="S2189" i="2" s="1"/>
  <c r="S2190" i="2" s="1"/>
  <c r="R2188" i="2"/>
  <c r="R2908" i="2"/>
  <c r="S2907" i="2"/>
  <c r="S2908" i="2" s="1"/>
  <c r="S2909" i="2" s="1"/>
  <c r="S2910" i="2" s="1"/>
  <c r="S2911" i="2" s="1"/>
  <c r="S2912" i="2" s="1"/>
  <c r="S2913" i="2" s="1"/>
  <c r="S2914" i="2" s="1"/>
  <c r="S2915" i="2" s="1"/>
  <c r="U2907" i="2"/>
  <c r="S1539" i="2"/>
  <c r="U1539" i="2"/>
  <c r="V1539" i="2" s="1"/>
  <c r="R1540" i="2"/>
  <c r="U1899" i="2"/>
  <c r="R1900" i="2"/>
  <c r="S1899" i="2"/>
  <c r="S1900" i="2" s="1"/>
  <c r="S1901" i="2" s="1"/>
  <c r="R2548" i="2"/>
  <c r="U2547" i="2"/>
  <c r="V2547" i="2" s="1"/>
  <c r="S2547" i="2"/>
  <c r="R3196" i="2"/>
  <c r="U2692" i="2"/>
  <c r="U2693" i="2" s="1"/>
  <c r="R2693" i="2"/>
  <c r="S2692" i="2"/>
  <c r="S2693" i="2" s="1"/>
  <c r="R3484" i="2"/>
  <c r="R3988" i="2"/>
  <c r="R2045" i="2"/>
  <c r="R2334" i="2"/>
  <c r="R2765" i="2"/>
  <c r="S2764" i="2"/>
  <c r="S2765" i="2" s="1"/>
  <c r="S2766" i="2" s="1"/>
  <c r="S2767" i="2" s="1"/>
  <c r="U2764" i="2"/>
  <c r="U2765" i="2" s="1"/>
  <c r="U2766" i="2" s="1"/>
  <c r="U2767" i="2" s="1"/>
  <c r="R1757" i="2"/>
  <c r="S1756" i="2"/>
  <c r="S1757" i="2" s="1"/>
  <c r="S1758" i="2" s="1"/>
  <c r="S1759" i="2" s="1"/>
  <c r="U1756" i="2"/>
  <c r="U1757" i="2" s="1"/>
  <c r="U1758" i="2" s="1"/>
  <c r="U1759" i="2" s="1"/>
  <c r="R3052" i="2"/>
  <c r="S3051" i="2"/>
  <c r="S3052" i="2" s="1"/>
  <c r="S3053" i="2" s="1"/>
  <c r="S3054" i="2" s="1"/>
  <c r="S3055" i="2" s="1"/>
  <c r="S3056" i="2" s="1"/>
  <c r="S3057" i="2" s="1"/>
  <c r="S3058" i="2" s="1"/>
  <c r="S3059" i="2" s="1"/>
  <c r="U3051" i="2"/>
  <c r="R4060" i="2"/>
  <c r="R4204" i="2"/>
  <c r="R3557" i="2"/>
  <c r="S3556" i="2"/>
  <c r="S3557" i="2" s="1"/>
  <c r="S3558" i="2" s="1"/>
  <c r="S3559" i="2" s="1"/>
  <c r="S3560" i="2" s="1"/>
  <c r="U3556" i="2"/>
  <c r="U3557" i="2" s="1"/>
  <c r="U3558" i="2" s="1"/>
  <c r="U3559" i="2" s="1"/>
  <c r="U3560" i="2" s="1"/>
  <c r="R3917" i="2"/>
  <c r="R1974" i="2"/>
  <c r="R2117" i="2"/>
  <c r="R677" i="2"/>
  <c r="S676" i="2"/>
  <c r="U676" i="2"/>
  <c r="R4132" i="2"/>
  <c r="R3341" i="2"/>
  <c r="R3628" i="2"/>
  <c r="R3772" i="2"/>
  <c r="R2479" i="2"/>
  <c r="S2478" i="2"/>
  <c r="U2478" i="2"/>
  <c r="R4276" i="2"/>
  <c r="R2980" i="2"/>
  <c r="U3699" i="2"/>
  <c r="R3700" i="2"/>
  <c r="S3699" i="2"/>
  <c r="S3700" i="2" s="1"/>
  <c r="S3701" i="2" s="1"/>
  <c r="R3844" i="2"/>
  <c r="R2841" i="2"/>
  <c r="R2623" i="2"/>
  <c r="R2407" i="2"/>
  <c r="S2406" i="2"/>
  <c r="S2407" i="2" s="1"/>
  <c r="U2406" i="2"/>
  <c r="U2407" i="2" s="1"/>
  <c r="R1616" i="2"/>
  <c r="S1615" i="2"/>
  <c r="U1615" i="2"/>
  <c r="U1689" i="2"/>
  <c r="R1690" i="2"/>
  <c r="S1689" i="2"/>
  <c r="R1182" i="2"/>
  <c r="S1181" i="2"/>
  <c r="U1181" i="2"/>
  <c r="R3269" i="2"/>
  <c r="U3411" i="2"/>
  <c r="V3411" i="2" s="1"/>
  <c r="S3411" i="2"/>
  <c r="R3412" i="2"/>
  <c r="S1254" i="2"/>
  <c r="R1255" i="2"/>
  <c r="S316" i="2"/>
  <c r="R317" i="2"/>
  <c r="U316" i="2"/>
  <c r="U247" i="2"/>
  <c r="U893" i="2"/>
  <c r="U101" i="2"/>
  <c r="U102" i="2" s="1"/>
  <c r="U103" i="2" s="1"/>
  <c r="R175" i="2"/>
  <c r="U821" i="2"/>
  <c r="U1111" i="2"/>
  <c r="U1325" i="2"/>
  <c r="U389" i="2"/>
  <c r="U748" i="2"/>
  <c r="U1396" i="2"/>
  <c r="U30" i="2"/>
  <c r="S1037" i="2"/>
  <c r="R1038" i="2"/>
  <c r="U1037" i="2"/>
  <c r="R822" i="2"/>
  <c r="S821" i="2"/>
  <c r="R1112" i="2"/>
  <c r="S1111" i="2"/>
  <c r="R1326" i="2"/>
  <c r="S1325" i="2"/>
  <c r="R390" i="2"/>
  <c r="S389" i="2"/>
  <c r="S247" i="2"/>
  <c r="R248" i="2"/>
  <c r="S748" i="2"/>
  <c r="R749" i="2"/>
  <c r="S893" i="2"/>
  <c r="R894" i="2"/>
  <c r="S1396" i="2"/>
  <c r="R1397" i="2"/>
  <c r="S30" i="2"/>
  <c r="R31" i="2"/>
  <c r="S101" i="2"/>
  <c r="S102" i="2" s="1"/>
  <c r="S103" i="2" s="1"/>
  <c r="R102" i="2"/>
  <c r="U461" i="2" l="1"/>
  <c r="S461" i="2"/>
  <c r="R462" i="2"/>
  <c r="U4132" i="2"/>
  <c r="V4131" i="2"/>
  <c r="U3844" i="2"/>
  <c r="V3843" i="2"/>
  <c r="U4276" i="2"/>
  <c r="V4275" i="2"/>
  <c r="U2980" i="2"/>
  <c r="V2979" i="2"/>
  <c r="U3196" i="2"/>
  <c r="V3195" i="2"/>
  <c r="U3052" i="2"/>
  <c r="V3051" i="2"/>
  <c r="U4060" i="2"/>
  <c r="V4060" i="2" s="1"/>
  <c r="V4059" i="2"/>
  <c r="R533" i="2"/>
  <c r="S532" i="2"/>
  <c r="U532" i="2"/>
  <c r="V532" i="2" s="1"/>
  <c r="R605" i="2"/>
  <c r="S604" i="2"/>
  <c r="U604" i="2"/>
  <c r="V604" i="2" s="1"/>
  <c r="U3700" i="2"/>
  <c r="V3699" i="2"/>
  <c r="U1900" i="2"/>
  <c r="V1899" i="2"/>
  <c r="V28" i="2"/>
  <c r="T29" i="2"/>
  <c r="V100" i="2"/>
  <c r="T101" i="2"/>
  <c r="V172" i="2"/>
  <c r="T173" i="2"/>
  <c r="V244" i="2"/>
  <c r="T245" i="2"/>
  <c r="V316" i="2"/>
  <c r="T317" i="2"/>
  <c r="V388" i="2"/>
  <c r="T389" i="2"/>
  <c r="V460" i="2"/>
  <c r="T461" i="2"/>
  <c r="T533" i="2"/>
  <c r="T605" i="2"/>
  <c r="T3413" i="2"/>
  <c r="T3485" i="2"/>
  <c r="V3556" i="2"/>
  <c r="T3557" i="2"/>
  <c r="T3629" i="2"/>
  <c r="T3701" i="2"/>
  <c r="T3773" i="2"/>
  <c r="T3845" i="2"/>
  <c r="V3916" i="2"/>
  <c r="T3917" i="2"/>
  <c r="V3988" i="2"/>
  <c r="T3989" i="2"/>
  <c r="T4061" i="2"/>
  <c r="T4133" i="2"/>
  <c r="T4205" i="2"/>
  <c r="T4277" i="2"/>
  <c r="V676" i="2"/>
  <c r="T677" i="2"/>
  <c r="V748" i="2"/>
  <c r="T749" i="2"/>
  <c r="V820" i="2"/>
  <c r="T821" i="2"/>
  <c r="V892" i="2"/>
  <c r="T893" i="2"/>
  <c r="V964" i="2"/>
  <c r="T965" i="2"/>
  <c r="V1036" i="2"/>
  <c r="T1037" i="2"/>
  <c r="V1108" i="2"/>
  <c r="T1109" i="2"/>
  <c r="V1180" i="2"/>
  <c r="T1181" i="2"/>
  <c r="V1252" i="2"/>
  <c r="T1253" i="2"/>
  <c r="V1324" i="2"/>
  <c r="T1325" i="2"/>
  <c r="V1396" i="2"/>
  <c r="T1397" i="2"/>
  <c r="T1469" i="2"/>
  <c r="T1541" i="2"/>
  <c r="V1612" i="2"/>
  <c r="T1613" i="2"/>
  <c r="V1684" i="2"/>
  <c r="T1685" i="2"/>
  <c r="V1756" i="2"/>
  <c r="T1757" i="2"/>
  <c r="T1829" i="2"/>
  <c r="T1901" i="2"/>
  <c r="V1972" i="2"/>
  <c r="T1973" i="2"/>
  <c r="V2044" i="2"/>
  <c r="T2045" i="2"/>
  <c r="V2116" i="2"/>
  <c r="T2117" i="2"/>
  <c r="T2189" i="2"/>
  <c r="T2261" i="2"/>
  <c r="V2332" i="2"/>
  <c r="T2333" i="2"/>
  <c r="V2404" i="2"/>
  <c r="T2405" i="2"/>
  <c r="V2476" i="2"/>
  <c r="T2477" i="2"/>
  <c r="T2549" i="2"/>
  <c r="V2620" i="2"/>
  <c r="T2621" i="2"/>
  <c r="V2692" i="2"/>
  <c r="T2693" i="2"/>
  <c r="V2764" i="2"/>
  <c r="T2765" i="2"/>
  <c r="V2836" i="2"/>
  <c r="T2837" i="2"/>
  <c r="T2909" i="2"/>
  <c r="T2981" i="2"/>
  <c r="T3053" i="2"/>
  <c r="T3125" i="2"/>
  <c r="T3197" i="2"/>
  <c r="V3268" i="2"/>
  <c r="T3269" i="2"/>
  <c r="V3340" i="2"/>
  <c r="T3341" i="2"/>
  <c r="U2188" i="2"/>
  <c r="V2187" i="2"/>
  <c r="U2908" i="2"/>
  <c r="V2907" i="2"/>
  <c r="U1255" i="2"/>
  <c r="U1256" i="2" s="1"/>
  <c r="R1256" i="2"/>
  <c r="R1257" i="2" s="1"/>
  <c r="S1255" i="2"/>
  <c r="S1256" i="2" s="1"/>
  <c r="S317" i="2"/>
  <c r="R318" i="2"/>
  <c r="U317" i="2"/>
  <c r="R1469" i="2"/>
  <c r="S1468" i="2"/>
  <c r="U1468" i="2"/>
  <c r="V1468" i="2" s="1"/>
  <c r="U1828" i="2"/>
  <c r="V1828" i="2" s="1"/>
  <c r="R1829" i="2"/>
  <c r="S1828" i="2"/>
  <c r="R2261" i="2"/>
  <c r="S2260" i="2"/>
  <c r="U2260" i="2"/>
  <c r="V2260" i="2" s="1"/>
  <c r="U3124" i="2"/>
  <c r="S3124" i="2"/>
  <c r="S3125" i="2" s="1"/>
  <c r="S3126" i="2" s="1"/>
  <c r="S3127" i="2" s="1"/>
  <c r="S3128" i="2" s="1"/>
  <c r="S3129" i="2" s="1"/>
  <c r="S3130" i="2" s="1"/>
  <c r="S3131" i="2" s="1"/>
  <c r="S3132" i="2" s="1"/>
  <c r="S3133" i="2" s="1"/>
  <c r="S3134" i="2" s="1"/>
  <c r="S3135" i="2" s="1"/>
  <c r="R3125" i="2"/>
  <c r="R966" i="2"/>
  <c r="S965" i="2"/>
  <c r="U965" i="2"/>
  <c r="R2189" i="2"/>
  <c r="R2909" i="2"/>
  <c r="S1540" i="2"/>
  <c r="S1541" i="2" s="1"/>
  <c r="U1540" i="2"/>
  <c r="R1541" i="2"/>
  <c r="R1901" i="2"/>
  <c r="U2548" i="2"/>
  <c r="V2548" i="2" s="1"/>
  <c r="S2548" i="2"/>
  <c r="R2549" i="2"/>
  <c r="R3197" i="2"/>
  <c r="R2694" i="2"/>
  <c r="S3484" i="2"/>
  <c r="S3485" i="2" s="1"/>
  <c r="S3486" i="2" s="1"/>
  <c r="S3487" i="2" s="1"/>
  <c r="S3488" i="2" s="1"/>
  <c r="S3489" i="2" s="1"/>
  <c r="S3490" i="2" s="1"/>
  <c r="S3491" i="2" s="1"/>
  <c r="U3484" i="2"/>
  <c r="R3485" i="2"/>
  <c r="R3989" i="2"/>
  <c r="R2046" i="2"/>
  <c r="R2335" i="2"/>
  <c r="R2766" i="2"/>
  <c r="R1758" i="2"/>
  <c r="R3053" i="2"/>
  <c r="R4061" i="2"/>
  <c r="R4205" i="2"/>
  <c r="S4204" i="2"/>
  <c r="S4205" i="2" s="1"/>
  <c r="U4204" i="2"/>
  <c r="R3558" i="2"/>
  <c r="R3918" i="2"/>
  <c r="R1975" i="2"/>
  <c r="S1974" i="2"/>
  <c r="U1974" i="2"/>
  <c r="R2118" i="2"/>
  <c r="S677" i="2"/>
  <c r="U677" i="2"/>
  <c r="R678" i="2"/>
  <c r="R4133" i="2"/>
  <c r="U3341" i="2"/>
  <c r="U3342" i="2" s="1"/>
  <c r="U3343" i="2" s="1"/>
  <c r="U3344" i="2" s="1"/>
  <c r="U3345" i="2" s="1"/>
  <c r="U3346" i="2" s="1"/>
  <c r="U3347" i="2" s="1"/>
  <c r="U3348" i="2" s="1"/>
  <c r="U3349" i="2" s="1"/>
  <c r="U3350" i="2" s="1"/>
  <c r="R3342" i="2"/>
  <c r="S3341" i="2"/>
  <c r="S3342" i="2" s="1"/>
  <c r="S3343" i="2" s="1"/>
  <c r="S3344" i="2" s="1"/>
  <c r="S3345" i="2" s="1"/>
  <c r="S3346" i="2" s="1"/>
  <c r="S3347" i="2" s="1"/>
  <c r="S3348" i="2" s="1"/>
  <c r="S3349" i="2" s="1"/>
  <c r="S3350" i="2" s="1"/>
  <c r="R3629" i="2"/>
  <c r="S3628" i="2"/>
  <c r="S3629" i="2" s="1"/>
  <c r="S3630" i="2" s="1"/>
  <c r="S3631" i="2" s="1"/>
  <c r="S3632" i="2" s="1"/>
  <c r="S3633" i="2" s="1"/>
  <c r="S3634" i="2" s="1"/>
  <c r="S3635" i="2" s="1"/>
  <c r="S3636" i="2" s="1"/>
  <c r="S3637" i="2" s="1"/>
  <c r="S3638" i="2" s="1"/>
  <c r="S3639" i="2" s="1"/>
  <c r="U3628" i="2"/>
  <c r="U3772" i="2"/>
  <c r="R3773" i="2"/>
  <c r="S3772" i="2"/>
  <c r="S3773" i="2" s="1"/>
  <c r="S3774" i="2" s="1"/>
  <c r="S3775" i="2" s="1"/>
  <c r="S3776" i="2" s="1"/>
  <c r="S3777" i="2" s="1"/>
  <c r="U2479" i="2"/>
  <c r="U2480" i="2" s="1"/>
  <c r="R2480" i="2"/>
  <c r="S2479" i="2"/>
  <c r="S2480" i="2" s="1"/>
  <c r="R4277" i="2"/>
  <c r="R2981" i="2"/>
  <c r="R3701" i="2"/>
  <c r="R3845" i="2"/>
  <c r="U2841" i="2"/>
  <c r="R2842" i="2"/>
  <c r="S2841" i="2"/>
  <c r="R2624" i="2"/>
  <c r="R2408" i="2"/>
  <c r="R1617" i="2"/>
  <c r="S1616" i="2"/>
  <c r="S1617" i="2" s="1"/>
  <c r="U1616" i="2"/>
  <c r="U1617" i="2" s="1"/>
  <c r="S1690" i="2"/>
  <c r="R1691" i="2"/>
  <c r="U1690" i="2"/>
  <c r="R1183" i="2"/>
  <c r="U1182" i="2"/>
  <c r="S1182" i="2"/>
  <c r="R3270" i="2"/>
  <c r="R3413" i="2"/>
  <c r="S3412" i="2"/>
  <c r="S3413" i="2" s="1"/>
  <c r="U3412" i="2"/>
  <c r="S175" i="2"/>
  <c r="S176" i="2" s="1"/>
  <c r="R176" i="2"/>
  <c r="U175" i="2"/>
  <c r="U176" i="2" s="1"/>
  <c r="U248" i="2"/>
  <c r="U894" i="2"/>
  <c r="R103" i="2"/>
  <c r="R177" i="2"/>
  <c r="U822" i="2"/>
  <c r="U1112" i="2"/>
  <c r="U1326" i="2"/>
  <c r="U390" i="2"/>
  <c r="U462" i="2"/>
  <c r="U749" i="2"/>
  <c r="U1397" i="2"/>
  <c r="U31" i="2"/>
  <c r="S1038" i="2"/>
  <c r="R1039" i="2"/>
  <c r="U1038" i="2"/>
  <c r="R823" i="2"/>
  <c r="S822" i="2"/>
  <c r="R1113" i="2"/>
  <c r="S1112" i="2"/>
  <c r="S1326" i="2"/>
  <c r="R1327" i="2"/>
  <c r="R391" i="2"/>
  <c r="S390" i="2"/>
  <c r="S248" i="2"/>
  <c r="R249" i="2"/>
  <c r="S318" i="2"/>
  <c r="R319" i="2"/>
  <c r="S462" i="2"/>
  <c r="R463" i="2"/>
  <c r="S749" i="2"/>
  <c r="R750" i="2"/>
  <c r="S894" i="2"/>
  <c r="R895" i="2"/>
  <c r="S1397" i="2"/>
  <c r="R1398" i="2"/>
  <c r="S31" i="2"/>
  <c r="R32" i="2"/>
  <c r="U4133" i="2" l="1"/>
  <c r="U4134" i="2" s="1"/>
  <c r="U4135" i="2" s="1"/>
  <c r="U4136" i="2" s="1"/>
  <c r="U4137" i="2" s="1"/>
  <c r="U4138" i="2" s="1"/>
  <c r="V4132" i="2"/>
  <c r="U3845" i="2"/>
  <c r="U3846" i="2" s="1"/>
  <c r="U3847" i="2" s="1"/>
  <c r="U3848" i="2" s="1"/>
  <c r="U3849" i="2" s="1"/>
  <c r="U3850" i="2" s="1"/>
  <c r="U3851" i="2" s="1"/>
  <c r="U3852" i="2" s="1"/>
  <c r="V3844" i="2"/>
  <c r="U4277" i="2"/>
  <c r="V4276" i="2"/>
  <c r="U2981" i="2"/>
  <c r="V2980" i="2"/>
  <c r="U3197" i="2"/>
  <c r="V3196" i="2"/>
  <c r="U3053" i="2"/>
  <c r="V3052" i="2"/>
  <c r="U3701" i="2"/>
  <c r="V3701" i="2" s="1"/>
  <c r="V3700" i="2"/>
  <c r="U533" i="2"/>
  <c r="V533" i="2" s="1"/>
  <c r="S533" i="2"/>
  <c r="R534" i="2"/>
  <c r="U605" i="2"/>
  <c r="V605" i="2" s="1"/>
  <c r="R606" i="2"/>
  <c r="S605" i="2"/>
  <c r="U1901" i="2"/>
  <c r="V1901" i="2" s="1"/>
  <c r="V1900" i="2"/>
  <c r="S177" i="2"/>
  <c r="R178" i="2"/>
  <c r="U3485" i="2"/>
  <c r="V3484" i="2"/>
  <c r="U4205" i="2"/>
  <c r="V4205" i="2" s="1"/>
  <c r="V4204" i="2"/>
  <c r="U2189" i="2"/>
  <c r="V2188" i="2"/>
  <c r="U2909" i="2"/>
  <c r="V2908" i="2"/>
  <c r="V29" i="2"/>
  <c r="T30" i="2"/>
  <c r="V101" i="2"/>
  <c r="T102" i="2"/>
  <c r="V173" i="2"/>
  <c r="T174" i="2"/>
  <c r="V245" i="2"/>
  <c r="T246" i="2"/>
  <c r="V317" i="2"/>
  <c r="T318" i="2"/>
  <c r="V389" i="2"/>
  <c r="T390" i="2"/>
  <c r="V461" i="2"/>
  <c r="T462" i="2"/>
  <c r="T534" i="2"/>
  <c r="T606" i="2"/>
  <c r="T3414" i="2"/>
  <c r="T3486" i="2"/>
  <c r="V3557" i="2"/>
  <c r="T3558" i="2"/>
  <c r="T3630" i="2"/>
  <c r="T3702" i="2"/>
  <c r="T3774" i="2"/>
  <c r="V3845" i="2"/>
  <c r="T3846" i="2"/>
  <c r="V3917" i="2"/>
  <c r="T3918" i="2"/>
  <c r="V3989" i="2"/>
  <c r="T3990" i="2"/>
  <c r="T4062" i="2"/>
  <c r="V4133" i="2"/>
  <c r="T4134" i="2"/>
  <c r="T4206" i="2"/>
  <c r="T4278" i="2"/>
  <c r="V677" i="2"/>
  <c r="T678" i="2"/>
  <c r="V749" i="2"/>
  <c r="T750" i="2"/>
  <c r="V821" i="2"/>
  <c r="T822" i="2"/>
  <c r="V893" i="2"/>
  <c r="T894" i="2"/>
  <c r="V965" i="2"/>
  <c r="T966" i="2"/>
  <c r="V1037" i="2"/>
  <c r="T1038" i="2"/>
  <c r="V1109" i="2"/>
  <c r="T1110" i="2"/>
  <c r="V1181" i="2"/>
  <c r="T1182" i="2"/>
  <c r="V1253" i="2"/>
  <c r="T1254" i="2"/>
  <c r="V1325" i="2"/>
  <c r="T1326" i="2"/>
  <c r="V1397" i="2"/>
  <c r="T1398" i="2"/>
  <c r="T1470" i="2"/>
  <c r="T1542" i="2"/>
  <c r="V1613" i="2"/>
  <c r="T1614" i="2"/>
  <c r="V1685" i="2"/>
  <c r="T1686" i="2"/>
  <c r="V1757" i="2"/>
  <c r="T1758" i="2"/>
  <c r="T1830" i="2"/>
  <c r="T1902" i="2"/>
  <c r="V1973" i="2"/>
  <c r="T1974" i="2"/>
  <c r="V2045" i="2"/>
  <c r="T2046" i="2"/>
  <c r="V2117" i="2"/>
  <c r="T2118" i="2"/>
  <c r="T2190" i="2"/>
  <c r="T2262" i="2"/>
  <c r="V2333" i="2"/>
  <c r="T2334" i="2"/>
  <c r="V2405" i="2"/>
  <c r="T2406" i="2"/>
  <c r="V2477" i="2"/>
  <c r="T2478" i="2"/>
  <c r="T2550" i="2"/>
  <c r="V2621" i="2"/>
  <c r="T2622" i="2"/>
  <c r="V2693" i="2"/>
  <c r="T2694" i="2"/>
  <c r="V2765" i="2"/>
  <c r="T2766" i="2"/>
  <c r="V2837" i="2"/>
  <c r="T2838" i="2"/>
  <c r="T2910" i="2"/>
  <c r="T2982" i="2"/>
  <c r="T3054" i="2"/>
  <c r="T3126" i="2"/>
  <c r="T3198" i="2"/>
  <c r="V3269" i="2"/>
  <c r="T3270" i="2"/>
  <c r="V3341" i="2"/>
  <c r="T3342" i="2"/>
  <c r="U3125" i="2"/>
  <c r="V3124" i="2"/>
  <c r="U1541" i="2"/>
  <c r="V1541" i="2" s="1"/>
  <c r="V1540" i="2"/>
  <c r="U3629" i="2"/>
  <c r="V3628" i="2"/>
  <c r="U3773" i="2"/>
  <c r="V3772" i="2"/>
  <c r="U3413" i="2"/>
  <c r="V3413" i="2" s="1"/>
  <c r="V3412" i="2"/>
  <c r="U1257" i="2"/>
  <c r="U318" i="2"/>
  <c r="U319" i="2" s="1"/>
  <c r="R1470" i="2"/>
  <c r="S1469" i="2"/>
  <c r="S1470" i="2" s="1"/>
  <c r="U1469" i="2"/>
  <c r="R1830" i="2"/>
  <c r="S1829" i="2"/>
  <c r="U1829" i="2"/>
  <c r="V1829" i="2" s="1"/>
  <c r="U2261" i="2"/>
  <c r="V2261" i="2" s="1"/>
  <c r="S2261" i="2"/>
  <c r="R2262" i="2"/>
  <c r="R3126" i="2"/>
  <c r="R967" i="2"/>
  <c r="S966" i="2"/>
  <c r="U966" i="2"/>
  <c r="R2190" i="2"/>
  <c r="R2910" i="2"/>
  <c r="R1542" i="2"/>
  <c r="R1902" i="2"/>
  <c r="S2549" i="2"/>
  <c r="R2550" i="2"/>
  <c r="U2549" i="2"/>
  <c r="V2549" i="2" s="1"/>
  <c r="R3198" i="2"/>
  <c r="R2695" i="2"/>
  <c r="U2694" i="2"/>
  <c r="S2694" i="2"/>
  <c r="R3486" i="2"/>
  <c r="R3990" i="2"/>
  <c r="R2047" i="2"/>
  <c r="R2336" i="2"/>
  <c r="S2335" i="2"/>
  <c r="S2336" i="2" s="1"/>
  <c r="S2337" i="2" s="1"/>
  <c r="U2335" i="2"/>
  <c r="U2336" i="2" s="1"/>
  <c r="U2337" i="2" s="1"/>
  <c r="R2767" i="2"/>
  <c r="R1759" i="2"/>
  <c r="R3054" i="2"/>
  <c r="S4061" i="2"/>
  <c r="S4062" i="2" s="1"/>
  <c r="S4063" i="2" s="1"/>
  <c r="S4064" i="2" s="1"/>
  <c r="S4065" i="2" s="1"/>
  <c r="S4066" i="2" s="1"/>
  <c r="S4067" i="2" s="1"/>
  <c r="S4068" i="2" s="1"/>
  <c r="S4069" i="2" s="1"/>
  <c r="U4061" i="2"/>
  <c r="R4062" i="2"/>
  <c r="R4206" i="2"/>
  <c r="R3559" i="2"/>
  <c r="R3919" i="2"/>
  <c r="R1976" i="2"/>
  <c r="S1975" i="2"/>
  <c r="S1976" i="2" s="1"/>
  <c r="U1975" i="2"/>
  <c r="U1976" i="2" s="1"/>
  <c r="R2119" i="2"/>
  <c r="U2118" i="2"/>
  <c r="S2118" i="2"/>
  <c r="R679" i="2"/>
  <c r="S678" i="2"/>
  <c r="U678" i="2"/>
  <c r="R4134" i="2"/>
  <c r="R3343" i="2"/>
  <c r="R3630" i="2"/>
  <c r="R3774" i="2"/>
  <c r="R2481" i="2"/>
  <c r="R4278" i="2"/>
  <c r="R2982" i="2"/>
  <c r="R3702" i="2"/>
  <c r="R3846" i="2"/>
  <c r="R2843" i="2"/>
  <c r="U2842" i="2"/>
  <c r="S2842" i="2"/>
  <c r="R2625" i="2"/>
  <c r="S2624" i="2"/>
  <c r="S2625" i="2" s="1"/>
  <c r="U2624" i="2"/>
  <c r="U2625" i="2" s="1"/>
  <c r="R2409" i="2"/>
  <c r="S2408" i="2"/>
  <c r="U2408" i="2"/>
  <c r="R1618" i="2"/>
  <c r="U1691" i="2"/>
  <c r="U1692" i="2" s="1"/>
  <c r="R1692" i="2"/>
  <c r="S1691" i="2"/>
  <c r="S1692" i="2" s="1"/>
  <c r="R1184" i="2"/>
  <c r="S1183" i="2"/>
  <c r="U1183" i="2"/>
  <c r="R3271" i="2"/>
  <c r="R3414" i="2"/>
  <c r="R1258" i="2"/>
  <c r="S1257" i="2"/>
  <c r="R104" i="2"/>
  <c r="U177" i="2"/>
  <c r="U249" i="2"/>
  <c r="U895" i="2"/>
  <c r="U32" i="2"/>
  <c r="U823" i="2"/>
  <c r="U1113" i="2"/>
  <c r="U1327" i="2"/>
  <c r="U391" i="2"/>
  <c r="U463" i="2"/>
  <c r="U750" i="2"/>
  <c r="U1398" i="2"/>
  <c r="R1040" i="2"/>
  <c r="S1039" i="2"/>
  <c r="U1039" i="2"/>
  <c r="R824" i="2"/>
  <c r="S823" i="2"/>
  <c r="R1114" i="2"/>
  <c r="S1113" i="2"/>
  <c r="R1328" i="2"/>
  <c r="S1327" i="2"/>
  <c r="R392" i="2"/>
  <c r="S391" i="2"/>
  <c r="S249" i="2"/>
  <c r="R250" i="2"/>
  <c r="S319" i="2"/>
  <c r="R320" i="2"/>
  <c r="S463" i="2"/>
  <c r="R464" i="2"/>
  <c r="S750" i="2"/>
  <c r="R751" i="2"/>
  <c r="S895" i="2"/>
  <c r="R896" i="2"/>
  <c r="S1398" i="2"/>
  <c r="R1399" i="2"/>
  <c r="S32" i="2"/>
  <c r="R33" i="2"/>
  <c r="S178" i="2"/>
  <c r="S179" i="2" s="1"/>
  <c r="R179" i="2"/>
  <c r="U4278" i="2" l="1"/>
  <c r="V4277" i="2"/>
  <c r="U2982" i="2"/>
  <c r="V2981" i="2"/>
  <c r="U3198" i="2"/>
  <c r="V3198" i="2" s="1"/>
  <c r="V3197" i="2"/>
  <c r="U3054" i="2"/>
  <c r="V3053" i="2"/>
  <c r="U178" i="2"/>
  <c r="U179" i="2" s="1"/>
  <c r="U3486" i="2"/>
  <c r="V3485" i="2"/>
  <c r="U2190" i="2"/>
  <c r="V2190" i="2" s="1"/>
  <c r="V2189" i="2"/>
  <c r="R535" i="2"/>
  <c r="S534" i="2"/>
  <c r="U534" i="2"/>
  <c r="V534" i="2" s="1"/>
  <c r="R607" i="2"/>
  <c r="S606" i="2"/>
  <c r="U606" i="2"/>
  <c r="V606" i="2" s="1"/>
  <c r="U2910" i="2"/>
  <c r="V2909" i="2"/>
  <c r="U3630" i="2"/>
  <c r="V3629" i="2"/>
  <c r="U3126" i="2"/>
  <c r="V3125" i="2"/>
  <c r="U3774" i="2"/>
  <c r="V3773" i="2"/>
  <c r="U1470" i="2"/>
  <c r="V1470" i="2" s="1"/>
  <c r="V1469" i="2"/>
  <c r="V30" i="2"/>
  <c r="T31" i="2"/>
  <c r="V102" i="2"/>
  <c r="T103" i="2"/>
  <c r="V174" i="2"/>
  <c r="T175" i="2"/>
  <c r="V246" i="2"/>
  <c r="T247" i="2"/>
  <c r="V318" i="2"/>
  <c r="T319" i="2"/>
  <c r="V390" i="2"/>
  <c r="T391" i="2"/>
  <c r="V462" i="2"/>
  <c r="T463" i="2"/>
  <c r="T535" i="2"/>
  <c r="T607" i="2"/>
  <c r="T3415" i="2"/>
  <c r="T3487" i="2"/>
  <c r="V3558" i="2"/>
  <c r="T3559" i="2"/>
  <c r="T3631" i="2"/>
  <c r="T3703" i="2"/>
  <c r="T3775" i="2"/>
  <c r="V3846" i="2"/>
  <c r="T3847" i="2"/>
  <c r="V3918" i="2"/>
  <c r="T3919" i="2"/>
  <c r="V3990" i="2"/>
  <c r="T3991" i="2"/>
  <c r="T4063" i="2"/>
  <c r="V4134" i="2"/>
  <c r="T4135" i="2"/>
  <c r="T4207" i="2"/>
  <c r="T4279" i="2"/>
  <c r="V678" i="2"/>
  <c r="T679" i="2"/>
  <c r="V750" i="2"/>
  <c r="T751" i="2"/>
  <c r="V822" i="2"/>
  <c r="T823" i="2"/>
  <c r="V894" i="2"/>
  <c r="T895" i="2"/>
  <c r="V966" i="2"/>
  <c r="T967" i="2"/>
  <c r="V1038" i="2"/>
  <c r="T1039" i="2"/>
  <c r="V1110" i="2"/>
  <c r="T1111" i="2"/>
  <c r="V1182" i="2"/>
  <c r="T1183" i="2"/>
  <c r="V1254" i="2"/>
  <c r="T1255" i="2"/>
  <c r="V1326" i="2"/>
  <c r="T1327" i="2"/>
  <c r="V1398" i="2"/>
  <c r="T1399" i="2"/>
  <c r="T1471" i="2"/>
  <c r="T1543" i="2"/>
  <c r="V1614" i="2"/>
  <c r="T1615" i="2"/>
  <c r="V1686" i="2"/>
  <c r="T1687" i="2"/>
  <c r="V1758" i="2"/>
  <c r="T1759" i="2"/>
  <c r="T1831" i="2"/>
  <c r="T1903" i="2"/>
  <c r="V1974" i="2"/>
  <c r="T1975" i="2"/>
  <c r="V2046" i="2"/>
  <c r="T2047" i="2"/>
  <c r="V2118" i="2"/>
  <c r="T2119" i="2"/>
  <c r="T2191" i="2"/>
  <c r="T2263" i="2"/>
  <c r="V2334" i="2"/>
  <c r="T2335" i="2"/>
  <c r="V2406" i="2"/>
  <c r="T2407" i="2"/>
  <c r="V2478" i="2"/>
  <c r="T2479" i="2"/>
  <c r="T2551" i="2"/>
  <c r="V2622" i="2"/>
  <c r="T2623" i="2"/>
  <c r="V2694" i="2"/>
  <c r="T2695" i="2"/>
  <c r="V2766" i="2"/>
  <c r="T2767" i="2"/>
  <c r="V2838" i="2"/>
  <c r="T2839" i="2"/>
  <c r="T2911" i="2"/>
  <c r="T2983" i="2"/>
  <c r="T3055" i="2"/>
  <c r="T3127" i="2"/>
  <c r="T3199" i="2"/>
  <c r="V3270" i="2"/>
  <c r="T3271" i="2"/>
  <c r="V3342" i="2"/>
  <c r="T3343" i="2"/>
  <c r="U4062" i="2"/>
  <c r="V4061" i="2"/>
  <c r="U1258" i="2"/>
  <c r="R1471" i="2"/>
  <c r="R1831" i="2"/>
  <c r="U1830" i="2"/>
  <c r="S1830" i="2"/>
  <c r="S1831" i="2" s="1"/>
  <c r="S1832" i="2" s="1"/>
  <c r="R2263" i="2"/>
  <c r="U2262" i="2"/>
  <c r="V2262" i="2" s="1"/>
  <c r="S2262" i="2"/>
  <c r="R3127" i="2"/>
  <c r="R968" i="2"/>
  <c r="S967" i="2"/>
  <c r="U967" i="2"/>
  <c r="R2191" i="2"/>
  <c r="R2911" i="2"/>
  <c r="S1542" i="2"/>
  <c r="R1543" i="2"/>
  <c r="U1542" i="2"/>
  <c r="V1542" i="2" s="1"/>
  <c r="R1903" i="2"/>
  <c r="S1902" i="2"/>
  <c r="U1902" i="2"/>
  <c r="V1902" i="2" s="1"/>
  <c r="U2550" i="2"/>
  <c r="V2550" i="2" s="1"/>
  <c r="S2550" i="2"/>
  <c r="R2551" i="2"/>
  <c r="R3199" i="2"/>
  <c r="S2695" i="2"/>
  <c r="R2696" i="2"/>
  <c r="U2695" i="2"/>
  <c r="R3487" i="2"/>
  <c r="R3991" i="2"/>
  <c r="R2048" i="2"/>
  <c r="R2337" i="2"/>
  <c r="R2768" i="2"/>
  <c r="R1760" i="2"/>
  <c r="R3055" i="2"/>
  <c r="R4063" i="2"/>
  <c r="R4207" i="2"/>
  <c r="S4206" i="2"/>
  <c r="S4207" i="2" s="1"/>
  <c r="S4208" i="2" s="1"/>
  <c r="S4209" i="2" s="1"/>
  <c r="S4210" i="2" s="1"/>
  <c r="S4211" i="2" s="1"/>
  <c r="S4212" i="2" s="1"/>
  <c r="S4213" i="2" s="1"/>
  <c r="S4214" i="2" s="1"/>
  <c r="S4215" i="2" s="1"/>
  <c r="S4216" i="2" s="1"/>
  <c r="S4217" i="2" s="1"/>
  <c r="S4218" i="2" s="1"/>
  <c r="S4219" i="2" s="1"/>
  <c r="S4220" i="2" s="1"/>
  <c r="S4221" i="2" s="1"/>
  <c r="S4222" i="2" s="1"/>
  <c r="S4223" i="2" s="1"/>
  <c r="S4224" i="2" s="1"/>
  <c r="S4225" i="2" s="1"/>
  <c r="S4226" i="2" s="1"/>
  <c r="U4206" i="2"/>
  <c r="R3560" i="2"/>
  <c r="U3919" i="2"/>
  <c r="U3920" i="2" s="1"/>
  <c r="R3920" i="2"/>
  <c r="S3919" i="2"/>
  <c r="S3920" i="2" s="1"/>
  <c r="R1977" i="2"/>
  <c r="U2119" i="2"/>
  <c r="U2120" i="2" s="1"/>
  <c r="S2119" i="2"/>
  <c r="S2120" i="2" s="1"/>
  <c r="R2120" i="2"/>
  <c r="S679" i="2"/>
  <c r="R680" i="2"/>
  <c r="U679" i="2"/>
  <c r="R4135" i="2"/>
  <c r="R3344" i="2"/>
  <c r="R3631" i="2"/>
  <c r="R3775" i="2"/>
  <c r="U2481" i="2"/>
  <c r="U2482" i="2" s="1"/>
  <c r="U2483" i="2" s="1"/>
  <c r="R2482" i="2"/>
  <c r="S2481" i="2"/>
  <c r="S2482" i="2" s="1"/>
  <c r="S2483" i="2" s="1"/>
  <c r="R4279" i="2"/>
  <c r="R2983" i="2"/>
  <c r="U3702" i="2"/>
  <c r="R3703" i="2"/>
  <c r="S3702" i="2"/>
  <c r="S3703" i="2" s="1"/>
  <c r="S3704" i="2" s="1"/>
  <c r="S3705" i="2" s="1"/>
  <c r="R3847" i="2"/>
  <c r="R2844" i="2"/>
  <c r="S2843" i="2"/>
  <c r="S2844" i="2" s="1"/>
  <c r="U2843" i="2"/>
  <c r="U2844" i="2" s="1"/>
  <c r="R2626" i="2"/>
  <c r="S2409" i="2"/>
  <c r="R2410" i="2"/>
  <c r="U2409" i="2"/>
  <c r="U1618" i="2"/>
  <c r="U1619" i="2" s="1"/>
  <c r="S1618" i="2"/>
  <c r="S1619" i="2" s="1"/>
  <c r="R1619" i="2"/>
  <c r="R1693" i="2"/>
  <c r="R1185" i="2"/>
  <c r="S1184" i="2"/>
  <c r="U1184" i="2"/>
  <c r="R3272" i="2"/>
  <c r="U3414" i="2"/>
  <c r="R3415" i="2"/>
  <c r="S3414" i="2"/>
  <c r="S3415" i="2" s="1"/>
  <c r="S3416" i="2" s="1"/>
  <c r="S3417" i="2" s="1"/>
  <c r="R1259" i="2"/>
  <c r="S1258" i="2"/>
  <c r="U104" i="2"/>
  <c r="S104" i="2"/>
  <c r="R105" i="2"/>
  <c r="U250" i="2"/>
  <c r="U33" i="2"/>
  <c r="U320" i="2"/>
  <c r="U896" i="2"/>
  <c r="R180" i="2"/>
  <c r="U824" i="2"/>
  <c r="U1114" i="2"/>
  <c r="U1399" i="2"/>
  <c r="U1328" i="2"/>
  <c r="U392" i="2"/>
  <c r="U464" i="2"/>
  <c r="U751" i="2"/>
  <c r="S1040" i="2"/>
  <c r="R1041" i="2"/>
  <c r="U1040" i="2"/>
  <c r="R825" i="2"/>
  <c r="S824" i="2"/>
  <c r="S1114" i="2"/>
  <c r="R1115" i="2"/>
  <c r="S1328" i="2"/>
  <c r="R1329" i="2"/>
  <c r="S392" i="2"/>
  <c r="R393" i="2"/>
  <c r="S250" i="2"/>
  <c r="R251" i="2"/>
  <c r="S320" i="2"/>
  <c r="R321" i="2"/>
  <c r="S464" i="2"/>
  <c r="R465" i="2"/>
  <c r="S751" i="2"/>
  <c r="R752" i="2"/>
  <c r="S896" i="2"/>
  <c r="R897" i="2"/>
  <c r="S1399" i="2"/>
  <c r="R1400" i="2"/>
  <c r="R34" i="2"/>
  <c r="S33" i="2"/>
  <c r="S180" i="2"/>
  <c r="R181" i="2"/>
  <c r="U4279" i="2" l="1"/>
  <c r="V4278" i="2"/>
  <c r="U2983" i="2"/>
  <c r="V2982" i="2"/>
  <c r="U3055" i="2"/>
  <c r="V3054" i="2"/>
  <c r="U3487" i="2"/>
  <c r="V3486" i="2"/>
  <c r="U2911" i="2"/>
  <c r="V2910" i="2"/>
  <c r="U3631" i="2"/>
  <c r="V3630" i="2"/>
  <c r="U3127" i="2"/>
  <c r="V3126" i="2"/>
  <c r="R536" i="2"/>
  <c r="U535" i="2"/>
  <c r="V535" i="2" s="1"/>
  <c r="S535" i="2"/>
  <c r="S607" i="2"/>
  <c r="U607" i="2"/>
  <c r="V607" i="2" s="1"/>
  <c r="R608" i="2"/>
  <c r="U3775" i="2"/>
  <c r="V3774" i="2"/>
  <c r="U4063" i="2"/>
  <c r="V4062" i="2"/>
  <c r="U1831" i="2"/>
  <c r="V1830" i="2"/>
  <c r="V31" i="2"/>
  <c r="T32" i="2"/>
  <c r="V103" i="2"/>
  <c r="T104" i="2"/>
  <c r="V175" i="2"/>
  <c r="T176" i="2"/>
  <c r="V247" i="2"/>
  <c r="T248" i="2"/>
  <c r="V319" i="2"/>
  <c r="T320" i="2"/>
  <c r="V391" i="2"/>
  <c r="T392" i="2"/>
  <c r="V463" i="2"/>
  <c r="T464" i="2"/>
  <c r="T536" i="2"/>
  <c r="T608" i="2"/>
  <c r="T3416" i="2"/>
  <c r="T3488" i="2"/>
  <c r="V3559" i="2"/>
  <c r="T3560" i="2"/>
  <c r="T3632" i="2"/>
  <c r="T3704" i="2"/>
  <c r="T3776" i="2"/>
  <c r="V3847" i="2"/>
  <c r="T3848" i="2"/>
  <c r="V3919" i="2"/>
  <c r="T3920" i="2"/>
  <c r="V3991" i="2"/>
  <c r="T3992" i="2"/>
  <c r="T4064" i="2"/>
  <c r="V4135" i="2"/>
  <c r="T4136" i="2"/>
  <c r="T4208" i="2"/>
  <c r="T4280" i="2"/>
  <c r="V679" i="2"/>
  <c r="T680" i="2"/>
  <c r="V751" i="2"/>
  <c r="T752" i="2"/>
  <c r="V823" i="2"/>
  <c r="T824" i="2"/>
  <c r="V895" i="2"/>
  <c r="T896" i="2"/>
  <c r="V967" i="2"/>
  <c r="T968" i="2"/>
  <c r="V1039" i="2"/>
  <c r="T1040" i="2"/>
  <c r="V1111" i="2"/>
  <c r="T1112" i="2"/>
  <c r="V1183" i="2"/>
  <c r="T1184" i="2"/>
  <c r="V1255" i="2"/>
  <c r="T1256" i="2"/>
  <c r="V1327" i="2"/>
  <c r="T1328" i="2"/>
  <c r="V1399" i="2"/>
  <c r="T1400" i="2"/>
  <c r="T1472" i="2"/>
  <c r="T1544" i="2"/>
  <c r="V1615" i="2"/>
  <c r="T1616" i="2"/>
  <c r="V1687" i="2"/>
  <c r="T1688" i="2"/>
  <c r="V1759" i="2"/>
  <c r="T1760" i="2"/>
  <c r="T1832" i="2"/>
  <c r="T1904" i="2"/>
  <c r="V1975" i="2"/>
  <c r="T1976" i="2"/>
  <c r="V2047" i="2"/>
  <c r="T2048" i="2"/>
  <c r="V2119" i="2"/>
  <c r="T2120" i="2"/>
  <c r="T2192" i="2"/>
  <c r="T2264" i="2"/>
  <c r="V2335" i="2"/>
  <c r="T2336" i="2"/>
  <c r="V2407" i="2"/>
  <c r="T2408" i="2"/>
  <c r="V2479" i="2"/>
  <c r="T2480" i="2"/>
  <c r="T2552" i="2"/>
  <c r="V2623" i="2"/>
  <c r="T2624" i="2"/>
  <c r="V2695" i="2"/>
  <c r="T2696" i="2"/>
  <c r="V2767" i="2"/>
  <c r="T2768" i="2"/>
  <c r="V2839" i="2"/>
  <c r="T2840" i="2"/>
  <c r="T2912" i="2"/>
  <c r="T2984" i="2"/>
  <c r="T3056" i="2"/>
  <c r="T3128" i="2"/>
  <c r="T3200" i="2"/>
  <c r="V3271" i="2"/>
  <c r="T3272" i="2"/>
  <c r="V3343" i="2"/>
  <c r="T3344" i="2"/>
  <c r="U4207" i="2"/>
  <c r="V4206" i="2"/>
  <c r="U3703" i="2"/>
  <c r="V3702" i="2"/>
  <c r="U3415" i="2"/>
  <c r="V3414" i="2"/>
  <c r="R1260" i="2"/>
  <c r="S1259" i="2"/>
  <c r="U1471" i="2"/>
  <c r="V1471" i="2" s="1"/>
  <c r="R1472" i="2"/>
  <c r="S1471" i="2"/>
  <c r="R1832" i="2"/>
  <c r="R2264" i="2"/>
  <c r="S2263" i="2"/>
  <c r="U2263" i="2"/>
  <c r="V2263" i="2" s="1"/>
  <c r="R3128" i="2"/>
  <c r="R969" i="2"/>
  <c r="S968" i="2"/>
  <c r="U968" i="2"/>
  <c r="U2191" i="2"/>
  <c r="V2191" i="2" s="1"/>
  <c r="R2192" i="2"/>
  <c r="S2191" i="2"/>
  <c r="R2912" i="2"/>
  <c r="R1544" i="2"/>
  <c r="S1543" i="2"/>
  <c r="S1544" i="2" s="1"/>
  <c r="S1545" i="2" s="1"/>
  <c r="S1546" i="2" s="1"/>
  <c r="U1543" i="2"/>
  <c r="R1904" i="2"/>
  <c r="U1903" i="2"/>
  <c r="V1903" i="2" s="1"/>
  <c r="S1903" i="2"/>
  <c r="S2551" i="2"/>
  <c r="S2552" i="2" s="1"/>
  <c r="S2553" i="2" s="1"/>
  <c r="S2554" i="2" s="1"/>
  <c r="S2555" i="2" s="1"/>
  <c r="U2551" i="2"/>
  <c r="R2552" i="2"/>
  <c r="U3199" i="2"/>
  <c r="S3199" i="2"/>
  <c r="S3200" i="2" s="1"/>
  <c r="S3201" i="2" s="1"/>
  <c r="S3202" i="2" s="1"/>
  <c r="R3200" i="2"/>
  <c r="S2696" i="2"/>
  <c r="S2697" i="2" s="1"/>
  <c r="S2698" i="2" s="1"/>
  <c r="S2699" i="2" s="1"/>
  <c r="S2700" i="2" s="1"/>
  <c r="R2697" i="2"/>
  <c r="U2696" i="2"/>
  <c r="U2697" i="2" s="1"/>
  <c r="U2698" i="2" s="1"/>
  <c r="U2699" i="2" s="1"/>
  <c r="U2700" i="2" s="1"/>
  <c r="R3488" i="2"/>
  <c r="R3992" i="2"/>
  <c r="U2048" i="2"/>
  <c r="R2049" i="2"/>
  <c r="S2048" i="2"/>
  <c r="R2338" i="2"/>
  <c r="R2769" i="2"/>
  <c r="S2768" i="2"/>
  <c r="U2768" i="2"/>
  <c r="R1761" i="2"/>
  <c r="S1760" i="2"/>
  <c r="U1760" i="2"/>
  <c r="R3056" i="2"/>
  <c r="R4064" i="2"/>
  <c r="R4208" i="2"/>
  <c r="R3561" i="2"/>
  <c r="R3921" i="2"/>
  <c r="U1977" i="2"/>
  <c r="U1978" i="2" s="1"/>
  <c r="R1978" i="2"/>
  <c r="S1977" i="2"/>
  <c r="S1978" i="2" s="1"/>
  <c r="R2121" i="2"/>
  <c r="S680" i="2"/>
  <c r="U680" i="2"/>
  <c r="R681" i="2"/>
  <c r="R4136" i="2"/>
  <c r="R3345" i="2"/>
  <c r="R3632" i="2"/>
  <c r="R3776" i="2"/>
  <c r="R2483" i="2"/>
  <c r="R4280" i="2"/>
  <c r="R2984" i="2"/>
  <c r="R3704" i="2"/>
  <c r="R3848" i="2"/>
  <c r="R2845" i="2"/>
  <c r="R2627" i="2"/>
  <c r="S2626" i="2"/>
  <c r="U2626" i="2"/>
  <c r="R2411" i="2"/>
  <c r="S2410" i="2"/>
  <c r="U2410" i="2"/>
  <c r="R1620" i="2"/>
  <c r="U1693" i="2"/>
  <c r="R1694" i="2"/>
  <c r="S1693" i="2"/>
  <c r="R1186" i="2"/>
  <c r="S1185" i="2"/>
  <c r="U1185" i="2"/>
  <c r="R3273" i="2"/>
  <c r="R3416" i="2"/>
  <c r="S105" i="2"/>
  <c r="R106" i="2"/>
  <c r="U105" i="2"/>
  <c r="U1259" i="2"/>
  <c r="U180" i="2"/>
  <c r="U181" i="2" s="1"/>
  <c r="U251" i="2"/>
  <c r="U1115" i="2"/>
  <c r="U321" i="2"/>
  <c r="U897" i="2"/>
  <c r="U34" i="2"/>
  <c r="U825" i="2"/>
  <c r="U1329" i="2"/>
  <c r="U393" i="2"/>
  <c r="U465" i="2"/>
  <c r="U752" i="2"/>
  <c r="U1400" i="2"/>
  <c r="R1042" i="2"/>
  <c r="S1041" i="2"/>
  <c r="U1041" i="2"/>
  <c r="R826" i="2"/>
  <c r="S825" i="2"/>
  <c r="R1116" i="2"/>
  <c r="S1115" i="2"/>
  <c r="S1329" i="2"/>
  <c r="R1330" i="2"/>
  <c r="R394" i="2"/>
  <c r="S393" i="2"/>
  <c r="S251" i="2"/>
  <c r="R252" i="2"/>
  <c r="S321" i="2"/>
  <c r="R322" i="2"/>
  <c r="S465" i="2"/>
  <c r="R466" i="2"/>
  <c r="S752" i="2"/>
  <c r="R753" i="2"/>
  <c r="S897" i="2"/>
  <c r="R898" i="2"/>
  <c r="S1400" i="2"/>
  <c r="R1401" i="2"/>
  <c r="S34" i="2"/>
  <c r="R35" i="2"/>
  <c r="S181" i="2"/>
  <c r="R182" i="2"/>
  <c r="U4280" i="2" l="1"/>
  <c r="V4279" i="2"/>
  <c r="U2984" i="2"/>
  <c r="V2983" i="2"/>
  <c r="U3056" i="2"/>
  <c r="V3055" i="2"/>
  <c r="U2912" i="2"/>
  <c r="V2911" i="2"/>
  <c r="U3128" i="2"/>
  <c r="V3127" i="2"/>
  <c r="U3488" i="2"/>
  <c r="V3487" i="2"/>
  <c r="U3632" i="2"/>
  <c r="V3631" i="2"/>
  <c r="U3776" i="2"/>
  <c r="V3775" i="2"/>
  <c r="U4064" i="2"/>
  <c r="V4063" i="2"/>
  <c r="S536" i="2"/>
  <c r="U536" i="2"/>
  <c r="V536" i="2" s="1"/>
  <c r="R537" i="2"/>
  <c r="S608" i="2"/>
  <c r="U608" i="2"/>
  <c r="V608" i="2" s="1"/>
  <c r="R609" i="2"/>
  <c r="U1832" i="2"/>
  <c r="V1832" i="2" s="1"/>
  <c r="V1831" i="2"/>
  <c r="S1260" i="2"/>
  <c r="R1261" i="2"/>
  <c r="U1544" i="2"/>
  <c r="V1543" i="2"/>
  <c r="U1260" i="2"/>
  <c r="U4208" i="2"/>
  <c r="V4207" i="2"/>
  <c r="U3704" i="2"/>
  <c r="V3703" i="2"/>
  <c r="U3416" i="2"/>
  <c r="V3415" i="2"/>
  <c r="V32" i="2"/>
  <c r="T33" i="2"/>
  <c r="V104" i="2"/>
  <c r="T105" i="2"/>
  <c r="V176" i="2"/>
  <c r="T177" i="2"/>
  <c r="V248" i="2"/>
  <c r="T249" i="2"/>
  <c r="V320" i="2"/>
  <c r="T321" i="2"/>
  <c r="V392" i="2"/>
  <c r="T393" i="2"/>
  <c r="V464" i="2"/>
  <c r="T465" i="2"/>
  <c r="T537" i="2"/>
  <c r="T609" i="2"/>
  <c r="T3417" i="2"/>
  <c r="T3489" i="2"/>
  <c r="V3560" i="2"/>
  <c r="T3561" i="2"/>
  <c r="T3633" i="2"/>
  <c r="T3705" i="2"/>
  <c r="T3777" i="2"/>
  <c r="V3848" i="2"/>
  <c r="T3849" i="2"/>
  <c r="V3920" i="2"/>
  <c r="T3921" i="2"/>
  <c r="T3993" i="2"/>
  <c r="T4065" i="2"/>
  <c r="V4136" i="2"/>
  <c r="T4137" i="2"/>
  <c r="T4209" i="2"/>
  <c r="T4281" i="2"/>
  <c r="V680" i="2"/>
  <c r="T681" i="2"/>
  <c r="V752" i="2"/>
  <c r="T753" i="2"/>
  <c r="V824" i="2"/>
  <c r="T825" i="2"/>
  <c r="V896" i="2"/>
  <c r="T897" i="2"/>
  <c r="V968" i="2"/>
  <c r="T969" i="2"/>
  <c r="V1040" i="2"/>
  <c r="T1041" i="2"/>
  <c r="V1112" i="2"/>
  <c r="T1113" i="2"/>
  <c r="V1184" i="2"/>
  <c r="T1185" i="2"/>
  <c r="V1256" i="2"/>
  <c r="T1257" i="2"/>
  <c r="V1328" i="2"/>
  <c r="T1329" i="2"/>
  <c r="V1400" i="2"/>
  <c r="T1401" i="2"/>
  <c r="T1473" i="2"/>
  <c r="T1545" i="2"/>
  <c r="V1616" i="2"/>
  <c r="T1617" i="2"/>
  <c r="V1688" i="2"/>
  <c r="T1689" i="2"/>
  <c r="V1760" i="2"/>
  <c r="T1761" i="2"/>
  <c r="T1833" i="2"/>
  <c r="T1905" i="2"/>
  <c r="V1976" i="2"/>
  <c r="T1977" i="2"/>
  <c r="V2048" i="2"/>
  <c r="T2049" i="2"/>
  <c r="V2120" i="2"/>
  <c r="T2121" i="2"/>
  <c r="T2193" i="2"/>
  <c r="T2265" i="2"/>
  <c r="V2336" i="2"/>
  <c r="T2337" i="2"/>
  <c r="V2408" i="2"/>
  <c r="T2409" i="2"/>
  <c r="V2480" i="2"/>
  <c r="T2481" i="2"/>
  <c r="T2553" i="2"/>
  <c r="V2624" i="2"/>
  <c r="T2625" i="2"/>
  <c r="V2696" i="2"/>
  <c r="T2697" i="2"/>
  <c r="V2768" i="2"/>
  <c r="T2769" i="2"/>
  <c r="V2840" i="2"/>
  <c r="T2841" i="2"/>
  <c r="T2913" i="2"/>
  <c r="T2985" i="2"/>
  <c r="T3057" i="2"/>
  <c r="T3129" i="2"/>
  <c r="T3201" i="2"/>
  <c r="V3272" i="2"/>
  <c r="T3273" i="2"/>
  <c r="V3344" i="2"/>
  <c r="T3345" i="2"/>
  <c r="U2552" i="2"/>
  <c r="V2551" i="2"/>
  <c r="U3200" i="2"/>
  <c r="V3199" i="2"/>
  <c r="R1473" i="2"/>
  <c r="S1472" i="2"/>
  <c r="U1472" i="2"/>
  <c r="V1472" i="2" s="1"/>
  <c r="R1833" i="2"/>
  <c r="R2265" i="2"/>
  <c r="S2264" i="2"/>
  <c r="U2264" i="2"/>
  <c r="V2264" i="2" s="1"/>
  <c r="R3129" i="2"/>
  <c r="S969" i="2"/>
  <c r="S970" i="2" s="1"/>
  <c r="U969" i="2"/>
  <c r="U970" i="2" s="1"/>
  <c r="R970" i="2"/>
  <c r="R2193" i="2"/>
  <c r="S2192" i="2"/>
  <c r="S2193" i="2" s="1"/>
  <c r="S2194" i="2" s="1"/>
  <c r="S2195" i="2" s="1"/>
  <c r="U2192" i="2"/>
  <c r="R2913" i="2"/>
  <c r="R1545" i="2"/>
  <c r="R1905" i="2"/>
  <c r="S1904" i="2"/>
  <c r="U1904" i="2"/>
  <c r="V1904" i="2" s="1"/>
  <c r="R2553" i="2"/>
  <c r="R3201" i="2"/>
  <c r="R2698" i="2"/>
  <c r="R3489" i="2"/>
  <c r="S3992" i="2"/>
  <c r="S3993" i="2" s="1"/>
  <c r="S3994" i="2" s="1"/>
  <c r="S3995" i="2" s="1"/>
  <c r="S3996" i="2" s="1"/>
  <c r="S3997" i="2" s="1"/>
  <c r="S3998" i="2" s="1"/>
  <c r="S3999" i="2" s="1"/>
  <c r="S4000" i="2" s="1"/>
  <c r="S4001" i="2" s="1"/>
  <c r="S4002" i="2" s="1"/>
  <c r="S4003" i="2" s="1"/>
  <c r="S4004" i="2" s="1"/>
  <c r="S4005" i="2" s="1"/>
  <c r="R3993" i="2"/>
  <c r="U3992" i="2"/>
  <c r="R2050" i="2"/>
  <c r="S2049" i="2"/>
  <c r="U2049" i="2"/>
  <c r="R2339" i="2"/>
  <c r="S2338" i="2"/>
  <c r="U2338" i="2"/>
  <c r="R2770" i="2"/>
  <c r="S2769" i="2"/>
  <c r="U2769" i="2"/>
  <c r="R1762" i="2"/>
  <c r="U1761" i="2"/>
  <c r="S1761" i="2"/>
  <c r="R3057" i="2"/>
  <c r="R4065" i="2"/>
  <c r="R4209" i="2"/>
  <c r="S3561" i="2"/>
  <c r="S3562" i="2" s="1"/>
  <c r="S3563" i="2" s="1"/>
  <c r="S3564" i="2" s="1"/>
  <c r="S3565" i="2" s="1"/>
  <c r="S3566" i="2" s="1"/>
  <c r="R3562" i="2"/>
  <c r="U3561" i="2"/>
  <c r="U3562" i="2" s="1"/>
  <c r="U3563" i="2" s="1"/>
  <c r="U3564" i="2" s="1"/>
  <c r="U3565" i="2" s="1"/>
  <c r="U3566" i="2" s="1"/>
  <c r="U3921" i="2"/>
  <c r="U3922" i="2" s="1"/>
  <c r="U3923" i="2" s="1"/>
  <c r="U3924" i="2" s="1"/>
  <c r="U3925" i="2" s="1"/>
  <c r="U3926" i="2" s="1"/>
  <c r="U3927" i="2" s="1"/>
  <c r="U3928" i="2" s="1"/>
  <c r="U3929" i="2" s="1"/>
  <c r="U3930" i="2" s="1"/>
  <c r="R3922" i="2"/>
  <c r="S3921" i="2"/>
  <c r="S3922" i="2" s="1"/>
  <c r="S3923" i="2" s="1"/>
  <c r="S3924" i="2" s="1"/>
  <c r="S3925" i="2" s="1"/>
  <c r="S3926" i="2" s="1"/>
  <c r="S3927" i="2" s="1"/>
  <c r="S3928" i="2" s="1"/>
  <c r="S3929" i="2" s="1"/>
  <c r="S3930" i="2" s="1"/>
  <c r="R1979" i="2"/>
  <c r="U2121" i="2"/>
  <c r="S2121" i="2"/>
  <c r="R2122" i="2"/>
  <c r="S681" i="2"/>
  <c r="R682" i="2"/>
  <c r="U681" i="2"/>
  <c r="R4137" i="2"/>
  <c r="R3346" i="2"/>
  <c r="R3633" i="2"/>
  <c r="R3777" i="2"/>
  <c r="R2484" i="2"/>
  <c r="R4281" i="2"/>
  <c r="R2985" i="2"/>
  <c r="R3705" i="2"/>
  <c r="R3849" i="2"/>
  <c r="R2846" i="2"/>
  <c r="S2845" i="2"/>
  <c r="S2846" i="2" s="1"/>
  <c r="U2845" i="2"/>
  <c r="U2846" i="2" s="1"/>
  <c r="R2628" i="2"/>
  <c r="S2627" i="2"/>
  <c r="U2627" i="2"/>
  <c r="R2412" i="2"/>
  <c r="S2411" i="2"/>
  <c r="U2411" i="2"/>
  <c r="S1620" i="2"/>
  <c r="U1620" i="2"/>
  <c r="R1621" i="2"/>
  <c r="R1695" i="2"/>
  <c r="S1694" i="2"/>
  <c r="U1694" i="2"/>
  <c r="R1187" i="2"/>
  <c r="S1186" i="2"/>
  <c r="U1186" i="2"/>
  <c r="R3274" i="2"/>
  <c r="S3273" i="2"/>
  <c r="S3274" i="2" s="1"/>
  <c r="S3275" i="2" s="1"/>
  <c r="U3273" i="2"/>
  <c r="U3274" i="2" s="1"/>
  <c r="U3275" i="2" s="1"/>
  <c r="R3417" i="2"/>
  <c r="R107" i="2"/>
  <c r="S106" i="2"/>
  <c r="U106" i="2"/>
  <c r="U252" i="2"/>
  <c r="U322" i="2"/>
  <c r="U898" i="2"/>
  <c r="U182" i="2"/>
  <c r="U35" i="2"/>
  <c r="U826" i="2"/>
  <c r="U1116" i="2"/>
  <c r="U1330" i="2"/>
  <c r="U394" i="2"/>
  <c r="U466" i="2"/>
  <c r="U753" i="2"/>
  <c r="U754" i="2" s="1"/>
  <c r="U1401" i="2"/>
  <c r="R1043" i="2"/>
  <c r="S1042" i="2"/>
  <c r="U1042" i="2"/>
  <c r="R827" i="2"/>
  <c r="S826" i="2"/>
  <c r="R1117" i="2"/>
  <c r="S1116" i="2"/>
  <c r="R1331" i="2"/>
  <c r="S1330" i="2"/>
  <c r="R395" i="2"/>
  <c r="S394" i="2"/>
  <c r="S252" i="2"/>
  <c r="R253" i="2"/>
  <c r="S322" i="2"/>
  <c r="R323" i="2"/>
  <c r="S466" i="2"/>
  <c r="R467" i="2"/>
  <c r="S753" i="2"/>
  <c r="S754" i="2" s="1"/>
  <c r="R754" i="2"/>
  <c r="S898" i="2"/>
  <c r="R899" i="2"/>
  <c r="S1401" i="2"/>
  <c r="R1402" i="2"/>
  <c r="S35" i="2"/>
  <c r="R36" i="2"/>
  <c r="S182" i="2"/>
  <c r="R183" i="2"/>
  <c r="R1262" i="2" l="1"/>
  <c r="S1261" i="2"/>
  <c r="U4281" i="2"/>
  <c r="V4280" i="2"/>
  <c r="U2985" i="2"/>
  <c r="V2984" i="2"/>
  <c r="U3057" i="2"/>
  <c r="V3056" i="2"/>
  <c r="U2913" i="2"/>
  <c r="V2912" i="2"/>
  <c r="U3129" i="2"/>
  <c r="V3128" i="2"/>
  <c r="U1261" i="2"/>
  <c r="U1262" i="2" s="1"/>
  <c r="U3489" i="2"/>
  <c r="V3488" i="2"/>
  <c r="U3633" i="2"/>
  <c r="V3632" i="2"/>
  <c r="U3777" i="2"/>
  <c r="V3777" i="2" s="1"/>
  <c r="V3776" i="2"/>
  <c r="U4065" i="2"/>
  <c r="V4064" i="2"/>
  <c r="U2553" i="2"/>
  <c r="V2552" i="2"/>
  <c r="U1545" i="2"/>
  <c r="V1544" i="2"/>
  <c r="R538" i="2"/>
  <c r="S537" i="2"/>
  <c r="U537" i="2"/>
  <c r="V537" i="2" s="1"/>
  <c r="R610" i="2"/>
  <c r="U609" i="2"/>
  <c r="V609" i="2" s="1"/>
  <c r="S609" i="2"/>
  <c r="U4209" i="2"/>
  <c r="V4208" i="2"/>
  <c r="U3705" i="2"/>
  <c r="V3705" i="2" s="1"/>
  <c r="V3704" i="2"/>
  <c r="U3417" i="2"/>
  <c r="V3417" i="2" s="1"/>
  <c r="V3416" i="2"/>
  <c r="U3993" i="2"/>
  <c r="V3992" i="2"/>
  <c r="U3201" i="2"/>
  <c r="V3200" i="2"/>
  <c r="V33" i="2"/>
  <c r="T34" i="2"/>
  <c r="V105" i="2"/>
  <c r="T106" i="2"/>
  <c r="V177" i="2"/>
  <c r="T178" i="2"/>
  <c r="V249" i="2"/>
  <c r="T250" i="2"/>
  <c r="V321" i="2"/>
  <c r="T322" i="2"/>
  <c r="V393" i="2"/>
  <c r="T394" i="2"/>
  <c r="V465" i="2"/>
  <c r="T466" i="2"/>
  <c r="T538" i="2"/>
  <c r="T610" i="2"/>
  <c r="T3418" i="2"/>
  <c r="T3490" i="2"/>
  <c r="V3561" i="2"/>
  <c r="T3562" i="2"/>
  <c r="T3634" i="2"/>
  <c r="T3706" i="2"/>
  <c r="T3778" i="2"/>
  <c r="V3849" i="2"/>
  <c r="T3850" i="2"/>
  <c r="V3921" i="2"/>
  <c r="T3922" i="2"/>
  <c r="T3994" i="2"/>
  <c r="T4066" i="2"/>
  <c r="V4137" i="2"/>
  <c r="T4138" i="2"/>
  <c r="T4210" i="2"/>
  <c r="T4282" i="2"/>
  <c r="V681" i="2"/>
  <c r="T682" i="2"/>
  <c r="V753" i="2"/>
  <c r="T754" i="2"/>
  <c r="V825" i="2"/>
  <c r="T826" i="2"/>
  <c r="V897" i="2"/>
  <c r="T898" i="2"/>
  <c r="V969" i="2"/>
  <c r="T970" i="2"/>
  <c r="V1041" i="2"/>
  <c r="T1042" i="2"/>
  <c r="V1113" i="2"/>
  <c r="T1114" i="2"/>
  <c r="V1185" i="2"/>
  <c r="T1186" i="2"/>
  <c r="V1257" i="2"/>
  <c r="T1258" i="2"/>
  <c r="V1329" i="2"/>
  <c r="T1330" i="2"/>
  <c r="V1401" i="2"/>
  <c r="T1402" i="2"/>
  <c r="T1474" i="2"/>
  <c r="T1546" i="2"/>
  <c r="V1617" i="2"/>
  <c r="T1618" i="2"/>
  <c r="V1689" i="2"/>
  <c r="T1690" i="2"/>
  <c r="V1761" i="2"/>
  <c r="T1762" i="2"/>
  <c r="T1834" i="2"/>
  <c r="T1906" i="2"/>
  <c r="V1977" i="2"/>
  <c r="T1978" i="2"/>
  <c r="V2049" i="2"/>
  <c r="T2050" i="2"/>
  <c r="V2121" i="2"/>
  <c r="T2122" i="2"/>
  <c r="T2194" i="2"/>
  <c r="T2266" i="2"/>
  <c r="V2337" i="2"/>
  <c r="T2338" i="2"/>
  <c r="V2409" i="2"/>
  <c r="T2410" i="2"/>
  <c r="V2481" i="2"/>
  <c r="T2482" i="2"/>
  <c r="T2554" i="2"/>
  <c r="V2625" i="2"/>
  <c r="T2626" i="2"/>
  <c r="V2697" i="2"/>
  <c r="T2698" i="2"/>
  <c r="V2769" i="2"/>
  <c r="T2770" i="2"/>
  <c r="V2841" i="2"/>
  <c r="T2842" i="2"/>
  <c r="T2914" i="2"/>
  <c r="T2986" i="2"/>
  <c r="T3058" i="2"/>
  <c r="T3130" i="2"/>
  <c r="T3202" i="2"/>
  <c r="V3273" i="2"/>
  <c r="T3274" i="2"/>
  <c r="V3345" i="2"/>
  <c r="T3346" i="2"/>
  <c r="U2193" i="2"/>
  <c r="V2192" i="2"/>
  <c r="R1474" i="2"/>
  <c r="S1473" i="2"/>
  <c r="S1474" i="2" s="1"/>
  <c r="U1473" i="2"/>
  <c r="U1833" i="2"/>
  <c r="R1834" i="2"/>
  <c r="S1833" i="2"/>
  <c r="S1834" i="2" s="1"/>
  <c r="U2265" i="2"/>
  <c r="V2265" i="2" s="1"/>
  <c r="S2265" i="2"/>
  <c r="R2266" i="2"/>
  <c r="R3130" i="2"/>
  <c r="R971" i="2"/>
  <c r="R2194" i="2"/>
  <c r="R2914" i="2"/>
  <c r="R1546" i="2"/>
  <c r="R1906" i="2"/>
  <c r="S1905" i="2"/>
  <c r="U1905" i="2"/>
  <c r="V1905" i="2" s="1"/>
  <c r="R2554" i="2"/>
  <c r="R3202" i="2"/>
  <c r="R2699" i="2"/>
  <c r="R3490" i="2"/>
  <c r="R3994" i="2"/>
  <c r="U2050" i="2"/>
  <c r="R2051" i="2"/>
  <c r="S2050" i="2"/>
  <c r="R2340" i="2"/>
  <c r="U2339" i="2"/>
  <c r="U2340" i="2" s="1"/>
  <c r="S2339" i="2"/>
  <c r="S2340" i="2" s="1"/>
  <c r="S2770" i="2"/>
  <c r="U2770" i="2"/>
  <c r="R2771" i="2"/>
  <c r="R1763" i="2"/>
  <c r="S1762" i="2"/>
  <c r="S1763" i="2" s="1"/>
  <c r="U1762" i="2"/>
  <c r="U1763" i="2" s="1"/>
  <c r="R3058" i="2"/>
  <c r="R4066" i="2"/>
  <c r="R4210" i="2"/>
  <c r="R3563" i="2"/>
  <c r="R3923" i="2"/>
  <c r="U1979" i="2"/>
  <c r="R1980" i="2"/>
  <c r="S1979" i="2"/>
  <c r="R2123" i="2"/>
  <c r="S2122" i="2"/>
  <c r="U2122" i="2"/>
  <c r="S682" i="2"/>
  <c r="R683" i="2"/>
  <c r="U682" i="2"/>
  <c r="R4138" i="2"/>
  <c r="R3347" i="2"/>
  <c r="R3634" i="2"/>
  <c r="R3778" i="2"/>
  <c r="U2484" i="2"/>
  <c r="U2485" i="2" s="1"/>
  <c r="U2486" i="2" s="1"/>
  <c r="R2485" i="2"/>
  <c r="S2484" i="2"/>
  <c r="S2485" i="2" s="1"/>
  <c r="S2486" i="2" s="1"/>
  <c r="R4282" i="2"/>
  <c r="R2986" i="2"/>
  <c r="R3706" i="2"/>
  <c r="R3850" i="2"/>
  <c r="R2847" i="2"/>
  <c r="R2629" i="2"/>
  <c r="U2628" i="2"/>
  <c r="S2628" i="2"/>
  <c r="R2413" i="2"/>
  <c r="S2412" i="2"/>
  <c r="U2412" i="2"/>
  <c r="R1622" i="2"/>
  <c r="S1621" i="2"/>
  <c r="U1621" i="2"/>
  <c r="R1696" i="2"/>
  <c r="S1695" i="2"/>
  <c r="U1695" i="2"/>
  <c r="S1187" i="2"/>
  <c r="R1188" i="2"/>
  <c r="U1187" i="2"/>
  <c r="R3275" i="2"/>
  <c r="R3418" i="2"/>
  <c r="R108" i="2"/>
  <c r="S107" i="2"/>
  <c r="U107" i="2"/>
  <c r="U253" i="2"/>
  <c r="U323" i="2"/>
  <c r="R755" i="2"/>
  <c r="U899" i="2"/>
  <c r="U36" i="2"/>
  <c r="U183" i="2"/>
  <c r="U1402" i="2"/>
  <c r="U827" i="2"/>
  <c r="U1117" i="2"/>
  <c r="U1331" i="2"/>
  <c r="U467" i="2"/>
  <c r="U395" i="2"/>
  <c r="R1044" i="2"/>
  <c r="S1043" i="2"/>
  <c r="U1043" i="2"/>
  <c r="R828" i="2"/>
  <c r="S827" i="2"/>
  <c r="R1118" i="2"/>
  <c r="S1117" i="2"/>
  <c r="R1263" i="2"/>
  <c r="S1262" i="2"/>
  <c r="R1332" i="2"/>
  <c r="S1331" i="2"/>
  <c r="R396" i="2"/>
  <c r="S395" i="2"/>
  <c r="S253" i="2"/>
  <c r="R254" i="2"/>
  <c r="S323" i="2"/>
  <c r="R324" i="2"/>
  <c r="S467" i="2"/>
  <c r="R468" i="2"/>
  <c r="S899" i="2"/>
  <c r="R900" i="2"/>
  <c r="S1402" i="2"/>
  <c r="R1403" i="2"/>
  <c r="S36" i="2"/>
  <c r="R37" i="2"/>
  <c r="S183" i="2"/>
  <c r="R184" i="2"/>
  <c r="U4282" i="2" l="1"/>
  <c r="U4283" i="2" s="1"/>
  <c r="U4284" i="2" s="1"/>
  <c r="U4285" i="2" s="1"/>
  <c r="U4286" i="2" s="1"/>
  <c r="U4287" i="2" s="1"/>
  <c r="U4288" i="2" s="1"/>
  <c r="U4289" i="2" s="1"/>
  <c r="U4290" i="2" s="1"/>
  <c r="U4291" i="2" s="1"/>
  <c r="V4281" i="2"/>
  <c r="U2986" i="2"/>
  <c r="V2985" i="2"/>
  <c r="U3058" i="2"/>
  <c r="U3059" i="2" s="1"/>
  <c r="V3057" i="2"/>
  <c r="U2914" i="2"/>
  <c r="V2913" i="2"/>
  <c r="U3130" i="2"/>
  <c r="V3129" i="2"/>
  <c r="U3634" i="2"/>
  <c r="V3633" i="2"/>
  <c r="U2554" i="2"/>
  <c r="V2553" i="2"/>
  <c r="U3490" i="2"/>
  <c r="V3489" i="2"/>
  <c r="U4066" i="2"/>
  <c r="V4065" i="2"/>
  <c r="U1546" i="2"/>
  <c r="V1546" i="2" s="1"/>
  <c r="V1545" i="2"/>
  <c r="U3202" i="2"/>
  <c r="V3202" i="2" s="1"/>
  <c r="V3201" i="2"/>
  <c r="U4210" i="2"/>
  <c r="V4209" i="2"/>
  <c r="R539" i="2"/>
  <c r="S538" i="2"/>
  <c r="U538" i="2"/>
  <c r="V538" i="2" s="1"/>
  <c r="R611" i="2"/>
  <c r="S610" i="2"/>
  <c r="U610" i="2"/>
  <c r="V610" i="2" s="1"/>
  <c r="U3994" i="2"/>
  <c r="V3993" i="2"/>
  <c r="U755" i="2"/>
  <c r="U756" i="2" s="1"/>
  <c r="S755" i="2"/>
  <c r="S756" i="2" s="1"/>
  <c r="R756" i="2"/>
  <c r="R757" i="2" s="1"/>
  <c r="U2194" i="2"/>
  <c r="V2193" i="2"/>
  <c r="V34" i="2"/>
  <c r="T35" i="2"/>
  <c r="V106" i="2"/>
  <c r="T107" i="2"/>
  <c r="V178" i="2"/>
  <c r="T179" i="2"/>
  <c r="V250" i="2"/>
  <c r="T251" i="2"/>
  <c r="V322" i="2"/>
  <c r="T323" i="2"/>
  <c r="V394" i="2"/>
  <c r="T395" i="2"/>
  <c r="V466" i="2"/>
  <c r="T467" i="2"/>
  <c r="T539" i="2"/>
  <c r="T611" i="2"/>
  <c r="T3419" i="2"/>
  <c r="T3491" i="2"/>
  <c r="V3562" i="2"/>
  <c r="T3563" i="2"/>
  <c r="T3635" i="2"/>
  <c r="T3707" i="2"/>
  <c r="T3779" i="2"/>
  <c r="V3850" i="2"/>
  <c r="T3851" i="2"/>
  <c r="V3922" i="2"/>
  <c r="T3923" i="2"/>
  <c r="T3995" i="2"/>
  <c r="T4067" i="2"/>
  <c r="V4138" i="2"/>
  <c r="T4139" i="2"/>
  <c r="T4211" i="2"/>
  <c r="V4282" i="2"/>
  <c r="T4283" i="2"/>
  <c r="V682" i="2"/>
  <c r="T683" i="2"/>
  <c r="V754" i="2"/>
  <c r="T755" i="2"/>
  <c r="V826" i="2"/>
  <c r="T827" i="2"/>
  <c r="V898" i="2"/>
  <c r="T899" i="2"/>
  <c r="V970" i="2"/>
  <c r="T971" i="2"/>
  <c r="V1042" i="2"/>
  <c r="T1043" i="2"/>
  <c r="V1114" i="2"/>
  <c r="T1115" i="2"/>
  <c r="V1186" i="2"/>
  <c r="T1187" i="2"/>
  <c r="V1258" i="2"/>
  <c r="T1259" i="2"/>
  <c r="V1330" i="2"/>
  <c r="T1331" i="2"/>
  <c r="V1402" i="2"/>
  <c r="T1403" i="2"/>
  <c r="T1475" i="2"/>
  <c r="T1547" i="2"/>
  <c r="V1618" i="2"/>
  <c r="T1619" i="2"/>
  <c r="V1690" i="2"/>
  <c r="T1691" i="2"/>
  <c r="V1762" i="2"/>
  <c r="T1763" i="2"/>
  <c r="T1835" i="2"/>
  <c r="T1907" i="2"/>
  <c r="V1978" i="2"/>
  <c r="T1979" i="2"/>
  <c r="V2050" i="2"/>
  <c r="T2051" i="2"/>
  <c r="V2122" i="2"/>
  <c r="T2123" i="2"/>
  <c r="T2195" i="2"/>
  <c r="T2267" i="2"/>
  <c r="V2338" i="2"/>
  <c r="T2339" i="2"/>
  <c r="V2410" i="2"/>
  <c r="T2411" i="2"/>
  <c r="V2482" i="2"/>
  <c r="T2483" i="2"/>
  <c r="T2555" i="2"/>
  <c r="V2626" i="2"/>
  <c r="T2627" i="2"/>
  <c r="V2698" i="2"/>
  <c r="T2699" i="2"/>
  <c r="V2770" i="2"/>
  <c r="T2771" i="2"/>
  <c r="V2842" i="2"/>
  <c r="T2843" i="2"/>
  <c r="T2915" i="2"/>
  <c r="V2986" i="2"/>
  <c r="T2987" i="2"/>
  <c r="V3058" i="2"/>
  <c r="T3059" i="2"/>
  <c r="T3131" i="2"/>
  <c r="T3203" i="2"/>
  <c r="V3274" i="2"/>
  <c r="T3275" i="2"/>
  <c r="V3346" i="2"/>
  <c r="T3347" i="2"/>
  <c r="U1474" i="2"/>
  <c r="V1474" i="2" s="1"/>
  <c r="V1473" i="2"/>
  <c r="U1834" i="2"/>
  <c r="V1834" i="2" s="1"/>
  <c r="V1833" i="2"/>
  <c r="R1475" i="2"/>
  <c r="R1835" i="2"/>
  <c r="R2267" i="2"/>
  <c r="S2266" i="2"/>
  <c r="S2267" i="2" s="1"/>
  <c r="U2266" i="2"/>
  <c r="R3131" i="2"/>
  <c r="R972" i="2"/>
  <c r="S971" i="2"/>
  <c r="U971" i="2"/>
  <c r="R2195" i="2"/>
  <c r="R2915" i="2"/>
  <c r="R1547" i="2"/>
  <c r="S1906" i="2"/>
  <c r="U1906" i="2"/>
  <c r="V1906" i="2" s="1"/>
  <c r="R1907" i="2"/>
  <c r="R2555" i="2"/>
  <c r="R3203" i="2"/>
  <c r="R2700" i="2"/>
  <c r="R3491" i="2"/>
  <c r="R3995" i="2"/>
  <c r="U2051" i="2"/>
  <c r="R2052" i="2"/>
  <c r="S2051" i="2"/>
  <c r="R2341" i="2"/>
  <c r="R2772" i="2"/>
  <c r="S2771" i="2"/>
  <c r="U2771" i="2"/>
  <c r="R1764" i="2"/>
  <c r="R3059" i="2"/>
  <c r="R4067" i="2"/>
  <c r="R4211" i="2"/>
  <c r="R3564" i="2"/>
  <c r="R3924" i="2"/>
  <c r="S1980" i="2"/>
  <c r="U1980" i="2"/>
  <c r="R1981" i="2"/>
  <c r="R2124" i="2"/>
  <c r="U2123" i="2"/>
  <c r="S2123" i="2"/>
  <c r="U683" i="2"/>
  <c r="S683" i="2"/>
  <c r="R684" i="2"/>
  <c r="R4139" i="2"/>
  <c r="R3348" i="2"/>
  <c r="R3635" i="2"/>
  <c r="U3778" i="2"/>
  <c r="V3778" i="2" s="1"/>
  <c r="R3779" i="2"/>
  <c r="S3778" i="2"/>
  <c r="R2486" i="2"/>
  <c r="R4283" i="2"/>
  <c r="R2987" i="2"/>
  <c r="U3706" i="2"/>
  <c r="R3707" i="2"/>
  <c r="S3706" i="2"/>
  <c r="S3707" i="2" s="1"/>
  <c r="S3708" i="2" s="1"/>
  <c r="S3709" i="2" s="1"/>
  <c r="S3710" i="2" s="1"/>
  <c r="S3711" i="2" s="1"/>
  <c r="S3712" i="2" s="1"/>
  <c r="S3713" i="2" s="1"/>
  <c r="S3714" i="2" s="1"/>
  <c r="R3851" i="2"/>
  <c r="R2848" i="2"/>
  <c r="S2847" i="2"/>
  <c r="S2848" i="2" s="1"/>
  <c r="U2847" i="2"/>
  <c r="U2848" i="2" s="1"/>
  <c r="R2630" i="2"/>
  <c r="S2629" i="2"/>
  <c r="U2629" i="2"/>
  <c r="R2414" i="2"/>
  <c r="U2413" i="2"/>
  <c r="U2414" i="2" s="1"/>
  <c r="S2413" i="2"/>
  <c r="S2414" i="2" s="1"/>
  <c r="R1623" i="2"/>
  <c r="S1622" i="2"/>
  <c r="S1623" i="2" s="1"/>
  <c r="U1622" i="2"/>
  <c r="U1623" i="2" s="1"/>
  <c r="R1697" i="2"/>
  <c r="S1696" i="2"/>
  <c r="S1697" i="2" s="1"/>
  <c r="U1696" i="2"/>
  <c r="U1697" i="2" s="1"/>
  <c r="R1189" i="2"/>
  <c r="S1188" i="2"/>
  <c r="U1188" i="2"/>
  <c r="R3276" i="2"/>
  <c r="R3419" i="2"/>
  <c r="S3418" i="2"/>
  <c r="S3419" i="2" s="1"/>
  <c r="S3420" i="2" s="1"/>
  <c r="S3421" i="2" s="1"/>
  <c r="S3422" i="2" s="1"/>
  <c r="S3423" i="2" s="1"/>
  <c r="S3424" i="2" s="1"/>
  <c r="S3425" i="2" s="1"/>
  <c r="S3426" i="2" s="1"/>
  <c r="S3427" i="2" s="1"/>
  <c r="S3428" i="2" s="1"/>
  <c r="S3429" i="2" s="1"/>
  <c r="S3430" i="2" s="1"/>
  <c r="S3431" i="2" s="1"/>
  <c r="U3418" i="2"/>
  <c r="R109" i="2"/>
  <c r="S108" i="2"/>
  <c r="U108" i="2"/>
  <c r="U254" i="2"/>
  <c r="U324" i="2"/>
  <c r="U900" i="2"/>
  <c r="U1403" i="2"/>
  <c r="U37" i="2"/>
  <c r="U184" i="2"/>
  <c r="U1263" i="2"/>
  <c r="U468" i="2"/>
  <c r="U828" i="2"/>
  <c r="U1118" i="2"/>
  <c r="U1332" i="2"/>
  <c r="U396" i="2"/>
  <c r="S1044" i="2"/>
  <c r="R1045" i="2"/>
  <c r="U1044" i="2"/>
  <c r="R829" i="2"/>
  <c r="S828" i="2"/>
  <c r="R1119" i="2"/>
  <c r="S1118" i="2"/>
  <c r="R1264" i="2"/>
  <c r="S1263" i="2"/>
  <c r="R1333" i="2"/>
  <c r="S1332" i="2"/>
  <c r="R397" i="2"/>
  <c r="S396" i="2"/>
  <c r="S254" i="2"/>
  <c r="R255" i="2"/>
  <c r="S324" i="2"/>
  <c r="R325" i="2"/>
  <c r="S468" i="2"/>
  <c r="R469" i="2"/>
  <c r="S900" i="2"/>
  <c r="R901" i="2"/>
  <c r="S1403" i="2"/>
  <c r="R1404" i="2"/>
  <c r="S37" i="2"/>
  <c r="R38" i="2"/>
  <c r="S184" i="2"/>
  <c r="R185" i="2"/>
  <c r="U2915" i="2" l="1"/>
  <c r="V2915" i="2" s="1"/>
  <c r="V2914" i="2"/>
  <c r="U3131" i="2"/>
  <c r="V3130" i="2"/>
  <c r="U3635" i="2"/>
  <c r="V3634" i="2"/>
  <c r="U2555" i="2"/>
  <c r="V2555" i="2" s="1"/>
  <c r="V2554" i="2"/>
  <c r="U3491" i="2"/>
  <c r="V3491" i="2" s="1"/>
  <c r="V3490" i="2"/>
  <c r="U4067" i="2"/>
  <c r="V4066" i="2"/>
  <c r="U3995" i="2"/>
  <c r="V3994" i="2"/>
  <c r="U4211" i="2"/>
  <c r="V4210" i="2"/>
  <c r="U2195" i="2"/>
  <c r="V2195" i="2" s="1"/>
  <c r="V2194" i="2"/>
  <c r="R540" i="2"/>
  <c r="S539" i="2"/>
  <c r="U539" i="2"/>
  <c r="V539" i="2" s="1"/>
  <c r="R612" i="2"/>
  <c r="S611" i="2"/>
  <c r="U611" i="2"/>
  <c r="V611" i="2" s="1"/>
  <c r="V35" i="2"/>
  <c r="T36" i="2"/>
  <c r="V107" i="2"/>
  <c r="T108" i="2"/>
  <c r="V179" i="2"/>
  <c r="T180" i="2"/>
  <c r="V251" i="2"/>
  <c r="T252" i="2"/>
  <c r="V323" i="2"/>
  <c r="T324" i="2"/>
  <c r="V395" i="2"/>
  <c r="T396" i="2"/>
  <c r="V467" i="2"/>
  <c r="T468" i="2"/>
  <c r="T540" i="2"/>
  <c r="T612" i="2"/>
  <c r="T3420" i="2"/>
  <c r="T3492" i="2"/>
  <c r="V3563" i="2"/>
  <c r="T3564" i="2"/>
  <c r="T3636" i="2"/>
  <c r="T3708" i="2"/>
  <c r="T3780" i="2"/>
  <c r="V3851" i="2"/>
  <c r="T3852" i="2"/>
  <c r="V3923" i="2"/>
  <c r="T3924" i="2"/>
  <c r="T3996" i="2"/>
  <c r="T4068" i="2"/>
  <c r="T4140" i="2"/>
  <c r="T4212" i="2"/>
  <c r="V4283" i="2"/>
  <c r="T4284" i="2"/>
  <c r="V683" i="2"/>
  <c r="T684" i="2"/>
  <c r="V755" i="2"/>
  <c r="T756" i="2"/>
  <c r="V827" i="2"/>
  <c r="T828" i="2"/>
  <c r="V899" i="2"/>
  <c r="T900" i="2"/>
  <c r="V971" i="2"/>
  <c r="T972" i="2"/>
  <c r="V1043" i="2"/>
  <c r="T1044" i="2"/>
  <c r="V1115" i="2"/>
  <c r="T1116" i="2"/>
  <c r="V1187" i="2"/>
  <c r="T1188" i="2"/>
  <c r="V1259" i="2"/>
  <c r="T1260" i="2"/>
  <c r="V1331" i="2"/>
  <c r="T1332" i="2"/>
  <c r="V1403" i="2"/>
  <c r="T1404" i="2"/>
  <c r="T1476" i="2"/>
  <c r="T1548" i="2"/>
  <c r="V1619" i="2"/>
  <c r="T1620" i="2"/>
  <c r="V1691" i="2"/>
  <c r="T1692" i="2"/>
  <c r="V1763" i="2"/>
  <c r="T1764" i="2"/>
  <c r="T1836" i="2"/>
  <c r="T1908" i="2"/>
  <c r="V1979" i="2"/>
  <c r="T1980" i="2"/>
  <c r="V2051" i="2"/>
  <c r="T2052" i="2"/>
  <c r="V2123" i="2"/>
  <c r="T2124" i="2"/>
  <c r="T2196" i="2"/>
  <c r="T2268" i="2"/>
  <c r="V2339" i="2"/>
  <c r="T2340" i="2"/>
  <c r="V2411" i="2"/>
  <c r="T2412" i="2"/>
  <c r="V2483" i="2"/>
  <c r="T2484" i="2"/>
  <c r="T2556" i="2"/>
  <c r="V2627" i="2"/>
  <c r="T2628" i="2"/>
  <c r="V2699" i="2"/>
  <c r="T2700" i="2"/>
  <c r="V2771" i="2"/>
  <c r="T2772" i="2"/>
  <c r="V2843" i="2"/>
  <c r="T2844" i="2"/>
  <c r="T2916" i="2"/>
  <c r="T2988" i="2"/>
  <c r="V3059" i="2"/>
  <c r="T3060" i="2"/>
  <c r="T3132" i="2"/>
  <c r="T3204" i="2"/>
  <c r="V3275" i="2"/>
  <c r="T3276" i="2"/>
  <c r="V3347" i="2"/>
  <c r="T3348" i="2"/>
  <c r="U2267" i="2"/>
  <c r="V2267" i="2" s="1"/>
  <c r="V2266" i="2"/>
  <c r="U3707" i="2"/>
  <c r="V3706" i="2"/>
  <c r="U3419" i="2"/>
  <c r="V3418" i="2"/>
  <c r="U757" i="2"/>
  <c r="S757" i="2"/>
  <c r="R758" i="2"/>
  <c r="U3779" i="2"/>
  <c r="R1476" i="2"/>
  <c r="S1475" i="2"/>
  <c r="U1475" i="2"/>
  <c r="V1475" i="2" s="1"/>
  <c r="U1835" i="2"/>
  <c r="V1835" i="2" s="1"/>
  <c r="R1836" i="2"/>
  <c r="S1835" i="2"/>
  <c r="R2268" i="2"/>
  <c r="R3132" i="2"/>
  <c r="R973" i="2"/>
  <c r="S972" i="2"/>
  <c r="U972" i="2"/>
  <c r="R2196" i="2"/>
  <c r="R2916" i="2"/>
  <c r="S1547" i="2"/>
  <c r="S1548" i="2" s="1"/>
  <c r="S1549" i="2" s="1"/>
  <c r="S1550" i="2" s="1"/>
  <c r="S1551" i="2" s="1"/>
  <c r="S1552" i="2" s="1"/>
  <c r="R1548" i="2"/>
  <c r="U1547" i="2"/>
  <c r="R1908" i="2"/>
  <c r="S1907" i="2"/>
  <c r="S1908" i="2" s="1"/>
  <c r="U1907" i="2"/>
  <c r="R2556" i="2"/>
  <c r="U3203" i="2"/>
  <c r="R3204" i="2"/>
  <c r="S3203" i="2"/>
  <c r="S3204" i="2" s="1"/>
  <c r="R2701" i="2"/>
  <c r="R3492" i="2"/>
  <c r="R3996" i="2"/>
  <c r="U2052" i="2"/>
  <c r="U2053" i="2" s="1"/>
  <c r="R2053" i="2"/>
  <c r="S2052" i="2"/>
  <c r="S2053" i="2" s="1"/>
  <c r="U2341" i="2"/>
  <c r="R2342" i="2"/>
  <c r="S2341" i="2"/>
  <c r="R2773" i="2"/>
  <c r="S2772" i="2"/>
  <c r="U2772" i="2"/>
  <c r="U1764" i="2"/>
  <c r="U1765" i="2" s="1"/>
  <c r="R1765" i="2"/>
  <c r="S1764" i="2"/>
  <c r="S1765" i="2" s="1"/>
  <c r="R3060" i="2"/>
  <c r="R4068" i="2"/>
  <c r="R4212" i="2"/>
  <c r="R3565" i="2"/>
  <c r="R3925" i="2"/>
  <c r="R1982" i="2"/>
  <c r="S1981" i="2"/>
  <c r="U1981" i="2"/>
  <c r="U2124" i="2"/>
  <c r="R2125" i="2"/>
  <c r="S2124" i="2"/>
  <c r="S684" i="2"/>
  <c r="R685" i="2"/>
  <c r="U684" i="2"/>
  <c r="U4139" i="2"/>
  <c r="R4140" i="2"/>
  <c r="S4139" i="2"/>
  <c r="S4140" i="2" s="1"/>
  <c r="S4141" i="2" s="1"/>
  <c r="S4142" i="2" s="1"/>
  <c r="S4143" i="2" s="1"/>
  <c r="S4144" i="2" s="1"/>
  <c r="S4145" i="2" s="1"/>
  <c r="S4146" i="2" s="1"/>
  <c r="R3349" i="2"/>
  <c r="R3636" i="2"/>
  <c r="R3780" i="2"/>
  <c r="S3779" i="2"/>
  <c r="S3780" i="2" s="1"/>
  <c r="S3781" i="2" s="1"/>
  <c r="S3782" i="2" s="1"/>
  <c r="R2487" i="2"/>
  <c r="R4284" i="2"/>
  <c r="S2987" i="2"/>
  <c r="S2988" i="2" s="1"/>
  <c r="S2989" i="2" s="1"/>
  <c r="S2990" i="2" s="1"/>
  <c r="S2991" i="2" s="1"/>
  <c r="R2988" i="2"/>
  <c r="U2987" i="2"/>
  <c r="R3708" i="2"/>
  <c r="R3852" i="2"/>
  <c r="R2849" i="2"/>
  <c r="R2631" i="2"/>
  <c r="S2630" i="2"/>
  <c r="U2630" i="2"/>
  <c r="R2415" i="2"/>
  <c r="R1624" i="2"/>
  <c r="R1698" i="2"/>
  <c r="R1190" i="2"/>
  <c r="S1189" i="2"/>
  <c r="U1189" i="2"/>
  <c r="U3276" i="2"/>
  <c r="U3277" i="2" s="1"/>
  <c r="U3278" i="2" s="1"/>
  <c r="U3279" i="2" s="1"/>
  <c r="U3280" i="2" s="1"/>
  <c r="U3281" i="2" s="1"/>
  <c r="U3282" i="2" s="1"/>
  <c r="U3283" i="2" s="1"/>
  <c r="U3284" i="2" s="1"/>
  <c r="U3285" i="2" s="1"/>
  <c r="U3286" i="2" s="1"/>
  <c r="U3287" i="2" s="1"/>
  <c r="U3288" i="2" s="1"/>
  <c r="U3289" i="2" s="1"/>
  <c r="R3277" i="2"/>
  <c r="S3276" i="2"/>
  <c r="S3277" i="2" s="1"/>
  <c r="S3278" i="2" s="1"/>
  <c r="S3279" i="2" s="1"/>
  <c r="S3280" i="2" s="1"/>
  <c r="S3281" i="2" s="1"/>
  <c r="S3282" i="2" s="1"/>
  <c r="S3283" i="2" s="1"/>
  <c r="S3284" i="2" s="1"/>
  <c r="S3285" i="2" s="1"/>
  <c r="S3286" i="2" s="1"/>
  <c r="S3287" i="2" s="1"/>
  <c r="S3288" i="2" s="1"/>
  <c r="S3289" i="2" s="1"/>
  <c r="R3420" i="2"/>
  <c r="R110" i="2"/>
  <c r="S109" i="2"/>
  <c r="U109" i="2"/>
  <c r="U255" i="2"/>
  <c r="U325" i="2"/>
  <c r="U901" i="2"/>
  <c r="U1404" i="2"/>
  <c r="U38" i="2"/>
  <c r="U185" i="2"/>
  <c r="U829" i="2"/>
  <c r="U1333" i="2"/>
  <c r="U469" i="2"/>
  <c r="U1119" i="2"/>
  <c r="U1264" i="2"/>
  <c r="U397" i="2"/>
  <c r="S1045" i="2"/>
  <c r="R1046" i="2"/>
  <c r="U1045" i="2"/>
  <c r="R830" i="2"/>
  <c r="S829" i="2"/>
  <c r="R1120" i="2"/>
  <c r="S1119" i="2"/>
  <c r="S1264" i="2"/>
  <c r="R1265" i="2"/>
  <c r="R1334" i="2"/>
  <c r="S1333" i="2"/>
  <c r="R398" i="2"/>
  <c r="S397" i="2"/>
  <c r="S255" i="2"/>
  <c r="R256" i="2"/>
  <c r="S325" i="2"/>
  <c r="R326" i="2"/>
  <c r="S469" i="2"/>
  <c r="R470" i="2"/>
  <c r="S901" i="2"/>
  <c r="R902" i="2"/>
  <c r="S1404" i="2"/>
  <c r="R1405" i="2"/>
  <c r="S38" i="2"/>
  <c r="R39" i="2"/>
  <c r="S185" i="2"/>
  <c r="R186" i="2"/>
  <c r="U3636" i="2" l="1"/>
  <c r="U3637" i="2" s="1"/>
  <c r="U3638" i="2" s="1"/>
  <c r="U3639" i="2" s="1"/>
  <c r="V3635" i="2"/>
  <c r="U3132" i="2"/>
  <c r="U3133" i="2" s="1"/>
  <c r="U3134" i="2" s="1"/>
  <c r="U3135" i="2" s="1"/>
  <c r="V3131" i="2"/>
  <c r="U4068" i="2"/>
  <c r="V4067" i="2"/>
  <c r="U3996" i="2"/>
  <c r="V3995" i="2"/>
  <c r="U4212" i="2"/>
  <c r="V4211" i="2"/>
  <c r="U3780" i="2"/>
  <c r="V3779" i="2"/>
  <c r="R541" i="2"/>
  <c r="S540" i="2"/>
  <c r="U540" i="2"/>
  <c r="V540" i="2" s="1"/>
  <c r="R613" i="2"/>
  <c r="S612" i="2"/>
  <c r="U612" i="2"/>
  <c r="V612" i="2" s="1"/>
  <c r="U4140" i="2"/>
  <c r="V4139" i="2"/>
  <c r="U758" i="2"/>
  <c r="U1908" i="2"/>
  <c r="V1908" i="2" s="1"/>
  <c r="V1907" i="2"/>
  <c r="U3204" i="2"/>
  <c r="V3204" i="2" s="1"/>
  <c r="V3203" i="2"/>
  <c r="U3420" i="2"/>
  <c r="V3419" i="2"/>
  <c r="U3708" i="2"/>
  <c r="V3707" i="2"/>
  <c r="V36" i="2"/>
  <c r="T37" i="2"/>
  <c r="V108" i="2"/>
  <c r="T109" i="2"/>
  <c r="V180" i="2"/>
  <c r="T181" i="2"/>
  <c r="V252" i="2"/>
  <c r="T253" i="2"/>
  <c r="V324" i="2"/>
  <c r="T325" i="2"/>
  <c r="V396" i="2"/>
  <c r="T397" i="2"/>
  <c r="V468" i="2"/>
  <c r="T469" i="2"/>
  <c r="T541" i="2"/>
  <c r="T613" i="2"/>
  <c r="T3421" i="2"/>
  <c r="T3493" i="2"/>
  <c r="V3564" i="2"/>
  <c r="T3565" i="2"/>
  <c r="V3636" i="2"/>
  <c r="T3637" i="2"/>
  <c r="T3709" i="2"/>
  <c r="T3781" i="2"/>
  <c r="V3852" i="2"/>
  <c r="T3853" i="2"/>
  <c r="V3924" i="2"/>
  <c r="T3925" i="2"/>
  <c r="T3997" i="2"/>
  <c r="T4069" i="2"/>
  <c r="T4141" i="2"/>
  <c r="T4213" i="2"/>
  <c r="V4284" i="2"/>
  <c r="T4285" i="2"/>
  <c r="V684" i="2"/>
  <c r="T685" i="2"/>
  <c r="V756" i="2"/>
  <c r="T757" i="2"/>
  <c r="V828" i="2"/>
  <c r="T829" i="2"/>
  <c r="V900" i="2"/>
  <c r="T901" i="2"/>
  <c r="V972" i="2"/>
  <c r="T973" i="2"/>
  <c r="V1044" i="2"/>
  <c r="T1045" i="2"/>
  <c r="V1116" i="2"/>
  <c r="T1117" i="2"/>
  <c r="V1188" i="2"/>
  <c r="T1189" i="2"/>
  <c r="V1260" i="2"/>
  <c r="T1261" i="2"/>
  <c r="V1332" i="2"/>
  <c r="T1333" i="2"/>
  <c r="V1404" i="2"/>
  <c r="T1405" i="2"/>
  <c r="T1477" i="2"/>
  <c r="T1549" i="2"/>
  <c r="V1620" i="2"/>
  <c r="T1621" i="2"/>
  <c r="V1692" i="2"/>
  <c r="T1693" i="2"/>
  <c r="V1764" i="2"/>
  <c r="T1765" i="2"/>
  <c r="T1837" i="2"/>
  <c r="T1909" i="2"/>
  <c r="V1980" i="2"/>
  <c r="T1981" i="2"/>
  <c r="V2052" i="2"/>
  <c r="T2053" i="2"/>
  <c r="V2124" i="2"/>
  <c r="T2125" i="2"/>
  <c r="T2197" i="2"/>
  <c r="T2269" i="2"/>
  <c r="V2340" i="2"/>
  <c r="T2341" i="2"/>
  <c r="V2412" i="2"/>
  <c r="T2413" i="2"/>
  <c r="V2484" i="2"/>
  <c r="T2485" i="2"/>
  <c r="T2557" i="2"/>
  <c r="V2628" i="2"/>
  <c r="T2629" i="2"/>
  <c r="V2700" i="2"/>
  <c r="T2701" i="2"/>
  <c r="V2772" i="2"/>
  <c r="T2773" i="2"/>
  <c r="V2844" i="2"/>
  <c r="T2845" i="2"/>
  <c r="T2917" i="2"/>
  <c r="T2989" i="2"/>
  <c r="T3061" i="2"/>
  <c r="V3132" i="2"/>
  <c r="T3133" i="2"/>
  <c r="T3205" i="2"/>
  <c r="V3276" i="2"/>
  <c r="T3277" i="2"/>
  <c r="V3348" i="2"/>
  <c r="T3349" i="2"/>
  <c r="U1548" i="2"/>
  <c r="V1547" i="2"/>
  <c r="U2988" i="2"/>
  <c r="V2987" i="2"/>
  <c r="S758" i="2"/>
  <c r="R759" i="2"/>
  <c r="R1477" i="2"/>
  <c r="S1476" i="2"/>
  <c r="U1476" i="2"/>
  <c r="V1476" i="2" s="1"/>
  <c r="R1837" i="2"/>
  <c r="S1836" i="2"/>
  <c r="S1837" i="2" s="1"/>
  <c r="S2268" i="2"/>
  <c r="R2269" i="2"/>
  <c r="U2268" i="2"/>
  <c r="V2268" i="2" s="1"/>
  <c r="R3133" i="2"/>
  <c r="R974" i="2"/>
  <c r="S973" i="2"/>
  <c r="U973" i="2"/>
  <c r="S2196" i="2"/>
  <c r="S2197" i="2" s="1"/>
  <c r="R2197" i="2"/>
  <c r="U2196" i="2"/>
  <c r="U2916" i="2"/>
  <c r="R2917" i="2"/>
  <c r="S2916" i="2"/>
  <c r="S2917" i="2" s="1"/>
  <c r="S2918" i="2" s="1"/>
  <c r="S2919" i="2" s="1"/>
  <c r="S2920" i="2" s="1"/>
  <c r="S2921" i="2" s="1"/>
  <c r="S2922" i="2" s="1"/>
  <c r="S2923" i="2" s="1"/>
  <c r="S2924" i="2" s="1"/>
  <c r="R1549" i="2"/>
  <c r="R1909" i="2"/>
  <c r="R2557" i="2"/>
  <c r="S2556" i="2"/>
  <c r="U2556" i="2"/>
  <c r="V2556" i="2" s="1"/>
  <c r="R3205" i="2"/>
  <c r="R2702" i="2"/>
  <c r="S2701" i="2"/>
  <c r="U2701" i="2"/>
  <c r="S3492" i="2"/>
  <c r="S3493" i="2" s="1"/>
  <c r="S3494" i="2" s="1"/>
  <c r="S3495" i="2" s="1"/>
  <c r="S3496" i="2" s="1"/>
  <c r="R3493" i="2"/>
  <c r="U3492" i="2"/>
  <c r="R3997" i="2"/>
  <c r="R2054" i="2"/>
  <c r="R2343" i="2"/>
  <c r="S2342" i="2"/>
  <c r="U2342" i="2"/>
  <c r="R2774" i="2"/>
  <c r="S2773" i="2"/>
  <c r="S2774" i="2" s="1"/>
  <c r="S2775" i="2" s="1"/>
  <c r="S2776" i="2" s="1"/>
  <c r="U2773" i="2"/>
  <c r="U2774" i="2" s="1"/>
  <c r="U2775" i="2" s="1"/>
  <c r="U2776" i="2" s="1"/>
  <c r="R1766" i="2"/>
  <c r="R3061" i="2"/>
  <c r="S3060" i="2"/>
  <c r="S3061" i="2" s="1"/>
  <c r="S3062" i="2" s="1"/>
  <c r="S3063" i="2" s="1"/>
  <c r="S3064" i="2" s="1"/>
  <c r="S3065" i="2" s="1"/>
  <c r="S3066" i="2" s="1"/>
  <c r="U3060" i="2"/>
  <c r="R4069" i="2"/>
  <c r="R4213" i="2"/>
  <c r="R3566" i="2"/>
  <c r="R3926" i="2"/>
  <c r="R1983" i="2"/>
  <c r="S1982" i="2"/>
  <c r="U1982" i="2"/>
  <c r="S2125" i="2"/>
  <c r="S2126" i="2" s="1"/>
  <c r="U2125" i="2"/>
  <c r="U2126" i="2" s="1"/>
  <c r="R2126" i="2"/>
  <c r="S685" i="2"/>
  <c r="R686" i="2"/>
  <c r="U685" i="2"/>
  <c r="R4141" i="2"/>
  <c r="R3350" i="2"/>
  <c r="R3637" i="2"/>
  <c r="R3781" i="2"/>
  <c r="U2487" i="2"/>
  <c r="R2488" i="2"/>
  <c r="S2487" i="2"/>
  <c r="R4285" i="2"/>
  <c r="R2989" i="2"/>
  <c r="R3709" i="2"/>
  <c r="R3853" i="2"/>
  <c r="R2850" i="2"/>
  <c r="S2849" i="2"/>
  <c r="U2849" i="2"/>
  <c r="R2632" i="2"/>
  <c r="S2631" i="2"/>
  <c r="U2631" i="2"/>
  <c r="R2416" i="2"/>
  <c r="S2415" i="2"/>
  <c r="S2416" i="2" s="1"/>
  <c r="U2415" i="2"/>
  <c r="U2416" i="2" s="1"/>
  <c r="R1625" i="2"/>
  <c r="S1624" i="2"/>
  <c r="S1625" i="2" s="1"/>
  <c r="U1624" i="2"/>
  <c r="U1625" i="2" s="1"/>
  <c r="U1698" i="2"/>
  <c r="R1699" i="2"/>
  <c r="S1698" i="2"/>
  <c r="R1191" i="2"/>
  <c r="S1190" i="2"/>
  <c r="U1190" i="2"/>
  <c r="R3278" i="2"/>
  <c r="R3421" i="2"/>
  <c r="R111" i="2"/>
  <c r="S110" i="2"/>
  <c r="U110" i="2"/>
  <c r="U1836" i="2"/>
  <c r="U256" i="2"/>
  <c r="U326" i="2"/>
  <c r="U470" i="2"/>
  <c r="U902" i="2"/>
  <c r="U1405" i="2"/>
  <c r="U39" i="2"/>
  <c r="U186" i="2"/>
  <c r="U830" i="2"/>
  <c r="U1120" i="2"/>
  <c r="U1265" i="2"/>
  <c r="U1334" i="2"/>
  <c r="U398" i="2"/>
  <c r="S1046" i="2"/>
  <c r="R1047" i="2"/>
  <c r="U1046" i="2"/>
  <c r="R831" i="2"/>
  <c r="S830" i="2"/>
  <c r="R1121" i="2"/>
  <c r="S1120" i="2"/>
  <c r="R1266" i="2"/>
  <c r="S1265" i="2"/>
  <c r="R1335" i="2"/>
  <c r="S1334" i="2"/>
  <c r="R399" i="2"/>
  <c r="S398" i="2"/>
  <c r="S256" i="2"/>
  <c r="R257" i="2"/>
  <c r="S326" i="2"/>
  <c r="R327" i="2"/>
  <c r="S470" i="2"/>
  <c r="R471" i="2"/>
  <c r="S902" i="2"/>
  <c r="R903" i="2"/>
  <c r="S1405" i="2"/>
  <c r="R1406" i="2"/>
  <c r="S39" i="2"/>
  <c r="R40" i="2"/>
  <c r="S186" i="2"/>
  <c r="R187" i="2"/>
  <c r="U4069" i="2" l="1"/>
  <c r="V4068" i="2"/>
  <c r="U3997" i="2"/>
  <c r="U3998" i="2" s="1"/>
  <c r="U3999" i="2" s="1"/>
  <c r="U4000" i="2" s="1"/>
  <c r="U4001" i="2" s="1"/>
  <c r="U4002" i="2" s="1"/>
  <c r="U4003" i="2" s="1"/>
  <c r="U4004" i="2" s="1"/>
  <c r="U4005" i="2" s="1"/>
  <c r="V3996" i="2"/>
  <c r="U4213" i="2"/>
  <c r="V4212" i="2"/>
  <c r="U3781" i="2"/>
  <c r="V3780" i="2"/>
  <c r="U759" i="2"/>
  <c r="U4141" i="2"/>
  <c r="V4140" i="2"/>
  <c r="U3421" i="2"/>
  <c r="V3420" i="2"/>
  <c r="U3709" i="2"/>
  <c r="V3708" i="2"/>
  <c r="U541" i="2"/>
  <c r="V541" i="2" s="1"/>
  <c r="S541" i="2"/>
  <c r="R542" i="2"/>
  <c r="R614" i="2"/>
  <c r="U613" i="2"/>
  <c r="V613" i="2" s="1"/>
  <c r="S613" i="2"/>
  <c r="U1549" i="2"/>
  <c r="V1548" i="2"/>
  <c r="U2989" i="2"/>
  <c r="V2988" i="2"/>
  <c r="U3061" i="2"/>
  <c r="V3060" i="2"/>
  <c r="V37" i="2"/>
  <c r="T38" i="2"/>
  <c r="V109" i="2"/>
  <c r="T110" i="2"/>
  <c r="V181" i="2"/>
  <c r="T182" i="2"/>
  <c r="V253" i="2"/>
  <c r="T254" i="2"/>
  <c r="V325" i="2"/>
  <c r="T326" i="2"/>
  <c r="V397" i="2"/>
  <c r="T398" i="2"/>
  <c r="V469" i="2"/>
  <c r="T470" i="2"/>
  <c r="T542" i="2"/>
  <c r="T614" i="2"/>
  <c r="T3422" i="2"/>
  <c r="T3494" i="2"/>
  <c r="V3565" i="2"/>
  <c r="T3566" i="2"/>
  <c r="V3637" i="2"/>
  <c r="T3638" i="2"/>
  <c r="T3710" i="2"/>
  <c r="T3782" i="2"/>
  <c r="T3854" i="2"/>
  <c r="V3925" i="2"/>
  <c r="T3926" i="2"/>
  <c r="V3997" i="2"/>
  <c r="T3998" i="2"/>
  <c r="V4069" i="2"/>
  <c r="T4070" i="2"/>
  <c r="T4142" i="2"/>
  <c r="T4214" i="2"/>
  <c r="V4285" i="2"/>
  <c r="T4286" i="2"/>
  <c r="V685" i="2"/>
  <c r="T686" i="2"/>
  <c r="V757" i="2"/>
  <c r="T758" i="2"/>
  <c r="V829" i="2"/>
  <c r="T830" i="2"/>
  <c r="V901" i="2"/>
  <c r="T902" i="2"/>
  <c r="V973" i="2"/>
  <c r="T974" i="2"/>
  <c r="V1045" i="2"/>
  <c r="T1046" i="2"/>
  <c r="V1117" i="2"/>
  <c r="T1118" i="2"/>
  <c r="V1189" i="2"/>
  <c r="T1190" i="2"/>
  <c r="V1261" i="2"/>
  <c r="T1262" i="2"/>
  <c r="V1333" i="2"/>
  <c r="T1334" i="2"/>
  <c r="V1405" i="2"/>
  <c r="T1406" i="2"/>
  <c r="T1478" i="2"/>
  <c r="T1550" i="2"/>
  <c r="V1621" i="2"/>
  <c r="T1622" i="2"/>
  <c r="V1693" i="2"/>
  <c r="T1694" i="2"/>
  <c r="V1765" i="2"/>
  <c r="T1766" i="2"/>
  <c r="T1838" i="2"/>
  <c r="T1910" i="2"/>
  <c r="V1981" i="2"/>
  <c r="T1982" i="2"/>
  <c r="V2053" i="2"/>
  <c r="T2054" i="2"/>
  <c r="V2125" i="2"/>
  <c r="T2126" i="2"/>
  <c r="T2198" i="2"/>
  <c r="T2270" i="2"/>
  <c r="V2341" i="2"/>
  <c r="T2342" i="2"/>
  <c r="V2413" i="2"/>
  <c r="T2414" i="2"/>
  <c r="V2485" i="2"/>
  <c r="T2486" i="2"/>
  <c r="T2558" i="2"/>
  <c r="V2629" i="2"/>
  <c r="T2630" i="2"/>
  <c r="V2701" i="2"/>
  <c r="T2702" i="2"/>
  <c r="V2773" i="2"/>
  <c r="T2774" i="2"/>
  <c r="V2845" i="2"/>
  <c r="T2846" i="2"/>
  <c r="T2918" i="2"/>
  <c r="T2990" i="2"/>
  <c r="T3062" i="2"/>
  <c r="V3133" i="2"/>
  <c r="T3134" i="2"/>
  <c r="T3206" i="2"/>
  <c r="V3277" i="2"/>
  <c r="T3278" i="2"/>
  <c r="V3349" i="2"/>
  <c r="T3350" i="2"/>
  <c r="U2197" i="2"/>
  <c r="V2197" i="2" s="1"/>
  <c r="V2196" i="2"/>
  <c r="U2917" i="2"/>
  <c r="V2916" i="2"/>
  <c r="U3493" i="2"/>
  <c r="V3492" i="2"/>
  <c r="U1837" i="2"/>
  <c r="V1837" i="2" s="1"/>
  <c r="V1836" i="2"/>
  <c r="S759" i="2"/>
  <c r="R760" i="2"/>
  <c r="U2488" i="2"/>
  <c r="R1478" i="2"/>
  <c r="S1477" i="2"/>
  <c r="U1477" i="2"/>
  <c r="V1477" i="2" s="1"/>
  <c r="R1838" i="2"/>
  <c r="S2269" i="2"/>
  <c r="R2270" i="2"/>
  <c r="U2269" i="2"/>
  <c r="V2269" i="2" s="1"/>
  <c r="R3134" i="2"/>
  <c r="R975" i="2"/>
  <c r="S974" i="2"/>
  <c r="U974" i="2"/>
  <c r="R2198" i="2"/>
  <c r="R2918" i="2"/>
  <c r="R1550" i="2"/>
  <c r="R1910" i="2"/>
  <c r="S1909" i="2"/>
  <c r="U1909" i="2"/>
  <c r="V1909" i="2" s="1"/>
  <c r="U2557" i="2"/>
  <c r="V2557" i="2" s="1"/>
  <c r="S2557" i="2"/>
  <c r="R2558" i="2"/>
  <c r="U3205" i="2"/>
  <c r="R3206" i="2"/>
  <c r="S3205" i="2"/>
  <c r="S3206" i="2" s="1"/>
  <c r="S3207" i="2" s="1"/>
  <c r="U2702" i="2"/>
  <c r="U2703" i="2" s="1"/>
  <c r="S2702" i="2"/>
  <c r="S2703" i="2" s="1"/>
  <c r="R2703" i="2"/>
  <c r="R3494" i="2"/>
  <c r="R3998" i="2"/>
  <c r="R2055" i="2"/>
  <c r="U2054" i="2"/>
  <c r="U2055" i="2" s="1"/>
  <c r="S2054" i="2"/>
  <c r="S2055" i="2" s="1"/>
  <c r="R2344" i="2"/>
  <c r="S2343" i="2"/>
  <c r="S2344" i="2" s="1"/>
  <c r="S2345" i="2" s="1"/>
  <c r="U2343" i="2"/>
  <c r="U2344" i="2" s="1"/>
  <c r="U2345" i="2" s="1"/>
  <c r="R2775" i="2"/>
  <c r="U1766" i="2"/>
  <c r="U1767" i="2" s="1"/>
  <c r="R1767" i="2"/>
  <c r="S1766" i="2"/>
  <c r="S1767" i="2" s="1"/>
  <c r="R3062" i="2"/>
  <c r="R4070" i="2"/>
  <c r="R4214" i="2"/>
  <c r="R3567" i="2"/>
  <c r="R3927" i="2"/>
  <c r="R1984" i="2"/>
  <c r="S1983" i="2"/>
  <c r="U1983" i="2"/>
  <c r="R2127" i="2"/>
  <c r="R687" i="2"/>
  <c r="S686" i="2"/>
  <c r="U686" i="2"/>
  <c r="R4142" i="2"/>
  <c r="R3351" i="2"/>
  <c r="R3638" i="2"/>
  <c r="R3782" i="2"/>
  <c r="S2488" i="2"/>
  <c r="R2489" i="2"/>
  <c r="R4286" i="2"/>
  <c r="R2990" i="2"/>
  <c r="R3710" i="2"/>
  <c r="R3854" i="2"/>
  <c r="S3853" i="2"/>
  <c r="S3854" i="2" s="1"/>
  <c r="S3855" i="2" s="1"/>
  <c r="S3856" i="2" s="1"/>
  <c r="S3857" i="2" s="1"/>
  <c r="S3858" i="2" s="1"/>
  <c r="S3859" i="2" s="1"/>
  <c r="S3860" i="2" s="1"/>
  <c r="S3861" i="2" s="1"/>
  <c r="S3862" i="2" s="1"/>
  <c r="S3863" i="2" s="1"/>
  <c r="S3864" i="2" s="1"/>
  <c r="S3865" i="2" s="1"/>
  <c r="S3866" i="2" s="1"/>
  <c r="S3867" i="2" s="1"/>
  <c r="S3868" i="2" s="1"/>
  <c r="U3853" i="2"/>
  <c r="R2851" i="2"/>
  <c r="S2850" i="2"/>
  <c r="S2851" i="2" s="1"/>
  <c r="U2850" i="2"/>
  <c r="U2851" i="2" s="1"/>
  <c r="S2632" i="2"/>
  <c r="U2632" i="2"/>
  <c r="R2633" i="2"/>
  <c r="R2417" i="2"/>
  <c r="R1626" i="2"/>
  <c r="R1700" i="2"/>
  <c r="S1699" i="2"/>
  <c r="U1699" i="2"/>
  <c r="R1192" i="2"/>
  <c r="S1191" i="2"/>
  <c r="U1191" i="2"/>
  <c r="R3279" i="2"/>
  <c r="R3422" i="2"/>
  <c r="R112" i="2"/>
  <c r="S111" i="2"/>
  <c r="S112" i="2" s="1"/>
  <c r="U111" i="2"/>
  <c r="U112" i="2" s="1"/>
  <c r="U257" i="2"/>
  <c r="U327" i="2"/>
  <c r="U471" i="2"/>
  <c r="U903" i="2"/>
  <c r="U1406" i="2"/>
  <c r="U40" i="2"/>
  <c r="U187" i="2"/>
  <c r="U831" i="2"/>
  <c r="U1121" i="2"/>
  <c r="U1122" i="2" s="1"/>
  <c r="U1266" i="2"/>
  <c r="U1335" i="2"/>
  <c r="U399" i="2"/>
  <c r="S1047" i="2"/>
  <c r="R1048" i="2"/>
  <c r="U1047" i="2"/>
  <c r="R832" i="2"/>
  <c r="S831" i="2"/>
  <c r="R1122" i="2"/>
  <c r="S1121" i="2"/>
  <c r="S1122" i="2" s="1"/>
  <c r="R1267" i="2"/>
  <c r="S1266" i="2"/>
  <c r="R1336" i="2"/>
  <c r="S1335" i="2"/>
  <c r="R400" i="2"/>
  <c r="S399" i="2"/>
  <c r="S257" i="2"/>
  <c r="R258" i="2"/>
  <c r="S327" i="2"/>
  <c r="R328" i="2"/>
  <c r="S471" i="2"/>
  <c r="R472" i="2"/>
  <c r="S903" i="2"/>
  <c r="R904" i="2"/>
  <c r="S1406" i="2"/>
  <c r="R1407" i="2"/>
  <c r="S40" i="2"/>
  <c r="R41" i="2"/>
  <c r="S187" i="2"/>
  <c r="R188" i="2"/>
  <c r="U4214" i="2" l="1"/>
  <c r="V4213" i="2"/>
  <c r="U3782" i="2"/>
  <c r="V3782" i="2" s="1"/>
  <c r="V3781" i="2"/>
  <c r="U4142" i="2"/>
  <c r="V4141" i="2"/>
  <c r="U3422" i="2"/>
  <c r="V3421" i="2"/>
  <c r="U3710" i="2"/>
  <c r="V3709" i="2"/>
  <c r="U1550" i="2"/>
  <c r="V1549" i="2"/>
  <c r="R543" i="2"/>
  <c r="S542" i="2"/>
  <c r="U542" i="2"/>
  <c r="V542" i="2" s="1"/>
  <c r="R615" i="2"/>
  <c r="S614" i="2"/>
  <c r="U614" i="2"/>
  <c r="V614" i="2" s="1"/>
  <c r="U2990" i="2"/>
  <c r="V2989" i="2"/>
  <c r="U2918" i="2"/>
  <c r="V2917" i="2"/>
  <c r="U760" i="2"/>
  <c r="S760" i="2"/>
  <c r="R761" i="2"/>
  <c r="U3062" i="2"/>
  <c r="V3061" i="2"/>
  <c r="U3206" i="2"/>
  <c r="V3205" i="2"/>
  <c r="U3494" i="2"/>
  <c r="V3493" i="2"/>
  <c r="V38" i="2"/>
  <c r="T39" i="2"/>
  <c r="V110" i="2"/>
  <c r="T111" i="2"/>
  <c r="V182" i="2"/>
  <c r="T183" i="2"/>
  <c r="V254" i="2"/>
  <c r="T255" i="2"/>
  <c r="V326" i="2"/>
  <c r="T327" i="2"/>
  <c r="V398" i="2"/>
  <c r="T399" i="2"/>
  <c r="V470" i="2"/>
  <c r="T471" i="2"/>
  <c r="T543" i="2"/>
  <c r="T615" i="2"/>
  <c r="T3423" i="2"/>
  <c r="T3495" i="2"/>
  <c r="V3566" i="2"/>
  <c r="T3567" i="2"/>
  <c r="V3638" i="2"/>
  <c r="T3639" i="2"/>
  <c r="T3711" i="2"/>
  <c r="T3783" i="2"/>
  <c r="T3855" i="2"/>
  <c r="V3926" i="2"/>
  <c r="T3927" i="2"/>
  <c r="V3998" i="2"/>
  <c r="T3999" i="2"/>
  <c r="T4071" i="2"/>
  <c r="T4143" i="2"/>
  <c r="T4215" i="2"/>
  <c r="V4286" i="2"/>
  <c r="T4287" i="2"/>
  <c r="V686" i="2"/>
  <c r="T687" i="2"/>
  <c r="V758" i="2"/>
  <c r="T759" i="2"/>
  <c r="V830" i="2"/>
  <c r="T831" i="2"/>
  <c r="V902" i="2"/>
  <c r="T903" i="2"/>
  <c r="V974" i="2"/>
  <c r="T975" i="2"/>
  <c r="V1046" i="2"/>
  <c r="T1047" i="2"/>
  <c r="V1118" i="2"/>
  <c r="T1119" i="2"/>
  <c r="V1190" i="2"/>
  <c r="T1191" i="2"/>
  <c r="V1262" i="2"/>
  <c r="T1263" i="2"/>
  <c r="V1334" i="2"/>
  <c r="T1335" i="2"/>
  <c r="V1406" i="2"/>
  <c r="T1407" i="2"/>
  <c r="T1479" i="2"/>
  <c r="T1551" i="2"/>
  <c r="V1622" i="2"/>
  <c r="T1623" i="2"/>
  <c r="V1694" i="2"/>
  <c r="T1695" i="2"/>
  <c r="V1766" i="2"/>
  <c r="T1767" i="2"/>
  <c r="T1839" i="2"/>
  <c r="T1911" i="2"/>
  <c r="V1982" i="2"/>
  <c r="T1983" i="2"/>
  <c r="V2054" i="2"/>
  <c r="T2055" i="2"/>
  <c r="V2126" i="2"/>
  <c r="T2127" i="2"/>
  <c r="T2199" i="2"/>
  <c r="T2271" i="2"/>
  <c r="V2342" i="2"/>
  <c r="T2343" i="2"/>
  <c r="V2414" i="2"/>
  <c r="T2415" i="2"/>
  <c r="V2486" i="2"/>
  <c r="T2487" i="2"/>
  <c r="T2559" i="2"/>
  <c r="V2630" i="2"/>
  <c r="T2631" i="2"/>
  <c r="V2702" i="2"/>
  <c r="T2703" i="2"/>
  <c r="V2774" i="2"/>
  <c r="T2775" i="2"/>
  <c r="V2846" i="2"/>
  <c r="T2847" i="2"/>
  <c r="T2919" i="2"/>
  <c r="T2991" i="2"/>
  <c r="T3063" i="2"/>
  <c r="V3134" i="2"/>
  <c r="T3135" i="2"/>
  <c r="T3207" i="2"/>
  <c r="V3278" i="2"/>
  <c r="T3279" i="2"/>
  <c r="V3350" i="2"/>
  <c r="T3351" i="2"/>
  <c r="U3854" i="2"/>
  <c r="V3853" i="2"/>
  <c r="R1479" i="2"/>
  <c r="U1478" i="2"/>
  <c r="S1478" i="2"/>
  <c r="S1479" i="2" s="1"/>
  <c r="S1480" i="2" s="1"/>
  <c r="S1481" i="2" s="1"/>
  <c r="S1482" i="2" s="1"/>
  <c r="S1483" i="2" s="1"/>
  <c r="S1484" i="2" s="1"/>
  <c r="U1838" i="2"/>
  <c r="V1838" i="2" s="1"/>
  <c r="S1838" i="2"/>
  <c r="R1839" i="2"/>
  <c r="S2270" i="2"/>
  <c r="R2271" i="2"/>
  <c r="U2270" i="2"/>
  <c r="V2270" i="2" s="1"/>
  <c r="R3135" i="2"/>
  <c r="R976" i="2"/>
  <c r="S975" i="2"/>
  <c r="U975" i="2"/>
  <c r="S2198" i="2"/>
  <c r="S2199" i="2" s="1"/>
  <c r="R2199" i="2"/>
  <c r="U2198" i="2"/>
  <c r="R2919" i="2"/>
  <c r="R1551" i="2"/>
  <c r="R1911" i="2"/>
  <c r="S1910" i="2"/>
  <c r="S1911" i="2" s="1"/>
  <c r="U1910" i="2"/>
  <c r="U2558" i="2"/>
  <c r="S2558" i="2"/>
  <c r="S2559" i="2" s="1"/>
  <c r="R2559" i="2"/>
  <c r="R3207" i="2"/>
  <c r="R2704" i="2"/>
  <c r="R3495" i="2"/>
  <c r="R3999" i="2"/>
  <c r="R2056" i="2"/>
  <c r="R2345" i="2"/>
  <c r="R2776" i="2"/>
  <c r="R1768" i="2"/>
  <c r="R3063" i="2"/>
  <c r="U4070" i="2"/>
  <c r="R4071" i="2"/>
  <c r="S4070" i="2"/>
  <c r="S4071" i="2" s="1"/>
  <c r="R4215" i="2"/>
  <c r="R3568" i="2"/>
  <c r="S3567" i="2"/>
  <c r="U3567" i="2"/>
  <c r="R3928" i="2"/>
  <c r="R1985" i="2"/>
  <c r="U1984" i="2"/>
  <c r="S1984" i="2"/>
  <c r="S2127" i="2"/>
  <c r="U2127" i="2"/>
  <c r="R2128" i="2"/>
  <c r="S687" i="2"/>
  <c r="R688" i="2"/>
  <c r="U687" i="2"/>
  <c r="R4143" i="2"/>
  <c r="R3352" i="2"/>
  <c r="S3351" i="2"/>
  <c r="S3352" i="2" s="1"/>
  <c r="S3353" i="2" s="1"/>
  <c r="S3354" i="2" s="1"/>
  <c r="U3351" i="2"/>
  <c r="U3352" i="2" s="1"/>
  <c r="U3353" i="2" s="1"/>
  <c r="U3354" i="2" s="1"/>
  <c r="R3639" i="2"/>
  <c r="R3783" i="2"/>
  <c r="U2489" i="2"/>
  <c r="R2490" i="2"/>
  <c r="S2489" i="2"/>
  <c r="R4287" i="2"/>
  <c r="R2991" i="2"/>
  <c r="R3711" i="2"/>
  <c r="R3855" i="2"/>
  <c r="R2852" i="2"/>
  <c r="R2634" i="2"/>
  <c r="U2633" i="2"/>
  <c r="S2633" i="2"/>
  <c r="R2418" i="2"/>
  <c r="S2417" i="2"/>
  <c r="U2417" i="2"/>
  <c r="U1626" i="2"/>
  <c r="R1627" i="2"/>
  <c r="S1626" i="2"/>
  <c r="R1701" i="2"/>
  <c r="S1700" i="2"/>
  <c r="S1701" i="2" s="1"/>
  <c r="U1700" i="2"/>
  <c r="U1701" i="2" s="1"/>
  <c r="R1193" i="2"/>
  <c r="S1192" i="2"/>
  <c r="U1192" i="2"/>
  <c r="R3280" i="2"/>
  <c r="R3423" i="2"/>
  <c r="R113" i="2"/>
  <c r="R1123" i="2"/>
  <c r="U1123" i="2" s="1"/>
  <c r="U258" i="2"/>
  <c r="U328" i="2"/>
  <c r="U329" i="2" s="1"/>
  <c r="U472" i="2"/>
  <c r="U904" i="2"/>
  <c r="U41" i="2"/>
  <c r="U188" i="2"/>
  <c r="U832" i="2"/>
  <c r="U400" i="2"/>
  <c r="U1267" i="2"/>
  <c r="U1336" i="2"/>
  <c r="U1407" i="2"/>
  <c r="S1048" i="2"/>
  <c r="R1049" i="2"/>
  <c r="U1048" i="2"/>
  <c r="S832" i="2"/>
  <c r="R833" i="2"/>
  <c r="R1268" i="2"/>
  <c r="S1267" i="2"/>
  <c r="R1337" i="2"/>
  <c r="S1336" i="2"/>
  <c r="S400" i="2"/>
  <c r="R401" i="2"/>
  <c r="S258" i="2"/>
  <c r="R259" i="2"/>
  <c r="S328" i="2"/>
  <c r="S329" i="2" s="1"/>
  <c r="R329" i="2"/>
  <c r="S472" i="2"/>
  <c r="R473" i="2"/>
  <c r="S904" i="2"/>
  <c r="R905" i="2"/>
  <c r="S1407" i="2"/>
  <c r="R1408" i="2"/>
  <c r="S41" i="2"/>
  <c r="R42" i="2"/>
  <c r="S188" i="2"/>
  <c r="R189" i="2"/>
  <c r="S761" i="2" l="1"/>
  <c r="R762" i="2"/>
  <c r="U761" i="2"/>
  <c r="U762" i="2" s="1"/>
  <c r="U4215" i="2"/>
  <c r="V4214" i="2"/>
  <c r="U3423" i="2"/>
  <c r="V3422" i="2"/>
  <c r="U4143" i="2"/>
  <c r="V4142" i="2"/>
  <c r="U2919" i="2"/>
  <c r="V2918" i="2"/>
  <c r="U3711" i="2"/>
  <c r="V3710" i="2"/>
  <c r="U2991" i="2"/>
  <c r="V2991" i="2" s="1"/>
  <c r="V2990" i="2"/>
  <c r="U3063" i="2"/>
  <c r="V3062" i="2"/>
  <c r="U1551" i="2"/>
  <c r="V1550" i="2"/>
  <c r="U3207" i="2"/>
  <c r="V3207" i="2" s="1"/>
  <c r="V3206" i="2"/>
  <c r="R544" i="2"/>
  <c r="S543" i="2"/>
  <c r="U543" i="2"/>
  <c r="V543" i="2" s="1"/>
  <c r="R616" i="2"/>
  <c r="S615" i="2"/>
  <c r="U615" i="2"/>
  <c r="V615" i="2" s="1"/>
  <c r="U3495" i="2"/>
  <c r="V3494" i="2"/>
  <c r="U3855" i="2"/>
  <c r="V3854" i="2"/>
  <c r="U1479" i="2"/>
  <c r="V1478" i="2"/>
  <c r="V39" i="2"/>
  <c r="T40" i="2"/>
  <c r="V111" i="2"/>
  <c r="T112" i="2"/>
  <c r="V183" i="2"/>
  <c r="T184" i="2"/>
  <c r="V255" i="2"/>
  <c r="T256" i="2"/>
  <c r="V327" i="2"/>
  <c r="T328" i="2"/>
  <c r="V399" i="2"/>
  <c r="T400" i="2"/>
  <c r="V471" i="2"/>
  <c r="T472" i="2"/>
  <c r="T544" i="2"/>
  <c r="T616" i="2"/>
  <c r="T3424" i="2"/>
  <c r="T3496" i="2"/>
  <c r="V3567" i="2"/>
  <c r="T3568" i="2"/>
  <c r="V3639" i="2"/>
  <c r="T3640" i="2"/>
  <c r="T3712" i="2"/>
  <c r="T3784" i="2"/>
  <c r="T3856" i="2"/>
  <c r="V3927" i="2"/>
  <c r="T3928" i="2"/>
  <c r="V3999" i="2"/>
  <c r="T4000" i="2"/>
  <c r="T4072" i="2"/>
  <c r="T4144" i="2"/>
  <c r="T4216" i="2"/>
  <c r="V4287" i="2"/>
  <c r="T4288" i="2"/>
  <c r="V687" i="2"/>
  <c r="T688" i="2"/>
  <c r="V759" i="2"/>
  <c r="T760" i="2"/>
  <c r="V831" i="2"/>
  <c r="T832" i="2"/>
  <c r="V903" i="2"/>
  <c r="T904" i="2"/>
  <c r="V975" i="2"/>
  <c r="T976" i="2"/>
  <c r="V1047" i="2"/>
  <c r="T1048" i="2"/>
  <c r="V1119" i="2"/>
  <c r="T1120" i="2"/>
  <c r="V1191" i="2"/>
  <c r="T1192" i="2"/>
  <c r="V1263" i="2"/>
  <c r="T1264" i="2"/>
  <c r="V1335" i="2"/>
  <c r="T1336" i="2"/>
  <c r="V1407" i="2"/>
  <c r="T1408" i="2"/>
  <c r="T1480" i="2"/>
  <c r="T1552" i="2"/>
  <c r="V1623" i="2"/>
  <c r="T1624" i="2"/>
  <c r="V1695" i="2"/>
  <c r="T1696" i="2"/>
  <c r="V1767" i="2"/>
  <c r="T1768" i="2"/>
  <c r="T1840" i="2"/>
  <c r="T1912" i="2"/>
  <c r="V1983" i="2"/>
  <c r="T1984" i="2"/>
  <c r="V2055" i="2"/>
  <c r="T2056" i="2"/>
  <c r="V2127" i="2"/>
  <c r="T2128" i="2"/>
  <c r="T2200" i="2"/>
  <c r="T2272" i="2"/>
  <c r="V2343" i="2"/>
  <c r="T2344" i="2"/>
  <c r="V2415" i="2"/>
  <c r="T2416" i="2"/>
  <c r="V2487" i="2"/>
  <c r="T2488" i="2"/>
  <c r="T2560" i="2"/>
  <c r="V2631" i="2"/>
  <c r="T2632" i="2"/>
  <c r="V2703" i="2"/>
  <c r="T2704" i="2"/>
  <c r="V2775" i="2"/>
  <c r="T2776" i="2"/>
  <c r="V2847" i="2"/>
  <c r="T2848" i="2"/>
  <c r="T2920" i="2"/>
  <c r="T2992" i="2"/>
  <c r="T3064" i="2"/>
  <c r="V3135" i="2"/>
  <c r="T3136" i="2"/>
  <c r="T3208" i="2"/>
  <c r="V3279" i="2"/>
  <c r="T3280" i="2"/>
  <c r="V3351" i="2"/>
  <c r="T3352" i="2"/>
  <c r="U2199" i="2"/>
  <c r="V2199" i="2" s="1"/>
  <c r="V2198" i="2"/>
  <c r="U1911" i="2"/>
  <c r="V1911" i="2" s="1"/>
  <c r="V1910" i="2"/>
  <c r="U2559" i="2"/>
  <c r="V2559" i="2" s="1"/>
  <c r="V2558" i="2"/>
  <c r="U4071" i="2"/>
  <c r="V4071" i="2" s="1"/>
  <c r="V4070" i="2"/>
  <c r="U1627" i="2"/>
  <c r="U1628" i="2" s="1"/>
  <c r="R1480" i="2"/>
  <c r="R1840" i="2"/>
  <c r="S1839" i="2"/>
  <c r="U1839" i="2"/>
  <c r="V1839" i="2" s="1"/>
  <c r="S2271" i="2"/>
  <c r="R2272" i="2"/>
  <c r="U2271" i="2"/>
  <c r="V2271" i="2" s="1"/>
  <c r="R3136" i="2"/>
  <c r="R977" i="2"/>
  <c r="S976" i="2"/>
  <c r="U976" i="2"/>
  <c r="R2200" i="2"/>
  <c r="R2920" i="2"/>
  <c r="R1552" i="2"/>
  <c r="R1912" i="2"/>
  <c r="R2560" i="2"/>
  <c r="R3208" i="2"/>
  <c r="R2705" i="2"/>
  <c r="S2704" i="2"/>
  <c r="S2705" i="2" s="1"/>
  <c r="U2704" i="2"/>
  <c r="U2705" i="2" s="1"/>
  <c r="R3496" i="2"/>
  <c r="R4000" i="2"/>
  <c r="U2056" i="2"/>
  <c r="R2057" i="2"/>
  <c r="S2056" i="2"/>
  <c r="R2346" i="2"/>
  <c r="R2777" i="2"/>
  <c r="U1768" i="2"/>
  <c r="U1769" i="2" s="1"/>
  <c r="U1770" i="2" s="1"/>
  <c r="R1769" i="2"/>
  <c r="S1768" i="2"/>
  <c r="S1769" i="2" s="1"/>
  <c r="S1770" i="2" s="1"/>
  <c r="R3064" i="2"/>
  <c r="R4072" i="2"/>
  <c r="R4216" i="2"/>
  <c r="R3569" i="2"/>
  <c r="U3568" i="2"/>
  <c r="U3569" i="2" s="1"/>
  <c r="U3570" i="2" s="1"/>
  <c r="U3571" i="2" s="1"/>
  <c r="U3572" i="2" s="1"/>
  <c r="U3573" i="2" s="1"/>
  <c r="U3574" i="2" s="1"/>
  <c r="U3575" i="2" s="1"/>
  <c r="U3576" i="2" s="1"/>
  <c r="U3577" i="2" s="1"/>
  <c r="S3568" i="2"/>
  <c r="S3569" i="2" s="1"/>
  <c r="S3570" i="2" s="1"/>
  <c r="S3571" i="2" s="1"/>
  <c r="S3572" i="2" s="1"/>
  <c r="S3573" i="2" s="1"/>
  <c r="S3574" i="2" s="1"/>
  <c r="S3575" i="2" s="1"/>
  <c r="S3576" i="2" s="1"/>
  <c r="S3577" i="2" s="1"/>
  <c r="R3929" i="2"/>
  <c r="R1986" i="2"/>
  <c r="S1985" i="2"/>
  <c r="U1985" i="2"/>
  <c r="R2129" i="2"/>
  <c r="U2128" i="2"/>
  <c r="U2129" i="2" s="1"/>
  <c r="U2130" i="2" s="1"/>
  <c r="S2128" i="2"/>
  <c r="S2129" i="2" s="1"/>
  <c r="S2130" i="2" s="1"/>
  <c r="S688" i="2"/>
  <c r="R689" i="2"/>
  <c r="U688" i="2"/>
  <c r="R4144" i="2"/>
  <c r="R3353" i="2"/>
  <c r="R3640" i="2"/>
  <c r="U3783" i="2"/>
  <c r="R3784" i="2"/>
  <c r="S3783" i="2"/>
  <c r="S3784" i="2" s="1"/>
  <c r="R2491" i="2"/>
  <c r="S2490" i="2"/>
  <c r="U2490" i="2"/>
  <c r="R4288" i="2"/>
  <c r="R2992" i="2"/>
  <c r="R3712" i="2"/>
  <c r="R3856" i="2"/>
  <c r="U2852" i="2"/>
  <c r="R2853" i="2"/>
  <c r="S2852" i="2"/>
  <c r="R2635" i="2"/>
  <c r="S2634" i="2"/>
  <c r="U2634" i="2"/>
  <c r="R2419" i="2"/>
  <c r="S2418" i="2"/>
  <c r="U2418" i="2"/>
  <c r="R1628" i="2"/>
  <c r="S1627" i="2"/>
  <c r="S1628" i="2" s="1"/>
  <c r="R1702" i="2"/>
  <c r="R1194" i="2"/>
  <c r="S1193" i="2"/>
  <c r="U1193" i="2"/>
  <c r="R3281" i="2"/>
  <c r="R3424" i="2"/>
  <c r="U113" i="2"/>
  <c r="R114" i="2"/>
  <c r="S113" i="2"/>
  <c r="R1124" i="2"/>
  <c r="S1123" i="2"/>
  <c r="U833" i="2"/>
  <c r="U401" i="2"/>
  <c r="U402" i="2" s="1"/>
  <c r="U259" i="2"/>
  <c r="R330" i="2"/>
  <c r="U473" i="2"/>
  <c r="U42" i="2"/>
  <c r="U189" i="2"/>
  <c r="U1268" i="2"/>
  <c r="U1337" i="2"/>
  <c r="U905" i="2"/>
  <c r="U1408" i="2"/>
  <c r="R1050" i="2"/>
  <c r="S1049" i="2"/>
  <c r="U1049" i="2"/>
  <c r="R834" i="2"/>
  <c r="S833" i="2"/>
  <c r="R1269" i="2"/>
  <c r="S1268" i="2"/>
  <c r="R1338" i="2"/>
  <c r="S1337" i="2"/>
  <c r="R402" i="2"/>
  <c r="S401" i="2"/>
  <c r="S402" i="2" s="1"/>
  <c r="S259" i="2"/>
  <c r="R260" i="2"/>
  <c r="S473" i="2"/>
  <c r="R474" i="2"/>
  <c r="S905" i="2"/>
  <c r="R906" i="2"/>
  <c r="S1408" i="2"/>
  <c r="R1409" i="2"/>
  <c r="S42" i="2"/>
  <c r="R43" i="2"/>
  <c r="S189" i="2"/>
  <c r="R190" i="2"/>
  <c r="R763" i="2" l="1"/>
  <c r="S762" i="2"/>
  <c r="U3424" i="2"/>
  <c r="V3423" i="2"/>
  <c r="U4216" i="2"/>
  <c r="V4215" i="2"/>
  <c r="U2920" i="2"/>
  <c r="V2919" i="2"/>
  <c r="U4144" i="2"/>
  <c r="V4143" i="2"/>
  <c r="U3712" i="2"/>
  <c r="V3711" i="2"/>
  <c r="U3064" i="2"/>
  <c r="V3063" i="2"/>
  <c r="U1552" i="2"/>
  <c r="V1552" i="2" s="1"/>
  <c r="V1551" i="2"/>
  <c r="U3496" i="2"/>
  <c r="V3496" i="2" s="1"/>
  <c r="V3495" i="2"/>
  <c r="U3856" i="2"/>
  <c r="V3855" i="2"/>
  <c r="R545" i="2"/>
  <c r="S544" i="2"/>
  <c r="U544" i="2"/>
  <c r="V544" i="2" s="1"/>
  <c r="R617" i="2"/>
  <c r="S616" i="2"/>
  <c r="U616" i="2"/>
  <c r="V616" i="2" s="1"/>
  <c r="U1480" i="2"/>
  <c r="V1479" i="2"/>
  <c r="V40" i="2"/>
  <c r="T41" i="2"/>
  <c r="V112" i="2"/>
  <c r="T113" i="2"/>
  <c r="V184" i="2"/>
  <c r="T185" i="2"/>
  <c r="V256" i="2"/>
  <c r="T257" i="2"/>
  <c r="V328" i="2"/>
  <c r="T329" i="2"/>
  <c r="V400" i="2"/>
  <c r="T401" i="2"/>
  <c r="V472" i="2"/>
  <c r="T473" i="2"/>
  <c r="T545" i="2"/>
  <c r="T617" i="2"/>
  <c r="T3425" i="2"/>
  <c r="T3497" i="2"/>
  <c r="V3568" i="2"/>
  <c r="T3569" i="2"/>
  <c r="T3641" i="2"/>
  <c r="T3713" i="2"/>
  <c r="T3785" i="2"/>
  <c r="T3857" i="2"/>
  <c r="V3928" i="2"/>
  <c r="T3929" i="2"/>
  <c r="V4000" i="2"/>
  <c r="T4001" i="2"/>
  <c r="T4073" i="2"/>
  <c r="T4145" i="2"/>
  <c r="T4217" i="2"/>
  <c r="V4288" i="2"/>
  <c r="T4289" i="2"/>
  <c r="V688" i="2"/>
  <c r="T689" i="2"/>
  <c r="V760" i="2"/>
  <c r="T761" i="2"/>
  <c r="V832" i="2"/>
  <c r="T833" i="2"/>
  <c r="V904" i="2"/>
  <c r="T905" i="2"/>
  <c r="V976" i="2"/>
  <c r="T977" i="2"/>
  <c r="V1048" i="2"/>
  <c r="T1049" i="2"/>
  <c r="V1120" i="2"/>
  <c r="T1121" i="2"/>
  <c r="V1192" i="2"/>
  <c r="T1193" i="2"/>
  <c r="V1264" i="2"/>
  <c r="T1265" i="2"/>
  <c r="V1336" i="2"/>
  <c r="T1337" i="2"/>
  <c r="V1408" i="2"/>
  <c r="T1409" i="2"/>
  <c r="T1481" i="2"/>
  <c r="T1553" i="2"/>
  <c r="V1624" i="2"/>
  <c r="T1625" i="2"/>
  <c r="V1696" i="2"/>
  <c r="T1697" i="2"/>
  <c r="V1768" i="2"/>
  <c r="T1769" i="2"/>
  <c r="T1841" i="2"/>
  <c r="T1913" i="2"/>
  <c r="V1984" i="2"/>
  <c r="T1985" i="2"/>
  <c r="V2056" i="2"/>
  <c r="T2057" i="2"/>
  <c r="V2128" i="2"/>
  <c r="T2129" i="2"/>
  <c r="T2201" i="2"/>
  <c r="T2273" i="2"/>
  <c r="V2344" i="2"/>
  <c r="T2345" i="2"/>
  <c r="V2416" i="2"/>
  <c r="T2417" i="2"/>
  <c r="V2488" i="2"/>
  <c r="T2489" i="2"/>
  <c r="T2561" i="2"/>
  <c r="V2632" i="2"/>
  <c r="T2633" i="2"/>
  <c r="V2704" i="2"/>
  <c r="T2705" i="2"/>
  <c r="V2776" i="2"/>
  <c r="T2777" i="2"/>
  <c r="V2848" i="2"/>
  <c r="T2849" i="2"/>
  <c r="T2921" i="2"/>
  <c r="T2993" i="2"/>
  <c r="T3065" i="2"/>
  <c r="T3137" i="2"/>
  <c r="T3209" i="2"/>
  <c r="V3280" i="2"/>
  <c r="T3281" i="2"/>
  <c r="V3352" i="2"/>
  <c r="T3353" i="2"/>
  <c r="U3784" i="2"/>
  <c r="V3784" i="2" s="1"/>
  <c r="V3783" i="2"/>
  <c r="R1481" i="2"/>
  <c r="R1841" i="2"/>
  <c r="S1840" i="2"/>
  <c r="U1840" i="2"/>
  <c r="V1840" i="2" s="1"/>
  <c r="S2272" i="2"/>
  <c r="S2273" i="2" s="1"/>
  <c r="S2274" i="2" s="1"/>
  <c r="S2275" i="2" s="1"/>
  <c r="U2272" i="2"/>
  <c r="R2273" i="2"/>
  <c r="U3136" i="2"/>
  <c r="R3137" i="2"/>
  <c r="S3136" i="2"/>
  <c r="S3137" i="2" s="1"/>
  <c r="S3138" i="2" s="1"/>
  <c r="S3139" i="2" s="1"/>
  <c r="S3140" i="2" s="1"/>
  <c r="S3141" i="2" s="1"/>
  <c r="S3142" i="2" s="1"/>
  <c r="R978" i="2"/>
  <c r="S977" i="2"/>
  <c r="U977" i="2"/>
  <c r="S2200" i="2"/>
  <c r="U2200" i="2"/>
  <c r="V2200" i="2" s="1"/>
  <c r="R2201" i="2"/>
  <c r="R2921" i="2"/>
  <c r="R1553" i="2"/>
  <c r="U1912" i="2"/>
  <c r="V1912" i="2" s="1"/>
  <c r="R1913" i="2"/>
  <c r="S1912" i="2"/>
  <c r="S2560" i="2"/>
  <c r="S2561" i="2" s="1"/>
  <c r="R2561" i="2"/>
  <c r="U2560" i="2"/>
  <c r="U3208" i="2"/>
  <c r="R3209" i="2"/>
  <c r="S3208" i="2"/>
  <c r="S3209" i="2" s="1"/>
  <c r="S3210" i="2" s="1"/>
  <c r="S3211" i="2" s="1"/>
  <c r="R2706" i="2"/>
  <c r="R3497" i="2"/>
  <c r="R4001" i="2"/>
  <c r="S2057" i="2"/>
  <c r="S2058" i="2" s="1"/>
  <c r="U2057" i="2"/>
  <c r="U2058" i="2" s="1"/>
  <c r="R2058" i="2"/>
  <c r="U2346" i="2"/>
  <c r="R2347" i="2"/>
  <c r="S2346" i="2"/>
  <c r="S2777" i="2"/>
  <c r="U2777" i="2"/>
  <c r="R2778" i="2"/>
  <c r="R1770" i="2"/>
  <c r="R3065" i="2"/>
  <c r="R4073" i="2"/>
  <c r="S4072" i="2"/>
  <c r="S4073" i="2" s="1"/>
  <c r="S4074" i="2" s="1"/>
  <c r="S4075" i="2" s="1"/>
  <c r="S4076" i="2" s="1"/>
  <c r="S4077" i="2" s="1"/>
  <c r="S4078" i="2" s="1"/>
  <c r="U4072" i="2"/>
  <c r="R4217" i="2"/>
  <c r="R3570" i="2"/>
  <c r="R3930" i="2"/>
  <c r="R1987" i="2"/>
  <c r="S1986" i="2"/>
  <c r="U1986" i="2"/>
  <c r="R2130" i="2"/>
  <c r="R690" i="2"/>
  <c r="S689" i="2"/>
  <c r="U689" i="2"/>
  <c r="R4145" i="2"/>
  <c r="R3354" i="2"/>
  <c r="R3641" i="2"/>
  <c r="S3640" i="2"/>
  <c r="S3641" i="2" s="1"/>
  <c r="S3642" i="2" s="1"/>
  <c r="S3643" i="2" s="1"/>
  <c r="U3640" i="2"/>
  <c r="R3785" i="2"/>
  <c r="R2492" i="2"/>
  <c r="S2491" i="2"/>
  <c r="S2492" i="2" s="1"/>
  <c r="U2491" i="2"/>
  <c r="U2492" i="2" s="1"/>
  <c r="R4289" i="2"/>
  <c r="R2993" i="2"/>
  <c r="S2992" i="2"/>
  <c r="U2992" i="2"/>
  <c r="V2992" i="2" s="1"/>
  <c r="R3713" i="2"/>
  <c r="R3857" i="2"/>
  <c r="R2854" i="2"/>
  <c r="S2853" i="2"/>
  <c r="S2854" i="2" s="1"/>
  <c r="U2853" i="2"/>
  <c r="U2854" i="2" s="1"/>
  <c r="R2636" i="2"/>
  <c r="S2635" i="2"/>
  <c r="U2635" i="2"/>
  <c r="R2420" i="2"/>
  <c r="S2419" i="2"/>
  <c r="U2419" i="2"/>
  <c r="R1629" i="2"/>
  <c r="S1702" i="2"/>
  <c r="U1702" i="2"/>
  <c r="R1703" i="2"/>
  <c r="R1195" i="2"/>
  <c r="S1194" i="2"/>
  <c r="U1194" i="2"/>
  <c r="R3282" i="2"/>
  <c r="R3425" i="2"/>
  <c r="R115" i="2"/>
  <c r="S114" i="2"/>
  <c r="U114" i="2"/>
  <c r="U1124" i="2"/>
  <c r="R1125" i="2"/>
  <c r="S1124" i="2"/>
  <c r="S330" i="2"/>
  <c r="R331" i="2"/>
  <c r="U330" i="2"/>
  <c r="U834" i="2"/>
  <c r="U906" i="2"/>
  <c r="R403" i="2"/>
  <c r="U260" i="2"/>
  <c r="U474" i="2"/>
  <c r="U43" i="2"/>
  <c r="U190" i="2"/>
  <c r="U1269" i="2"/>
  <c r="U1338" i="2"/>
  <c r="U1409" i="2"/>
  <c r="S1050" i="2"/>
  <c r="R1051" i="2"/>
  <c r="U1050" i="2"/>
  <c r="R835" i="2"/>
  <c r="S834" i="2"/>
  <c r="S1269" i="2"/>
  <c r="R1270" i="2"/>
  <c r="S1338" i="2"/>
  <c r="R1339" i="2"/>
  <c r="S260" i="2"/>
  <c r="R261" i="2"/>
  <c r="S474" i="2"/>
  <c r="R475" i="2"/>
  <c r="S906" i="2"/>
  <c r="R907" i="2"/>
  <c r="S1409" i="2"/>
  <c r="R1410" i="2"/>
  <c r="S43" i="2"/>
  <c r="R44" i="2"/>
  <c r="S190" i="2"/>
  <c r="R191" i="2"/>
  <c r="U763" i="2" l="1"/>
  <c r="S763" i="2"/>
  <c r="R764" i="2"/>
  <c r="U3425" i="2"/>
  <c r="V3424" i="2"/>
  <c r="U2921" i="2"/>
  <c r="V2920" i="2"/>
  <c r="U3713" i="2"/>
  <c r="V3712" i="2"/>
  <c r="U4217" i="2"/>
  <c r="V4216" i="2"/>
  <c r="U4145" i="2"/>
  <c r="V4144" i="2"/>
  <c r="U3065" i="2"/>
  <c r="V3064" i="2"/>
  <c r="U3857" i="2"/>
  <c r="V3856" i="2"/>
  <c r="R546" i="2"/>
  <c r="S545" i="2"/>
  <c r="U545" i="2"/>
  <c r="V545" i="2" s="1"/>
  <c r="R618" i="2"/>
  <c r="S617" i="2"/>
  <c r="U617" i="2"/>
  <c r="V617" i="2" s="1"/>
  <c r="U1481" i="2"/>
  <c r="V1480" i="2"/>
  <c r="U3137" i="2"/>
  <c r="V3136" i="2"/>
  <c r="U2561" i="2"/>
  <c r="V2561" i="2" s="1"/>
  <c r="V2560" i="2"/>
  <c r="S1125" i="2"/>
  <c r="R1126" i="2"/>
  <c r="S331" i="2"/>
  <c r="R332" i="2"/>
  <c r="U403" i="2"/>
  <c r="S403" i="2"/>
  <c r="R404" i="2"/>
  <c r="U3209" i="2"/>
  <c r="V3208" i="2"/>
  <c r="U2273" i="2"/>
  <c r="V2272" i="2"/>
  <c r="V41" i="2"/>
  <c r="T42" i="2"/>
  <c r="V113" i="2"/>
  <c r="T114" i="2"/>
  <c r="V185" i="2"/>
  <c r="T186" i="2"/>
  <c r="V257" i="2"/>
  <c r="T258" i="2"/>
  <c r="V329" i="2"/>
  <c r="T330" i="2"/>
  <c r="V401" i="2"/>
  <c r="T402" i="2"/>
  <c r="V473" i="2"/>
  <c r="T474" i="2"/>
  <c r="T546" i="2"/>
  <c r="T618" i="2"/>
  <c r="T3426" i="2"/>
  <c r="T3498" i="2"/>
  <c r="V3569" i="2"/>
  <c r="T3570" i="2"/>
  <c r="T3642" i="2"/>
  <c r="T3714" i="2"/>
  <c r="T3786" i="2"/>
  <c r="T3858" i="2"/>
  <c r="V3929" i="2"/>
  <c r="T3930" i="2"/>
  <c r="V4001" i="2"/>
  <c r="T4002" i="2"/>
  <c r="T4074" i="2"/>
  <c r="T4146" i="2"/>
  <c r="T4218" i="2"/>
  <c r="V4289" i="2"/>
  <c r="T4290" i="2"/>
  <c r="V689" i="2"/>
  <c r="T690" i="2"/>
  <c r="V761" i="2"/>
  <c r="T762" i="2"/>
  <c r="V833" i="2"/>
  <c r="T834" i="2"/>
  <c r="V905" i="2"/>
  <c r="T906" i="2"/>
  <c r="V977" i="2"/>
  <c r="T978" i="2"/>
  <c r="V1049" i="2"/>
  <c r="T1050" i="2"/>
  <c r="V1121" i="2"/>
  <c r="T1122" i="2"/>
  <c r="V1193" i="2"/>
  <c r="T1194" i="2"/>
  <c r="V1265" i="2"/>
  <c r="T1266" i="2"/>
  <c r="V1337" i="2"/>
  <c r="T1338" i="2"/>
  <c r="V1409" i="2"/>
  <c r="T1410" i="2"/>
  <c r="T1482" i="2"/>
  <c r="T1554" i="2"/>
  <c r="V1625" i="2"/>
  <c r="T1626" i="2"/>
  <c r="V1697" i="2"/>
  <c r="T1698" i="2"/>
  <c r="V1769" i="2"/>
  <c r="T1770" i="2"/>
  <c r="T1842" i="2"/>
  <c r="T1914" i="2"/>
  <c r="V1985" i="2"/>
  <c r="T1986" i="2"/>
  <c r="V2057" i="2"/>
  <c r="T2058" i="2"/>
  <c r="V2129" i="2"/>
  <c r="T2130" i="2"/>
  <c r="T2202" i="2"/>
  <c r="T2274" i="2"/>
  <c r="V2345" i="2"/>
  <c r="T2346" i="2"/>
  <c r="V2417" i="2"/>
  <c r="T2418" i="2"/>
  <c r="V2489" i="2"/>
  <c r="T2490" i="2"/>
  <c r="T2562" i="2"/>
  <c r="V2633" i="2"/>
  <c r="T2634" i="2"/>
  <c r="V2705" i="2"/>
  <c r="T2706" i="2"/>
  <c r="V2777" i="2"/>
  <c r="T2778" i="2"/>
  <c r="V2849" i="2"/>
  <c r="T2850" i="2"/>
  <c r="T2922" i="2"/>
  <c r="T2994" i="2"/>
  <c r="T3066" i="2"/>
  <c r="T3138" i="2"/>
  <c r="T3210" i="2"/>
  <c r="V3281" i="2"/>
  <c r="T3282" i="2"/>
  <c r="V3353" i="2"/>
  <c r="T3354" i="2"/>
  <c r="U4073" i="2"/>
  <c r="V4072" i="2"/>
  <c r="U3641" i="2"/>
  <c r="V3640" i="2"/>
  <c r="U1125" i="2"/>
  <c r="U331" i="2"/>
  <c r="R1482" i="2"/>
  <c r="R1842" i="2"/>
  <c r="S1841" i="2"/>
  <c r="U1841" i="2"/>
  <c r="V1841" i="2" s="1"/>
  <c r="R2274" i="2"/>
  <c r="R3138" i="2"/>
  <c r="R979" i="2"/>
  <c r="S978" i="2"/>
  <c r="U978" i="2"/>
  <c r="S2201" i="2"/>
  <c r="U2201" i="2"/>
  <c r="V2201" i="2" s="1"/>
  <c r="R2202" i="2"/>
  <c r="R2922" i="2"/>
  <c r="R1554" i="2"/>
  <c r="U1553" i="2"/>
  <c r="V1553" i="2" s="1"/>
  <c r="S1553" i="2"/>
  <c r="R1914" i="2"/>
  <c r="S1913" i="2"/>
  <c r="U1913" i="2"/>
  <c r="V1913" i="2" s="1"/>
  <c r="R2562" i="2"/>
  <c r="R3210" i="2"/>
  <c r="R2707" i="2"/>
  <c r="S2706" i="2"/>
  <c r="U2706" i="2"/>
  <c r="R3498" i="2"/>
  <c r="S3497" i="2"/>
  <c r="S3498" i="2" s="1"/>
  <c r="S3499" i="2" s="1"/>
  <c r="S3500" i="2" s="1"/>
  <c r="S3501" i="2" s="1"/>
  <c r="S3502" i="2" s="1"/>
  <c r="S3503" i="2" s="1"/>
  <c r="S3504" i="2" s="1"/>
  <c r="S3505" i="2" s="1"/>
  <c r="S3506" i="2" s="1"/>
  <c r="U3497" i="2"/>
  <c r="R4002" i="2"/>
  <c r="R2059" i="2"/>
  <c r="R2348" i="2"/>
  <c r="S2347" i="2"/>
  <c r="R2779" i="2"/>
  <c r="S2778" i="2"/>
  <c r="U2778" i="2"/>
  <c r="R1771" i="2"/>
  <c r="R3066" i="2"/>
  <c r="R4074" i="2"/>
  <c r="R4218" i="2"/>
  <c r="R3571" i="2"/>
  <c r="R3931" i="2"/>
  <c r="R1988" i="2"/>
  <c r="S1987" i="2"/>
  <c r="U1987" i="2"/>
  <c r="R2131" i="2"/>
  <c r="R691" i="2"/>
  <c r="U690" i="2"/>
  <c r="S690" i="2"/>
  <c r="R4146" i="2"/>
  <c r="R3355" i="2"/>
  <c r="R3642" i="2"/>
  <c r="U3785" i="2"/>
  <c r="V3785" i="2" s="1"/>
  <c r="R3786" i="2"/>
  <c r="S3785" i="2"/>
  <c r="R2493" i="2"/>
  <c r="R4290" i="2"/>
  <c r="R2994" i="2"/>
  <c r="S2993" i="2"/>
  <c r="S2994" i="2" s="1"/>
  <c r="S2995" i="2" s="1"/>
  <c r="S2996" i="2" s="1"/>
  <c r="S2997" i="2" s="1"/>
  <c r="S2998" i="2" s="1"/>
  <c r="S2999" i="2" s="1"/>
  <c r="S3000" i="2" s="1"/>
  <c r="U2993" i="2"/>
  <c r="R3714" i="2"/>
  <c r="R3858" i="2"/>
  <c r="R2855" i="2"/>
  <c r="R2637" i="2"/>
  <c r="S2636" i="2"/>
  <c r="U2636" i="2"/>
  <c r="R2421" i="2"/>
  <c r="S2420" i="2"/>
  <c r="S2421" i="2" s="1"/>
  <c r="U2420" i="2"/>
  <c r="U2421" i="2" s="1"/>
  <c r="U1629" i="2"/>
  <c r="R1630" i="2"/>
  <c r="S1629" i="2"/>
  <c r="R1704" i="2"/>
  <c r="S1703" i="2"/>
  <c r="S1704" i="2" s="1"/>
  <c r="U1703" i="2"/>
  <c r="U1704" i="2" s="1"/>
  <c r="R1196" i="2"/>
  <c r="S1195" i="2"/>
  <c r="U1195" i="2"/>
  <c r="R3283" i="2"/>
  <c r="R3426" i="2"/>
  <c r="R116" i="2"/>
  <c r="S115" i="2"/>
  <c r="U115" i="2"/>
  <c r="U2347" i="2"/>
  <c r="U1270" i="2"/>
  <c r="U1339" i="2"/>
  <c r="U261" i="2"/>
  <c r="U907" i="2"/>
  <c r="U1410" i="2"/>
  <c r="U44" i="2"/>
  <c r="U191" i="2"/>
  <c r="U835" i="2"/>
  <c r="U475" i="2"/>
  <c r="R1052" i="2"/>
  <c r="S1051" i="2"/>
  <c r="U1051" i="2"/>
  <c r="S835" i="2"/>
  <c r="R836" i="2"/>
  <c r="R1271" i="2"/>
  <c r="S1270" i="2"/>
  <c r="S1339" i="2"/>
  <c r="R1340" i="2"/>
  <c r="S261" i="2"/>
  <c r="R262" i="2"/>
  <c r="S475" i="2"/>
  <c r="R476" i="2"/>
  <c r="S907" i="2"/>
  <c r="R908" i="2"/>
  <c r="S1410" i="2"/>
  <c r="R1411" i="2"/>
  <c r="S44" i="2"/>
  <c r="R45" i="2"/>
  <c r="S191" i="2"/>
  <c r="R192" i="2"/>
  <c r="R765" i="2" l="1"/>
  <c r="U764" i="2"/>
  <c r="S764" i="2"/>
  <c r="S1126" i="2"/>
  <c r="R1127" i="2"/>
  <c r="S332" i="2"/>
  <c r="R333" i="2"/>
  <c r="U3426" i="2"/>
  <c r="V3425" i="2"/>
  <c r="U2922" i="2"/>
  <c r="V2921" i="2"/>
  <c r="U3714" i="2"/>
  <c r="V3714" i="2" s="1"/>
  <c r="V3713" i="2"/>
  <c r="U4218" i="2"/>
  <c r="V4217" i="2"/>
  <c r="U4146" i="2"/>
  <c r="V4146" i="2" s="1"/>
  <c r="V4145" i="2"/>
  <c r="U3066" i="2"/>
  <c r="V3066" i="2" s="1"/>
  <c r="V3065" i="2"/>
  <c r="U3858" i="2"/>
  <c r="V3857" i="2"/>
  <c r="U1126" i="2"/>
  <c r="U1127" i="2" s="1"/>
  <c r="U1482" i="2"/>
  <c r="V1481" i="2"/>
  <c r="U3138" i="2"/>
  <c r="V3137" i="2"/>
  <c r="U332" i="2"/>
  <c r="U333" i="2" s="1"/>
  <c r="R547" i="2"/>
  <c r="S546" i="2"/>
  <c r="U546" i="2"/>
  <c r="V546" i="2" s="1"/>
  <c r="R619" i="2"/>
  <c r="S618" i="2"/>
  <c r="U618" i="2"/>
  <c r="V618" i="2" s="1"/>
  <c r="U404" i="2"/>
  <c r="S404" i="2"/>
  <c r="R405" i="2"/>
  <c r="U3210" i="2"/>
  <c r="V3209" i="2"/>
  <c r="U3642" i="2"/>
  <c r="V3641" i="2"/>
  <c r="U2274" i="2"/>
  <c r="V2273" i="2"/>
  <c r="U4074" i="2"/>
  <c r="V4073" i="2"/>
  <c r="U2348" i="2"/>
  <c r="U2349" i="2" s="1"/>
  <c r="U2350" i="2" s="1"/>
  <c r="U2351" i="2" s="1"/>
  <c r="U2352" i="2" s="1"/>
  <c r="V42" i="2"/>
  <c r="T43" i="2"/>
  <c r="V114" i="2"/>
  <c r="T115" i="2"/>
  <c r="V186" i="2"/>
  <c r="T187" i="2"/>
  <c r="V258" i="2"/>
  <c r="T259" i="2"/>
  <c r="V330" i="2"/>
  <c r="T331" i="2"/>
  <c r="V402" i="2"/>
  <c r="T403" i="2"/>
  <c r="V474" i="2"/>
  <c r="T475" i="2"/>
  <c r="T547" i="2"/>
  <c r="T619" i="2"/>
  <c r="T3427" i="2"/>
  <c r="T3499" i="2"/>
  <c r="V3570" i="2"/>
  <c r="T3571" i="2"/>
  <c r="T3643" i="2"/>
  <c r="T3715" i="2"/>
  <c r="T3787" i="2"/>
  <c r="T3859" i="2"/>
  <c r="V3930" i="2"/>
  <c r="T3931" i="2"/>
  <c r="V4002" i="2"/>
  <c r="T4003" i="2"/>
  <c r="T4075" i="2"/>
  <c r="T4147" i="2"/>
  <c r="T4219" i="2"/>
  <c r="V4290" i="2"/>
  <c r="T4291" i="2"/>
  <c r="V690" i="2"/>
  <c r="T691" i="2"/>
  <c r="V762" i="2"/>
  <c r="T763" i="2"/>
  <c r="V834" i="2"/>
  <c r="T835" i="2"/>
  <c r="V906" i="2"/>
  <c r="T907" i="2"/>
  <c r="V978" i="2"/>
  <c r="T979" i="2"/>
  <c r="V1050" i="2"/>
  <c r="T1051" i="2"/>
  <c r="V1122" i="2"/>
  <c r="T1123" i="2"/>
  <c r="V1194" i="2"/>
  <c r="T1195" i="2"/>
  <c r="V1266" i="2"/>
  <c r="T1267" i="2"/>
  <c r="V1338" i="2"/>
  <c r="T1339" i="2"/>
  <c r="V1410" i="2"/>
  <c r="T1411" i="2"/>
  <c r="T1483" i="2"/>
  <c r="T1555" i="2"/>
  <c r="V1626" i="2"/>
  <c r="T1627" i="2"/>
  <c r="V1698" i="2"/>
  <c r="T1699" i="2"/>
  <c r="V1770" i="2"/>
  <c r="T1771" i="2"/>
  <c r="T1843" i="2"/>
  <c r="T1915" i="2"/>
  <c r="V1986" i="2"/>
  <c r="T1987" i="2"/>
  <c r="V2058" i="2"/>
  <c r="T2059" i="2"/>
  <c r="V2130" i="2"/>
  <c r="T2131" i="2"/>
  <c r="T2203" i="2"/>
  <c r="T2275" i="2"/>
  <c r="V2346" i="2"/>
  <c r="T2347" i="2"/>
  <c r="V2418" i="2"/>
  <c r="T2419" i="2"/>
  <c r="V2490" i="2"/>
  <c r="T2491" i="2"/>
  <c r="T2563" i="2"/>
  <c r="V2634" i="2"/>
  <c r="T2635" i="2"/>
  <c r="V2706" i="2"/>
  <c r="T2707" i="2"/>
  <c r="V2778" i="2"/>
  <c r="T2779" i="2"/>
  <c r="V2850" i="2"/>
  <c r="T2851" i="2"/>
  <c r="T2923" i="2"/>
  <c r="T2995" i="2"/>
  <c r="T3067" i="2"/>
  <c r="T3139" i="2"/>
  <c r="T3211" i="2"/>
  <c r="V3282" i="2"/>
  <c r="T3283" i="2"/>
  <c r="V3354" i="2"/>
  <c r="T3355" i="2"/>
  <c r="U3498" i="2"/>
  <c r="V3497" i="2"/>
  <c r="U2994" i="2"/>
  <c r="V2993" i="2"/>
  <c r="R1483" i="2"/>
  <c r="R1843" i="2"/>
  <c r="S1842" i="2"/>
  <c r="S1843" i="2" s="1"/>
  <c r="U1842" i="2"/>
  <c r="R2275" i="2"/>
  <c r="R3139" i="2"/>
  <c r="R980" i="2"/>
  <c r="S979" i="2"/>
  <c r="U979" i="2"/>
  <c r="R2203" i="2"/>
  <c r="U2202" i="2"/>
  <c r="V2202" i="2" s="1"/>
  <c r="S2202" i="2"/>
  <c r="R2923" i="2"/>
  <c r="S1554" i="2"/>
  <c r="S1555" i="2" s="1"/>
  <c r="R1555" i="2"/>
  <c r="U1554" i="2"/>
  <c r="R1915" i="2"/>
  <c r="S1914" i="2"/>
  <c r="S1915" i="2" s="1"/>
  <c r="U1914" i="2"/>
  <c r="S2562" i="2"/>
  <c r="R2563" i="2"/>
  <c r="U2562" i="2"/>
  <c r="V2562" i="2" s="1"/>
  <c r="R3211" i="2"/>
  <c r="S2707" i="2"/>
  <c r="U2707" i="2"/>
  <c r="R2708" i="2"/>
  <c r="R3499" i="2"/>
  <c r="R4003" i="2"/>
  <c r="S2059" i="2"/>
  <c r="S2060" i="2" s="1"/>
  <c r="S2061" i="2" s="1"/>
  <c r="S2062" i="2" s="1"/>
  <c r="S2063" i="2" s="1"/>
  <c r="S2064" i="2" s="1"/>
  <c r="S2065" i="2" s="1"/>
  <c r="S2066" i="2" s="1"/>
  <c r="S2067" i="2" s="1"/>
  <c r="U2059" i="2"/>
  <c r="U2060" i="2" s="1"/>
  <c r="U2061" i="2" s="1"/>
  <c r="U2062" i="2" s="1"/>
  <c r="U2063" i="2" s="1"/>
  <c r="U2064" i="2" s="1"/>
  <c r="U2065" i="2" s="1"/>
  <c r="U2066" i="2" s="1"/>
  <c r="U2067" i="2" s="1"/>
  <c r="R2060" i="2"/>
  <c r="R2349" i="2"/>
  <c r="S2348" i="2"/>
  <c r="S2349" i="2" s="1"/>
  <c r="S2350" i="2" s="1"/>
  <c r="S2351" i="2" s="1"/>
  <c r="S2352" i="2" s="1"/>
  <c r="R2780" i="2"/>
  <c r="S2779" i="2"/>
  <c r="U2779" i="2"/>
  <c r="R1772" i="2"/>
  <c r="S1771" i="2"/>
  <c r="S1772" i="2" s="1"/>
  <c r="S1773" i="2" s="1"/>
  <c r="U1771" i="2"/>
  <c r="U1772" i="2" s="1"/>
  <c r="U1773" i="2" s="1"/>
  <c r="R3067" i="2"/>
  <c r="R4075" i="2"/>
  <c r="R4219" i="2"/>
  <c r="R3572" i="2"/>
  <c r="S3931" i="2"/>
  <c r="S3932" i="2" s="1"/>
  <c r="S3933" i="2" s="1"/>
  <c r="S3934" i="2" s="1"/>
  <c r="S3935" i="2" s="1"/>
  <c r="S3936" i="2" s="1"/>
  <c r="S3937" i="2" s="1"/>
  <c r="S3938" i="2" s="1"/>
  <c r="S3939" i="2" s="1"/>
  <c r="R3932" i="2"/>
  <c r="U3931" i="2"/>
  <c r="U3932" i="2" s="1"/>
  <c r="U3933" i="2" s="1"/>
  <c r="U3934" i="2" s="1"/>
  <c r="U3935" i="2" s="1"/>
  <c r="U3936" i="2" s="1"/>
  <c r="U3937" i="2" s="1"/>
  <c r="U3938" i="2" s="1"/>
  <c r="U3939" i="2" s="1"/>
  <c r="U1988" i="2"/>
  <c r="S1988" i="2"/>
  <c r="R1989" i="2"/>
  <c r="U2131" i="2"/>
  <c r="R2132" i="2"/>
  <c r="S2131" i="2"/>
  <c r="S691" i="2"/>
  <c r="R692" i="2"/>
  <c r="U691" i="2"/>
  <c r="R4147" i="2"/>
  <c r="U3355" i="2"/>
  <c r="S3355" i="2"/>
  <c r="R3356" i="2"/>
  <c r="R3643" i="2"/>
  <c r="R3787" i="2"/>
  <c r="S3786" i="2"/>
  <c r="S3787" i="2" s="1"/>
  <c r="S3788" i="2" s="1"/>
  <c r="S3789" i="2" s="1"/>
  <c r="S3790" i="2" s="1"/>
  <c r="U2493" i="2"/>
  <c r="R2494" i="2"/>
  <c r="S2493" i="2"/>
  <c r="R4291" i="2"/>
  <c r="R2995" i="2"/>
  <c r="R3715" i="2"/>
  <c r="R3859" i="2"/>
  <c r="R2856" i="2"/>
  <c r="S2855" i="2"/>
  <c r="S2856" i="2" s="1"/>
  <c r="U2855" i="2"/>
  <c r="U2856" i="2" s="1"/>
  <c r="R2638" i="2"/>
  <c r="S2637" i="2"/>
  <c r="U2637" i="2"/>
  <c r="R2422" i="2"/>
  <c r="R1631" i="2"/>
  <c r="S1630" i="2"/>
  <c r="S1631" i="2" s="1"/>
  <c r="U1630" i="2"/>
  <c r="U1631" i="2" s="1"/>
  <c r="R1705" i="2"/>
  <c r="R1197" i="2"/>
  <c r="S1196" i="2"/>
  <c r="U1196" i="2"/>
  <c r="R3284" i="2"/>
  <c r="R3427" i="2"/>
  <c r="R117" i="2"/>
  <c r="S116" i="2"/>
  <c r="U116" i="2"/>
  <c r="U3786" i="2"/>
  <c r="U836" i="2"/>
  <c r="U1340" i="2"/>
  <c r="U262" i="2"/>
  <c r="U908" i="2"/>
  <c r="U1411" i="2"/>
  <c r="U45" i="2"/>
  <c r="U192" i="2"/>
  <c r="U1271" i="2"/>
  <c r="U476" i="2"/>
  <c r="R1053" i="2"/>
  <c r="S1052" i="2"/>
  <c r="U1052" i="2"/>
  <c r="R837" i="2"/>
  <c r="S836" i="2"/>
  <c r="R1272" i="2"/>
  <c r="S1271" i="2"/>
  <c r="R1341" i="2"/>
  <c r="S1340" i="2"/>
  <c r="S405" i="2"/>
  <c r="R406" i="2"/>
  <c r="S262" i="2"/>
  <c r="R263" i="2"/>
  <c r="S476" i="2"/>
  <c r="R477" i="2"/>
  <c r="S908" i="2"/>
  <c r="R909" i="2"/>
  <c r="S1411" i="2"/>
  <c r="R1412" i="2"/>
  <c r="S45" i="2"/>
  <c r="R46" i="2"/>
  <c r="S192" i="2"/>
  <c r="R193" i="2"/>
  <c r="S765" i="2" l="1"/>
  <c r="U765" i="2"/>
  <c r="R766" i="2"/>
  <c r="S1127" i="2"/>
  <c r="R1128" i="2"/>
  <c r="R334" i="2"/>
  <c r="S333" i="2"/>
  <c r="U2923" i="2"/>
  <c r="U2924" i="2" s="1"/>
  <c r="V2922" i="2"/>
  <c r="U3427" i="2"/>
  <c r="U3428" i="2" s="1"/>
  <c r="U3429" i="2" s="1"/>
  <c r="U3430" i="2" s="1"/>
  <c r="U3431" i="2" s="1"/>
  <c r="V3426" i="2"/>
  <c r="U4219" i="2"/>
  <c r="V4218" i="2"/>
  <c r="U3859" i="2"/>
  <c r="V3858" i="2"/>
  <c r="U405" i="2"/>
  <c r="U406" i="2" s="1"/>
  <c r="U3139" i="2"/>
  <c r="V3138" i="2"/>
  <c r="U1483" i="2"/>
  <c r="V1482" i="2"/>
  <c r="U2275" i="2"/>
  <c r="V2275" i="2" s="1"/>
  <c r="V2274" i="2"/>
  <c r="R548" i="2"/>
  <c r="S547" i="2"/>
  <c r="U547" i="2"/>
  <c r="V547" i="2" s="1"/>
  <c r="R620" i="2"/>
  <c r="S619" i="2"/>
  <c r="U619" i="2"/>
  <c r="V619" i="2" s="1"/>
  <c r="U3211" i="2"/>
  <c r="V3211" i="2" s="1"/>
  <c r="V3210" i="2"/>
  <c r="U4075" i="2"/>
  <c r="V4074" i="2"/>
  <c r="U3643" i="2"/>
  <c r="V3643" i="2" s="1"/>
  <c r="V3642" i="2"/>
  <c r="U2995" i="2"/>
  <c r="V2994" i="2"/>
  <c r="U1843" i="2"/>
  <c r="V1843" i="2" s="1"/>
  <c r="V1842" i="2"/>
  <c r="U1555" i="2"/>
  <c r="V1555" i="2" s="1"/>
  <c r="V1554" i="2"/>
  <c r="U1915" i="2"/>
  <c r="V1915" i="2" s="1"/>
  <c r="V1914" i="2"/>
  <c r="U3499" i="2"/>
  <c r="V3498" i="2"/>
  <c r="V43" i="2"/>
  <c r="T44" i="2"/>
  <c r="V115" i="2"/>
  <c r="T116" i="2"/>
  <c r="V187" i="2"/>
  <c r="T188" i="2"/>
  <c r="V259" i="2"/>
  <c r="T260" i="2"/>
  <c r="V331" i="2"/>
  <c r="T332" i="2"/>
  <c r="V403" i="2"/>
  <c r="T404" i="2"/>
  <c r="V475" i="2"/>
  <c r="T476" i="2"/>
  <c r="T548" i="2"/>
  <c r="T620" i="2"/>
  <c r="V3427" i="2"/>
  <c r="T3428" i="2"/>
  <c r="T3500" i="2"/>
  <c r="V3571" i="2"/>
  <c r="T3572" i="2"/>
  <c r="T3644" i="2"/>
  <c r="T3716" i="2"/>
  <c r="T3788" i="2"/>
  <c r="T3860" i="2"/>
  <c r="V3931" i="2"/>
  <c r="T3932" i="2"/>
  <c r="V4003" i="2"/>
  <c r="T4004" i="2"/>
  <c r="T4076" i="2"/>
  <c r="T4148" i="2"/>
  <c r="T4220" i="2"/>
  <c r="V4291" i="2"/>
  <c r="T4292" i="2"/>
  <c r="V691" i="2"/>
  <c r="T692" i="2"/>
  <c r="V763" i="2"/>
  <c r="T764" i="2"/>
  <c r="V835" i="2"/>
  <c r="T836" i="2"/>
  <c r="V907" i="2"/>
  <c r="T908" i="2"/>
  <c r="V979" i="2"/>
  <c r="T980" i="2"/>
  <c r="V1051" i="2"/>
  <c r="T1052" i="2"/>
  <c r="V1123" i="2"/>
  <c r="T1124" i="2"/>
  <c r="V1195" i="2"/>
  <c r="T1196" i="2"/>
  <c r="V1267" i="2"/>
  <c r="T1268" i="2"/>
  <c r="V1339" i="2"/>
  <c r="T1340" i="2"/>
  <c r="V1411" i="2"/>
  <c r="T1412" i="2"/>
  <c r="T1484" i="2"/>
  <c r="T1556" i="2"/>
  <c r="V1627" i="2"/>
  <c r="T1628" i="2"/>
  <c r="V1699" i="2"/>
  <c r="T1700" i="2"/>
  <c r="V1771" i="2"/>
  <c r="T1772" i="2"/>
  <c r="T1844" i="2"/>
  <c r="T1916" i="2"/>
  <c r="V1987" i="2"/>
  <c r="T1988" i="2"/>
  <c r="V2059" i="2"/>
  <c r="T2060" i="2"/>
  <c r="V2131" i="2"/>
  <c r="T2132" i="2"/>
  <c r="T2204" i="2"/>
  <c r="T2276" i="2"/>
  <c r="V2347" i="2"/>
  <c r="T2348" i="2"/>
  <c r="V2419" i="2"/>
  <c r="T2420" i="2"/>
  <c r="V2491" i="2"/>
  <c r="T2492" i="2"/>
  <c r="T2564" i="2"/>
  <c r="V2635" i="2"/>
  <c r="T2636" i="2"/>
  <c r="V2707" i="2"/>
  <c r="T2708" i="2"/>
  <c r="V2779" i="2"/>
  <c r="T2780" i="2"/>
  <c r="V2851" i="2"/>
  <c r="T2852" i="2"/>
  <c r="V2923" i="2"/>
  <c r="T2924" i="2"/>
  <c r="T2996" i="2"/>
  <c r="T3068" i="2"/>
  <c r="T3140" i="2"/>
  <c r="T3212" i="2"/>
  <c r="V3283" i="2"/>
  <c r="T3284" i="2"/>
  <c r="V3355" i="2"/>
  <c r="T3356" i="2"/>
  <c r="U3787" i="2"/>
  <c r="V3786" i="2"/>
  <c r="R1484" i="2"/>
  <c r="R1844" i="2"/>
  <c r="R2276" i="2"/>
  <c r="R3140" i="2"/>
  <c r="R981" i="2"/>
  <c r="S980" i="2"/>
  <c r="U980" i="2"/>
  <c r="R2204" i="2"/>
  <c r="U2203" i="2"/>
  <c r="V2203" i="2" s="1"/>
  <c r="S2203" i="2"/>
  <c r="R2924" i="2"/>
  <c r="R1556" i="2"/>
  <c r="R1916" i="2"/>
  <c r="R2564" i="2"/>
  <c r="S2563" i="2"/>
  <c r="U2563" i="2"/>
  <c r="V2563" i="2" s="1"/>
  <c r="R3212" i="2"/>
  <c r="R2709" i="2"/>
  <c r="U2708" i="2"/>
  <c r="S2708" i="2"/>
  <c r="R3500" i="2"/>
  <c r="R4004" i="2"/>
  <c r="R2061" i="2"/>
  <c r="R2350" i="2"/>
  <c r="R2781" i="2"/>
  <c r="S2780" i="2"/>
  <c r="S2781" i="2" s="1"/>
  <c r="S2782" i="2" s="1"/>
  <c r="U2780" i="2"/>
  <c r="U2781" i="2" s="1"/>
  <c r="U2782" i="2" s="1"/>
  <c r="R1773" i="2"/>
  <c r="U3067" i="2"/>
  <c r="S3067" i="2"/>
  <c r="S3068" i="2" s="1"/>
  <c r="S3069" i="2" s="1"/>
  <c r="S3070" i="2" s="1"/>
  <c r="S3071" i="2" s="1"/>
  <c r="S3072" i="2" s="1"/>
  <c r="S3073" i="2" s="1"/>
  <c r="S3074" i="2" s="1"/>
  <c r="S3075" i="2" s="1"/>
  <c r="R3068" i="2"/>
  <c r="R4076" i="2"/>
  <c r="R4220" i="2"/>
  <c r="R3573" i="2"/>
  <c r="R3933" i="2"/>
  <c r="R1990" i="2"/>
  <c r="U1989" i="2"/>
  <c r="S1989" i="2"/>
  <c r="S2132" i="2"/>
  <c r="R2133" i="2"/>
  <c r="U2132" i="2"/>
  <c r="R693" i="2"/>
  <c r="S692" i="2"/>
  <c r="U692" i="2"/>
  <c r="U4147" i="2"/>
  <c r="V4147" i="2" s="1"/>
  <c r="R4148" i="2"/>
  <c r="S4147" i="2"/>
  <c r="R3357" i="2"/>
  <c r="S3356" i="2"/>
  <c r="S3357" i="2" s="1"/>
  <c r="S3358" i="2" s="1"/>
  <c r="S3359" i="2" s="1"/>
  <c r="R3644" i="2"/>
  <c r="R3788" i="2"/>
  <c r="S2494" i="2"/>
  <c r="S2495" i="2" s="1"/>
  <c r="R2495" i="2"/>
  <c r="R4292" i="2"/>
  <c r="R2996" i="2"/>
  <c r="U3715" i="2"/>
  <c r="R3716" i="2"/>
  <c r="S3715" i="2"/>
  <c r="S3716" i="2" s="1"/>
  <c r="S3717" i="2" s="1"/>
  <c r="S3718" i="2" s="1"/>
  <c r="S3719" i="2" s="1"/>
  <c r="S3720" i="2" s="1"/>
  <c r="S3721" i="2" s="1"/>
  <c r="S3722" i="2" s="1"/>
  <c r="S3723" i="2" s="1"/>
  <c r="S3724" i="2" s="1"/>
  <c r="S3725" i="2" s="1"/>
  <c r="S3726" i="2" s="1"/>
  <c r="R3860" i="2"/>
  <c r="R2857" i="2"/>
  <c r="R2639" i="2"/>
  <c r="S2638" i="2"/>
  <c r="S2639" i="2" s="1"/>
  <c r="U2638" i="2"/>
  <c r="U2639" i="2" s="1"/>
  <c r="U2422" i="2"/>
  <c r="R2423" i="2"/>
  <c r="S2422" i="2"/>
  <c r="R1632" i="2"/>
  <c r="R1706" i="2"/>
  <c r="S1705" i="2"/>
  <c r="S1706" i="2" s="1"/>
  <c r="U1705" i="2"/>
  <c r="U1706" i="2" s="1"/>
  <c r="R1198" i="2"/>
  <c r="S1197" i="2"/>
  <c r="U1197" i="2"/>
  <c r="R3285" i="2"/>
  <c r="R3428" i="2"/>
  <c r="R118" i="2"/>
  <c r="S117" i="2"/>
  <c r="U117" i="2"/>
  <c r="U3356" i="2"/>
  <c r="U3357" i="2" s="1"/>
  <c r="U3358" i="2" s="1"/>
  <c r="U3359" i="2" s="1"/>
  <c r="U2494" i="2"/>
  <c r="U2495" i="2" s="1"/>
  <c r="U1128" i="2"/>
  <c r="U263" i="2"/>
  <c r="U766" i="2"/>
  <c r="U909" i="2"/>
  <c r="U1412" i="2"/>
  <c r="U46" i="2"/>
  <c r="U47" i="2" s="1"/>
  <c r="U193" i="2"/>
  <c r="U837" i="2"/>
  <c r="U334" i="2"/>
  <c r="U335" i="2" s="1"/>
  <c r="U336" i="2" s="1"/>
  <c r="U1272" i="2"/>
  <c r="U1341" i="2"/>
  <c r="U477" i="2"/>
  <c r="S1053" i="2"/>
  <c r="R1054" i="2"/>
  <c r="U1053" i="2"/>
  <c r="R838" i="2"/>
  <c r="S837" i="2"/>
  <c r="S1128" i="2"/>
  <c r="R1129" i="2"/>
  <c r="S1272" i="2"/>
  <c r="R1273" i="2"/>
  <c r="R1342" i="2"/>
  <c r="S1341" i="2"/>
  <c r="R407" i="2"/>
  <c r="S406" i="2"/>
  <c r="S263" i="2"/>
  <c r="R264" i="2"/>
  <c r="S334" i="2"/>
  <c r="S335" i="2" s="1"/>
  <c r="S336" i="2" s="1"/>
  <c r="R335" i="2"/>
  <c r="S477" i="2"/>
  <c r="R478" i="2"/>
  <c r="S766" i="2"/>
  <c r="R767" i="2"/>
  <c r="S909" i="2"/>
  <c r="R910" i="2"/>
  <c r="S1412" i="2"/>
  <c r="R1413" i="2"/>
  <c r="S46" i="2"/>
  <c r="S47" i="2" s="1"/>
  <c r="R47" i="2"/>
  <c r="S193" i="2"/>
  <c r="R194" i="2"/>
  <c r="U4220" i="2" l="1"/>
  <c r="U4221" i="2" s="1"/>
  <c r="U4222" i="2" s="1"/>
  <c r="U4223" i="2" s="1"/>
  <c r="U4224" i="2" s="1"/>
  <c r="U4225" i="2" s="1"/>
  <c r="U4226" i="2" s="1"/>
  <c r="V4219" i="2"/>
  <c r="U3860" i="2"/>
  <c r="U3861" i="2" s="1"/>
  <c r="U3862" i="2" s="1"/>
  <c r="U3863" i="2" s="1"/>
  <c r="U3864" i="2" s="1"/>
  <c r="U3865" i="2" s="1"/>
  <c r="U3866" i="2" s="1"/>
  <c r="U3867" i="2" s="1"/>
  <c r="U3868" i="2" s="1"/>
  <c r="V3859" i="2"/>
  <c r="U3140" i="2"/>
  <c r="V3139" i="2"/>
  <c r="U1484" i="2"/>
  <c r="V1484" i="2" s="1"/>
  <c r="V1483" i="2"/>
  <c r="U4076" i="2"/>
  <c r="V4075" i="2"/>
  <c r="U2996" i="2"/>
  <c r="V2995" i="2"/>
  <c r="R549" i="2"/>
  <c r="S548" i="2"/>
  <c r="U548" i="2"/>
  <c r="V548" i="2" s="1"/>
  <c r="R621" i="2"/>
  <c r="S620" i="2"/>
  <c r="U620" i="2"/>
  <c r="V620" i="2" s="1"/>
  <c r="U3500" i="2"/>
  <c r="V3499" i="2"/>
  <c r="U3068" i="2"/>
  <c r="V3067" i="2"/>
  <c r="U3788" i="2"/>
  <c r="V3787" i="2"/>
  <c r="V44" i="2"/>
  <c r="T45" i="2"/>
  <c r="V116" i="2"/>
  <c r="T117" i="2"/>
  <c r="V188" i="2"/>
  <c r="T189" i="2"/>
  <c r="V260" i="2"/>
  <c r="T261" i="2"/>
  <c r="V332" i="2"/>
  <c r="T333" i="2"/>
  <c r="V404" i="2"/>
  <c r="T405" i="2"/>
  <c r="V476" i="2"/>
  <c r="T477" i="2"/>
  <c r="T549" i="2"/>
  <c r="T621" i="2"/>
  <c r="V3428" i="2"/>
  <c r="T3429" i="2"/>
  <c r="T3501" i="2"/>
  <c r="V3572" i="2"/>
  <c r="T3573" i="2"/>
  <c r="T3645" i="2"/>
  <c r="T3717" i="2"/>
  <c r="T3789" i="2"/>
  <c r="V3860" i="2"/>
  <c r="T3861" i="2"/>
  <c r="V3932" i="2"/>
  <c r="T3933" i="2"/>
  <c r="V4004" i="2"/>
  <c r="T4005" i="2"/>
  <c r="T4077" i="2"/>
  <c r="T4149" i="2"/>
  <c r="V4220" i="2"/>
  <c r="T4221" i="2"/>
  <c r="T4293" i="2"/>
  <c r="V692" i="2"/>
  <c r="T693" i="2"/>
  <c r="V764" i="2"/>
  <c r="T765" i="2"/>
  <c r="V836" i="2"/>
  <c r="T837" i="2"/>
  <c r="V908" i="2"/>
  <c r="T909" i="2"/>
  <c r="V980" i="2"/>
  <c r="T981" i="2"/>
  <c r="V1052" i="2"/>
  <c r="T1053" i="2"/>
  <c r="V1124" i="2"/>
  <c r="T1125" i="2"/>
  <c r="V1196" i="2"/>
  <c r="T1197" i="2"/>
  <c r="V1268" i="2"/>
  <c r="T1269" i="2"/>
  <c r="V1340" i="2"/>
  <c r="T1341" i="2"/>
  <c r="V1412" i="2"/>
  <c r="T1413" i="2"/>
  <c r="T1485" i="2"/>
  <c r="T1557" i="2"/>
  <c r="V1628" i="2"/>
  <c r="T1629" i="2"/>
  <c r="V1700" i="2"/>
  <c r="T1701" i="2"/>
  <c r="V1772" i="2"/>
  <c r="T1773" i="2"/>
  <c r="T1845" i="2"/>
  <c r="T1917" i="2"/>
  <c r="V1988" i="2"/>
  <c r="T1989" i="2"/>
  <c r="V2060" i="2"/>
  <c r="T2061" i="2"/>
  <c r="V2132" i="2"/>
  <c r="T2133" i="2"/>
  <c r="T2205" i="2"/>
  <c r="T2277" i="2"/>
  <c r="V2348" i="2"/>
  <c r="T2349" i="2"/>
  <c r="V2420" i="2"/>
  <c r="T2421" i="2"/>
  <c r="V2492" i="2"/>
  <c r="T2493" i="2"/>
  <c r="T2565" i="2"/>
  <c r="V2636" i="2"/>
  <c r="T2637" i="2"/>
  <c r="V2708" i="2"/>
  <c r="T2709" i="2"/>
  <c r="V2780" i="2"/>
  <c r="T2781" i="2"/>
  <c r="V2852" i="2"/>
  <c r="T2853" i="2"/>
  <c r="V2924" i="2"/>
  <c r="T2925" i="2"/>
  <c r="T2997" i="2"/>
  <c r="T3069" i="2"/>
  <c r="T3141" i="2"/>
  <c r="T3213" i="2"/>
  <c r="V3284" i="2"/>
  <c r="T3285" i="2"/>
  <c r="V3356" i="2"/>
  <c r="T3357" i="2"/>
  <c r="U3716" i="2"/>
  <c r="V3715" i="2"/>
  <c r="U4148" i="2"/>
  <c r="R1485" i="2"/>
  <c r="U1844" i="2"/>
  <c r="R1845" i="2"/>
  <c r="S1844" i="2"/>
  <c r="S1845" i="2" s="1"/>
  <c r="S2276" i="2"/>
  <c r="R2277" i="2"/>
  <c r="U2276" i="2"/>
  <c r="V2276" i="2" s="1"/>
  <c r="R3141" i="2"/>
  <c r="R982" i="2"/>
  <c r="S981" i="2"/>
  <c r="U981" i="2"/>
  <c r="S2204" i="2"/>
  <c r="U2204" i="2"/>
  <c r="V2204" i="2" s="1"/>
  <c r="R2205" i="2"/>
  <c r="R2925" i="2"/>
  <c r="R1557" i="2"/>
  <c r="S1556" i="2"/>
  <c r="U1556" i="2"/>
  <c r="V1556" i="2" s="1"/>
  <c r="U1916" i="2"/>
  <c r="V1916" i="2" s="1"/>
  <c r="S1916" i="2"/>
  <c r="R1917" i="2"/>
  <c r="R2565" i="2"/>
  <c r="S2564" i="2"/>
  <c r="U2564" i="2"/>
  <c r="V2564" i="2" s="1"/>
  <c r="U3212" i="2"/>
  <c r="R3213" i="2"/>
  <c r="S3212" i="2"/>
  <c r="S3213" i="2" s="1"/>
  <c r="S3214" i="2" s="1"/>
  <c r="S3215" i="2" s="1"/>
  <c r="S3216" i="2" s="1"/>
  <c r="S3217" i="2" s="1"/>
  <c r="S3218" i="2" s="1"/>
  <c r="S3219" i="2" s="1"/>
  <c r="R2710" i="2"/>
  <c r="U2709" i="2"/>
  <c r="U2710" i="2" s="1"/>
  <c r="U2711" i="2" s="1"/>
  <c r="S2709" i="2"/>
  <c r="S2710" i="2" s="1"/>
  <c r="S2711" i="2" s="1"/>
  <c r="R3501" i="2"/>
  <c r="R4005" i="2"/>
  <c r="R2062" i="2"/>
  <c r="R2351" i="2"/>
  <c r="R2782" i="2"/>
  <c r="R1774" i="2"/>
  <c r="R3069" i="2"/>
  <c r="R4077" i="2"/>
  <c r="R4221" i="2"/>
  <c r="R3574" i="2"/>
  <c r="R3934" i="2"/>
  <c r="R1991" i="2"/>
  <c r="S1990" i="2"/>
  <c r="S1991" i="2" s="1"/>
  <c r="U1990" i="2"/>
  <c r="U1991" i="2" s="1"/>
  <c r="R2134" i="2"/>
  <c r="U2133" i="2"/>
  <c r="S2133" i="2"/>
  <c r="R694" i="2"/>
  <c r="S693" i="2"/>
  <c r="U693" i="2"/>
  <c r="S4148" i="2"/>
  <c r="S4149" i="2" s="1"/>
  <c r="S4150" i="2" s="1"/>
  <c r="S4151" i="2" s="1"/>
  <c r="S4152" i="2" s="1"/>
  <c r="S4153" i="2" s="1"/>
  <c r="S4154" i="2" s="1"/>
  <c r="S4155" i="2" s="1"/>
  <c r="S4156" i="2" s="1"/>
  <c r="S4157" i="2" s="1"/>
  <c r="S4158" i="2" s="1"/>
  <c r="S4159" i="2" s="1"/>
  <c r="S4160" i="2" s="1"/>
  <c r="S4161" i="2" s="1"/>
  <c r="S4162" i="2" s="1"/>
  <c r="S4163" i="2" s="1"/>
  <c r="S4164" i="2" s="1"/>
  <c r="R4149" i="2"/>
  <c r="R3358" i="2"/>
  <c r="R3645" i="2"/>
  <c r="U3644" i="2"/>
  <c r="S3644" i="2"/>
  <c r="S3645" i="2" s="1"/>
  <c r="S3646" i="2" s="1"/>
  <c r="S3647" i="2" s="1"/>
  <c r="R3789" i="2"/>
  <c r="R2496" i="2"/>
  <c r="S4292" i="2"/>
  <c r="S4293" i="2" s="1"/>
  <c r="R4293" i="2"/>
  <c r="U4292" i="2"/>
  <c r="R2997" i="2"/>
  <c r="R3717" i="2"/>
  <c r="R3861" i="2"/>
  <c r="R2858" i="2"/>
  <c r="U2857" i="2"/>
  <c r="S2857" i="2"/>
  <c r="R2640" i="2"/>
  <c r="S2423" i="2"/>
  <c r="S2424" i="2" s="1"/>
  <c r="S2425" i="2" s="1"/>
  <c r="R2424" i="2"/>
  <c r="U2423" i="2"/>
  <c r="U2424" i="2" s="1"/>
  <c r="U2425" i="2" s="1"/>
  <c r="U1632" i="2"/>
  <c r="R1633" i="2"/>
  <c r="S1632" i="2"/>
  <c r="R1707" i="2"/>
  <c r="U1198" i="2"/>
  <c r="R1199" i="2"/>
  <c r="S1198" i="2"/>
  <c r="R3286" i="2"/>
  <c r="R3429" i="2"/>
  <c r="R119" i="2"/>
  <c r="S118" i="2"/>
  <c r="U118" i="2"/>
  <c r="U264" i="2"/>
  <c r="U1129" i="2"/>
  <c r="R336" i="2"/>
  <c r="U767" i="2"/>
  <c r="U910" i="2"/>
  <c r="U1413" i="2"/>
  <c r="R48" i="2"/>
  <c r="U194" i="2"/>
  <c r="U838" i="2"/>
  <c r="U1273" i="2"/>
  <c r="U1342" i="2"/>
  <c r="U407" i="2"/>
  <c r="U478" i="2"/>
  <c r="R1055" i="2"/>
  <c r="S1054" i="2"/>
  <c r="U1054" i="2"/>
  <c r="S838" i="2"/>
  <c r="R839" i="2"/>
  <c r="S1129" i="2"/>
  <c r="R1130" i="2"/>
  <c r="R1274" i="2"/>
  <c r="S1273" i="2"/>
  <c r="S1342" i="2"/>
  <c r="R1343" i="2"/>
  <c r="S407" i="2"/>
  <c r="R408" i="2"/>
  <c r="S264" i="2"/>
  <c r="R265" i="2"/>
  <c r="S478" i="2"/>
  <c r="R479" i="2"/>
  <c r="S767" i="2"/>
  <c r="R768" i="2"/>
  <c r="S910" i="2"/>
  <c r="R911" i="2"/>
  <c r="S1413" i="2"/>
  <c r="R1414" i="2"/>
  <c r="S194" i="2"/>
  <c r="R195" i="2"/>
  <c r="U3141" i="2" l="1"/>
  <c r="V3140" i="2"/>
  <c r="U4077" i="2"/>
  <c r="V4076" i="2"/>
  <c r="U2997" i="2"/>
  <c r="V2996" i="2"/>
  <c r="U3501" i="2"/>
  <c r="V3500" i="2"/>
  <c r="R550" i="2"/>
  <c r="S549" i="2"/>
  <c r="U549" i="2"/>
  <c r="V549" i="2" s="1"/>
  <c r="R622" i="2"/>
  <c r="S621" i="2"/>
  <c r="U621" i="2"/>
  <c r="V621" i="2" s="1"/>
  <c r="S48" i="2"/>
  <c r="R49" i="2"/>
  <c r="U3069" i="2"/>
  <c r="V3068" i="2"/>
  <c r="U3789" i="2"/>
  <c r="V3788" i="2"/>
  <c r="U4149" i="2"/>
  <c r="V4148" i="2"/>
  <c r="U3213" i="2"/>
  <c r="V3212" i="2"/>
  <c r="U3717" i="2"/>
  <c r="V3716" i="2"/>
  <c r="U3645" i="2"/>
  <c r="V3644" i="2"/>
  <c r="V45" i="2"/>
  <c r="T46" i="2"/>
  <c r="V117" i="2"/>
  <c r="T118" i="2"/>
  <c r="V189" i="2"/>
  <c r="T190" i="2"/>
  <c r="V261" i="2"/>
  <c r="T262" i="2"/>
  <c r="V333" i="2"/>
  <c r="T334" i="2"/>
  <c r="V405" i="2"/>
  <c r="T406" i="2"/>
  <c r="V477" i="2"/>
  <c r="T478" i="2"/>
  <c r="T550" i="2"/>
  <c r="T622" i="2"/>
  <c r="V3429" i="2"/>
  <c r="T3430" i="2"/>
  <c r="T3502" i="2"/>
  <c r="V3573" i="2"/>
  <c r="T3574" i="2"/>
  <c r="T3646" i="2"/>
  <c r="T3718" i="2"/>
  <c r="T3790" i="2"/>
  <c r="V3861" i="2"/>
  <c r="T3862" i="2"/>
  <c r="V3933" i="2"/>
  <c r="T3934" i="2"/>
  <c r="V4005" i="2"/>
  <c r="T4006" i="2"/>
  <c r="T4078" i="2"/>
  <c r="T4150" i="2"/>
  <c r="V4221" i="2"/>
  <c r="T4222" i="2"/>
  <c r="T4294" i="2"/>
  <c r="V693" i="2"/>
  <c r="T694" i="2"/>
  <c r="V765" i="2"/>
  <c r="T766" i="2"/>
  <c r="V837" i="2"/>
  <c r="T838" i="2"/>
  <c r="V909" i="2"/>
  <c r="T910" i="2"/>
  <c r="V981" i="2"/>
  <c r="T982" i="2"/>
  <c r="V1053" i="2"/>
  <c r="T1054" i="2"/>
  <c r="V1125" i="2"/>
  <c r="T1126" i="2"/>
  <c r="V1197" i="2"/>
  <c r="T1198" i="2"/>
  <c r="V1269" i="2"/>
  <c r="T1270" i="2"/>
  <c r="V1341" i="2"/>
  <c r="T1342" i="2"/>
  <c r="V1413" i="2"/>
  <c r="T1414" i="2"/>
  <c r="T1486" i="2"/>
  <c r="T1558" i="2"/>
  <c r="V1629" i="2"/>
  <c r="T1630" i="2"/>
  <c r="V1701" i="2"/>
  <c r="T1702" i="2"/>
  <c r="V1773" i="2"/>
  <c r="T1774" i="2"/>
  <c r="T1846" i="2"/>
  <c r="T1918" i="2"/>
  <c r="V1989" i="2"/>
  <c r="T1990" i="2"/>
  <c r="V2061" i="2"/>
  <c r="T2062" i="2"/>
  <c r="V2133" i="2"/>
  <c r="T2134" i="2"/>
  <c r="T2206" i="2"/>
  <c r="T2278" i="2"/>
  <c r="V2349" i="2"/>
  <c r="T2350" i="2"/>
  <c r="V2421" i="2"/>
  <c r="T2422" i="2"/>
  <c r="V2493" i="2"/>
  <c r="T2494" i="2"/>
  <c r="T2566" i="2"/>
  <c r="V2637" i="2"/>
  <c r="T2638" i="2"/>
  <c r="V2709" i="2"/>
  <c r="T2710" i="2"/>
  <c r="V2781" i="2"/>
  <c r="T2782" i="2"/>
  <c r="V2853" i="2"/>
  <c r="T2854" i="2"/>
  <c r="T2926" i="2"/>
  <c r="T2998" i="2"/>
  <c r="T3070" i="2"/>
  <c r="T3142" i="2"/>
  <c r="T3214" i="2"/>
  <c r="V3285" i="2"/>
  <c r="T3286" i="2"/>
  <c r="V3357" i="2"/>
  <c r="T3358" i="2"/>
  <c r="U1845" i="2"/>
  <c r="V1845" i="2" s="1"/>
  <c r="V1844" i="2"/>
  <c r="U4293" i="2"/>
  <c r="V4293" i="2" s="1"/>
  <c r="V4292" i="2"/>
  <c r="U1485" i="2"/>
  <c r="V1485" i="2" s="1"/>
  <c r="S1485" i="2"/>
  <c r="R1486" i="2"/>
  <c r="R1846" i="2"/>
  <c r="S2277" i="2"/>
  <c r="S2278" i="2" s="1"/>
  <c r="R2278" i="2"/>
  <c r="U2277" i="2"/>
  <c r="R3142" i="2"/>
  <c r="R983" i="2"/>
  <c r="S982" i="2"/>
  <c r="U982" i="2"/>
  <c r="R2206" i="2"/>
  <c r="U2205" i="2"/>
  <c r="V2205" i="2" s="1"/>
  <c r="S2205" i="2"/>
  <c r="U2925" i="2"/>
  <c r="R2926" i="2"/>
  <c r="S2925" i="2"/>
  <c r="S2926" i="2" s="1"/>
  <c r="S2927" i="2" s="1"/>
  <c r="S2928" i="2" s="1"/>
  <c r="S2929" i="2" s="1"/>
  <c r="S2930" i="2" s="1"/>
  <c r="S2931" i="2" s="1"/>
  <c r="S2932" i="2" s="1"/>
  <c r="S1557" i="2"/>
  <c r="U1557" i="2"/>
  <c r="V1557" i="2" s="1"/>
  <c r="R1558" i="2"/>
  <c r="R1918" i="2"/>
  <c r="S1917" i="2"/>
  <c r="U2565" i="2"/>
  <c r="R2566" i="2"/>
  <c r="S2565" i="2"/>
  <c r="S2566" i="2" s="1"/>
  <c r="S2567" i="2" s="1"/>
  <c r="R3214" i="2"/>
  <c r="R2711" i="2"/>
  <c r="R3502" i="2"/>
  <c r="R4006" i="2"/>
  <c r="R2063" i="2"/>
  <c r="R2352" i="2"/>
  <c r="R2783" i="2"/>
  <c r="U1774" i="2"/>
  <c r="S1774" i="2"/>
  <c r="R1775" i="2"/>
  <c r="R3070" i="2"/>
  <c r="R4078" i="2"/>
  <c r="R4222" i="2"/>
  <c r="R3575" i="2"/>
  <c r="R3935" i="2"/>
  <c r="R1992" i="2"/>
  <c r="S2134" i="2"/>
  <c r="R2135" i="2"/>
  <c r="U2134" i="2"/>
  <c r="S694" i="2"/>
  <c r="R695" i="2"/>
  <c r="U694" i="2"/>
  <c r="R4150" i="2"/>
  <c r="R3359" i="2"/>
  <c r="R3646" i="2"/>
  <c r="R3790" i="2"/>
  <c r="U2496" i="2"/>
  <c r="U2497" i="2" s="1"/>
  <c r="U2498" i="2" s="1"/>
  <c r="R2497" i="2"/>
  <c r="S2496" i="2"/>
  <c r="S2497" i="2" s="1"/>
  <c r="S2498" i="2" s="1"/>
  <c r="R4294" i="2"/>
  <c r="R2998" i="2"/>
  <c r="R3718" i="2"/>
  <c r="R3862" i="2"/>
  <c r="R2859" i="2"/>
  <c r="S2858" i="2"/>
  <c r="U2858" i="2"/>
  <c r="U2640" i="2"/>
  <c r="R2641" i="2"/>
  <c r="S2640" i="2"/>
  <c r="R2425" i="2"/>
  <c r="R1634" i="2"/>
  <c r="S1633" i="2"/>
  <c r="R1708" i="2"/>
  <c r="S1707" i="2"/>
  <c r="U1707" i="2"/>
  <c r="R1200" i="2"/>
  <c r="S1199" i="2"/>
  <c r="U1199" i="2"/>
  <c r="R3287" i="2"/>
  <c r="R3430" i="2"/>
  <c r="R120" i="2"/>
  <c r="S119" i="2"/>
  <c r="U119" i="2"/>
  <c r="U1917" i="2"/>
  <c r="V1917" i="2" s="1"/>
  <c r="U1633" i="2"/>
  <c r="U48" i="2"/>
  <c r="R337" i="2"/>
  <c r="U839" i="2"/>
  <c r="U1130" i="2"/>
  <c r="U265" i="2"/>
  <c r="U768" i="2"/>
  <c r="U1414" i="2"/>
  <c r="U195" i="2"/>
  <c r="U1343" i="2"/>
  <c r="U911" i="2"/>
  <c r="U1274" i="2"/>
  <c r="U408" i="2"/>
  <c r="U479" i="2"/>
  <c r="S1055" i="2"/>
  <c r="R1056" i="2"/>
  <c r="U1055" i="2"/>
  <c r="R840" i="2"/>
  <c r="S839" i="2"/>
  <c r="R1131" i="2"/>
  <c r="S1130" i="2"/>
  <c r="S1274" i="2"/>
  <c r="R1275" i="2"/>
  <c r="R1344" i="2"/>
  <c r="S1343" i="2"/>
  <c r="R409" i="2"/>
  <c r="S408" i="2"/>
  <c r="S265" i="2"/>
  <c r="R266" i="2"/>
  <c r="S479" i="2"/>
  <c r="R480" i="2"/>
  <c r="S768" i="2"/>
  <c r="R769" i="2"/>
  <c r="S911" i="2"/>
  <c r="R912" i="2"/>
  <c r="S1414" i="2"/>
  <c r="R1415" i="2"/>
  <c r="S49" i="2"/>
  <c r="R50" i="2"/>
  <c r="S195" i="2"/>
  <c r="R196" i="2"/>
  <c r="U3142" i="2" l="1"/>
  <c r="V3142" i="2" s="1"/>
  <c r="V3141" i="2"/>
  <c r="U4078" i="2"/>
  <c r="V4078" i="2" s="1"/>
  <c r="V4077" i="2"/>
  <c r="U2998" i="2"/>
  <c r="V2997" i="2"/>
  <c r="U49" i="2"/>
  <c r="U50" i="2" s="1"/>
  <c r="U3502" i="2"/>
  <c r="V3501" i="2"/>
  <c r="U3070" i="2"/>
  <c r="V3069" i="2"/>
  <c r="S550" i="2"/>
  <c r="U550" i="2"/>
  <c r="V550" i="2" s="1"/>
  <c r="R551" i="2"/>
  <c r="S622" i="2"/>
  <c r="U622" i="2"/>
  <c r="V622" i="2" s="1"/>
  <c r="R623" i="2"/>
  <c r="U3790" i="2"/>
  <c r="V3790" i="2" s="1"/>
  <c r="V3789" i="2"/>
  <c r="U4150" i="2"/>
  <c r="V4149" i="2"/>
  <c r="U3214" i="2"/>
  <c r="V3213" i="2"/>
  <c r="U3718" i="2"/>
  <c r="V3717" i="2"/>
  <c r="U3646" i="2"/>
  <c r="V3645" i="2"/>
  <c r="V46" i="2"/>
  <c r="T47" i="2"/>
  <c r="V118" i="2"/>
  <c r="T119" i="2"/>
  <c r="V190" i="2"/>
  <c r="T191" i="2"/>
  <c r="V262" i="2"/>
  <c r="T263" i="2"/>
  <c r="V334" i="2"/>
  <c r="T335" i="2"/>
  <c r="V406" i="2"/>
  <c r="T407" i="2"/>
  <c r="V478" i="2"/>
  <c r="T479" i="2"/>
  <c r="T551" i="2"/>
  <c r="T623" i="2"/>
  <c r="V3430" i="2"/>
  <c r="T3431" i="2"/>
  <c r="T3503" i="2"/>
  <c r="V3574" i="2"/>
  <c r="T3575" i="2"/>
  <c r="T3647" i="2"/>
  <c r="T3719" i="2"/>
  <c r="T3791" i="2"/>
  <c r="V3862" i="2"/>
  <c r="T3863" i="2"/>
  <c r="V3934" i="2"/>
  <c r="T3935" i="2"/>
  <c r="T4007" i="2"/>
  <c r="T4079" i="2"/>
  <c r="T4151" i="2"/>
  <c r="V4222" i="2"/>
  <c r="T4223" i="2"/>
  <c r="T4295" i="2"/>
  <c r="V694" i="2"/>
  <c r="T695" i="2"/>
  <c r="V766" i="2"/>
  <c r="T767" i="2"/>
  <c r="V838" i="2"/>
  <c r="T839" i="2"/>
  <c r="V910" i="2"/>
  <c r="T911" i="2"/>
  <c r="V982" i="2"/>
  <c r="T983" i="2"/>
  <c r="V1054" i="2"/>
  <c r="T1055" i="2"/>
  <c r="V1126" i="2"/>
  <c r="T1127" i="2"/>
  <c r="V1198" i="2"/>
  <c r="T1199" i="2"/>
  <c r="V1270" i="2"/>
  <c r="T1271" i="2"/>
  <c r="V1342" i="2"/>
  <c r="T1343" i="2"/>
  <c r="V1414" i="2"/>
  <c r="T1415" i="2"/>
  <c r="T1487" i="2"/>
  <c r="T1559" i="2"/>
  <c r="V1630" i="2"/>
  <c r="T1631" i="2"/>
  <c r="V1702" i="2"/>
  <c r="T1703" i="2"/>
  <c r="V1774" i="2"/>
  <c r="T1775" i="2"/>
  <c r="T1847" i="2"/>
  <c r="T1919" i="2"/>
  <c r="V1990" i="2"/>
  <c r="T1991" i="2"/>
  <c r="V2062" i="2"/>
  <c r="T2063" i="2"/>
  <c r="V2134" i="2"/>
  <c r="T2135" i="2"/>
  <c r="T2207" i="2"/>
  <c r="T2279" i="2"/>
  <c r="V2350" i="2"/>
  <c r="T2351" i="2"/>
  <c r="V2422" i="2"/>
  <c r="T2423" i="2"/>
  <c r="V2494" i="2"/>
  <c r="T2495" i="2"/>
  <c r="T2567" i="2"/>
  <c r="V2638" i="2"/>
  <c r="T2639" i="2"/>
  <c r="V2710" i="2"/>
  <c r="T2711" i="2"/>
  <c r="V2782" i="2"/>
  <c r="T2783" i="2"/>
  <c r="V2854" i="2"/>
  <c r="T2855" i="2"/>
  <c r="T2927" i="2"/>
  <c r="T2999" i="2"/>
  <c r="T3071" i="2"/>
  <c r="T3143" i="2"/>
  <c r="T3215" i="2"/>
  <c r="V3286" i="2"/>
  <c r="T3287" i="2"/>
  <c r="V3358" i="2"/>
  <c r="T3359" i="2"/>
  <c r="U2278" i="2"/>
  <c r="V2278" i="2" s="1"/>
  <c r="V2277" i="2"/>
  <c r="U2926" i="2"/>
  <c r="V2925" i="2"/>
  <c r="U2566" i="2"/>
  <c r="V2565" i="2"/>
  <c r="R1487" i="2"/>
  <c r="S1486" i="2"/>
  <c r="S1487" i="2" s="1"/>
  <c r="U1486" i="2"/>
  <c r="U1846" i="2"/>
  <c r="V1846" i="2" s="1"/>
  <c r="R1847" i="2"/>
  <c r="S1846" i="2"/>
  <c r="R2279" i="2"/>
  <c r="R3143" i="2"/>
  <c r="R984" i="2"/>
  <c r="S983" i="2"/>
  <c r="U983" i="2"/>
  <c r="S2206" i="2"/>
  <c r="R2207" i="2"/>
  <c r="U2206" i="2"/>
  <c r="V2206" i="2" s="1"/>
  <c r="R2927" i="2"/>
  <c r="R1559" i="2"/>
  <c r="U1558" i="2"/>
  <c r="S1558" i="2"/>
  <c r="S1559" i="2" s="1"/>
  <c r="R1919" i="2"/>
  <c r="S1918" i="2"/>
  <c r="U1918" i="2"/>
  <c r="V1918" i="2" s="1"/>
  <c r="R2567" i="2"/>
  <c r="R3215" i="2"/>
  <c r="R2712" i="2"/>
  <c r="R3503" i="2"/>
  <c r="R4007" i="2"/>
  <c r="S4006" i="2"/>
  <c r="S4007" i="2" s="1"/>
  <c r="S4008" i="2" s="1"/>
  <c r="S4009" i="2" s="1"/>
  <c r="U4006" i="2"/>
  <c r="R2064" i="2"/>
  <c r="R2353" i="2"/>
  <c r="R2784" i="2"/>
  <c r="S2783" i="2"/>
  <c r="U2783" i="2"/>
  <c r="R1776" i="2"/>
  <c r="S1775" i="2"/>
  <c r="U1775" i="2"/>
  <c r="R3071" i="2"/>
  <c r="R4079" i="2"/>
  <c r="R4223" i="2"/>
  <c r="R3576" i="2"/>
  <c r="R3936" i="2"/>
  <c r="U1992" i="2"/>
  <c r="R1993" i="2"/>
  <c r="S1992" i="2"/>
  <c r="S2135" i="2"/>
  <c r="S2136" i="2" s="1"/>
  <c r="R2136" i="2"/>
  <c r="U2135" i="2"/>
  <c r="U2136" i="2" s="1"/>
  <c r="S695" i="2"/>
  <c r="R696" i="2"/>
  <c r="U695" i="2"/>
  <c r="R4151" i="2"/>
  <c r="R3360" i="2"/>
  <c r="R3647" i="2"/>
  <c r="R3791" i="2"/>
  <c r="R2498" i="2"/>
  <c r="S4294" i="2"/>
  <c r="S4295" i="2" s="1"/>
  <c r="S4296" i="2" s="1"/>
  <c r="S4297" i="2" s="1"/>
  <c r="S4298" i="2" s="1"/>
  <c r="S4299" i="2" s="1"/>
  <c r="S4300" i="2" s="1"/>
  <c r="S4301" i="2" s="1"/>
  <c r="S4302" i="2" s="1"/>
  <c r="S4303" i="2" s="1"/>
  <c r="S4304" i="2" s="1"/>
  <c r="S4305" i="2" s="1"/>
  <c r="S4306" i="2" s="1"/>
  <c r="S4307" i="2" s="1"/>
  <c r="S4308" i="2" s="1"/>
  <c r="S4309" i="2" s="1"/>
  <c r="R4295" i="2"/>
  <c r="U4294" i="2"/>
  <c r="R2999" i="2"/>
  <c r="R3719" i="2"/>
  <c r="R3863" i="2"/>
  <c r="R2860" i="2"/>
  <c r="S2859" i="2"/>
  <c r="U2859" i="2"/>
  <c r="R2642" i="2"/>
  <c r="S2641" i="2"/>
  <c r="S2642" i="2" s="1"/>
  <c r="S2643" i="2" s="1"/>
  <c r="S2644" i="2" s="1"/>
  <c r="S2645" i="2" s="1"/>
  <c r="S2646" i="2" s="1"/>
  <c r="S2647" i="2" s="1"/>
  <c r="S2648" i="2" s="1"/>
  <c r="R2426" i="2"/>
  <c r="R1635" i="2"/>
  <c r="S1634" i="2"/>
  <c r="U1634" i="2"/>
  <c r="R1709" i="2"/>
  <c r="S1708" i="2"/>
  <c r="U1708" i="2"/>
  <c r="R1201" i="2"/>
  <c r="S1200" i="2"/>
  <c r="U1200" i="2"/>
  <c r="R3288" i="2"/>
  <c r="R3431" i="2"/>
  <c r="R121" i="2"/>
  <c r="S120" i="2"/>
  <c r="S121" i="2" s="1"/>
  <c r="U120" i="2"/>
  <c r="U121" i="2" s="1"/>
  <c r="U2641" i="2"/>
  <c r="U2642" i="2" s="1"/>
  <c r="U2643" i="2" s="1"/>
  <c r="U2644" i="2" s="1"/>
  <c r="U2645" i="2" s="1"/>
  <c r="U2646" i="2" s="1"/>
  <c r="U2647" i="2" s="1"/>
  <c r="U2648" i="2" s="1"/>
  <c r="U337" i="2"/>
  <c r="S337" i="2"/>
  <c r="R338" i="2"/>
  <c r="U266" i="2"/>
  <c r="U769" i="2"/>
  <c r="U1415" i="2"/>
  <c r="U196" i="2"/>
  <c r="U1275" i="2"/>
  <c r="U1344" i="2"/>
  <c r="U840" i="2"/>
  <c r="U1131" i="2"/>
  <c r="U409" i="2"/>
  <c r="U480" i="2"/>
  <c r="U912" i="2"/>
  <c r="R1057" i="2"/>
  <c r="S1056" i="2"/>
  <c r="U1056" i="2"/>
  <c r="R841" i="2"/>
  <c r="S840" i="2"/>
  <c r="S1131" i="2"/>
  <c r="R1132" i="2"/>
  <c r="R1276" i="2"/>
  <c r="S1275" i="2"/>
  <c r="R1345" i="2"/>
  <c r="S1344" i="2"/>
  <c r="R410" i="2"/>
  <c r="S409" i="2"/>
  <c r="S266" i="2"/>
  <c r="R267" i="2"/>
  <c r="S480" i="2"/>
  <c r="R481" i="2"/>
  <c r="S769" i="2"/>
  <c r="R770" i="2"/>
  <c r="S912" i="2"/>
  <c r="R913" i="2"/>
  <c r="S1415" i="2"/>
  <c r="R1416" i="2"/>
  <c r="S50" i="2"/>
  <c r="R51" i="2"/>
  <c r="S196" i="2"/>
  <c r="R197" i="2"/>
  <c r="U2999" i="2" l="1"/>
  <c r="V2998" i="2"/>
  <c r="U3503" i="2"/>
  <c r="V3502" i="2"/>
  <c r="U3071" i="2"/>
  <c r="V3070" i="2"/>
  <c r="U4007" i="2"/>
  <c r="V4006" i="2"/>
  <c r="U4151" i="2"/>
  <c r="V4150" i="2"/>
  <c r="R552" i="2"/>
  <c r="S551" i="2"/>
  <c r="U551" i="2"/>
  <c r="V551" i="2" s="1"/>
  <c r="R624" i="2"/>
  <c r="U623" i="2"/>
  <c r="V623" i="2" s="1"/>
  <c r="S623" i="2"/>
  <c r="U3215" i="2"/>
  <c r="V3214" i="2"/>
  <c r="U3719" i="2"/>
  <c r="V3718" i="2"/>
  <c r="U3647" i="2"/>
  <c r="V3647" i="2" s="1"/>
  <c r="V3646" i="2"/>
  <c r="U1487" i="2"/>
  <c r="V1487" i="2" s="1"/>
  <c r="V1486" i="2"/>
  <c r="U2927" i="2"/>
  <c r="V2926" i="2"/>
  <c r="U2567" i="2"/>
  <c r="V2567" i="2" s="1"/>
  <c r="V2566" i="2"/>
  <c r="V47" i="2"/>
  <c r="T48" i="2"/>
  <c r="V119" i="2"/>
  <c r="T120" i="2"/>
  <c r="V191" i="2"/>
  <c r="T192" i="2"/>
  <c r="V263" i="2"/>
  <c r="T264" i="2"/>
  <c r="V335" i="2"/>
  <c r="T336" i="2"/>
  <c r="V407" i="2"/>
  <c r="T408" i="2"/>
  <c r="V479" i="2"/>
  <c r="T480" i="2"/>
  <c r="T552" i="2"/>
  <c r="T624" i="2"/>
  <c r="V3431" i="2"/>
  <c r="T3432" i="2"/>
  <c r="T3504" i="2"/>
  <c r="V3575" i="2"/>
  <c r="T3576" i="2"/>
  <c r="T3648" i="2"/>
  <c r="T3720" i="2"/>
  <c r="T3792" i="2"/>
  <c r="V3863" i="2"/>
  <c r="T3864" i="2"/>
  <c r="V3935" i="2"/>
  <c r="T3936" i="2"/>
  <c r="T4008" i="2"/>
  <c r="T4080" i="2"/>
  <c r="T4152" i="2"/>
  <c r="V4223" i="2"/>
  <c r="T4224" i="2"/>
  <c r="T4296" i="2"/>
  <c r="V695" i="2"/>
  <c r="T696" i="2"/>
  <c r="V767" i="2"/>
  <c r="T768" i="2"/>
  <c r="V839" i="2"/>
  <c r="T840" i="2"/>
  <c r="V911" i="2"/>
  <c r="T912" i="2"/>
  <c r="V983" i="2"/>
  <c r="T984" i="2"/>
  <c r="V1055" i="2"/>
  <c r="T1056" i="2"/>
  <c r="V1127" i="2"/>
  <c r="T1128" i="2"/>
  <c r="V1199" i="2"/>
  <c r="T1200" i="2"/>
  <c r="V1271" i="2"/>
  <c r="T1272" i="2"/>
  <c r="V1343" i="2"/>
  <c r="T1344" i="2"/>
  <c r="V1415" i="2"/>
  <c r="T1416" i="2"/>
  <c r="T1488" i="2"/>
  <c r="T1560" i="2"/>
  <c r="V1631" i="2"/>
  <c r="T1632" i="2"/>
  <c r="V1703" i="2"/>
  <c r="T1704" i="2"/>
  <c r="V1775" i="2"/>
  <c r="T1776" i="2"/>
  <c r="T1848" i="2"/>
  <c r="T1920" i="2"/>
  <c r="V1991" i="2"/>
  <c r="T1992" i="2"/>
  <c r="V2063" i="2"/>
  <c r="T2064" i="2"/>
  <c r="V2135" i="2"/>
  <c r="T2136" i="2"/>
  <c r="T2208" i="2"/>
  <c r="T2280" i="2"/>
  <c r="V2351" i="2"/>
  <c r="T2352" i="2"/>
  <c r="V2423" i="2"/>
  <c r="T2424" i="2"/>
  <c r="V2495" i="2"/>
  <c r="T2496" i="2"/>
  <c r="T2568" i="2"/>
  <c r="V2639" i="2"/>
  <c r="T2640" i="2"/>
  <c r="V2711" i="2"/>
  <c r="T2712" i="2"/>
  <c r="V2783" i="2"/>
  <c r="T2784" i="2"/>
  <c r="V2855" i="2"/>
  <c r="T2856" i="2"/>
  <c r="T2928" i="2"/>
  <c r="T3000" i="2"/>
  <c r="T3072" i="2"/>
  <c r="T3144" i="2"/>
  <c r="T3216" i="2"/>
  <c r="V3287" i="2"/>
  <c r="T3288" i="2"/>
  <c r="V3359" i="2"/>
  <c r="T3360" i="2"/>
  <c r="U1559" i="2"/>
  <c r="V1559" i="2" s="1"/>
  <c r="V1558" i="2"/>
  <c r="U4295" i="2"/>
  <c r="V4294" i="2"/>
  <c r="R1488" i="2"/>
  <c r="R1848" i="2"/>
  <c r="S1847" i="2"/>
  <c r="U1847" i="2"/>
  <c r="V1847" i="2" s="1"/>
  <c r="U2279" i="2"/>
  <c r="V2279" i="2" s="1"/>
  <c r="S2279" i="2"/>
  <c r="R2280" i="2"/>
  <c r="U3143" i="2"/>
  <c r="R3144" i="2"/>
  <c r="S3143" i="2"/>
  <c r="S3144" i="2" s="1"/>
  <c r="S3145" i="2" s="1"/>
  <c r="S3146" i="2" s="1"/>
  <c r="S3147" i="2" s="1"/>
  <c r="R985" i="2"/>
  <c r="S984" i="2"/>
  <c r="U984" i="2"/>
  <c r="S2207" i="2"/>
  <c r="R2208" i="2"/>
  <c r="U2207" i="2"/>
  <c r="V2207" i="2" s="1"/>
  <c r="R2928" i="2"/>
  <c r="R1560" i="2"/>
  <c r="R1920" i="2"/>
  <c r="S1919" i="2"/>
  <c r="U1919" i="2"/>
  <c r="V1919" i="2" s="1"/>
  <c r="R2568" i="2"/>
  <c r="R3216" i="2"/>
  <c r="S2712" i="2"/>
  <c r="S2713" i="2" s="1"/>
  <c r="S2714" i="2" s="1"/>
  <c r="S2715" i="2" s="1"/>
  <c r="U2712" i="2"/>
  <c r="U2713" i="2" s="1"/>
  <c r="U2714" i="2" s="1"/>
  <c r="U2715" i="2" s="1"/>
  <c r="R2713" i="2"/>
  <c r="R3504" i="2"/>
  <c r="R4008" i="2"/>
  <c r="R2065" i="2"/>
  <c r="U2353" i="2"/>
  <c r="U2354" i="2" s="1"/>
  <c r="R2354" i="2"/>
  <c r="S2353" i="2"/>
  <c r="S2354" i="2" s="1"/>
  <c r="U2784" i="2"/>
  <c r="R2785" i="2"/>
  <c r="S2784" i="2"/>
  <c r="R1777" i="2"/>
  <c r="S1776" i="2"/>
  <c r="U1776" i="2"/>
  <c r="R3072" i="2"/>
  <c r="R4080" i="2"/>
  <c r="S4079" i="2"/>
  <c r="S4080" i="2" s="1"/>
  <c r="S4081" i="2" s="1"/>
  <c r="S4082" i="2" s="1"/>
  <c r="S4083" i="2" s="1"/>
  <c r="S4084" i="2" s="1"/>
  <c r="S4085" i="2" s="1"/>
  <c r="U4079" i="2"/>
  <c r="R4224" i="2"/>
  <c r="R3577" i="2"/>
  <c r="R3937" i="2"/>
  <c r="R1994" i="2"/>
  <c r="S1993" i="2"/>
  <c r="U1993" i="2"/>
  <c r="R2137" i="2"/>
  <c r="R697" i="2"/>
  <c r="S696" i="2"/>
  <c r="U696" i="2"/>
  <c r="R4152" i="2"/>
  <c r="U3360" i="2"/>
  <c r="U3361" i="2" s="1"/>
  <c r="R3361" i="2"/>
  <c r="S3360" i="2"/>
  <c r="S3361" i="2" s="1"/>
  <c r="R3648" i="2"/>
  <c r="U3791" i="2"/>
  <c r="S3791" i="2"/>
  <c r="S3792" i="2" s="1"/>
  <c r="R3792" i="2"/>
  <c r="R2499" i="2"/>
  <c r="R4296" i="2"/>
  <c r="R3000" i="2"/>
  <c r="R3720" i="2"/>
  <c r="R3864" i="2"/>
  <c r="R2861" i="2"/>
  <c r="S2860" i="2"/>
  <c r="U2860" i="2"/>
  <c r="R2643" i="2"/>
  <c r="R2427" i="2"/>
  <c r="S2426" i="2"/>
  <c r="U2426" i="2"/>
  <c r="R1636" i="2"/>
  <c r="S1635" i="2"/>
  <c r="U1635" i="2"/>
  <c r="R1710" i="2"/>
  <c r="S1709" i="2"/>
  <c r="S1710" i="2" s="1"/>
  <c r="S1711" i="2" s="1"/>
  <c r="S1712" i="2" s="1"/>
  <c r="U1709" i="2"/>
  <c r="U1710" i="2" s="1"/>
  <c r="U1711" i="2" s="1"/>
  <c r="U1712" i="2" s="1"/>
  <c r="R1202" i="2"/>
  <c r="S1201" i="2"/>
  <c r="U1201" i="2"/>
  <c r="R3289" i="2"/>
  <c r="R3432" i="2"/>
  <c r="R122" i="2"/>
  <c r="R339" i="2"/>
  <c r="S338" i="2"/>
  <c r="U338" i="2"/>
  <c r="U51" i="2"/>
  <c r="U267" i="2"/>
  <c r="U770" i="2"/>
  <c r="U1416" i="2"/>
  <c r="U197" i="2"/>
  <c r="U1132" i="2"/>
  <c r="U1276" i="2"/>
  <c r="U481" i="2"/>
  <c r="U841" i="2"/>
  <c r="U1345" i="2"/>
  <c r="U410" i="2"/>
  <c r="U913" i="2"/>
  <c r="S1057" i="2"/>
  <c r="R1058" i="2"/>
  <c r="U1057" i="2"/>
  <c r="R842" i="2"/>
  <c r="S841" i="2"/>
  <c r="R1133" i="2"/>
  <c r="S1132" i="2"/>
  <c r="S1276" i="2"/>
  <c r="R1277" i="2"/>
  <c r="R1346" i="2"/>
  <c r="S1345" i="2"/>
  <c r="R411" i="2"/>
  <c r="S410" i="2"/>
  <c r="S267" i="2"/>
  <c r="R268" i="2"/>
  <c r="S481" i="2"/>
  <c r="R482" i="2"/>
  <c r="S770" i="2"/>
  <c r="R771" i="2"/>
  <c r="S913" i="2"/>
  <c r="R914" i="2"/>
  <c r="S1416" i="2"/>
  <c r="R1417" i="2"/>
  <c r="S51" i="2"/>
  <c r="R52" i="2"/>
  <c r="S197" i="2"/>
  <c r="R198" i="2"/>
  <c r="U3000" i="2" l="1"/>
  <c r="V3000" i="2" s="1"/>
  <c r="V2999" i="2"/>
  <c r="U4008" i="2"/>
  <c r="V4007" i="2"/>
  <c r="U3504" i="2"/>
  <c r="V3503" i="2"/>
  <c r="U3072" i="2"/>
  <c r="V3071" i="2"/>
  <c r="U3720" i="2"/>
  <c r="V3719" i="2"/>
  <c r="U4152" i="2"/>
  <c r="V4151" i="2"/>
  <c r="U3216" i="2"/>
  <c r="V3215" i="2"/>
  <c r="R553" i="2"/>
  <c r="S552" i="2"/>
  <c r="U552" i="2"/>
  <c r="V552" i="2" s="1"/>
  <c r="R625" i="2"/>
  <c r="S624" i="2"/>
  <c r="U624" i="2"/>
  <c r="V624" i="2" s="1"/>
  <c r="U2928" i="2"/>
  <c r="V2927" i="2"/>
  <c r="U3144" i="2"/>
  <c r="V3143" i="2"/>
  <c r="U4296" i="2"/>
  <c r="V4295" i="2"/>
  <c r="V48" i="2"/>
  <c r="T49" i="2"/>
  <c r="V120" i="2"/>
  <c r="T121" i="2"/>
  <c r="V192" i="2"/>
  <c r="T193" i="2"/>
  <c r="V264" i="2"/>
  <c r="T265" i="2"/>
  <c r="V336" i="2"/>
  <c r="T337" i="2"/>
  <c r="V408" i="2"/>
  <c r="T409" i="2"/>
  <c r="V480" i="2"/>
  <c r="T481" i="2"/>
  <c r="T553" i="2"/>
  <c r="T625" i="2"/>
  <c r="T3433" i="2"/>
  <c r="T3505" i="2"/>
  <c r="V3576" i="2"/>
  <c r="T3577" i="2"/>
  <c r="T3649" i="2"/>
  <c r="T3721" i="2"/>
  <c r="T3793" i="2"/>
  <c r="V3864" i="2"/>
  <c r="T3865" i="2"/>
  <c r="V3936" i="2"/>
  <c r="T3937" i="2"/>
  <c r="T4009" i="2"/>
  <c r="T4081" i="2"/>
  <c r="T4153" i="2"/>
  <c r="V4224" i="2"/>
  <c r="T4225" i="2"/>
  <c r="T4297" i="2"/>
  <c r="V696" i="2"/>
  <c r="T697" i="2"/>
  <c r="V768" i="2"/>
  <c r="T769" i="2"/>
  <c r="V840" i="2"/>
  <c r="T841" i="2"/>
  <c r="V912" i="2"/>
  <c r="T913" i="2"/>
  <c r="V984" i="2"/>
  <c r="T985" i="2"/>
  <c r="V1056" i="2"/>
  <c r="T1057" i="2"/>
  <c r="V1128" i="2"/>
  <c r="T1129" i="2"/>
  <c r="V1200" i="2"/>
  <c r="T1201" i="2"/>
  <c r="V1272" i="2"/>
  <c r="T1273" i="2"/>
  <c r="V1344" i="2"/>
  <c r="T1345" i="2"/>
  <c r="V1416" i="2"/>
  <c r="T1417" i="2"/>
  <c r="T1489" i="2"/>
  <c r="T1561" i="2"/>
  <c r="V1632" i="2"/>
  <c r="T1633" i="2"/>
  <c r="V1704" i="2"/>
  <c r="T1705" i="2"/>
  <c r="V1776" i="2"/>
  <c r="T1777" i="2"/>
  <c r="T1849" i="2"/>
  <c r="T1921" i="2"/>
  <c r="V1992" i="2"/>
  <c r="T1993" i="2"/>
  <c r="V2064" i="2"/>
  <c r="T2065" i="2"/>
  <c r="V2136" i="2"/>
  <c r="T2137" i="2"/>
  <c r="T2209" i="2"/>
  <c r="T2281" i="2"/>
  <c r="V2352" i="2"/>
  <c r="T2353" i="2"/>
  <c r="V2424" i="2"/>
  <c r="T2425" i="2"/>
  <c r="V2496" i="2"/>
  <c r="T2497" i="2"/>
  <c r="T2569" i="2"/>
  <c r="V2640" i="2"/>
  <c r="T2641" i="2"/>
  <c r="V2712" i="2"/>
  <c r="T2713" i="2"/>
  <c r="V2784" i="2"/>
  <c r="T2785" i="2"/>
  <c r="V2856" i="2"/>
  <c r="T2857" i="2"/>
  <c r="T2929" i="2"/>
  <c r="T3001" i="2"/>
  <c r="T3073" i="2"/>
  <c r="T3145" i="2"/>
  <c r="T3217" i="2"/>
  <c r="V3288" i="2"/>
  <c r="T3289" i="2"/>
  <c r="V3360" i="2"/>
  <c r="T3361" i="2"/>
  <c r="U4080" i="2"/>
  <c r="V4079" i="2"/>
  <c r="U3792" i="2"/>
  <c r="V3792" i="2" s="1"/>
  <c r="V3791" i="2"/>
  <c r="U1488" i="2"/>
  <c r="V1488" i="2" s="1"/>
  <c r="R1489" i="2"/>
  <c r="S1488" i="2"/>
  <c r="R1849" i="2"/>
  <c r="S1848" i="2"/>
  <c r="U1848" i="2"/>
  <c r="V1848" i="2" s="1"/>
  <c r="S2280" i="2"/>
  <c r="S2281" i="2" s="1"/>
  <c r="R2281" i="2"/>
  <c r="U2280" i="2"/>
  <c r="R3145" i="2"/>
  <c r="R986" i="2"/>
  <c r="S985" i="2"/>
  <c r="U985" i="2"/>
  <c r="S2208" i="2"/>
  <c r="R2209" i="2"/>
  <c r="U2208" i="2"/>
  <c r="V2208" i="2" s="1"/>
  <c r="R2929" i="2"/>
  <c r="S1560" i="2"/>
  <c r="U1560" i="2"/>
  <c r="V1560" i="2" s="1"/>
  <c r="R1561" i="2"/>
  <c r="S1920" i="2"/>
  <c r="U1920" i="2"/>
  <c r="V1920" i="2" s="1"/>
  <c r="R1921" i="2"/>
  <c r="S2568" i="2"/>
  <c r="R2569" i="2"/>
  <c r="U2568" i="2"/>
  <c r="V2568" i="2" s="1"/>
  <c r="R3217" i="2"/>
  <c r="R2714" i="2"/>
  <c r="R3505" i="2"/>
  <c r="R4009" i="2"/>
  <c r="R2066" i="2"/>
  <c r="R2355" i="2"/>
  <c r="R2786" i="2"/>
  <c r="S2785" i="2"/>
  <c r="U2785" i="2"/>
  <c r="R1778" i="2"/>
  <c r="S1777" i="2"/>
  <c r="U1777" i="2"/>
  <c r="R3073" i="2"/>
  <c r="R4081" i="2"/>
  <c r="R4225" i="2"/>
  <c r="R3578" i="2"/>
  <c r="R3938" i="2"/>
  <c r="R1995" i="2"/>
  <c r="S1994" i="2"/>
  <c r="U1994" i="2"/>
  <c r="R2138" i="2"/>
  <c r="S2137" i="2"/>
  <c r="U2137" i="2"/>
  <c r="U697" i="2"/>
  <c r="U698" i="2" s="1"/>
  <c r="S697" i="2"/>
  <c r="S698" i="2" s="1"/>
  <c r="R698" i="2"/>
  <c r="R4153" i="2"/>
  <c r="R3362" i="2"/>
  <c r="R3649" i="2"/>
  <c r="S3648" i="2"/>
  <c r="S3649" i="2" s="1"/>
  <c r="S3650" i="2" s="1"/>
  <c r="S3651" i="2" s="1"/>
  <c r="S3652" i="2" s="1"/>
  <c r="S3653" i="2" s="1"/>
  <c r="S3654" i="2" s="1"/>
  <c r="S3655" i="2" s="1"/>
  <c r="S3656" i="2" s="1"/>
  <c r="S3657" i="2" s="1"/>
  <c r="S3658" i="2" s="1"/>
  <c r="S3659" i="2" s="1"/>
  <c r="S3660" i="2" s="1"/>
  <c r="S3661" i="2" s="1"/>
  <c r="S3662" i="2" s="1"/>
  <c r="S3663" i="2" s="1"/>
  <c r="S3664" i="2" s="1"/>
  <c r="S3665" i="2" s="1"/>
  <c r="S3666" i="2" s="1"/>
  <c r="U3648" i="2"/>
  <c r="R3793" i="2"/>
  <c r="U2499" i="2"/>
  <c r="U2500" i="2" s="1"/>
  <c r="R2500" i="2"/>
  <c r="S2499" i="2"/>
  <c r="S2500" i="2" s="1"/>
  <c r="R4297" i="2"/>
  <c r="R3001" i="2"/>
  <c r="R3721" i="2"/>
  <c r="R3865" i="2"/>
  <c r="R2862" i="2"/>
  <c r="S2861" i="2"/>
  <c r="S2862" i="2" s="1"/>
  <c r="S2863" i="2" s="1"/>
  <c r="S2864" i="2" s="1"/>
  <c r="S2865" i="2" s="1"/>
  <c r="U2861" i="2"/>
  <c r="U2862" i="2" s="1"/>
  <c r="U2863" i="2" s="1"/>
  <c r="U2864" i="2" s="1"/>
  <c r="U2865" i="2" s="1"/>
  <c r="R2644" i="2"/>
  <c r="R2428" i="2"/>
  <c r="S2427" i="2"/>
  <c r="U2427" i="2"/>
  <c r="R1637" i="2"/>
  <c r="S1636" i="2"/>
  <c r="U1636" i="2"/>
  <c r="R1711" i="2"/>
  <c r="R1203" i="2"/>
  <c r="S1202" i="2"/>
  <c r="U1202" i="2"/>
  <c r="R3290" i="2"/>
  <c r="S3432" i="2"/>
  <c r="S3433" i="2" s="1"/>
  <c r="S3434" i="2" s="1"/>
  <c r="S3435" i="2" s="1"/>
  <c r="S3436" i="2" s="1"/>
  <c r="S3437" i="2" s="1"/>
  <c r="S3438" i="2" s="1"/>
  <c r="S3439" i="2" s="1"/>
  <c r="S3440" i="2" s="1"/>
  <c r="S3441" i="2" s="1"/>
  <c r="S3442" i="2" s="1"/>
  <c r="S3443" i="2" s="1"/>
  <c r="S3444" i="2" s="1"/>
  <c r="S3445" i="2" s="1"/>
  <c r="S3446" i="2" s="1"/>
  <c r="U3432" i="2"/>
  <c r="R3433" i="2"/>
  <c r="U122" i="2"/>
  <c r="R123" i="2"/>
  <c r="S122" i="2"/>
  <c r="R340" i="2"/>
  <c r="S339" i="2"/>
  <c r="U339" i="2"/>
  <c r="U1277" i="2"/>
  <c r="U482" i="2"/>
  <c r="U483" i="2" s="1"/>
  <c r="U771" i="2"/>
  <c r="U1417" i="2"/>
  <c r="U198" i="2"/>
  <c r="U1346" i="2"/>
  <c r="U268" i="2"/>
  <c r="U842" i="2"/>
  <c r="U1133" i="2"/>
  <c r="U411" i="2"/>
  <c r="U914" i="2"/>
  <c r="U52" i="2"/>
  <c r="S1058" i="2"/>
  <c r="R1059" i="2"/>
  <c r="U1058" i="2"/>
  <c r="S842" i="2"/>
  <c r="R843" i="2"/>
  <c r="R1134" i="2"/>
  <c r="S1133" i="2"/>
  <c r="S1277" i="2"/>
  <c r="R1278" i="2"/>
  <c r="R1347" i="2"/>
  <c r="S1346" i="2"/>
  <c r="R412" i="2"/>
  <c r="S411" i="2"/>
  <c r="S268" i="2"/>
  <c r="R269" i="2"/>
  <c r="S482" i="2"/>
  <c r="S483" i="2" s="1"/>
  <c r="R483" i="2"/>
  <c r="S771" i="2"/>
  <c r="R772" i="2"/>
  <c r="S914" i="2"/>
  <c r="R915" i="2"/>
  <c r="S1417" i="2"/>
  <c r="R1418" i="2"/>
  <c r="S52" i="2"/>
  <c r="R53" i="2"/>
  <c r="S198" i="2"/>
  <c r="R199" i="2"/>
  <c r="U4009" i="2" l="1"/>
  <c r="V4008" i="2"/>
  <c r="U3505" i="2"/>
  <c r="V3504" i="2"/>
  <c r="U3073" i="2"/>
  <c r="V3072" i="2"/>
  <c r="U3721" i="2"/>
  <c r="V3720" i="2"/>
  <c r="U4153" i="2"/>
  <c r="V4152" i="2"/>
  <c r="U3217" i="2"/>
  <c r="V3216" i="2"/>
  <c r="U2929" i="2"/>
  <c r="V2928" i="2"/>
  <c r="R554" i="2"/>
  <c r="S553" i="2"/>
  <c r="U553" i="2"/>
  <c r="V553" i="2" s="1"/>
  <c r="S625" i="2"/>
  <c r="U625" i="2"/>
  <c r="V625" i="2" s="1"/>
  <c r="R626" i="2"/>
  <c r="U3145" i="2"/>
  <c r="V3144" i="2"/>
  <c r="U4297" i="2"/>
  <c r="V4296" i="2"/>
  <c r="U4081" i="2"/>
  <c r="V4080" i="2"/>
  <c r="U2281" i="2"/>
  <c r="V2281" i="2" s="1"/>
  <c r="V2280" i="2"/>
  <c r="V49" i="2"/>
  <c r="T50" i="2"/>
  <c r="V121" i="2"/>
  <c r="T122" i="2"/>
  <c r="V193" i="2"/>
  <c r="T194" i="2"/>
  <c r="V265" i="2"/>
  <c r="T266" i="2"/>
  <c r="V337" i="2"/>
  <c r="T338" i="2"/>
  <c r="V409" i="2"/>
  <c r="T410" i="2"/>
  <c r="V481" i="2"/>
  <c r="T482" i="2"/>
  <c r="T554" i="2"/>
  <c r="T626" i="2"/>
  <c r="T3434" i="2"/>
  <c r="T3506" i="2"/>
  <c r="V3577" i="2"/>
  <c r="T3578" i="2"/>
  <c r="T3650" i="2"/>
  <c r="T3722" i="2"/>
  <c r="T3794" i="2"/>
  <c r="V3865" i="2"/>
  <c r="T3866" i="2"/>
  <c r="V3937" i="2"/>
  <c r="T3938" i="2"/>
  <c r="V4009" i="2"/>
  <c r="T4010" i="2"/>
  <c r="T4082" i="2"/>
  <c r="T4154" i="2"/>
  <c r="V4225" i="2"/>
  <c r="T4226" i="2"/>
  <c r="T4298" i="2"/>
  <c r="V697" i="2"/>
  <c r="T698" i="2"/>
  <c r="V769" i="2"/>
  <c r="T770" i="2"/>
  <c r="V841" i="2"/>
  <c r="T842" i="2"/>
  <c r="V913" i="2"/>
  <c r="T914" i="2"/>
  <c r="V985" i="2"/>
  <c r="T986" i="2"/>
  <c r="V1057" i="2"/>
  <c r="T1058" i="2"/>
  <c r="V1129" i="2"/>
  <c r="T1130" i="2"/>
  <c r="V1201" i="2"/>
  <c r="T1202" i="2"/>
  <c r="V1273" i="2"/>
  <c r="T1274" i="2"/>
  <c r="V1345" i="2"/>
  <c r="T1346" i="2"/>
  <c r="V1417" i="2"/>
  <c r="T1418" i="2"/>
  <c r="T1490" i="2"/>
  <c r="T1562" i="2"/>
  <c r="V1633" i="2"/>
  <c r="T1634" i="2"/>
  <c r="V1705" i="2"/>
  <c r="T1706" i="2"/>
  <c r="V1777" i="2"/>
  <c r="T1778" i="2"/>
  <c r="T1850" i="2"/>
  <c r="T1922" i="2"/>
  <c r="V1993" i="2"/>
  <c r="T1994" i="2"/>
  <c r="V2065" i="2"/>
  <c r="T2066" i="2"/>
  <c r="V2137" i="2"/>
  <c r="T2138" i="2"/>
  <c r="T2210" i="2"/>
  <c r="T2282" i="2"/>
  <c r="V2353" i="2"/>
  <c r="T2354" i="2"/>
  <c r="V2425" i="2"/>
  <c r="T2426" i="2"/>
  <c r="V2497" i="2"/>
  <c r="T2498" i="2"/>
  <c r="T2570" i="2"/>
  <c r="V2641" i="2"/>
  <c r="T2642" i="2"/>
  <c r="V2713" i="2"/>
  <c r="T2714" i="2"/>
  <c r="V2785" i="2"/>
  <c r="T2786" i="2"/>
  <c r="V2857" i="2"/>
  <c r="T2858" i="2"/>
  <c r="T2930" i="2"/>
  <c r="T3002" i="2"/>
  <c r="T3074" i="2"/>
  <c r="T3146" i="2"/>
  <c r="T3218" i="2"/>
  <c r="V3289" i="2"/>
  <c r="T3290" i="2"/>
  <c r="V3361" i="2"/>
  <c r="T3362" i="2"/>
  <c r="U3649" i="2"/>
  <c r="V3648" i="2"/>
  <c r="U3433" i="2"/>
  <c r="V3432" i="2"/>
  <c r="R1490" i="2"/>
  <c r="S1489" i="2"/>
  <c r="S1490" i="2" s="1"/>
  <c r="U1489" i="2"/>
  <c r="R1850" i="2"/>
  <c r="S1849" i="2"/>
  <c r="U1849" i="2"/>
  <c r="V1849" i="2" s="1"/>
  <c r="R2282" i="2"/>
  <c r="R3146" i="2"/>
  <c r="R987" i="2"/>
  <c r="S986" i="2"/>
  <c r="U986" i="2"/>
  <c r="S2209" i="2"/>
  <c r="R2210" i="2"/>
  <c r="U2209" i="2"/>
  <c r="V2209" i="2" s="1"/>
  <c r="R2930" i="2"/>
  <c r="S1561" i="2"/>
  <c r="S1562" i="2" s="1"/>
  <c r="S1563" i="2" s="1"/>
  <c r="R1562" i="2"/>
  <c r="U1561" i="2"/>
  <c r="R1922" i="2"/>
  <c r="S1921" i="2"/>
  <c r="U1921" i="2"/>
  <c r="V1921" i="2" s="1"/>
  <c r="S2569" i="2"/>
  <c r="R2570" i="2"/>
  <c r="U2569" i="2"/>
  <c r="V2569" i="2" s="1"/>
  <c r="R3218" i="2"/>
  <c r="R2715" i="2"/>
  <c r="R3506" i="2"/>
  <c r="R4010" i="2"/>
  <c r="R2067" i="2"/>
  <c r="U2355" i="2"/>
  <c r="R2356" i="2"/>
  <c r="S2355" i="2"/>
  <c r="R2787" i="2"/>
  <c r="S2786" i="2"/>
  <c r="U2786" i="2"/>
  <c r="R1779" i="2"/>
  <c r="S1778" i="2"/>
  <c r="U1778" i="2"/>
  <c r="R3074" i="2"/>
  <c r="R4082" i="2"/>
  <c r="R4226" i="2"/>
  <c r="R3579" i="2"/>
  <c r="S3578" i="2"/>
  <c r="S3579" i="2" s="1"/>
  <c r="S3580" i="2" s="1"/>
  <c r="S3581" i="2" s="1"/>
  <c r="S3582" i="2" s="1"/>
  <c r="S3583" i="2" s="1"/>
  <c r="S3584" i="2" s="1"/>
  <c r="S3585" i="2" s="1"/>
  <c r="U3578" i="2"/>
  <c r="U3579" i="2" s="1"/>
  <c r="U3580" i="2" s="1"/>
  <c r="U3581" i="2" s="1"/>
  <c r="U3582" i="2" s="1"/>
  <c r="U3583" i="2" s="1"/>
  <c r="U3584" i="2" s="1"/>
  <c r="U3585" i="2" s="1"/>
  <c r="R3939" i="2"/>
  <c r="R1996" i="2"/>
  <c r="S1995" i="2"/>
  <c r="U1995" i="2"/>
  <c r="S2138" i="2"/>
  <c r="R2139" i="2"/>
  <c r="U2138" i="2"/>
  <c r="R699" i="2"/>
  <c r="R4154" i="2"/>
  <c r="U3362" i="2"/>
  <c r="U3363" i="2" s="1"/>
  <c r="U3364" i="2" s="1"/>
  <c r="U3365" i="2" s="1"/>
  <c r="R3363" i="2"/>
  <c r="S3362" i="2"/>
  <c r="S3363" i="2" s="1"/>
  <c r="S3364" i="2" s="1"/>
  <c r="S3365" i="2" s="1"/>
  <c r="R3650" i="2"/>
  <c r="U3793" i="2"/>
  <c r="V3793" i="2" s="1"/>
  <c r="R3794" i="2"/>
  <c r="S3793" i="2"/>
  <c r="R2501" i="2"/>
  <c r="R4298" i="2"/>
  <c r="U3001" i="2"/>
  <c r="R3002" i="2"/>
  <c r="S3001" i="2"/>
  <c r="S3002" i="2" s="1"/>
  <c r="S3003" i="2" s="1"/>
  <c r="S3004" i="2" s="1"/>
  <c r="S3005" i="2" s="1"/>
  <c r="S3006" i="2" s="1"/>
  <c r="S3007" i="2" s="1"/>
  <c r="S3008" i="2" s="1"/>
  <c r="S3009" i="2" s="1"/>
  <c r="S3010" i="2" s="1"/>
  <c r="S3011" i="2" s="1"/>
  <c r="S3012" i="2" s="1"/>
  <c r="S3013" i="2" s="1"/>
  <c r="S3014" i="2" s="1"/>
  <c r="S3015" i="2" s="1"/>
  <c r="S3016" i="2" s="1"/>
  <c r="R3722" i="2"/>
  <c r="R3866" i="2"/>
  <c r="R2863" i="2"/>
  <c r="R2645" i="2"/>
  <c r="R2429" i="2"/>
  <c r="S2428" i="2"/>
  <c r="U2428" i="2"/>
  <c r="R1638" i="2"/>
  <c r="S1637" i="2"/>
  <c r="U1637" i="2"/>
  <c r="R1712" i="2"/>
  <c r="R1204" i="2"/>
  <c r="S1203" i="2"/>
  <c r="U1203" i="2"/>
  <c r="U3290" i="2"/>
  <c r="U3291" i="2" s="1"/>
  <c r="U3292" i="2" s="1"/>
  <c r="U3293" i="2" s="1"/>
  <c r="U3294" i="2" s="1"/>
  <c r="U3295" i="2" s="1"/>
  <c r="U3296" i="2" s="1"/>
  <c r="U3297" i="2" s="1"/>
  <c r="U3298" i="2" s="1"/>
  <c r="U3299" i="2" s="1"/>
  <c r="U3300" i="2" s="1"/>
  <c r="R3291" i="2"/>
  <c r="S3290" i="2"/>
  <c r="S3291" i="2" s="1"/>
  <c r="S3292" i="2" s="1"/>
  <c r="S3293" i="2" s="1"/>
  <c r="S3294" i="2" s="1"/>
  <c r="S3295" i="2" s="1"/>
  <c r="S3296" i="2" s="1"/>
  <c r="S3297" i="2" s="1"/>
  <c r="S3298" i="2" s="1"/>
  <c r="S3299" i="2" s="1"/>
  <c r="S3300" i="2" s="1"/>
  <c r="R3434" i="2"/>
  <c r="R124" i="2"/>
  <c r="S123" i="2"/>
  <c r="U123" i="2"/>
  <c r="R341" i="2"/>
  <c r="S340" i="2"/>
  <c r="U340" i="2"/>
  <c r="U772" i="2"/>
  <c r="U843" i="2"/>
  <c r="U1278" i="2"/>
  <c r="U269" i="2"/>
  <c r="R484" i="2"/>
  <c r="U199" i="2"/>
  <c r="U1347" i="2"/>
  <c r="U1134" i="2"/>
  <c r="U412" i="2"/>
  <c r="U915" i="2"/>
  <c r="U1418" i="2"/>
  <c r="U53" i="2"/>
  <c r="R1060" i="2"/>
  <c r="S1059" i="2"/>
  <c r="U1059" i="2"/>
  <c r="R844" i="2"/>
  <c r="S843" i="2"/>
  <c r="R1135" i="2"/>
  <c r="S1134" i="2"/>
  <c r="R1279" i="2"/>
  <c r="S1278" i="2"/>
  <c r="R1348" i="2"/>
  <c r="S1347" i="2"/>
  <c r="R413" i="2"/>
  <c r="S412" i="2"/>
  <c r="S269" i="2"/>
  <c r="R270" i="2"/>
  <c r="S772" i="2"/>
  <c r="R773" i="2"/>
  <c r="S915" i="2"/>
  <c r="R916" i="2"/>
  <c r="S1418" i="2"/>
  <c r="R1419" i="2"/>
  <c r="S53" i="2"/>
  <c r="R54" i="2"/>
  <c r="S199" i="2"/>
  <c r="R200" i="2"/>
  <c r="U3506" i="2" l="1"/>
  <c r="V3505" i="2"/>
  <c r="U4154" i="2"/>
  <c r="U4155" i="2" s="1"/>
  <c r="U4156" i="2" s="1"/>
  <c r="U4157" i="2" s="1"/>
  <c r="U4158" i="2" s="1"/>
  <c r="U4159" i="2" s="1"/>
  <c r="U4160" i="2" s="1"/>
  <c r="U4161" i="2" s="1"/>
  <c r="U4162" i="2" s="1"/>
  <c r="U4163" i="2" s="1"/>
  <c r="U4164" i="2" s="1"/>
  <c r="V4153" i="2"/>
  <c r="U3074" i="2"/>
  <c r="U3075" i="2" s="1"/>
  <c r="V3073" i="2"/>
  <c r="U3722" i="2"/>
  <c r="V3721" i="2"/>
  <c r="U3218" i="2"/>
  <c r="U3219" i="2" s="1"/>
  <c r="V3217" i="2"/>
  <c r="U2930" i="2"/>
  <c r="V2929" i="2"/>
  <c r="U3146" i="2"/>
  <c r="V3145" i="2"/>
  <c r="U4298" i="2"/>
  <c r="V4297" i="2"/>
  <c r="U4082" i="2"/>
  <c r="V4081" i="2"/>
  <c r="R555" i="2"/>
  <c r="S554" i="2"/>
  <c r="U554" i="2"/>
  <c r="V554" i="2" s="1"/>
  <c r="R627" i="2"/>
  <c r="S626" i="2"/>
  <c r="U626" i="2"/>
  <c r="V626" i="2" s="1"/>
  <c r="U3434" i="2"/>
  <c r="V3433" i="2"/>
  <c r="U3650" i="2"/>
  <c r="V3649" i="2"/>
  <c r="U1490" i="2"/>
  <c r="V1490" i="2" s="1"/>
  <c r="V1489" i="2"/>
  <c r="U1562" i="2"/>
  <c r="V1561" i="2"/>
  <c r="U3002" i="2"/>
  <c r="V3001" i="2"/>
  <c r="V50" i="2"/>
  <c r="T51" i="2"/>
  <c r="V122" i="2"/>
  <c r="T123" i="2"/>
  <c r="V194" i="2"/>
  <c r="T195" i="2"/>
  <c r="V266" i="2"/>
  <c r="T267" i="2"/>
  <c r="V338" i="2"/>
  <c r="T339" i="2"/>
  <c r="V410" i="2"/>
  <c r="T411" i="2"/>
  <c r="V482" i="2"/>
  <c r="T483" i="2"/>
  <c r="T555" i="2"/>
  <c r="T627" i="2"/>
  <c r="T3435" i="2"/>
  <c r="V3506" i="2"/>
  <c r="T3507" i="2"/>
  <c r="V3578" i="2"/>
  <c r="T3579" i="2"/>
  <c r="T3651" i="2"/>
  <c r="T3723" i="2"/>
  <c r="T3795" i="2"/>
  <c r="V3866" i="2"/>
  <c r="T3867" i="2"/>
  <c r="V3938" i="2"/>
  <c r="T3939" i="2"/>
  <c r="T4011" i="2"/>
  <c r="T4083" i="2"/>
  <c r="V4154" i="2"/>
  <c r="T4155" i="2"/>
  <c r="V4226" i="2"/>
  <c r="T4227" i="2"/>
  <c r="T4299" i="2"/>
  <c r="V698" i="2"/>
  <c r="T699" i="2"/>
  <c r="V770" i="2"/>
  <c r="T771" i="2"/>
  <c r="V842" i="2"/>
  <c r="T843" i="2"/>
  <c r="V914" i="2"/>
  <c r="T915" i="2"/>
  <c r="V986" i="2"/>
  <c r="T987" i="2"/>
  <c r="V1058" i="2"/>
  <c r="T1059" i="2"/>
  <c r="V1130" i="2"/>
  <c r="T1131" i="2"/>
  <c r="V1202" i="2"/>
  <c r="T1203" i="2"/>
  <c r="V1274" i="2"/>
  <c r="T1275" i="2"/>
  <c r="V1346" i="2"/>
  <c r="T1347" i="2"/>
  <c r="V1418" i="2"/>
  <c r="T1419" i="2"/>
  <c r="T1491" i="2"/>
  <c r="T1563" i="2"/>
  <c r="V1634" i="2"/>
  <c r="T1635" i="2"/>
  <c r="V1706" i="2"/>
  <c r="T1707" i="2"/>
  <c r="V1778" i="2"/>
  <c r="T1779" i="2"/>
  <c r="T1851" i="2"/>
  <c r="T1923" i="2"/>
  <c r="V1994" i="2"/>
  <c r="T1995" i="2"/>
  <c r="V2066" i="2"/>
  <c r="T2067" i="2"/>
  <c r="V2138" i="2"/>
  <c r="T2139" i="2"/>
  <c r="T2211" i="2"/>
  <c r="T2283" i="2"/>
  <c r="V2354" i="2"/>
  <c r="T2355" i="2"/>
  <c r="V2426" i="2"/>
  <c r="T2427" i="2"/>
  <c r="V2498" i="2"/>
  <c r="T2499" i="2"/>
  <c r="T2571" i="2"/>
  <c r="V2642" i="2"/>
  <c r="T2643" i="2"/>
  <c r="V2714" i="2"/>
  <c r="T2715" i="2"/>
  <c r="V2786" i="2"/>
  <c r="T2787" i="2"/>
  <c r="V2858" i="2"/>
  <c r="T2859" i="2"/>
  <c r="T2931" i="2"/>
  <c r="T3003" i="2"/>
  <c r="V3074" i="2"/>
  <c r="T3075" i="2"/>
  <c r="T3147" i="2"/>
  <c r="V3218" i="2"/>
  <c r="T3219" i="2"/>
  <c r="V3290" i="2"/>
  <c r="T3291" i="2"/>
  <c r="V3362" i="2"/>
  <c r="T3363" i="2"/>
  <c r="R1491" i="2"/>
  <c r="R1851" i="2"/>
  <c r="S1850" i="2"/>
  <c r="S1851" i="2" s="1"/>
  <c r="U1850" i="2"/>
  <c r="S2282" i="2"/>
  <c r="S2283" i="2" s="1"/>
  <c r="R2283" i="2"/>
  <c r="U2282" i="2"/>
  <c r="R3147" i="2"/>
  <c r="R988" i="2"/>
  <c r="S987" i="2"/>
  <c r="U987" i="2"/>
  <c r="S2210" i="2"/>
  <c r="R2211" i="2"/>
  <c r="U2210" i="2"/>
  <c r="V2210" i="2" s="1"/>
  <c r="R2931" i="2"/>
  <c r="R1563" i="2"/>
  <c r="R1923" i="2"/>
  <c r="S1922" i="2"/>
  <c r="S1923" i="2" s="1"/>
  <c r="S1924" i="2" s="1"/>
  <c r="S1925" i="2" s="1"/>
  <c r="U1922" i="2"/>
  <c r="U2570" i="2"/>
  <c r="V2570" i="2" s="1"/>
  <c r="R2571" i="2"/>
  <c r="S2570" i="2"/>
  <c r="R3219" i="2"/>
  <c r="R2716" i="2"/>
  <c r="R3507" i="2"/>
  <c r="R4011" i="2"/>
  <c r="S4010" i="2"/>
  <c r="U4010" i="2"/>
  <c r="V4010" i="2" s="1"/>
  <c r="R2068" i="2"/>
  <c r="S2356" i="2"/>
  <c r="R2357" i="2"/>
  <c r="R2788" i="2"/>
  <c r="S2787" i="2"/>
  <c r="S2788" i="2" s="1"/>
  <c r="S2789" i="2" s="1"/>
  <c r="U2787" i="2"/>
  <c r="U2788" i="2" s="1"/>
  <c r="U2789" i="2" s="1"/>
  <c r="R1780" i="2"/>
  <c r="S1779" i="2"/>
  <c r="U1779" i="2"/>
  <c r="R3075" i="2"/>
  <c r="R4083" i="2"/>
  <c r="R4227" i="2"/>
  <c r="R3580" i="2"/>
  <c r="R3940" i="2"/>
  <c r="R1997" i="2"/>
  <c r="S1996" i="2"/>
  <c r="U1996" i="2"/>
  <c r="S2139" i="2"/>
  <c r="R2140" i="2"/>
  <c r="U2139" i="2"/>
  <c r="S699" i="2"/>
  <c r="R700" i="2"/>
  <c r="U699" i="2"/>
  <c r="R4155" i="2"/>
  <c r="R3364" i="2"/>
  <c r="R3651" i="2"/>
  <c r="R3795" i="2"/>
  <c r="S3794" i="2"/>
  <c r="S3795" i="2" s="1"/>
  <c r="S3796" i="2" s="1"/>
  <c r="S3797" i="2" s="1"/>
  <c r="U2501" i="2"/>
  <c r="R2502" i="2"/>
  <c r="S2501" i="2"/>
  <c r="R4299" i="2"/>
  <c r="R3003" i="2"/>
  <c r="R3723" i="2"/>
  <c r="R3867" i="2"/>
  <c r="R2864" i="2"/>
  <c r="R2646" i="2"/>
  <c r="R2430" i="2"/>
  <c r="S2429" i="2"/>
  <c r="S2430" i="2" s="1"/>
  <c r="U2429" i="2"/>
  <c r="U2430" i="2" s="1"/>
  <c r="R1639" i="2"/>
  <c r="S1638" i="2"/>
  <c r="S1639" i="2" s="1"/>
  <c r="U1638" i="2"/>
  <c r="U1639" i="2" s="1"/>
  <c r="R1713" i="2"/>
  <c r="R1205" i="2"/>
  <c r="S1204" i="2"/>
  <c r="U1204" i="2"/>
  <c r="R3292" i="2"/>
  <c r="R3435" i="2"/>
  <c r="R125" i="2"/>
  <c r="S124" i="2"/>
  <c r="U124" i="2"/>
  <c r="U341" i="2"/>
  <c r="R342" i="2"/>
  <c r="S341" i="2"/>
  <c r="U2356" i="2"/>
  <c r="U3794" i="2"/>
  <c r="S484" i="2"/>
  <c r="R485" i="2"/>
  <c r="U484" i="2"/>
  <c r="U844" i="2"/>
  <c r="U270" i="2"/>
  <c r="U200" i="2"/>
  <c r="U1135" i="2"/>
  <c r="U916" i="2"/>
  <c r="U1419" i="2"/>
  <c r="U54" i="2"/>
  <c r="U1279" i="2"/>
  <c r="U1348" i="2"/>
  <c r="U413" i="2"/>
  <c r="U773" i="2"/>
  <c r="S1060" i="2"/>
  <c r="R1061" i="2"/>
  <c r="U1060" i="2"/>
  <c r="R845" i="2"/>
  <c r="S844" i="2"/>
  <c r="R1136" i="2"/>
  <c r="S1135" i="2"/>
  <c r="R1280" i="2"/>
  <c r="S1279" i="2"/>
  <c r="R1349" i="2"/>
  <c r="S1348" i="2"/>
  <c r="R414" i="2"/>
  <c r="S413" i="2"/>
  <c r="S270" i="2"/>
  <c r="R271" i="2"/>
  <c r="S773" i="2"/>
  <c r="R774" i="2"/>
  <c r="S916" i="2"/>
  <c r="R917" i="2"/>
  <c r="S1419" i="2"/>
  <c r="R1420" i="2"/>
  <c r="S54" i="2"/>
  <c r="R55" i="2"/>
  <c r="S200" i="2"/>
  <c r="R201" i="2"/>
  <c r="U3723" i="2" l="1"/>
  <c r="U3724" i="2" s="1"/>
  <c r="U3725" i="2" s="1"/>
  <c r="U3726" i="2" s="1"/>
  <c r="V3722" i="2"/>
  <c r="U2931" i="2"/>
  <c r="V2930" i="2"/>
  <c r="U4083" i="2"/>
  <c r="U4084" i="2" s="1"/>
  <c r="U4085" i="2" s="1"/>
  <c r="V4082" i="2"/>
  <c r="U3147" i="2"/>
  <c r="V3147" i="2" s="1"/>
  <c r="V3146" i="2"/>
  <c r="U4299" i="2"/>
  <c r="V4298" i="2"/>
  <c r="R556" i="2"/>
  <c r="S555" i="2"/>
  <c r="U555" i="2"/>
  <c r="V555" i="2" s="1"/>
  <c r="R628" i="2"/>
  <c r="U627" i="2"/>
  <c r="V627" i="2" s="1"/>
  <c r="S627" i="2"/>
  <c r="U3435" i="2"/>
  <c r="V3434" i="2"/>
  <c r="U3651" i="2"/>
  <c r="V3650" i="2"/>
  <c r="U3003" i="2"/>
  <c r="V3002" i="2"/>
  <c r="U1563" i="2"/>
  <c r="V1563" i="2" s="1"/>
  <c r="V1562" i="2"/>
  <c r="U1851" i="2"/>
  <c r="V1851" i="2" s="1"/>
  <c r="V1850" i="2"/>
  <c r="U2283" i="2"/>
  <c r="V2283" i="2" s="1"/>
  <c r="V2282" i="2"/>
  <c r="U1923" i="2"/>
  <c r="V1922" i="2"/>
  <c r="V51" i="2"/>
  <c r="T52" i="2"/>
  <c r="V123" i="2"/>
  <c r="T124" i="2"/>
  <c r="V195" i="2"/>
  <c r="T196" i="2"/>
  <c r="V267" i="2"/>
  <c r="T268" i="2"/>
  <c r="V339" i="2"/>
  <c r="T340" i="2"/>
  <c r="V411" i="2"/>
  <c r="T412" i="2"/>
  <c r="V483" i="2"/>
  <c r="T484" i="2"/>
  <c r="T556" i="2"/>
  <c r="T628" i="2"/>
  <c r="T3436" i="2"/>
  <c r="T3508" i="2"/>
  <c r="V3579" i="2"/>
  <c r="T3580" i="2"/>
  <c r="T3652" i="2"/>
  <c r="V3723" i="2"/>
  <c r="T3724" i="2"/>
  <c r="T3796" i="2"/>
  <c r="V3867" i="2"/>
  <c r="T3868" i="2"/>
  <c r="V3939" i="2"/>
  <c r="T3940" i="2"/>
  <c r="T4012" i="2"/>
  <c r="V4083" i="2"/>
  <c r="T4084" i="2"/>
  <c r="V4155" i="2"/>
  <c r="T4156" i="2"/>
  <c r="T4228" i="2"/>
  <c r="T4300" i="2"/>
  <c r="V699" i="2"/>
  <c r="T700" i="2"/>
  <c r="V771" i="2"/>
  <c r="T772" i="2"/>
  <c r="V843" i="2"/>
  <c r="T844" i="2"/>
  <c r="V915" i="2"/>
  <c r="T916" i="2"/>
  <c r="V987" i="2"/>
  <c r="T988" i="2"/>
  <c r="V1059" i="2"/>
  <c r="T1060" i="2"/>
  <c r="V1131" i="2"/>
  <c r="T1132" i="2"/>
  <c r="V1203" i="2"/>
  <c r="T1204" i="2"/>
  <c r="V1275" i="2"/>
  <c r="T1276" i="2"/>
  <c r="V1347" i="2"/>
  <c r="T1348" i="2"/>
  <c r="V1419" i="2"/>
  <c r="T1420" i="2"/>
  <c r="T1492" i="2"/>
  <c r="T1564" i="2"/>
  <c r="V1635" i="2"/>
  <c r="T1636" i="2"/>
  <c r="V1707" i="2"/>
  <c r="T1708" i="2"/>
  <c r="V1779" i="2"/>
  <c r="T1780" i="2"/>
  <c r="T1852" i="2"/>
  <c r="T1924" i="2"/>
  <c r="V1995" i="2"/>
  <c r="T1996" i="2"/>
  <c r="V2067" i="2"/>
  <c r="T2068" i="2"/>
  <c r="V2139" i="2"/>
  <c r="T2140" i="2"/>
  <c r="T2212" i="2"/>
  <c r="T2284" i="2"/>
  <c r="V2355" i="2"/>
  <c r="T2356" i="2"/>
  <c r="V2427" i="2"/>
  <c r="T2428" i="2"/>
  <c r="V2499" i="2"/>
  <c r="T2500" i="2"/>
  <c r="T2572" i="2"/>
  <c r="V2643" i="2"/>
  <c r="T2644" i="2"/>
  <c r="V2715" i="2"/>
  <c r="T2716" i="2"/>
  <c r="V2787" i="2"/>
  <c r="T2788" i="2"/>
  <c r="V2859" i="2"/>
  <c r="T2860" i="2"/>
  <c r="T2932" i="2"/>
  <c r="T3004" i="2"/>
  <c r="V3075" i="2"/>
  <c r="T3076" i="2"/>
  <c r="T3148" i="2"/>
  <c r="V3219" i="2"/>
  <c r="T3220" i="2"/>
  <c r="V3291" i="2"/>
  <c r="T3292" i="2"/>
  <c r="V3363" i="2"/>
  <c r="T3364" i="2"/>
  <c r="U2357" i="2"/>
  <c r="U2358" i="2" s="1"/>
  <c r="U3795" i="2"/>
  <c r="V3794" i="2"/>
  <c r="U1491" i="2"/>
  <c r="V1491" i="2" s="1"/>
  <c r="R1492" i="2"/>
  <c r="S1491" i="2"/>
  <c r="R1852" i="2"/>
  <c r="R2284" i="2"/>
  <c r="R3148" i="2"/>
  <c r="U988" i="2"/>
  <c r="R989" i="2"/>
  <c r="S988" i="2"/>
  <c r="R2212" i="2"/>
  <c r="U2211" i="2"/>
  <c r="V2211" i="2" s="1"/>
  <c r="S2211" i="2"/>
  <c r="R2932" i="2"/>
  <c r="R1564" i="2"/>
  <c r="R1924" i="2"/>
  <c r="S2571" i="2"/>
  <c r="R2572" i="2"/>
  <c r="U2571" i="2"/>
  <c r="V2571" i="2" s="1"/>
  <c r="R3220" i="2"/>
  <c r="S2716" i="2"/>
  <c r="S2717" i="2" s="1"/>
  <c r="R2717" i="2"/>
  <c r="U2716" i="2"/>
  <c r="U2717" i="2" s="1"/>
  <c r="R3508" i="2"/>
  <c r="S3507" i="2"/>
  <c r="S3508" i="2" s="1"/>
  <c r="S3509" i="2" s="1"/>
  <c r="S3510" i="2" s="1"/>
  <c r="S3511" i="2" s="1"/>
  <c r="S3512" i="2" s="1"/>
  <c r="U3507" i="2"/>
  <c r="S4011" i="2"/>
  <c r="S4012" i="2" s="1"/>
  <c r="S4013" i="2" s="1"/>
  <c r="S4014" i="2" s="1"/>
  <c r="S4015" i="2" s="1"/>
  <c r="S4016" i="2" s="1"/>
  <c r="S4017" i="2" s="1"/>
  <c r="S4018" i="2" s="1"/>
  <c r="S4019" i="2" s="1"/>
  <c r="S4020" i="2" s="1"/>
  <c r="S4021" i="2" s="1"/>
  <c r="S4022" i="2" s="1"/>
  <c r="S4023" i="2" s="1"/>
  <c r="S4024" i="2" s="1"/>
  <c r="S4025" i="2" s="1"/>
  <c r="R4012" i="2"/>
  <c r="U4011" i="2"/>
  <c r="U2068" i="2"/>
  <c r="U2069" i="2" s="1"/>
  <c r="U2070" i="2" s="1"/>
  <c r="S2068" i="2"/>
  <c r="S2069" i="2" s="1"/>
  <c r="S2070" i="2" s="1"/>
  <c r="R2069" i="2"/>
  <c r="R2358" i="2"/>
  <c r="S2357" i="2"/>
  <c r="S2358" i="2" s="1"/>
  <c r="R2789" i="2"/>
  <c r="R1781" i="2"/>
  <c r="S1780" i="2"/>
  <c r="S1781" i="2" s="1"/>
  <c r="S1782" i="2" s="1"/>
  <c r="U1780" i="2"/>
  <c r="U1781" i="2" s="1"/>
  <c r="U1782" i="2" s="1"/>
  <c r="R3076" i="2"/>
  <c r="R4084" i="2"/>
  <c r="R4228" i="2"/>
  <c r="S4227" i="2"/>
  <c r="S4228" i="2" s="1"/>
  <c r="U4227" i="2"/>
  <c r="R3581" i="2"/>
  <c r="R3941" i="2"/>
  <c r="S3940" i="2"/>
  <c r="U3940" i="2"/>
  <c r="R1998" i="2"/>
  <c r="S1997" i="2"/>
  <c r="U1997" i="2"/>
  <c r="S2140" i="2"/>
  <c r="S2141" i="2" s="1"/>
  <c r="R2141" i="2"/>
  <c r="U2140" i="2"/>
  <c r="U2141" i="2" s="1"/>
  <c r="S700" i="2"/>
  <c r="R701" i="2"/>
  <c r="U700" i="2"/>
  <c r="R4156" i="2"/>
  <c r="R3365" i="2"/>
  <c r="R3652" i="2"/>
  <c r="R3796" i="2"/>
  <c r="R2503" i="2"/>
  <c r="S2502" i="2"/>
  <c r="U2502" i="2"/>
  <c r="R4300" i="2"/>
  <c r="R3004" i="2"/>
  <c r="R3724" i="2"/>
  <c r="R3868" i="2"/>
  <c r="R2865" i="2"/>
  <c r="R2647" i="2"/>
  <c r="R2431" i="2"/>
  <c r="R1640" i="2"/>
  <c r="R1714" i="2"/>
  <c r="S1713" i="2"/>
  <c r="S1714" i="2" s="1"/>
  <c r="S1715" i="2" s="1"/>
  <c r="U1713" i="2"/>
  <c r="U1714" i="2" s="1"/>
  <c r="U1715" i="2" s="1"/>
  <c r="R1206" i="2"/>
  <c r="S1205" i="2"/>
  <c r="U1205" i="2"/>
  <c r="R3293" i="2"/>
  <c r="R3436" i="2"/>
  <c r="R126" i="2"/>
  <c r="S125" i="2"/>
  <c r="U125" i="2"/>
  <c r="R343" i="2"/>
  <c r="U342" i="2"/>
  <c r="S342" i="2"/>
  <c r="U485" i="2"/>
  <c r="S485" i="2"/>
  <c r="R486" i="2"/>
  <c r="U845" i="2"/>
  <c r="U271" i="2"/>
  <c r="U201" i="2"/>
  <c r="U917" i="2"/>
  <c r="U1420" i="2"/>
  <c r="U55" i="2"/>
  <c r="U1136" i="2"/>
  <c r="U1280" i="2"/>
  <c r="U1349" i="2"/>
  <c r="U414" i="2"/>
  <c r="U415" i="2" s="1"/>
  <c r="U774" i="2"/>
  <c r="S1061" i="2"/>
  <c r="R1062" i="2"/>
  <c r="U1061" i="2"/>
  <c r="R846" i="2"/>
  <c r="S845" i="2"/>
  <c r="R1137" i="2"/>
  <c r="S1136" i="2"/>
  <c r="R1281" i="2"/>
  <c r="S1280" i="2"/>
  <c r="R1350" i="2"/>
  <c r="S1349" i="2"/>
  <c r="R415" i="2"/>
  <c r="S414" i="2"/>
  <c r="S415" i="2" s="1"/>
  <c r="S271" i="2"/>
  <c r="R272" i="2"/>
  <c r="S774" i="2"/>
  <c r="R775" i="2"/>
  <c r="S917" i="2"/>
  <c r="R918" i="2"/>
  <c r="S1420" i="2"/>
  <c r="R1421" i="2"/>
  <c r="S55" i="2"/>
  <c r="R56" i="2"/>
  <c r="S201" i="2"/>
  <c r="R202" i="2"/>
  <c r="U2932" i="2" l="1"/>
  <c r="V2932" i="2" s="1"/>
  <c r="V2931" i="2"/>
  <c r="U4300" i="2"/>
  <c r="V4299" i="2"/>
  <c r="U3436" i="2"/>
  <c r="V3435" i="2"/>
  <c r="U3652" i="2"/>
  <c r="V3651" i="2"/>
  <c r="U3004" i="2"/>
  <c r="V3003" i="2"/>
  <c r="R557" i="2"/>
  <c r="S556" i="2"/>
  <c r="U556" i="2"/>
  <c r="V556" i="2" s="1"/>
  <c r="R629" i="2"/>
  <c r="S628" i="2"/>
  <c r="U628" i="2"/>
  <c r="V628" i="2" s="1"/>
  <c r="U1924" i="2"/>
  <c r="V1923" i="2"/>
  <c r="U3508" i="2"/>
  <c r="V3507" i="2"/>
  <c r="U3796" i="2"/>
  <c r="V3795" i="2"/>
  <c r="U4012" i="2"/>
  <c r="V4011" i="2"/>
  <c r="V52" i="2"/>
  <c r="T53" i="2"/>
  <c r="V124" i="2"/>
  <c r="T125" i="2"/>
  <c r="V196" i="2"/>
  <c r="T197" i="2"/>
  <c r="V268" i="2"/>
  <c r="T269" i="2"/>
  <c r="V340" i="2"/>
  <c r="T341" i="2"/>
  <c r="V412" i="2"/>
  <c r="T413" i="2"/>
  <c r="V484" i="2"/>
  <c r="T485" i="2"/>
  <c r="T557" i="2"/>
  <c r="T629" i="2"/>
  <c r="T3437" i="2"/>
  <c r="T3509" i="2"/>
  <c r="V3580" i="2"/>
  <c r="T3581" i="2"/>
  <c r="T3653" i="2"/>
  <c r="V3724" i="2"/>
  <c r="T3725" i="2"/>
  <c r="T3797" i="2"/>
  <c r="V3868" i="2"/>
  <c r="T3869" i="2"/>
  <c r="V3940" i="2"/>
  <c r="T3941" i="2"/>
  <c r="T4013" i="2"/>
  <c r="V4084" i="2"/>
  <c r="T4085" i="2"/>
  <c r="V4156" i="2"/>
  <c r="T4157" i="2"/>
  <c r="T4229" i="2"/>
  <c r="T4301" i="2"/>
  <c r="V700" i="2"/>
  <c r="T701" i="2"/>
  <c r="V772" i="2"/>
  <c r="T773" i="2"/>
  <c r="V844" i="2"/>
  <c r="T845" i="2"/>
  <c r="V916" i="2"/>
  <c r="T917" i="2"/>
  <c r="V988" i="2"/>
  <c r="T989" i="2"/>
  <c r="V1060" i="2"/>
  <c r="T1061" i="2"/>
  <c r="V1132" i="2"/>
  <c r="T1133" i="2"/>
  <c r="V1204" i="2"/>
  <c r="T1205" i="2"/>
  <c r="V1276" i="2"/>
  <c r="T1277" i="2"/>
  <c r="V1348" i="2"/>
  <c r="T1349" i="2"/>
  <c r="V1420" i="2"/>
  <c r="T1421" i="2"/>
  <c r="T1493" i="2"/>
  <c r="T1565" i="2"/>
  <c r="V1636" i="2"/>
  <c r="T1637" i="2"/>
  <c r="V1708" i="2"/>
  <c r="T1709" i="2"/>
  <c r="V1780" i="2"/>
  <c r="T1781" i="2"/>
  <c r="T1853" i="2"/>
  <c r="T1925" i="2"/>
  <c r="V1996" i="2"/>
  <c r="T1997" i="2"/>
  <c r="V2068" i="2"/>
  <c r="T2069" i="2"/>
  <c r="V2140" i="2"/>
  <c r="T2141" i="2"/>
  <c r="T2213" i="2"/>
  <c r="T2285" i="2"/>
  <c r="V2356" i="2"/>
  <c r="T2357" i="2"/>
  <c r="V2428" i="2"/>
  <c r="T2429" i="2"/>
  <c r="V2500" i="2"/>
  <c r="T2501" i="2"/>
  <c r="T2573" i="2"/>
  <c r="V2644" i="2"/>
  <c r="T2645" i="2"/>
  <c r="V2716" i="2"/>
  <c r="T2717" i="2"/>
  <c r="V2788" i="2"/>
  <c r="T2789" i="2"/>
  <c r="V2860" i="2"/>
  <c r="T2861" i="2"/>
  <c r="T2933" i="2"/>
  <c r="T3005" i="2"/>
  <c r="T3077" i="2"/>
  <c r="T3149" i="2"/>
  <c r="T3221" i="2"/>
  <c r="V3292" i="2"/>
  <c r="T3293" i="2"/>
  <c r="V3364" i="2"/>
  <c r="T3365" i="2"/>
  <c r="U4228" i="2"/>
  <c r="V4228" i="2" s="1"/>
  <c r="V4227" i="2"/>
  <c r="U486" i="2"/>
  <c r="S1492" i="2"/>
  <c r="S1493" i="2" s="1"/>
  <c r="S1494" i="2" s="1"/>
  <c r="S1495" i="2" s="1"/>
  <c r="S1496" i="2" s="1"/>
  <c r="R1493" i="2"/>
  <c r="U1852" i="2"/>
  <c r="V1852" i="2" s="1"/>
  <c r="R1853" i="2"/>
  <c r="S1852" i="2"/>
  <c r="S2284" i="2"/>
  <c r="R2285" i="2"/>
  <c r="U2284" i="2"/>
  <c r="V2284" i="2" s="1"/>
  <c r="U3148" i="2"/>
  <c r="R3149" i="2"/>
  <c r="S3148" i="2"/>
  <c r="S3149" i="2" s="1"/>
  <c r="S3150" i="2" s="1"/>
  <c r="S3151" i="2" s="1"/>
  <c r="R990" i="2"/>
  <c r="S989" i="2"/>
  <c r="U989" i="2"/>
  <c r="S2212" i="2"/>
  <c r="R2213" i="2"/>
  <c r="U2212" i="2"/>
  <c r="V2212" i="2" s="1"/>
  <c r="R2933" i="2"/>
  <c r="R1565" i="2"/>
  <c r="S1564" i="2"/>
  <c r="S1565" i="2" s="1"/>
  <c r="S1566" i="2" s="1"/>
  <c r="S1567" i="2" s="1"/>
  <c r="U1564" i="2"/>
  <c r="R1925" i="2"/>
  <c r="S2572" i="2"/>
  <c r="S2573" i="2" s="1"/>
  <c r="R2573" i="2"/>
  <c r="U2572" i="2"/>
  <c r="U3220" i="2"/>
  <c r="S3220" i="2"/>
  <c r="S3221" i="2" s="1"/>
  <c r="S3222" i="2" s="1"/>
  <c r="S3223" i="2" s="1"/>
  <c r="S3224" i="2" s="1"/>
  <c r="R3221" i="2"/>
  <c r="R2718" i="2"/>
  <c r="R3509" i="2"/>
  <c r="R4013" i="2"/>
  <c r="R2070" i="2"/>
  <c r="R2359" i="2"/>
  <c r="R2790" i="2"/>
  <c r="R1782" i="2"/>
  <c r="U3076" i="2"/>
  <c r="R3077" i="2"/>
  <c r="S3076" i="2"/>
  <c r="S3077" i="2" s="1"/>
  <c r="S3078" i="2" s="1"/>
  <c r="S3079" i="2" s="1"/>
  <c r="S3080" i="2" s="1"/>
  <c r="S3081" i="2" s="1"/>
  <c r="S3082" i="2" s="1"/>
  <c r="S3083" i="2" s="1"/>
  <c r="R4085" i="2"/>
  <c r="R4229" i="2"/>
  <c r="R3582" i="2"/>
  <c r="R3942" i="2"/>
  <c r="S3941" i="2"/>
  <c r="S3942" i="2" s="1"/>
  <c r="S3943" i="2" s="1"/>
  <c r="S3944" i="2" s="1"/>
  <c r="S3945" i="2" s="1"/>
  <c r="S3946" i="2" s="1"/>
  <c r="S3947" i="2" s="1"/>
  <c r="S3948" i="2" s="1"/>
  <c r="S3949" i="2" s="1"/>
  <c r="S3950" i="2" s="1"/>
  <c r="S3951" i="2" s="1"/>
  <c r="S3952" i="2" s="1"/>
  <c r="U3941" i="2"/>
  <c r="U3942" i="2" s="1"/>
  <c r="U3943" i="2" s="1"/>
  <c r="U3944" i="2" s="1"/>
  <c r="U3945" i="2" s="1"/>
  <c r="U3946" i="2" s="1"/>
  <c r="U3947" i="2" s="1"/>
  <c r="U3948" i="2" s="1"/>
  <c r="U3949" i="2" s="1"/>
  <c r="U3950" i="2" s="1"/>
  <c r="U3951" i="2" s="1"/>
  <c r="U3952" i="2" s="1"/>
  <c r="R1999" i="2"/>
  <c r="S1998" i="2"/>
  <c r="U1998" i="2"/>
  <c r="R2142" i="2"/>
  <c r="S701" i="2"/>
  <c r="R702" i="2"/>
  <c r="U701" i="2"/>
  <c r="R4157" i="2"/>
  <c r="R3366" i="2"/>
  <c r="R3653" i="2"/>
  <c r="R3797" i="2"/>
  <c r="R2504" i="2"/>
  <c r="S2503" i="2"/>
  <c r="U2503" i="2"/>
  <c r="R4301" i="2"/>
  <c r="R3005" i="2"/>
  <c r="R3725" i="2"/>
  <c r="R3869" i="2"/>
  <c r="R2866" i="2"/>
  <c r="R2648" i="2"/>
  <c r="S2431" i="2"/>
  <c r="S2432" i="2" s="1"/>
  <c r="R2432" i="2"/>
  <c r="U2431" i="2"/>
  <c r="U2432" i="2" s="1"/>
  <c r="U1640" i="2"/>
  <c r="R1641" i="2"/>
  <c r="S1640" i="2"/>
  <c r="R1715" i="2"/>
  <c r="R1207" i="2"/>
  <c r="S1206" i="2"/>
  <c r="U1206" i="2"/>
  <c r="R3294" i="2"/>
  <c r="R3437" i="2"/>
  <c r="R127" i="2"/>
  <c r="S126" i="2"/>
  <c r="U126" i="2"/>
  <c r="R344" i="2"/>
  <c r="S343" i="2"/>
  <c r="U343" i="2"/>
  <c r="U1492" i="2"/>
  <c r="S486" i="2"/>
  <c r="R487" i="2"/>
  <c r="U272" i="2"/>
  <c r="R416" i="2"/>
  <c r="U775" i="2"/>
  <c r="U918" i="2"/>
  <c r="U202" i="2"/>
  <c r="U1137" i="2"/>
  <c r="U1281" i="2"/>
  <c r="U1421" i="2"/>
  <c r="U56" i="2"/>
  <c r="U846" i="2"/>
  <c r="U1350" i="2"/>
  <c r="U416" i="2"/>
  <c r="S1062" i="2"/>
  <c r="R1063" i="2"/>
  <c r="U1062" i="2"/>
  <c r="R847" i="2"/>
  <c r="S846" i="2"/>
  <c r="R1138" i="2"/>
  <c r="S1137" i="2"/>
  <c r="R1282" i="2"/>
  <c r="S1281" i="2"/>
  <c r="R1351" i="2"/>
  <c r="S1350" i="2"/>
  <c r="S272" i="2"/>
  <c r="R273" i="2"/>
  <c r="S775" i="2"/>
  <c r="R776" i="2"/>
  <c r="S918" i="2"/>
  <c r="R919" i="2"/>
  <c r="S1421" i="2"/>
  <c r="R1422" i="2"/>
  <c r="S56" i="2"/>
  <c r="R57" i="2"/>
  <c r="S202" i="2"/>
  <c r="R203" i="2"/>
  <c r="U4301" i="2" l="1"/>
  <c r="V4300" i="2"/>
  <c r="U3005" i="2"/>
  <c r="V3004" i="2"/>
  <c r="U4013" i="2"/>
  <c r="V4012" i="2"/>
  <c r="U3437" i="2"/>
  <c r="V3436" i="2"/>
  <c r="U1925" i="2"/>
  <c r="V1925" i="2" s="1"/>
  <c r="V1924" i="2"/>
  <c r="U3797" i="2"/>
  <c r="V3797" i="2" s="1"/>
  <c r="V3796" i="2"/>
  <c r="U3653" i="2"/>
  <c r="V3652" i="2"/>
  <c r="U3509" i="2"/>
  <c r="V3508" i="2"/>
  <c r="S557" i="2"/>
  <c r="U557" i="2"/>
  <c r="V557" i="2" s="1"/>
  <c r="R558" i="2"/>
  <c r="S629" i="2"/>
  <c r="U629" i="2"/>
  <c r="V629" i="2" s="1"/>
  <c r="R630" i="2"/>
  <c r="U2573" i="2"/>
  <c r="V2573" i="2" s="1"/>
  <c r="V2572" i="2"/>
  <c r="U3221" i="2"/>
  <c r="V3220" i="2"/>
  <c r="U3077" i="2"/>
  <c r="V3076" i="2"/>
  <c r="V53" i="2"/>
  <c r="T54" i="2"/>
  <c r="V125" i="2"/>
  <c r="T126" i="2"/>
  <c r="V197" i="2"/>
  <c r="T198" i="2"/>
  <c r="V269" i="2"/>
  <c r="T270" i="2"/>
  <c r="V341" i="2"/>
  <c r="T342" i="2"/>
  <c r="V413" i="2"/>
  <c r="T414" i="2"/>
  <c r="V485" i="2"/>
  <c r="T486" i="2"/>
  <c r="T558" i="2"/>
  <c r="T630" i="2"/>
  <c r="T3438" i="2"/>
  <c r="T3510" i="2"/>
  <c r="V3581" i="2"/>
  <c r="T3582" i="2"/>
  <c r="T3654" i="2"/>
  <c r="V3725" i="2"/>
  <c r="T3726" i="2"/>
  <c r="T3798" i="2"/>
  <c r="T3870" i="2"/>
  <c r="V3941" i="2"/>
  <c r="T3942" i="2"/>
  <c r="T4014" i="2"/>
  <c r="V4085" i="2"/>
  <c r="T4086" i="2"/>
  <c r="V4157" i="2"/>
  <c r="T4158" i="2"/>
  <c r="T4230" i="2"/>
  <c r="T4302" i="2"/>
  <c r="V701" i="2"/>
  <c r="T702" i="2"/>
  <c r="V773" i="2"/>
  <c r="T774" i="2"/>
  <c r="V845" i="2"/>
  <c r="T846" i="2"/>
  <c r="V917" i="2"/>
  <c r="T918" i="2"/>
  <c r="V989" i="2"/>
  <c r="T990" i="2"/>
  <c r="V1061" i="2"/>
  <c r="T1062" i="2"/>
  <c r="V1133" i="2"/>
  <c r="T1134" i="2"/>
  <c r="V1205" i="2"/>
  <c r="T1206" i="2"/>
  <c r="V1277" i="2"/>
  <c r="T1278" i="2"/>
  <c r="V1349" i="2"/>
  <c r="T1350" i="2"/>
  <c r="V1421" i="2"/>
  <c r="T1422" i="2"/>
  <c r="T1494" i="2"/>
  <c r="T1566" i="2"/>
  <c r="V1637" i="2"/>
  <c r="T1638" i="2"/>
  <c r="V1709" i="2"/>
  <c r="T1710" i="2"/>
  <c r="V1781" i="2"/>
  <c r="T1782" i="2"/>
  <c r="T1854" i="2"/>
  <c r="T1926" i="2"/>
  <c r="V1997" i="2"/>
  <c r="T1998" i="2"/>
  <c r="V2069" i="2"/>
  <c r="T2070" i="2"/>
  <c r="V2141" i="2"/>
  <c r="T2142" i="2"/>
  <c r="T2214" i="2"/>
  <c r="T2286" i="2"/>
  <c r="V2357" i="2"/>
  <c r="T2358" i="2"/>
  <c r="V2429" i="2"/>
  <c r="T2430" i="2"/>
  <c r="V2501" i="2"/>
  <c r="T2502" i="2"/>
  <c r="T2574" i="2"/>
  <c r="V2645" i="2"/>
  <c r="T2646" i="2"/>
  <c r="V2717" i="2"/>
  <c r="T2718" i="2"/>
  <c r="V2789" i="2"/>
  <c r="T2790" i="2"/>
  <c r="V2861" i="2"/>
  <c r="T2862" i="2"/>
  <c r="T2934" i="2"/>
  <c r="T3006" i="2"/>
  <c r="T3078" i="2"/>
  <c r="T3150" i="2"/>
  <c r="T3222" i="2"/>
  <c r="V3293" i="2"/>
  <c r="T3294" i="2"/>
  <c r="V3365" i="2"/>
  <c r="T3366" i="2"/>
  <c r="U3149" i="2"/>
  <c r="V3148" i="2"/>
  <c r="U1565" i="2"/>
  <c r="V1564" i="2"/>
  <c r="U1493" i="2"/>
  <c r="V1492" i="2"/>
  <c r="U487" i="2"/>
  <c r="S487" i="2"/>
  <c r="R488" i="2"/>
  <c r="R417" i="2"/>
  <c r="S416" i="2"/>
  <c r="U417" i="2" s="1"/>
  <c r="R1494" i="2"/>
  <c r="R1854" i="2"/>
  <c r="S1853" i="2"/>
  <c r="U2285" i="2"/>
  <c r="R2286" i="2"/>
  <c r="S2285" i="2"/>
  <c r="S2286" i="2" s="1"/>
  <c r="R3150" i="2"/>
  <c r="R991" i="2"/>
  <c r="S990" i="2"/>
  <c r="U990" i="2"/>
  <c r="S2213" i="2"/>
  <c r="S2214" i="2" s="1"/>
  <c r="R2214" i="2"/>
  <c r="U2213" i="2"/>
  <c r="U2933" i="2"/>
  <c r="S2933" i="2"/>
  <c r="S2934" i="2" s="1"/>
  <c r="S2935" i="2" s="1"/>
  <c r="S2936" i="2" s="1"/>
  <c r="S2937" i="2" s="1"/>
  <c r="R2934" i="2"/>
  <c r="R1566" i="2"/>
  <c r="R1926" i="2"/>
  <c r="R2574" i="2"/>
  <c r="R3222" i="2"/>
  <c r="S2718" i="2"/>
  <c r="S2719" i="2" s="1"/>
  <c r="R2719" i="2"/>
  <c r="U2718" i="2"/>
  <c r="U2719" i="2" s="1"/>
  <c r="R3510" i="2"/>
  <c r="R4014" i="2"/>
  <c r="R2071" i="2"/>
  <c r="U2359" i="2"/>
  <c r="R2360" i="2"/>
  <c r="S2359" i="2"/>
  <c r="R2791" i="2"/>
  <c r="S2790" i="2"/>
  <c r="S2791" i="2" s="1"/>
  <c r="S2792" i="2" s="1"/>
  <c r="U2790" i="2"/>
  <c r="U2791" i="2" s="1"/>
  <c r="U2792" i="2" s="1"/>
  <c r="R1783" i="2"/>
  <c r="R3078" i="2"/>
  <c r="R4086" i="2"/>
  <c r="R4230" i="2"/>
  <c r="S4229" i="2"/>
  <c r="S4230" i="2" s="1"/>
  <c r="S4231" i="2" s="1"/>
  <c r="S4232" i="2" s="1"/>
  <c r="S4233" i="2" s="1"/>
  <c r="S4234" i="2" s="1"/>
  <c r="U4229" i="2"/>
  <c r="R3583" i="2"/>
  <c r="R3943" i="2"/>
  <c r="R2000" i="2"/>
  <c r="S1999" i="2"/>
  <c r="S2000" i="2" s="1"/>
  <c r="S2001" i="2" s="1"/>
  <c r="U1999" i="2"/>
  <c r="U2000" i="2" s="1"/>
  <c r="U2001" i="2" s="1"/>
  <c r="S2142" i="2"/>
  <c r="R2143" i="2"/>
  <c r="U2142" i="2"/>
  <c r="S702" i="2"/>
  <c r="R703" i="2"/>
  <c r="U702" i="2"/>
  <c r="R4158" i="2"/>
  <c r="R3367" i="2"/>
  <c r="S3366" i="2"/>
  <c r="S3367" i="2" s="1"/>
  <c r="S3368" i="2" s="1"/>
  <c r="S3369" i="2" s="1"/>
  <c r="S3370" i="2" s="1"/>
  <c r="S3371" i="2" s="1"/>
  <c r="S3372" i="2" s="1"/>
  <c r="U3366" i="2"/>
  <c r="U3367" i="2" s="1"/>
  <c r="U3368" i="2" s="1"/>
  <c r="U3369" i="2" s="1"/>
  <c r="U3370" i="2" s="1"/>
  <c r="U3371" i="2" s="1"/>
  <c r="U3372" i="2" s="1"/>
  <c r="R3654" i="2"/>
  <c r="R3798" i="2"/>
  <c r="R2505" i="2"/>
  <c r="S2504" i="2"/>
  <c r="U2504" i="2"/>
  <c r="R4302" i="2"/>
  <c r="R3006" i="2"/>
  <c r="R3726" i="2"/>
  <c r="U3869" i="2"/>
  <c r="S3869" i="2"/>
  <c r="S3870" i="2" s="1"/>
  <c r="S3871" i="2" s="1"/>
  <c r="S3872" i="2" s="1"/>
  <c r="S3873" i="2" s="1"/>
  <c r="S3874" i="2" s="1"/>
  <c r="S3875" i="2" s="1"/>
  <c r="S3876" i="2" s="1"/>
  <c r="R3870" i="2"/>
  <c r="U2866" i="2"/>
  <c r="U2867" i="2" s="1"/>
  <c r="R2867" i="2"/>
  <c r="S2866" i="2"/>
  <c r="S2867" i="2" s="1"/>
  <c r="R2649" i="2"/>
  <c r="R2433" i="2"/>
  <c r="U1641" i="2"/>
  <c r="R1642" i="2"/>
  <c r="S1641" i="2"/>
  <c r="R1716" i="2"/>
  <c r="R1208" i="2"/>
  <c r="S1207" i="2"/>
  <c r="U1207" i="2"/>
  <c r="R3295" i="2"/>
  <c r="R3438" i="2"/>
  <c r="R128" i="2"/>
  <c r="S127" i="2"/>
  <c r="U127" i="2"/>
  <c r="R345" i="2"/>
  <c r="S344" i="2"/>
  <c r="U344" i="2"/>
  <c r="U1853" i="2"/>
  <c r="V1853" i="2" s="1"/>
  <c r="U919" i="2"/>
  <c r="U1422" i="2"/>
  <c r="U203" i="2"/>
  <c r="U1282" i="2"/>
  <c r="U57" i="2"/>
  <c r="U847" i="2"/>
  <c r="U1138" i="2"/>
  <c r="U1351" i="2"/>
  <c r="U273" i="2"/>
  <c r="U776" i="2"/>
  <c r="S1063" i="2"/>
  <c r="R1064" i="2"/>
  <c r="U1063" i="2"/>
  <c r="R848" i="2"/>
  <c r="S847" i="2"/>
  <c r="R1139" i="2"/>
  <c r="S1138" i="2"/>
  <c r="R1283" i="2"/>
  <c r="S1282" i="2"/>
  <c r="R1352" i="2"/>
  <c r="S1351" i="2"/>
  <c r="S273" i="2"/>
  <c r="R274" i="2"/>
  <c r="S488" i="2"/>
  <c r="R489" i="2"/>
  <c r="S776" i="2"/>
  <c r="R777" i="2"/>
  <c r="S919" i="2"/>
  <c r="R920" i="2"/>
  <c r="S1422" i="2"/>
  <c r="R1423" i="2"/>
  <c r="S57" i="2"/>
  <c r="R58" i="2"/>
  <c r="S203" i="2"/>
  <c r="R204" i="2"/>
  <c r="U4302" i="2" l="1"/>
  <c r="U4303" i="2" s="1"/>
  <c r="U4304" i="2" s="1"/>
  <c r="U4305" i="2" s="1"/>
  <c r="U4306" i="2" s="1"/>
  <c r="U4307" i="2" s="1"/>
  <c r="U4308" i="2" s="1"/>
  <c r="U4309" i="2" s="1"/>
  <c r="V4301" i="2"/>
  <c r="U488" i="2"/>
  <c r="U489" i="2" s="1"/>
  <c r="U4014" i="2"/>
  <c r="V4013" i="2"/>
  <c r="U3006" i="2"/>
  <c r="V3005" i="2"/>
  <c r="U3438" i="2"/>
  <c r="V3437" i="2"/>
  <c r="U3654" i="2"/>
  <c r="V3653" i="2"/>
  <c r="U3510" i="2"/>
  <c r="V3509" i="2"/>
  <c r="R559" i="2"/>
  <c r="S558" i="2"/>
  <c r="U558" i="2"/>
  <c r="V558" i="2" s="1"/>
  <c r="R631" i="2"/>
  <c r="S630" i="2"/>
  <c r="U630" i="2"/>
  <c r="V630" i="2" s="1"/>
  <c r="U3078" i="2"/>
  <c r="V3077" i="2"/>
  <c r="U1494" i="2"/>
  <c r="V1493" i="2"/>
  <c r="R418" i="2"/>
  <c r="S417" i="2"/>
  <c r="U418" i="2" s="1"/>
  <c r="U3222" i="2"/>
  <c r="V3221" i="2"/>
  <c r="U1566" i="2"/>
  <c r="V1565" i="2"/>
  <c r="U2286" i="2"/>
  <c r="V2286" i="2" s="1"/>
  <c r="V2285" i="2"/>
  <c r="U3150" i="2"/>
  <c r="V3149" i="2"/>
  <c r="U2934" i="2"/>
  <c r="V2933" i="2"/>
  <c r="V54" i="2"/>
  <c r="T55" i="2"/>
  <c r="V126" i="2"/>
  <c r="T127" i="2"/>
  <c r="V198" i="2"/>
  <c r="T199" i="2"/>
  <c r="V270" i="2"/>
  <c r="T271" i="2"/>
  <c r="V342" i="2"/>
  <c r="T343" i="2"/>
  <c r="V414" i="2"/>
  <c r="T415" i="2"/>
  <c r="V486" i="2"/>
  <c r="T487" i="2"/>
  <c r="T559" i="2"/>
  <c r="T631" i="2"/>
  <c r="T3439" i="2"/>
  <c r="T3511" i="2"/>
  <c r="V3582" i="2"/>
  <c r="T3583" i="2"/>
  <c r="T3655" i="2"/>
  <c r="V3726" i="2"/>
  <c r="T3727" i="2"/>
  <c r="T3799" i="2"/>
  <c r="T3871" i="2"/>
  <c r="V3942" i="2"/>
  <c r="T3943" i="2"/>
  <c r="T4015" i="2"/>
  <c r="T4087" i="2"/>
  <c r="V4158" i="2"/>
  <c r="T4159" i="2"/>
  <c r="T4231" i="2"/>
  <c r="V4302" i="2"/>
  <c r="T4303" i="2"/>
  <c r="V702" i="2"/>
  <c r="T703" i="2"/>
  <c r="V774" i="2"/>
  <c r="T775" i="2"/>
  <c r="V846" i="2"/>
  <c r="T847" i="2"/>
  <c r="V918" i="2"/>
  <c r="T919" i="2"/>
  <c r="V990" i="2"/>
  <c r="T991" i="2"/>
  <c r="V1062" i="2"/>
  <c r="T1063" i="2"/>
  <c r="V1134" i="2"/>
  <c r="T1135" i="2"/>
  <c r="V1206" i="2"/>
  <c r="T1207" i="2"/>
  <c r="V1278" i="2"/>
  <c r="T1279" i="2"/>
  <c r="V1350" i="2"/>
  <c r="T1351" i="2"/>
  <c r="V1422" i="2"/>
  <c r="T1423" i="2"/>
  <c r="T1495" i="2"/>
  <c r="T1567" i="2"/>
  <c r="V1638" i="2"/>
  <c r="T1639" i="2"/>
  <c r="V1710" i="2"/>
  <c r="T1711" i="2"/>
  <c r="V1782" i="2"/>
  <c r="T1783" i="2"/>
  <c r="T1855" i="2"/>
  <c r="T1927" i="2"/>
  <c r="V1998" i="2"/>
  <c r="T1999" i="2"/>
  <c r="V2070" i="2"/>
  <c r="T2071" i="2"/>
  <c r="V2142" i="2"/>
  <c r="T2143" i="2"/>
  <c r="T2215" i="2"/>
  <c r="T2287" i="2"/>
  <c r="V2358" i="2"/>
  <c r="T2359" i="2"/>
  <c r="V2430" i="2"/>
  <c r="T2431" i="2"/>
  <c r="V2502" i="2"/>
  <c r="T2503" i="2"/>
  <c r="T2575" i="2"/>
  <c r="V2646" i="2"/>
  <c r="T2647" i="2"/>
  <c r="V2718" i="2"/>
  <c r="T2719" i="2"/>
  <c r="V2790" i="2"/>
  <c r="T2791" i="2"/>
  <c r="V2862" i="2"/>
  <c r="T2863" i="2"/>
  <c r="T2935" i="2"/>
  <c r="T3007" i="2"/>
  <c r="T3079" i="2"/>
  <c r="T3151" i="2"/>
  <c r="T3223" i="2"/>
  <c r="V3294" i="2"/>
  <c r="T3295" i="2"/>
  <c r="V3366" i="2"/>
  <c r="T3367" i="2"/>
  <c r="U2214" i="2"/>
  <c r="V2214" i="2" s="1"/>
  <c r="V2213" i="2"/>
  <c r="U4230" i="2"/>
  <c r="V4229" i="2"/>
  <c r="U3870" i="2"/>
  <c r="V3869" i="2"/>
  <c r="R1495" i="2"/>
  <c r="R1855" i="2"/>
  <c r="S1854" i="2"/>
  <c r="U1854" i="2"/>
  <c r="V1854" i="2" s="1"/>
  <c r="R2287" i="2"/>
  <c r="R3151" i="2"/>
  <c r="R992" i="2"/>
  <c r="S991" i="2"/>
  <c r="U991" i="2"/>
  <c r="R2215" i="2"/>
  <c r="R2935" i="2"/>
  <c r="R1567" i="2"/>
  <c r="R1927" i="2"/>
  <c r="S1926" i="2"/>
  <c r="S1927" i="2" s="1"/>
  <c r="U1926" i="2"/>
  <c r="R2575" i="2"/>
  <c r="S2574" i="2"/>
  <c r="U2574" i="2"/>
  <c r="V2574" i="2" s="1"/>
  <c r="R3223" i="2"/>
  <c r="R2720" i="2"/>
  <c r="R3511" i="2"/>
  <c r="R4015" i="2"/>
  <c r="U2071" i="2"/>
  <c r="S2071" i="2"/>
  <c r="R2072" i="2"/>
  <c r="R2361" i="2"/>
  <c r="S2360" i="2"/>
  <c r="R2792" i="2"/>
  <c r="R1784" i="2"/>
  <c r="S1783" i="2"/>
  <c r="U1783" i="2"/>
  <c r="R3079" i="2"/>
  <c r="R4087" i="2"/>
  <c r="S4086" i="2"/>
  <c r="U4086" i="2"/>
  <c r="V4086" i="2" s="1"/>
  <c r="R4231" i="2"/>
  <c r="R3584" i="2"/>
  <c r="R3944" i="2"/>
  <c r="R2001" i="2"/>
  <c r="S2143" i="2"/>
  <c r="S2144" i="2" s="1"/>
  <c r="R2144" i="2"/>
  <c r="U2143" i="2"/>
  <c r="U2144" i="2" s="1"/>
  <c r="R704" i="2"/>
  <c r="U703" i="2"/>
  <c r="S703" i="2"/>
  <c r="R4159" i="2"/>
  <c r="R3368" i="2"/>
  <c r="R3655" i="2"/>
  <c r="U3798" i="2"/>
  <c r="S3798" i="2"/>
  <c r="S3799" i="2" s="1"/>
  <c r="S3800" i="2" s="1"/>
  <c r="S3801" i="2" s="1"/>
  <c r="S3802" i="2" s="1"/>
  <c r="S3803" i="2" s="1"/>
  <c r="S3804" i="2" s="1"/>
  <c r="S3805" i="2" s="1"/>
  <c r="S3806" i="2" s="1"/>
  <c r="S3807" i="2" s="1"/>
  <c r="R3799" i="2"/>
  <c r="R2506" i="2"/>
  <c r="S2505" i="2"/>
  <c r="U2505" i="2"/>
  <c r="R4303" i="2"/>
  <c r="R3007" i="2"/>
  <c r="R3727" i="2"/>
  <c r="R3871" i="2"/>
  <c r="R2868" i="2"/>
  <c r="R2650" i="2"/>
  <c r="S2649" i="2"/>
  <c r="U2649" i="2"/>
  <c r="U2433" i="2"/>
  <c r="R2434" i="2"/>
  <c r="S2433" i="2"/>
  <c r="R1643" i="2"/>
  <c r="S1642" i="2"/>
  <c r="U1642" i="2"/>
  <c r="R1717" i="2"/>
  <c r="S1716" i="2"/>
  <c r="U1716" i="2"/>
  <c r="R1209" i="2"/>
  <c r="S1208" i="2"/>
  <c r="U1208" i="2"/>
  <c r="R3296" i="2"/>
  <c r="R3439" i="2"/>
  <c r="R129" i="2"/>
  <c r="S128" i="2"/>
  <c r="U128" i="2"/>
  <c r="U345" i="2"/>
  <c r="R346" i="2"/>
  <c r="S345" i="2"/>
  <c r="U2360" i="2"/>
  <c r="U848" i="2"/>
  <c r="U274" i="2"/>
  <c r="U920" i="2"/>
  <c r="U1423" i="2"/>
  <c r="U204" i="2"/>
  <c r="U1139" i="2"/>
  <c r="U58" i="2"/>
  <c r="U1283" i="2"/>
  <c r="U1352" i="2"/>
  <c r="U1353" i="2" s="1"/>
  <c r="U777" i="2"/>
  <c r="S1064" i="2"/>
  <c r="R1065" i="2"/>
  <c r="U1064" i="2"/>
  <c r="R849" i="2"/>
  <c r="S848" i="2"/>
  <c r="S1139" i="2"/>
  <c r="R1140" i="2"/>
  <c r="S1283" i="2"/>
  <c r="R1284" i="2"/>
  <c r="S1352" i="2"/>
  <c r="S1353" i="2" s="1"/>
  <c r="R1353" i="2"/>
  <c r="S274" i="2"/>
  <c r="R275" i="2"/>
  <c r="S489" i="2"/>
  <c r="R490" i="2"/>
  <c r="S777" i="2"/>
  <c r="R778" i="2"/>
  <c r="S920" i="2"/>
  <c r="R921" i="2"/>
  <c r="S1423" i="2"/>
  <c r="R1424" i="2"/>
  <c r="S58" i="2"/>
  <c r="R59" i="2"/>
  <c r="S204" i="2"/>
  <c r="R205" i="2"/>
  <c r="R419" i="2" l="1"/>
  <c r="S418" i="2"/>
  <c r="U419" i="2" s="1"/>
  <c r="U4015" i="2"/>
  <c r="V4014" i="2"/>
  <c r="U3007" i="2"/>
  <c r="V3006" i="2"/>
  <c r="U3439" i="2"/>
  <c r="V3438" i="2"/>
  <c r="U3511" i="2"/>
  <c r="V3510" i="2"/>
  <c r="U1495" i="2"/>
  <c r="V1494" i="2"/>
  <c r="U3655" i="2"/>
  <c r="V3654" i="2"/>
  <c r="U3223" i="2"/>
  <c r="V3222" i="2"/>
  <c r="U3079" i="2"/>
  <c r="V3078" i="2"/>
  <c r="U1567" i="2"/>
  <c r="V1567" i="2" s="1"/>
  <c r="V1566" i="2"/>
  <c r="U3151" i="2"/>
  <c r="V3151" i="2" s="1"/>
  <c r="V3150" i="2"/>
  <c r="R560" i="2"/>
  <c r="S559" i="2"/>
  <c r="U559" i="2"/>
  <c r="V559" i="2" s="1"/>
  <c r="R632" i="2"/>
  <c r="S631" i="2"/>
  <c r="U631" i="2"/>
  <c r="V631" i="2" s="1"/>
  <c r="U2935" i="2"/>
  <c r="V2934" i="2"/>
  <c r="U4231" i="2"/>
  <c r="V4230" i="2"/>
  <c r="U3871" i="2"/>
  <c r="V3870" i="2"/>
  <c r="U3799" i="2"/>
  <c r="V3798" i="2"/>
  <c r="V55" i="2"/>
  <c r="T56" i="2"/>
  <c r="V127" i="2"/>
  <c r="T128" i="2"/>
  <c r="V199" i="2"/>
  <c r="T200" i="2"/>
  <c r="V271" i="2"/>
  <c r="T272" i="2"/>
  <c r="V343" i="2"/>
  <c r="T344" i="2"/>
  <c r="V415" i="2"/>
  <c r="T416" i="2"/>
  <c r="V487" i="2"/>
  <c r="T488" i="2"/>
  <c r="T560" i="2"/>
  <c r="T632" i="2"/>
  <c r="T3440" i="2"/>
  <c r="T3512" i="2"/>
  <c r="V3583" i="2"/>
  <c r="T3584" i="2"/>
  <c r="T3656" i="2"/>
  <c r="T3728" i="2"/>
  <c r="T3800" i="2"/>
  <c r="T3872" i="2"/>
  <c r="V3943" i="2"/>
  <c r="T3944" i="2"/>
  <c r="T4016" i="2"/>
  <c r="T4088" i="2"/>
  <c r="V4159" i="2"/>
  <c r="T4160" i="2"/>
  <c r="T4232" i="2"/>
  <c r="V4303" i="2"/>
  <c r="T4304" i="2"/>
  <c r="V703" i="2"/>
  <c r="T704" i="2"/>
  <c r="V775" i="2"/>
  <c r="T776" i="2"/>
  <c r="V847" i="2"/>
  <c r="T848" i="2"/>
  <c r="V919" i="2"/>
  <c r="T920" i="2"/>
  <c r="V991" i="2"/>
  <c r="T992" i="2"/>
  <c r="V1063" i="2"/>
  <c r="T1064" i="2"/>
  <c r="V1135" i="2"/>
  <c r="T1136" i="2"/>
  <c r="V1207" i="2"/>
  <c r="T1208" i="2"/>
  <c r="V1279" i="2"/>
  <c r="T1280" i="2"/>
  <c r="V1351" i="2"/>
  <c r="T1352" i="2"/>
  <c r="V1423" i="2"/>
  <c r="T1424" i="2"/>
  <c r="T1496" i="2"/>
  <c r="T1568" i="2"/>
  <c r="V1639" i="2"/>
  <c r="T1640" i="2"/>
  <c r="V1711" i="2"/>
  <c r="T1712" i="2"/>
  <c r="V1783" i="2"/>
  <c r="T1784" i="2"/>
  <c r="T1856" i="2"/>
  <c r="T1928" i="2"/>
  <c r="V1999" i="2"/>
  <c r="T2000" i="2"/>
  <c r="V2071" i="2"/>
  <c r="T2072" i="2"/>
  <c r="V2143" i="2"/>
  <c r="T2144" i="2"/>
  <c r="T2216" i="2"/>
  <c r="T2288" i="2"/>
  <c r="V2359" i="2"/>
  <c r="T2360" i="2"/>
  <c r="V2431" i="2"/>
  <c r="T2432" i="2"/>
  <c r="V2503" i="2"/>
  <c r="T2504" i="2"/>
  <c r="T2576" i="2"/>
  <c r="V2647" i="2"/>
  <c r="T2648" i="2"/>
  <c r="V2719" i="2"/>
  <c r="T2720" i="2"/>
  <c r="V2791" i="2"/>
  <c r="T2792" i="2"/>
  <c r="V2863" i="2"/>
  <c r="T2864" i="2"/>
  <c r="T2936" i="2"/>
  <c r="T3008" i="2"/>
  <c r="T3080" i="2"/>
  <c r="T3152" i="2"/>
  <c r="T3224" i="2"/>
  <c r="V3295" i="2"/>
  <c r="T3296" i="2"/>
  <c r="V3367" i="2"/>
  <c r="T3368" i="2"/>
  <c r="U1927" i="2"/>
  <c r="V1927" i="2" s="1"/>
  <c r="V1926" i="2"/>
  <c r="R1496" i="2"/>
  <c r="R1856" i="2"/>
  <c r="S1855" i="2"/>
  <c r="S1856" i="2" s="1"/>
  <c r="S1857" i="2" s="1"/>
  <c r="S1858" i="2" s="1"/>
  <c r="S1859" i="2" s="1"/>
  <c r="S1860" i="2" s="1"/>
  <c r="S1861" i="2" s="1"/>
  <c r="S1862" i="2" s="1"/>
  <c r="S1863" i="2" s="1"/>
  <c r="U1855" i="2"/>
  <c r="U2287" i="2"/>
  <c r="S2287" i="2"/>
  <c r="S2288" i="2" s="1"/>
  <c r="R2288" i="2"/>
  <c r="R3152" i="2"/>
  <c r="R993" i="2"/>
  <c r="U992" i="2"/>
  <c r="S992" i="2"/>
  <c r="R2216" i="2"/>
  <c r="S2215" i="2"/>
  <c r="U2215" i="2"/>
  <c r="V2215" i="2" s="1"/>
  <c r="R2936" i="2"/>
  <c r="R1568" i="2"/>
  <c r="R1928" i="2"/>
  <c r="S2575" i="2"/>
  <c r="R2576" i="2"/>
  <c r="U2575" i="2"/>
  <c r="V2575" i="2" s="1"/>
  <c r="R3224" i="2"/>
  <c r="S2720" i="2"/>
  <c r="R2721" i="2"/>
  <c r="U2720" i="2"/>
  <c r="R3512" i="2"/>
  <c r="R4016" i="2"/>
  <c r="U2072" i="2"/>
  <c r="R2073" i="2"/>
  <c r="S2072" i="2"/>
  <c r="R2362" i="2"/>
  <c r="S2361" i="2"/>
  <c r="S2362" i="2" s="1"/>
  <c r="S2363" i="2" s="1"/>
  <c r="U2361" i="2"/>
  <c r="U2362" i="2" s="1"/>
  <c r="U2363" i="2" s="1"/>
  <c r="R2793" i="2"/>
  <c r="R1785" i="2"/>
  <c r="S1784" i="2"/>
  <c r="U1784" i="2"/>
  <c r="R3080" i="2"/>
  <c r="U4087" i="2"/>
  <c r="S4087" i="2"/>
  <c r="S4088" i="2" s="1"/>
  <c r="S4089" i="2" s="1"/>
  <c r="R4088" i="2"/>
  <c r="R4232" i="2"/>
  <c r="R3585" i="2"/>
  <c r="R3945" i="2"/>
  <c r="R2002" i="2"/>
  <c r="R2145" i="2"/>
  <c r="R705" i="2"/>
  <c r="S704" i="2"/>
  <c r="U704" i="2"/>
  <c r="R4160" i="2"/>
  <c r="R3369" i="2"/>
  <c r="R3656" i="2"/>
  <c r="R3800" i="2"/>
  <c r="R2507" i="2"/>
  <c r="S2506" i="2"/>
  <c r="U2506" i="2"/>
  <c r="R4304" i="2"/>
  <c r="R3008" i="2"/>
  <c r="U3727" i="2"/>
  <c r="V3727" i="2" s="1"/>
  <c r="R3728" i="2"/>
  <c r="S3727" i="2"/>
  <c r="R3872" i="2"/>
  <c r="U2868" i="2"/>
  <c r="R2869" i="2"/>
  <c r="S2868" i="2"/>
  <c r="R2651" i="2"/>
  <c r="S2650" i="2"/>
  <c r="U2650" i="2"/>
  <c r="R2435" i="2"/>
  <c r="S2434" i="2"/>
  <c r="U2434" i="2"/>
  <c r="R1644" i="2"/>
  <c r="S1643" i="2"/>
  <c r="U1643" i="2"/>
  <c r="R1718" i="2"/>
  <c r="S1717" i="2"/>
  <c r="S1718" i="2" s="1"/>
  <c r="S1719" i="2" s="1"/>
  <c r="U1717" i="2"/>
  <c r="U1718" i="2" s="1"/>
  <c r="U1719" i="2" s="1"/>
  <c r="U1209" i="2"/>
  <c r="R1210" i="2"/>
  <c r="S1209" i="2"/>
  <c r="R3297" i="2"/>
  <c r="R3440" i="2"/>
  <c r="R130" i="2"/>
  <c r="S129" i="2"/>
  <c r="U129" i="2"/>
  <c r="R347" i="2"/>
  <c r="S346" i="2"/>
  <c r="U346" i="2"/>
  <c r="R1354" i="2"/>
  <c r="U275" i="2"/>
  <c r="U490" i="2"/>
  <c r="U1424" i="2"/>
  <c r="U205" i="2"/>
  <c r="U849" i="2"/>
  <c r="U1140" i="2"/>
  <c r="U1284" i="2"/>
  <c r="U59" i="2"/>
  <c r="U778" i="2"/>
  <c r="U921" i="2"/>
  <c r="S1065" i="2"/>
  <c r="R1066" i="2"/>
  <c r="U1065" i="2"/>
  <c r="R850" i="2"/>
  <c r="S849" i="2"/>
  <c r="S1140" i="2"/>
  <c r="R1141" i="2"/>
  <c r="S1284" i="2"/>
  <c r="R1285" i="2"/>
  <c r="R420" i="2"/>
  <c r="S419" i="2"/>
  <c r="S275" i="2"/>
  <c r="R276" i="2"/>
  <c r="S490" i="2"/>
  <c r="R491" i="2"/>
  <c r="S778" i="2"/>
  <c r="R779" i="2"/>
  <c r="S921" i="2"/>
  <c r="R922" i="2"/>
  <c r="S1424" i="2"/>
  <c r="R1425" i="2"/>
  <c r="S59" i="2"/>
  <c r="R60" i="2"/>
  <c r="S205" i="2"/>
  <c r="R206" i="2"/>
  <c r="U3512" i="2" l="1"/>
  <c r="V3511" i="2"/>
  <c r="U4016" i="2"/>
  <c r="V4015" i="2"/>
  <c r="U3440" i="2"/>
  <c r="V3439" i="2"/>
  <c r="U3008" i="2"/>
  <c r="V3007" i="2"/>
  <c r="U3080" i="2"/>
  <c r="V3079" i="2"/>
  <c r="U1496" i="2"/>
  <c r="V1496" i="2" s="1"/>
  <c r="V1495" i="2"/>
  <c r="U3656" i="2"/>
  <c r="V3655" i="2"/>
  <c r="U3224" i="2"/>
  <c r="V3224" i="2" s="1"/>
  <c r="V3223" i="2"/>
  <c r="U4232" i="2"/>
  <c r="V4231" i="2"/>
  <c r="U2936" i="2"/>
  <c r="V2935" i="2"/>
  <c r="R561" i="2"/>
  <c r="S560" i="2"/>
  <c r="U560" i="2"/>
  <c r="V560" i="2" s="1"/>
  <c r="R633" i="2"/>
  <c r="S632" i="2"/>
  <c r="U632" i="2"/>
  <c r="V632" i="2" s="1"/>
  <c r="U2288" i="2"/>
  <c r="V2288" i="2" s="1"/>
  <c r="V2287" i="2"/>
  <c r="S1354" i="2"/>
  <c r="R1355" i="2"/>
  <c r="U3872" i="2"/>
  <c r="V3871" i="2"/>
  <c r="U3800" i="2"/>
  <c r="V3799" i="2"/>
  <c r="U4088" i="2"/>
  <c r="V4087" i="2"/>
  <c r="V56" i="2"/>
  <c r="T57" i="2"/>
  <c r="V128" i="2"/>
  <c r="T129" i="2"/>
  <c r="V200" i="2"/>
  <c r="T201" i="2"/>
  <c r="V272" i="2"/>
  <c r="T273" i="2"/>
  <c r="V344" i="2"/>
  <c r="T345" i="2"/>
  <c r="V416" i="2"/>
  <c r="T417" i="2"/>
  <c r="V488" i="2"/>
  <c r="T489" i="2"/>
  <c r="T561" i="2"/>
  <c r="T633" i="2"/>
  <c r="T3441" i="2"/>
  <c r="V3512" i="2"/>
  <c r="T3513" i="2"/>
  <c r="V3584" i="2"/>
  <c r="T3585" i="2"/>
  <c r="T3657" i="2"/>
  <c r="T3729" i="2"/>
  <c r="T3801" i="2"/>
  <c r="T3873" i="2"/>
  <c r="V3944" i="2"/>
  <c r="T3945" i="2"/>
  <c r="T4017" i="2"/>
  <c r="T4089" i="2"/>
  <c r="V4160" i="2"/>
  <c r="T4161" i="2"/>
  <c r="T4233" i="2"/>
  <c r="V4304" i="2"/>
  <c r="T4305" i="2"/>
  <c r="V704" i="2"/>
  <c r="T705" i="2"/>
  <c r="V776" i="2"/>
  <c r="T777" i="2"/>
  <c r="V848" i="2"/>
  <c r="T849" i="2"/>
  <c r="V920" i="2"/>
  <c r="T921" i="2"/>
  <c r="V992" i="2"/>
  <c r="T993" i="2"/>
  <c r="V1064" i="2"/>
  <c r="T1065" i="2"/>
  <c r="V1136" i="2"/>
  <c r="T1137" i="2"/>
  <c r="V1208" i="2"/>
  <c r="T1209" i="2"/>
  <c r="V1280" i="2"/>
  <c r="T1281" i="2"/>
  <c r="V1352" i="2"/>
  <c r="T1353" i="2"/>
  <c r="V1424" i="2"/>
  <c r="T1425" i="2"/>
  <c r="T1497" i="2"/>
  <c r="T1569" i="2"/>
  <c r="V1640" i="2"/>
  <c r="T1641" i="2"/>
  <c r="V1712" i="2"/>
  <c r="T1713" i="2"/>
  <c r="V1784" i="2"/>
  <c r="T1785" i="2"/>
  <c r="T1857" i="2"/>
  <c r="T1929" i="2"/>
  <c r="V2000" i="2"/>
  <c r="T2001" i="2"/>
  <c r="V2072" i="2"/>
  <c r="T2073" i="2"/>
  <c r="V2144" i="2"/>
  <c r="T2145" i="2"/>
  <c r="T2217" i="2"/>
  <c r="T2289" i="2"/>
  <c r="V2360" i="2"/>
  <c r="T2361" i="2"/>
  <c r="V2432" i="2"/>
  <c r="T2433" i="2"/>
  <c r="V2504" i="2"/>
  <c r="T2505" i="2"/>
  <c r="T2577" i="2"/>
  <c r="V2648" i="2"/>
  <c r="T2649" i="2"/>
  <c r="V2720" i="2"/>
  <c r="T2721" i="2"/>
  <c r="V2792" i="2"/>
  <c r="T2793" i="2"/>
  <c r="V2864" i="2"/>
  <c r="T2865" i="2"/>
  <c r="T2937" i="2"/>
  <c r="T3009" i="2"/>
  <c r="T3081" i="2"/>
  <c r="T3153" i="2"/>
  <c r="T3225" i="2"/>
  <c r="V3296" i="2"/>
  <c r="T3297" i="2"/>
  <c r="V3368" i="2"/>
  <c r="T3369" i="2"/>
  <c r="U1856" i="2"/>
  <c r="V1855" i="2"/>
  <c r="U3728" i="2"/>
  <c r="U2869" i="2"/>
  <c r="R1497" i="2"/>
  <c r="R1857" i="2"/>
  <c r="R2289" i="2"/>
  <c r="U3152" i="2"/>
  <c r="R3153" i="2"/>
  <c r="S3152" i="2"/>
  <c r="S3153" i="2" s="1"/>
  <c r="S3154" i="2" s="1"/>
  <c r="S3155" i="2" s="1"/>
  <c r="S3156" i="2" s="1"/>
  <c r="S3157" i="2" s="1"/>
  <c r="R994" i="2"/>
  <c r="S993" i="2"/>
  <c r="U993" i="2"/>
  <c r="R2217" i="2"/>
  <c r="U2216" i="2"/>
  <c r="V2216" i="2" s="1"/>
  <c r="S2216" i="2"/>
  <c r="R2937" i="2"/>
  <c r="U1568" i="2"/>
  <c r="R1569" i="2"/>
  <c r="S1568" i="2"/>
  <c r="S1569" i="2" s="1"/>
  <c r="R1929" i="2"/>
  <c r="S1928" i="2"/>
  <c r="U1928" i="2"/>
  <c r="V1928" i="2" s="1"/>
  <c r="S2576" i="2"/>
  <c r="S2577" i="2" s="1"/>
  <c r="R2577" i="2"/>
  <c r="U2576" i="2"/>
  <c r="R3225" i="2"/>
  <c r="S2721" i="2"/>
  <c r="S2722" i="2" s="1"/>
  <c r="R2722" i="2"/>
  <c r="U2721" i="2"/>
  <c r="U2722" i="2" s="1"/>
  <c r="R3513" i="2"/>
  <c r="R4017" i="2"/>
  <c r="R2074" i="2"/>
  <c r="U2073" i="2"/>
  <c r="U2074" i="2" s="1"/>
  <c r="S2073" i="2"/>
  <c r="S2074" i="2" s="1"/>
  <c r="R2363" i="2"/>
  <c r="R2794" i="2"/>
  <c r="S2793" i="2"/>
  <c r="U2793" i="2"/>
  <c r="R1786" i="2"/>
  <c r="S1785" i="2"/>
  <c r="S1786" i="2" s="1"/>
  <c r="U1785" i="2"/>
  <c r="U1786" i="2" s="1"/>
  <c r="R3081" i="2"/>
  <c r="R4089" i="2"/>
  <c r="R4233" i="2"/>
  <c r="R3586" i="2"/>
  <c r="R3946" i="2"/>
  <c r="R2003" i="2"/>
  <c r="S2002" i="2"/>
  <c r="U2002" i="2"/>
  <c r="S2145" i="2"/>
  <c r="S2146" i="2" s="1"/>
  <c r="S2147" i="2" s="1"/>
  <c r="R2146" i="2"/>
  <c r="U2145" i="2"/>
  <c r="U2146" i="2" s="1"/>
  <c r="U2147" i="2" s="1"/>
  <c r="S705" i="2"/>
  <c r="S706" i="2" s="1"/>
  <c r="R706" i="2"/>
  <c r="U705" i="2"/>
  <c r="U706" i="2" s="1"/>
  <c r="R4161" i="2"/>
  <c r="R3370" i="2"/>
  <c r="R3657" i="2"/>
  <c r="R3801" i="2"/>
  <c r="R2508" i="2"/>
  <c r="S2507" i="2"/>
  <c r="U2507" i="2"/>
  <c r="R4305" i="2"/>
  <c r="R3009" i="2"/>
  <c r="R3729" i="2"/>
  <c r="S3728" i="2"/>
  <c r="S3729" i="2" s="1"/>
  <c r="S3730" i="2" s="1"/>
  <c r="S3731" i="2" s="1"/>
  <c r="R3873" i="2"/>
  <c r="R2870" i="2"/>
  <c r="S2869" i="2"/>
  <c r="R2652" i="2"/>
  <c r="S2651" i="2"/>
  <c r="U2651" i="2"/>
  <c r="R2436" i="2"/>
  <c r="S2435" i="2"/>
  <c r="U2435" i="2"/>
  <c r="R1645" i="2"/>
  <c r="S1644" i="2"/>
  <c r="U1644" i="2"/>
  <c r="R1719" i="2"/>
  <c r="R1211" i="2"/>
  <c r="S1210" i="2"/>
  <c r="U1210" i="2"/>
  <c r="R3298" i="2"/>
  <c r="R3441" i="2"/>
  <c r="U130" i="2"/>
  <c r="R131" i="2"/>
  <c r="S130" i="2"/>
  <c r="R348" i="2"/>
  <c r="S347" i="2"/>
  <c r="U347" i="2"/>
  <c r="U1354" i="2"/>
  <c r="U1425" i="2"/>
  <c r="U276" i="2"/>
  <c r="U491" i="2"/>
  <c r="U206" i="2"/>
  <c r="U1285" i="2"/>
  <c r="U1141" i="2"/>
  <c r="U60" i="2"/>
  <c r="U850" i="2"/>
  <c r="U922" i="2"/>
  <c r="U420" i="2"/>
  <c r="U779" i="2"/>
  <c r="S1066" i="2"/>
  <c r="R1067" i="2"/>
  <c r="U1066" i="2"/>
  <c r="R851" i="2"/>
  <c r="S850" i="2"/>
  <c r="R1142" i="2"/>
  <c r="S1141" i="2"/>
  <c r="R1286" i="2"/>
  <c r="S1285" i="2"/>
  <c r="R421" i="2"/>
  <c r="S420" i="2"/>
  <c r="S276" i="2"/>
  <c r="R277" i="2"/>
  <c r="S491" i="2"/>
  <c r="R492" i="2"/>
  <c r="S779" i="2"/>
  <c r="R780" i="2"/>
  <c r="S922" i="2"/>
  <c r="R923" i="2"/>
  <c r="S1425" i="2"/>
  <c r="R1426" i="2"/>
  <c r="S60" i="2"/>
  <c r="R61" i="2"/>
  <c r="S206" i="2"/>
  <c r="R207" i="2"/>
  <c r="R1356" i="2" l="1"/>
  <c r="S1355" i="2"/>
  <c r="U3441" i="2"/>
  <c r="V3440" i="2"/>
  <c r="U4017" i="2"/>
  <c r="V4016" i="2"/>
  <c r="U3009" i="2"/>
  <c r="V3008" i="2"/>
  <c r="U3081" i="2"/>
  <c r="V3080" i="2"/>
  <c r="U3657" i="2"/>
  <c r="V3656" i="2"/>
  <c r="U4233" i="2"/>
  <c r="V4232" i="2"/>
  <c r="U2937" i="2"/>
  <c r="V2937" i="2" s="1"/>
  <c r="V2936" i="2"/>
  <c r="U1355" i="2"/>
  <c r="U1356" i="2" s="1"/>
  <c r="S561" i="2"/>
  <c r="U561" i="2"/>
  <c r="V561" i="2" s="1"/>
  <c r="R562" i="2"/>
  <c r="R634" i="2"/>
  <c r="U633" i="2"/>
  <c r="V633" i="2" s="1"/>
  <c r="S633" i="2"/>
  <c r="U3873" i="2"/>
  <c r="V3872" i="2"/>
  <c r="U3801" i="2"/>
  <c r="V3800" i="2"/>
  <c r="U4089" i="2"/>
  <c r="V4089" i="2" s="1"/>
  <c r="V4088" i="2"/>
  <c r="U1569" i="2"/>
  <c r="V1569" i="2" s="1"/>
  <c r="V1568" i="2"/>
  <c r="U1857" i="2"/>
  <c r="V1856" i="2"/>
  <c r="U3729" i="2"/>
  <c r="V3728" i="2"/>
  <c r="V57" i="2"/>
  <c r="T58" i="2"/>
  <c r="V129" i="2"/>
  <c r="T130" i="2"/>
  <c r="V201" i="2"/>
  <c r="T202" i="2"/>
  <c r="V273" i="2"/>
  <c r="T274" i="2"/>
  <c r="V345" i="2"/>
  <c r="T346" i="2"/>
  <c r="V417" i="2"/>
  <c r="T418" i="2"/>
  <c r="V489" i="2"/>
  <c r="T490" i="2"/>
  <c r="T562" i="2"/>
  <c r="T634" i="2"/>
  <c r="T3442" i="2"/>
  <c r="T3514" i="2"/>
  <c r="V3585" i="2"/>
  <c r="T3586" i="2"/>
  <c r="T3658" i="2"/>
  <c r="T3730" i="2"/>
  <c r="T3802" i="2"/>
  <c r="T3874" i="2"/>
  <c r="V3945" i="2"/>
  <c r="T3946" i="2"/>
  <c r="T4018" i="2"/>
  <c r="T4090" i="2"/>
  <c r="V4161" i="2"/>
  <c r="T4162" i="2"/>
  <c r="T4234" i="2"/>
  <c r="V4305" i="2"/>
  <c r="T4306" i="2"/>
  <c r="V705" i="2"/>
  <c r="T706" i="2"/>
  <c r="V777" i="2"/>
  <c r="T778" i="2"/>
  <c r="V849" i="2"/>
  <c r="T850" i="2"/>
  <c r="V921" i="2"/>
  <c r="T922" i="2"/>
  <c r="V993" i="2"/>
  <c r="T994" i="2"/>
  <c r="V1065" i="2"/>
  <c r="T1066" i="2"/>
  <c r="V1137" i="2"/>
  <c r="T1138" i="2"/>
  <c r="V1209" i="2"/>
  <c r="T1210" i="2"/>
  <c r="V1281" i="2"/>
  <c r="T1282" i="2"/>
  <c r="V1353" i="2"/>
  <c r="T1354" i="2"/>
  <c r="V1425" i="2"/>
  <c r="T1426" i="2"/>
  <c r="T1498" i="2"/>
  <c r="T1570" i="2"/>
  <c r="V1641" i="2"/>
  <c r="T1642" i="2"/>
  <c r="V1713" i="2"/>
  <c r="T1714" i="2"/>
  <c r="V1785" i="2"/>
  <c r="T1786" i="2"/>
  <c r="T1858" i="2"/>
  <c r="T1930" i="2"/>
  <c r="V2001" i="2"/>
  <c r="T2002" i="2"/>
  <c r="V2073" i="2"/>
  <c r="T2074" i="2"/>
  <c r="V2145" i="2"/>
  <c r="T2146" i="2"/>
  <c r="T2218" i="2"/>
  <c r="T2290" i="2"/>
  <c r="V2361" i="2"/>
  <c r="T2362" i="2"/>
  <c r="V2433" i="2"/>
  <c r="T2434" i="2"/>
  <c r="V2505" i="2"/>
  <c r="T2506" i="2"/>
  <c r="T2578" i="2"/>
  <c r="V2649" i="2"/>
  <c r="T2650" i="2"/>
  <c r="V2721" i="2"/>
  <c r="T2722" i="2"/>
  <c r="V2793" i="2"/>
  <c r="T2794" i="2"/>
  <c r="V2865" i="2"/>
  <c r="T2866" i="2"/>
  <c r="T2938" i="2"/>
  <c r="T3010" i="2"/>
  <c r="T3082" i="2"/>
  <c r="T3154" i="2"/>
  <c r="T3226" i="2"/>
  <c r="V3297" i="2"/>
  <c r="T3298" i="2"/>
  <c r="V3369" i="2"/>
  <c r="T3370" i="2"/>
  <c r="U3153" i="2"/>
  <c r="V3152" i="2"/>
  <c r="U2577" i="2"/>
  <c r="V2577" i="2" s="1"/>
  <c r="V2576" i="2"/>
  <c r="U1497" i="2"/>
  <c r="V1497" i="2" s="1"/>
  <c r="R1498" i="2"/>
  <c r="S1497" i="2"/>
  <c r="R1858" i="2"/>
  <c r="S2289" i="2"/>
  <c r="R2290" i="2"/>
  <c r="U2289" i="2"/>
  <c r="V2289" i="2" s="1"/>
  <c r="R3154" i="2"/>
  <c r="R995" i="2"/>
  <c r="S994" i="2"/>
  <c r="U994" i="2"/>
  <c r="S2217" i="2"/>
  <c r="S2218" i="2" s="1"/>
  <c r="R2218" i="2"/>
  <c r="U2217" i="2"/>
  <c r="R2938" i="2"/>
  <c r="R1570" i="2"/>
  <c r="R1930" i="2"/>
  <c r="U1929" i="2"/>
  <c r="V1929" i="2" s="1"/>
  <c r="S1929" i="2"/>
  <c r="R2578" i="2"/>
  <c r="U3225" i="2"/>
  <c r="R3226" i="2"/>
  <c r="S3225" i="2"/>
  <c r="S3226" i="2" s="1"/>
  <c r="R2723" i="2"/>
  <c r="R3514" i="2"/>
  <c r="S3513" i="2"/>
  <c r="S3514" i="2" s="1"/>
  <c r="S3515" i="2" s="1"/>
  <c r="S3516" i="2" s="1"/>
  <c r="S3517" i="2" s="1"/>
  <c r="S3518" i="2" s="1"/>
  <c r="S3519" i="2" s="1"/>
  <c r="S3520" i="2" s="1"/>
  <c r="S3521" i="2" s="1"/>
  <c r="U3513" i="2"/>
  <c r="R4018" i="2"/>
  <c r="R2075" i="2"/>
  <c r="R2364" i="2"/>
  <c r="R2795" i="2"/>
  <c r="S2794" i="2"/>
  <c r="S2795" i="2" s="1"/>
  <c r="S2796" i="2" s="1"/>
  <c r="U2794" i="2"/>
  <c r="U2795" i="2" s="1"/>
  <c r="U2796" i="2" s="1"/>
  <c r="R1787" i="2"/>
  <c r="R3082" i="2"/>
  <c r="R4090" i="2"/>
  <c r="R4234" i="2"/>
  <c r="R3587" i="2"/>
  <c r="S3586" i="2"/>
  <c r="S3587" i="2" s="1"/>
  <c r="S3588" i="2" s="1"/>
  <c r="U3586" i="2"/>
  <c r="U3587" i="2" s="1"/>
  <c r="U3588" i="2" s="1"/>
  <c r="R3947" i="2"/>
  <c r="R2004" i="2"/>
  <c r="S2003" i="2"/>
  <c r="U2003" i="2"/>
  <c r="R2147" i="2"/>
  <c r="R707" i="2"/>
  <c r="R4162" i="2"/>
  <c r="R3371" i="2"/>
  <c r="R3658" i="2"/>
  <c r="R3802" i="2"/>
  <c r="R2509" i="2"/>
  <c r="S2508" i="2"/>
  <c r="S2509" i="2" s="1"/>
  <c r="U2508" i="2"/>
  <c r="U2509" i="2" s="1"/>
  <c r="R4306" i="2"/>
  <c r="R3010" i="2"/>
  <c r="R3730" i="2"/>
  <c r="R3874" i="2"/>
  <c r="U2870" i="2"/>
  <c r="R2871" i="2"/>
  <c r="S2870" i="2"/>
  <c r="S2652" i="2"/>
  <c r="R2653" i="2"/>
  <c r="U2652" i="2"/>
  <c r="R2437" i="2"/>
  <c r="S2436" i="2"/>
  <c r="U2436" i="2"/>
  <c r="R1646" i="2"/>
  <c r="S1645" i="2"/>
  <c r="U1645" i="2"/>
  <c r="R1720" i="2"/>
  <c r="R1212" i="2"/>
  <c r="S1211" i="2"/>
  <c r="U1211" i="2"/>
  <c r="R3299" i="2"/>
  <c r="R3442" i="2"/>
  <c r="R132" i="2"/>
  <c r="S131" i="2"/>
  <c r="U131" i="2"/>
  <c r="R349" i="2"/>
  <c r="S348" i="2"/>
  <c r="U348" i="2"/>
  <c r="U1426" i="2"/>
  <c r="U277" i="2"/>
  <c r="U492" i="2"/>
  <c r="U207" i="2"/>
  <c r="U1142" i="2"/>
  <c r="U1143" i="2" s="1"/>
  <c r="U780" i="2"/>
  <c r="U923" i="2"/>
  <c r="U61" i="2"/>
  <c r="U851" i="2"/>
  <c r="U1286" i="2"/>
  <c r="U421" i="2"/>
  <c r="R1068" i="2"/>
  <c r="S1067" i="2"/>
  <c r="U1067" i="2"/>
  <c r="R852" i="2"/>
  <c r="S851" i="2"/>
  <c r="S1142" i="2"/>
  <c r="S1143" i="2" s="1"/>
  <c r="R1143" i="2"/>
  <c r="R1287" i="2"/>
  <c r="S1286" i="2"/>
  <c r="S421" i="2"/>
  <c r="R422" i="2"/>
  <c r="S277" i="2"/>
  <c r="R278" i="2"/>
  <c r="S492" i="2"/>
  <c r="R493" i="2"/>
  <c r="S780" i="2"/>
  <c r="R781" i="2"/>
  <c r="S923" i="2"/>
  <c r="R924" i="2"/>
  <c r="S1426" i="2"/>
  <c r="R1427" i="2"/>
  <c r="S61" i="2"/>
  <c r="R62" i="2"/>
  <c r="S207" i="2"/>
  <c r="R208" i="2"/>
  <c r="R1357" i="2" l="1"/>
  <c r="S1356" i="2"/>
  <c r="U3442" i="2"/>
  <c r="U3443" i="2" s="1"/>
  <c r="U3444" i="2" s="1"/>
  <c r="U3445" i="2" s="1"/>
  <c r="U3446" i="2" s="1"/>
  <c r="V3441" i="2"/>
  <c r="U3010" i="2"/>
  <c r="U3011" i="2" s="1"/>
  <c r="U3012" i="2" s="1"/>
  <c r="U3013" i="2" s="1"/>
  <c r="U3014" i="2" s="1"/>
  <c r="U3015" i="2" s="1"/>
  <c r="U3016" i="2" s="1"/>
  <c r="V3009" i="2"/>
  <c r="U4018" i="2"/>
  <c r="V4017" i="2"/>
  <c r="U3082" i="2"/>
  <c r="U3083" i="2" s="1"/>
  <c r="V3081" i="2"/>
  <c r="U3658" i="2"/>
  <c r="V3657" i="2"/>
  <c r="U4234" i="2"/>
  <c r="V4234" i="2" s="1"/>
  <c r="V4233" i="2"/>
  <c r="U3874" i="2"/>
  <c r="V3873" i="2"/>
  <c r="U3802" i="2"/>
  <c r="V3801" i="2"/>
  <c r="R563" i="2"/>
  <c r="S562" i="2"/>
  <c r="U562" i="2"/>
  <c r="V562" i="2" s="1"/>
  <c r="R635" i="2"/>
  <c r="S634" i="2"/>
  <c r="U634" i="2"/>
  <c r="V634" i="2" s="1"/>
  <c r="U1858" i="2"/>
  <c r="V1857" i="2"/>
  <c r="U3730" i="2"/>
  <c r="V3729" i="2"/>
  <c r="U3154" i="2"/>
  <c r="V3153" i="2"/>
  <c r="V58" i="2"/>
  <c r="T59" i="2"/>
  <c r="V130" i="2"/>
  <c r="T131" i="2"/>
  <c r="V202" i="2"/>
  <c r="T203" i="2"/>
  <c r="V274" i="2"/>
  <c r="T275" i="2"/>
  <c r="V346" i="2"/>
  <c r="T347" i="2"/>
  <c r="V418" i="2"/>
  <c r="T419" i="2"/>
  <c r="V490" i="2"/>
  <c r="T491" i="2"/>
  <c r="T563" i="2"/>
  <c r="T635" i="2"/>
  <c r="V3442" i="2"/>
  <c r="T3443" i="2"/>
  <c r="T3515" i="2"/>
  <c r="V3586" i="2"/>
  <c r="T3587" i="2"/>
  <c r="T3659" i="2"/>
  <c r="T3731" i="2"/>
  <c r="T3803" i="2"/>
  <c r="T3875" i="2"/>
  <c r="V3946" i="2"/>
  <c r="T3947" i="2"/>
  <c r="T4019" i="2"/>
  <c r="T4091" i="2"/>
  <c r="V4162" i="2"/>
  <c r="T4163" i="2"/>
  <c r="T4235" i="2"/>
  <c r="V4306" i="2"/>
  <c r="T4307" i="2"/>
  <c r="V706" i="2"/>
  <c r="T707" i="2"/>
  <c r="V778" i="2"/>
  <c r="T779" i="2"/>
  <c r="V850" i="2"/>
  <c r="T851" i="2"/>
  <c r="V922" i="2"/>
  <c r="T923" i="2"/>
  <c r="V994" i="2"/>
  <c r="T995" i="2"/>
  <c r="V1066" i="2"/>
  <c r="T1067" i="2"/>
  <c r="V1138" i="2"/>
  <c r="T1139" i="2"/>
  <c r="V1210" i="2"/>
  <c r="T1211" i="2"/>
  <c r="V1282" i="2"/>
  <c r="T1283" i="2"/>
  <c r="V1354" i="2"/>
  <c r="T1355" i="2"/>
  <c r="V1426" i="2"/>
  <c r="T1427" i="2"/>
  <c r="T1499" i="2"/>
  <c r="T1571" i="2"/>
  <c r="V1642" i="2"/>
  <c r="T1643" i="2"/>
  <c r="V1714" i="2"/>
  <c r="T1715" i="2"/>
  <c r="V1786" i="2"/>
  <c r="T1787" i="2"/>
  <c r="T1859" i="2"/>
  <c r="T1931" i="2"/>
  <c r="V2002" i="2"/>
  <c r="T2003" i="2"/>
  <c r="V2074" i="2"/>
  <c r="T2075" i="2"/>
  <c r="V2146" i="2"/>
  <c r="T2147" i="2"/>
  <c r="T2219" i="2"/>
  <c r="T2291" i="2"/>
  <c r="V2362" i="2"/>
  <c r="T2363" i="2"/>
  <c r="V2434" i="2"/>
  <c r="T2435" i="2"/>
  <c r="V2506" i="2"/>
  <c r="T2507" i="2"/>
  <c r="T2579" i="2"/>
  <c r="V2650" i="2"/>
  <c r="T2651" i="2"/>
  <c r="V2722" i="2"/>
  <c r="T2723" i="2"/>
  <c r="V2794" i="2"/>
  <c r="T2795" i="2"/>
  <c r="V2866" i="2"/>
  <c r="T2867" i="2"/>
  <c r="T2939" i="2"/>
  <c r="V3010" i="2"/>
  <c r="T3011" i="2"/>
  <c r="V3082" i="2"/>
  <c r="T3083" i="2"/>
  <c r="T3155" i="2"/>
  <c r="T3227" i="2"/>
  <c r="V3298" i="2"/>
  <c r="T3299" i="2"/>
  <c r="V3370" i="2"/>
  <c r="T3371" i="2"/>
  <c r="U2218" i="2"/>
  <c r="V2218" i="2" s="1"/>
  <c r="V2217" i="2"/>
  <c r="U3226" i="2"/>
  <c r="V3226" i="2" s="1"/>
  <c r="V3225" i="2"/>
  <c r="U3514" i="2"/>
  <c r="V3513" i="2"/>
  <c r="U2871" i="2"/>
  <c r="U2872" i="2" s="1"/>
  <c r="U2873" i="2" s="1"/>
  <c r="R1499" i="2"/>
  <c r="S1498" i="2"/>
  <c r="R1859" i="2"/>
  <c r="S2290" i="2"/>
  <c r="S2291" i="2" s="1"/>
  <c r="S2292" i="2" s="1"/>
  <c r="S2293" i="2" s="1"/>
  <c r="R2291" i="2"/>
  <c r="U2290" i="2"/>
  <c r="R3155" i="2"/>
  <c r="R996" i="2"/>
  <c r="S995" i="2"/>
  <c r="U995" i="2"/>
  <c r="R2219" i="2"/>
  <c r="U2938" i="2"/>
  <c r="R2939" i="2"/>
  <c r="S2938" i="2"/>
  <c r="S2939" i="2" s="1"/>
  <c r="S2940" i="2" s="1"/>
  <c r="S2941" i="2" s="1"/>
  <c r="U1570" i="2"/>
  <c r="S1570" i="2"/>
  <c r="S1571" i="2" s="1"/>
  <c r="S1572" i="2" s="1"/>
  <c r="S1573" i="2" s="1"/>
  <c r="S1574" i="2" s="1"/>
  <c r="S1575" i="2" s="1"/>
  <c r="S1576" i="2" s="1"/>
  <c r="R1571" i="2"/>
  <c r="R1931" i="2"/>
  <c r="S1930" i="2"/>
  <c r="U1930" i="2"/>
  <c r="V1930" i="2" s="1"/>
  <c r="S2578" i="2"/>
  <c r="S2579" i="2" s="1"/>
  <c r="S2580" i="2" s="1"/>
  <c r="R2579" i="2"/>
  <c r="U2578" i="2"/>
  <c r="R3227" i="2"/>
  <c r="S2723" i="2"/>
  <c r="R2724" i="2"/>
  <c r="U2723" i="2"/>
  <c r="R3515" i="2"/>
  <c r="R4019" i="2"/>
  <c r="R2076" i="2"/>
  <c r="U2075" i="2"/>
  <c r="U2076" i="2" s="1"/>
  <c r="S2075" i="2"/>
  <c r="S2076" i="2" s="1"/>
  <c r="U2364" i="2"/>
  <c r="U2365" i="2" s="1"/>
  <c r="R2365" i="2"/>
  <c r="S2364" i="2"/>
  <c r="S2365" i="2" s="1"/>
  <c r="R2796" i="2"/>
  <c r="U1787" i="2"/>
  <c r="R1788" i="2"/>
  <c r="S1787" i="2"/>
  <c r="R3083" i="2"/>
  <c r="R4091" i="2"/>
  <c r="S4090" i="2"/>
  <c r="U4090" i="2"/>
  <c r="V4090" i="2" s="1"/>
  <c r="R4235" i="2"/>
  <c r="R3588" i="2"/>
  <c r="R3948" i="2"/>
  <c r="R2005" i="2"/>
  <c r="S2004" i="2"/>
  <c r="S2005" i="2" s="1"/>
  <c r="U2004" i="2"/>
  <c r="U2005" i="2" s="1"/>
  <c r="R2148" i="2"/>
  <c r="S707" i="2"/>
  <c r="U707" i="2"/>
  <c r="R708" i="2"/>
  <c r="R4163" i="2"/>
  <c r="R3372" i="2"/>
  <c r="R3659" i="2"/>
  <c r="R3803" i="2"/>
  <c r="R2510" i="2"/>
  <c r="R4307" i="2"/>
  <c r="R3011" i="2"/>
  <c r="R3731" i="2"/>
  <c r="R3875" i="2"/>
  <c r="R2872" i="2"/>
  <c r="S2871" i="2"/>
  <c r="S2872" i="2" s="1"/>
  <c r="S2873" i="2" s="1"/>
  <c r="R2654" i="2"/>
  <c r="S2653" i="2"/>
  <c r="S2654" i="2" s="1"/>
  <c r="U2653" i="2"/>
  <c r="U2654" i="2" s="1"/>
  <c r="R2438" i="2"/>
  <c r="S2437" i="2"/>
  <c r="U2437" i="2"/>
  <c r="R1647" i="2"/>
  <c r="S1646" i="2"/>
  <c r="U1646" i="2"/>
  <c r="U1720" i="2"/>
  <c r="R1721" i="2"/>
  <c r="S1720" i="2"/>
  <c r="R1213" i="2"/>
  <c r="S1212" i="2"/>
  <c r="U1212" i="2"/>
  <c r="R3300" i="2"/>
  <c r="R3443" i="2"/>
  <c r="R133" i="2"/>
  <c r="S132" i="2"/>
  <c r="U132" i="2"/>
  <c r="R350" i="2"/>
  <c r="S349" i="2"/>
  <c r="U349" i="2"/>
  <c r="U1498" i="2"/>
  <c r="R1144" i="2"/>
  <c r="U493" i="2"/>
  <c r="U1427" i="2"/>
  <c r="U208" i="2"/>
  <c r="U422" i="2"/>
  <c r="U278" i="2"/>
  <c r="U781" i="2"/>
  <c r="U62" i="2"/>
  <c r="U852" i="2"/>
  <c r="U1287" i="2"/>
  <c r="U1357" i="2"/>
  <c r="U924" i="2"/>
  <c r="S1068" i="2"/>
  <c r="R1069" i="2"/>
  <c r="U1068" i="2"/>
  <c r="R853" i="2"/>
  <c r="S852" i="2"/>
  <c r="R1288" i="2"/>
  <c r="S1287" i="2"/>
  <c r="R1358" i="2"/>
  <c r="S1357" i="2"/>
  <c r="S422" i="2"/>
  <c r="R423" i="2"/>
  <c r="S278" i="2"/>
  <c r="R279" i="2"/>
  <c r="S493" i="2"/>
  <c r="R494" i="2"/>
  <c r="S781" i="2"/>
  <c r="R782" i="2"/>
  <c r="S924" i="2"/>
  <c r="R925" i="2"/>
  <c r="S1427" i="2"/>
  <c r="R1428" i="2"/>
  <c r="S62" i="2"/>
  <c r="R63" i="2"/>
  <c r="S208" i="2"/>
  <c r="R209" i="2"/>
  <c r="U4019" i="2" l="1"/>
  <c r="U4020" i="2" s="1"/>
  <c r="U4021" i="2" s="1"/>
  <c r="U4022" i="2" s="1"/>
  <c r="U4023" i="2" s="1"/>
  <c r="U4024" i="2" s="1"/>
  <c r="U4025" i="2" s="1"/>
  <c r="V4018" i="2"/>
  <c r="U3659" i="2"/>
  <c r="U3660" i="2" s="1"/>
  <c r="U3661" i="2" s="1"/>
  <c r="U3662" i="2" s="1"/>
  <c r="U3663" i="2" s="1"/>
  <c r="U3664" i="2" s="1"/>
  <c r="U3665" i="2" s="1"/>
  <c r="U3666" i="2" s="1"/>
  <c r="V3658" i="2"/>
  <c r="U3875" i="2"/>
  <c r="V3874" i="2"/>
  <c r="U3803" i="2"/>
  <c r="V3802" i="2"/>
  <c r="U1859" i="2"/>
  <c r="V1858" i="2"/>
  <c r="U3731" i="2"/>
  <c r="V3731" i="2" s="1"/>
  <c r="V3730" i="2"/>
  <c r="R564" i="2"/>
  <c r="S563" i="2"/>
  <c r="U563" i="2"/>
  <c r="V563" i="2" s="1"/>
  <c r="R636" i="2"/>
  <c r="S635" i="2"/>
  <c r="U635" i="2"/>
  <c r="V635" i="2" s="1"/>
  <c r="R1145" i="2"/>
  <c r="S1144" i="2"/>
  <c r="U3155" i="2"/>
  <c r="V3154" i="2"/>
  <c r="U3515" i="2"/>
  <c r="V3514" i="2"/>
  <c r="V59" i="2"/>
  <c r="T60" i="2"/>
  <c r="V131" i="2"/>
  <c r="T132" i="2"/>
  <c r="V203" i="2"/>
  <c r="T204" i="2"/>
  <c r="V275" i="2"/>
  <c r="T276" i="2"/>
  <c r="V347" i="2"/>
  <c r="T348" i="2"/>
  <c r="V419" i="2"/>
  <c r="T420" i="2"/>
  <c r="V491" i="2"/>
  <c r="T492" i="2"/>
  <c r="T564" i="2"/>
  <c r="T636" i="2"/>
  <c r="V3443" i="2"/>
  <c r="T3444" i="2"/>
  <c r="T3516" i="2"/>
  <c r="V3587" i="2"/>
  <c r="T3588" i="2"/>
  <c r="V3659" i="2"/>
  <c r="T3660" i="2"/>
  <c r="T3732" i="2"/>
  <c r="T3804" i="2"/>
  <c r="T3876" i="2"/>
  <c r="V3947" i="2"/>
  <c r="T3948" i="2"/>
  <c r="V4019" i="2"/>
  <c r="T4020" i="2"/>
  <c r="T4092" i="2"/>
  <c r="V4163" i="2"/>
  <c r="T4164" i="2"/>
  <c r="T4236" i="2"/>
  <c r="V4307" i="2"/>
  <c r="T4308" i="2"/>
  <c r="V707" i="2"/>
  <c r="T708" i="2"/>
  <c r="V779" i="2"/>
  <c r="T780" i="2"/>
  <c r="V851" i="2"/>
  <c r="T852" i="2"/>
  <c r="V923" i="2"/>
  <c r="T924" i="2"/>
  <c r="V995" i="2"/>
  <c r="T996" i="2"/>
  <c r="V1067" i="2"/>
  <c r="T1068" i="2"/>
  <c r="V1139" i="2"/>
  <c r="T1140" i="2"/>
  <c r="V1211" i="2"/>
  <c r="T1212" i="2"/>
  <c r="V1283" i="2"/>
  <c r="T1284" i="2"/>
  <c r="V1355" i="2"/>
  <c r="T1356" i="2"/>
  <c r="V1427" i="2"/>
  <c r="T1428" i="2"/>
  <c r="T1500" i="2"/>
  <c r="T1572" i="2"/>
  <c r="V1643" i="2"/>
  <c r="T1644" i="2"/>
  <c r="V1715" i="2"/>
  <c r="T1716" i="2"/>
  <c r="V1787" i="2"/>
  <c r="T1788" i="2"/>
  <c r="T1860" i="2"/>
  <c r="T1932" i="2"/>
  <c r="V2003" i="2"/>
  <c r="T2004" i="2"/>
  <c r="V2075" i="2"/>
  <c r="T2076" i="2"/>
  <c r="V2147" i="2"/>
  <c r="T2148" i="2"/>
  <c r="T2220" i="2"/>
  <c r="T2292" i="2"/>
  <c r="V2363" i="2"/>
  <c r="T2364" i="2"/>
  <c r="V2435" i="2"/>
  <c r="T2436" i="2"/>
  <c r="V2507" i="2"/>
  <c r="T2508" i="2"/>
  <c r="T2580" i="2"/>
  <c r="V2651" i="2"/>
  <c r="T2652" i="2"/>
  <c r="V2723" i="2"/>
  <c r="T2724" i="2"/>
  <c r="V2795" i="2"/>
  <c r="T2796" i="2"/>
  <c r="V2867" i="2"/>
  <c r="T2868" i="2"/>
  <c r="T2940" i="2"/>
  <c r="V3011" i="2"/>
  <c r="T3012" i="2"/>
  <c r="V3083" i="2"/>
  <c r="T3084" i="2"/>
  <c r="T3156" i="2"/>
  <c r="T3228" i="2"/>
  <c r="V3299" i="2"/>
  <c r="T3300" i="2"/>
  <c r="V3371" i="2"/>
  <c r="T3372" i="2"/>
  <c r="U2291" i="2"/>
  <c r="V2290" i="2"/>
  <c r="U2939" i="2"/>
  <c r="V2938" i="2"/>
  <c r="U1571" i="2"/>
  <c r="V1570" i="2"/>
  <c r="U2579" i="2"/>
  <c r="V2578" i="2"/>
  <c r="U1499" i="2"/>
  <c r="V1499" i="2" s="1"/>
  <c r="V1498" i="2"/>
  <c r="U1721" i="2"/>
  <c r="U1722" i="2" s="1"/>
  <c r="R1500" i="2"/>
  <c r="S1499" i="2"/>
  <c r="R1860" i="2"/>
  <c r="R2292" i="2"/>
  <c r="R3156" i="2"/>
  <c r="R997" i="2"/>
  <c r="S996" i="2"/>
  <c r="U996" i="2"/>
  <c r="R2220" i="2"/>
  <c r="S2219" i="2"/>
  <c r="S2220" i="2" s="1"/>
  <c r="U2219" i="2"/>
  <c r="R2940" i="2"/>
  <c r="R1572" i="2"/>
  <c r="R1932" i="2"/>
  <c r="S1931" i="2"/>
  <c r="S1932" i="2" s="1"/>
  <c r="U1931" i="2"/>
  <c r="R2580" i="2"/>
  <c r="U3227" i="2"/>
  <c r="R3228" i="2"/>
  <c r="S3227" i="2"/>
  <c r="S3228" i="2" s="1"/>
  <c r="S3229" i="2" s="1"/>
  <c r="S3230" i="2" s="1"/>
  <c r="S3231" i="2" s="1"/>
  <c r="S3232" i="2" s="1"/>
  <c r="S3233" i="2" s="1"/>
  <c r="S3234" i="2" s="1"/>
  <c r="S3235" i="2" s="1"/>
  <c r="S3236" i="2" s="1"/>
  <c r="S3237" i="2" s="1"/>
  <c r="S3238" i="2" s="1"/>
  <c r="S3239" i="2" s="1"/>
  <c r="S2724" i="2"/>
  <c r="R2725" i="2"/>
  <c r="U2724" i="2"/>
  <c r="R3516" i="2"/>
  <c r="R4020" i="2"/>
  <c r="R2077" i="2"/>
  <c r="R2366" i="2"/>
  <c r="R2797" i="2"/>
  <c r="R1789" i="2"/>
  <c r="S1788" i="2"/>
  <c r="U1788" i="2"/>
  <c r="R3084" i="2"/>
  <c r="R4092" i="2"/>
  <c r="S4091" i="2"/>
  <c r="S4092" i="2" s="1"/>
  <c r="S4093" i="2" s="1"/>
  <c r="U4091" i="2"/>
  <c r="U4235" i="2"/>
  <c r="R4236" i="2"/>
  <c r="S4235" i="2"/>
  <c r="S4236" i="2" s="1"/>
  <c r="S4237" i="2" s="1"/>
  <c r="S4238" i="2" s="1"/>
  <c r="S4239" i="2" s="1"/>
  <c r="R3589" i="2"/>
  <c r="R3949" i="2"/>
  <c r="R2006" i="2"/>
  <c r="S2148" i="2"/>
  <c r="S2149" i="2" s="1"/>
  <c r="U2148" i="2"/>
  <c r="U2149" i="2" s="1"/>
  <c r="R2149" i="2"/>
  <c r="S708" i="2"/>
  <c r="R709" i="2"/>
  <c r="U708" i="2"/>
  <c r="R4164" i="2"/>
  <c r="R3373" i="2"/>
  <c r="R3660" i="2"/>
  <c r="R3804" i="2"/>
  <c r="R2511" i="2"/>
  <c r="S2510" i="2"/>
  <c r="U2510" i="2"/>
  <c r="R4308" i="2"/>
  <c r="R3012" i="2"/>
  <c r="R3732" i="2"/>
  <c r="R3876" i="2"/>
  <c r="R2873" i="2"/>
  <c r="R2655" i="2"/>
  <c r="R2439" i="2"/>
  <c r="S2438" i="2"/>
  <c r="U2438" i="2"/>
  <c r="R1648" i="2"/>
  <c r="S1647" i="2"/>
  <c r="S1648" i="2" s="1"/>
  <c r="S1649" i="2" s="1"/>
  <c r="S1650" i="2" s="1"/>
  <c r="U1647" i="2"/>
  <c r="U1648" i="2" s="1"/>
  <c r="U1649" i="2" s="1"/>
  <c r="U1650" i="2" s="1"/>
  <c r="R1722" i="2"/>
  <c r="S1721" i="2"/>
  <c r="S1722" i="2" s="1"/>
  <c r="R1214" i="2"/>
  <c r="S1213" i="2"/>
  <c r="U1213" i="2"/>
  <c r="R3301" i="2"/>
  <c r="R3444" i="2"/>
  <c r="R134" i="2"/>
  <c r="S133" i="2"/>
  <c r="U133" i="2"/>
  <c r="R351" i="2"/>
  <c r="S350" i="2"/>
  <c r="U350" i="2"/>
  <c r="U1144" i="2"/>
  <c r="U423" i="2"/>
  <c r="U279" i="2"/>
  <c r="U494" i="2"/>
  <c r="U782" i="2"/>
  <c r="U1428" i="2"/>
  <c r="U209" i="2"/>
  <c r="U1288" i="2"/>
  <c r="U63" i="2"/>
  <c r="U64" i="2" s="1"/>
  <c r="U853" i="2"/>
  <c r="U1358" i="2"/>
  <c r="U925" i="2"/>
  <c r="S1069" i="2"/>
  <c r="R1070" i="2"/>
  <c r="U1069" i="2"/>
  <c r="R854" i="2"/>
  <c r="S853" i="2"/>
  <c r="R1289" i="2"/>
  <c r="S1288" i="2"/>
  <c r="R1359" i="2"/>
  <c r="S1358" i="2"/>
  <c r="R424" i="2"/>
  <c r="S423" i="2"/>
  <c r="S279" i="2"/>
  <c r="R280" i="2"/>
  <c r="S494" i="2"/>
  <c r="R495" i="2"/>
  <c r="S782" i="2"/>
  <c r="R783" i="2"/>
  <c r="S925" i="2"/>
  <c r="R926" i="2"/>
  <c r="S1428" i="2"/>
  <c r="R1429" i="2"/>
  <c r="S63" i="2"/>
  <c r="S64" i="2" s="1"/>
  <c r="R64" i="2"/>
  <c r="S209" i="2"/>
  <c r="R210" i="2"/>
  <c r="R1146" i="2" l="1"/>
  <c r="S1145" i="2"/>
  <c r="U3876" i="2"/>
  <c r="V3875" i="2"/>
  <c r="U3804" i="2"/>
  <c r="U3805" i="2" s="1"/>
  <c r="U3806" i="2" s="1"/>
  <c r="U3807" i="2" s="1"/>
  <c r="V3803" i="2"/>
  <c r="U1145" i="2"/>
  <c r="U1146" i="2" s="1"/>
  <c r="U1860" i="2"/>
  <c r="V1859" i="2"/>
  <c r="U3156" i="2"/>
  <c r="V3155" i="2"/>
  <c r="R565" i="2"/>
  <c r="U564" i="2"/>
  <c r="V564" i="2" s="1"/>
  <c r="S564" i="2"/>
  <c r="S636" i="2"/>
  <c r="R637" i="2"/>
  <c r="U636" i="2"/>
  <c r="V636" i="2" s="1"/>
  <c r="U3516" i="2"/>
  <c r="V3515" i="2"/>
  <c r="U3228" i="2"/>
  <c r="V3227" i="2"/>
  <c r="U2292" i="2"/>
  <c r="V2291" i="2"/>
  <c r="U2940" i="2"/>
  <c r="V2939" i="2"/>
  <c r="U1572" i="2"/>
  <c r="V1571" i="2"/>
  <c r="U2580" i="2"/>
  <c r="V2580" i="2" s="1"/>
  <c r="V2579" i="2"/>
  <c r="U2220" i="2"/>
  <c r="V2220" i="2" s="1"/>
  <c r="V2219" i="2"/>
  <c r="U1932" i="2"/>
  <c r="V1932" i="2" s="1"/>
  <c r="V1931" i="2"/>
  <c r="U4092" i="2"/>
  <c r="V4091" i="2"/>
  <c r="U4236" i="2"/>
  <c r="V4235" i="2"/>
  <c r="V60" i="2"/>
  <c r="T61" i="2"/>
  <c r="V132" i="2"/>
  <c r="T133" i="2"/>
  <c r="V204" i="2"/>
  <c r="T205" i="2"/>
  <c r="V276" i="2"/>
  <c r="T277" i="2"/>
  <c r="V348" i="2"/>
  <c r="T349" i="2"/>
  <c r="V420" i="2"/>
  <c r="T421" i="2"/>
  <c r="V492" i="2"/>
  <c r="T493" i="2"/>
  <c r="T565" i="2"/>
  <c r="T637" i="2"/>
  <c r="V3444" i="2"/>
  <c r="T3445" i="2"/>
  <c r="T3517" i="2"/>
  <c r="V3588" i="2"/>
  <c r="T3589" i="2"/>
  <c r="V3660" i="2"/>
  <c r="T3661" i="2"/>
  <c r="T3733" i="2"/>
  <c r="V3804" i="2"/>
  <c r="T3805" i="2"/>
  <c r="V3876" i="2"/>
  <c r="T3877" i="2"/>
  <c r="V3948" i="2"/>
  <c r="T3949" i="2"/>
  <c r="V4020" i="2"/>
  <c r="T4021" i="2"/>
  <c r="T4093" i="2"/>
  <c r="V4164" i="2"/>
  <c r="T4165" i="2"/>
  <c r="T4237" i="2"/>
  <c r="V4308" i="2"/>
  <c r="T4309" i="2"/>
  <c r="V708" i="2"/>
  <c r="T709" i="2"/>
  <c r="V780" i="2"/>
  <c r="T781" i="2"/>
  <c r="V852" i="2"/>
  <c r="T853" i="2"/>
  <c r="V924" i="2"/>
  <c r="T925" i="2"/>
  <c r="V996" i="2"/>
  <c r="T997" i="2"/>
  <c r="V1068" i="2"/>
  <c r="T1069" i="2"/>
  <c r="V1140" i="2"/>
  <c r="T1141" i="2"/>
  <c r="V1212" i="2"/>
  <c r="T1213" i="2"/>
  <c r="V1284" i="2"/>
  <c r="T1285" i="2"/>
  <c r="V1356" i="2"/>
  <c r="T1357" i="2"/>
  <c r="V1428" i="2"/>
  <c r="T1429" i="2"/>
  <c r="T1501" i="2"/>
  <c r="T1573" i="2"/>
  <c r="V1644" i="2"/>
  <c r="T1645" i="2"/>
  <c r="V1716" i="2"/>
  <c r="T1717" i="2"/>
  <c r="V1788" i="2"/>
  <c r="T1789" i="2"/>
  <c r="T1861" i="2"/>
  <c r="T1933" i="2"/>
  <c r="V2004" i="2"/>
  <c r="T2005" i="2"/>
  <c r="V2076" i="2"/>
  <c r="T2077" i="2"/>
  <c r="V2148" i="2"/>
  <c r="T2149" i="2"/>
  <c r="T2221" i="2"/>
  <c r="T2293" i="2"/>
  <c r="V2364" i="2"/>
  <c r="T2365" i="2"/>
  <c r="V2436" i="2"/>
  <c r="T2437" i="2"/>
  <c r="V2508" i="2"/>
  <c r="T2509" i="2"/>
  <c r="T2581" i="2"/>
  <c r="V2652" i="2"/>
  <c r="T2653" i="2"/>
  <c r="V2724" i="2"/>
  <c r="T2725" i="2"/>
  <c r="V2796" i="2"/>
  <c r="T2797" i="2"/>
  <c r="V2868" i="2"/>
  <c r="T2869" i="2"/>
  <c r="T2941" i="2"/>
  <c r="V3012" i="2"/>
  <c r="T3013" i="2"/>
  <c r="T3085" i="2"/>
  <c r="T3157" i="2"/>
  <c r="T3229" i="2"/>
  <c r="V3300" i="2"/>
  <c r="T3301" i="2"/>
  <c r="V3372" i="2"/>
  <c r="T3373" i="2"/>
  <c r="U1500" i="2"/>
  <c r="V1500" i="2" s="1"/>
  <c r="R1501" i="2"/>
  <c r="S1500" i="2"/>
  <c r="R1861" i="2"/>
  <c r="R2293" i="2"/>
  <c r="R3157" i="2"/>
  <c r="R998" i="2"/>
  <c r="S997" i="2"/>
  <c r="U997" i="2"/>
  <c r="R2221" i="2"/>
  <c r="R2941" i="2"/>
  <c r="R1573" i="2"/>
  <c r="R1933" i="2"/>
  <c r="R2581" i="2"/>
  <c r="R3229" i="2"/>
  <c r="R2726" i="2"/>
  <c r="S2725" i="2"/>
  <c r="U2725" i="2"/>
  <c r="R3517" i="2"/>
  <c r="R4021" i="2"/>
  <c r="R2078" i="2"/>
  <c r="S2077" i="2"/>
  <c r="U2077" i="2"/>
  <c r="U2366" i="2"/>
  <c r="R2367" i="2"/>
  <c r="S2366" i="2"/>
  <c r="R2798" i="2"/>
  <c r="S2797" i="2"/>
  <c r="S2798" i="2" s="1"/>
  <c r="U2797" i="2"/>
  <c r="U2798" i="2" s="1"/>
  <c r="R1790" i="2"/>
  <c r="S1789" i="2"/>
  <c r="U1789" i="2"/>
  <c r="U3084" i="2"/>
  <c r="R3085" i="2"/>
  <c r="S3084" i="2"/>
  <c r="S3085" i="2" s="1"/>
  <c r="S3086" i="2" s="1"/>
  <c r="S3087" i="2" s="1"/>
  <c r="R4093" i="2"/>
  <c r="R4237" i="2"/>
  <c r="U3589" i="2"/>
  <c r="U3590" i="2" s="1"/>
  <c r="U3591" i="2" s="1"/>
  <c r="S3589" i="2"/>
  <c r="S3590" i="2" s="1"/>
  <c r="S3591" i="2" s="1"/>
  <c r="R3590" i="2"/>
  <c r="R3950" i="2"/>
  <c r="R2007" i="2"/>
  <c r="S2006" i="2"/>
  <c r="S2007" i="2" s="1"/>
  <c r="U2006" i="2"/>
  <c r="U2007" i="2" s="1"/>
  <c r="R2150" i="2"/>
  <c r="R710" i="2"/>
  <c r="U709" i="2"/>
  <c r="S709" i="2"/>
  <c r="R4165" i="2"/>
  <c r="S3373" i="2"/>
  <c r="S3374" i="2" s="1"/>
  <c r="S3375" i="2" s="1"/>
  <c r="S3376" i="2" s="1"/>
  <c r="U3373" i="2"/>
  <c r="U3374" i="2" s="1"/>
  <c r="U3375" i="2" s="1"/>
  <c r="U3376" i="2" s="1"/>
  <c r="R3374" i="2"/>
  <c r="R3661" i="2"/>
  <c r="R3805" i="2"/>
  <c r="R2512" i="2"/>
  <c r="S2511" i="2"/>
  <c r="S2512" i="2" s="1"/>
  <c r="U2511" i="2"/>
  <c r="U2512" i="2" s="1"/>
  <c r="R4309" i="2"/>
  <c r="R3013" i="2"/>
  <c r="U3732" i="2"/>
  <c r="R3733" i="2"/>
  <c r="S3732" i="2"/>
  <c r="S3733" i="2" s="1"/>
  <c r="S3734" i="2" s="1"/>
  <c r="S3735" i="2" s="1"/>
  <c r="S3736" i="2" s="1"/>
  <c r="S3737" i="2" s="1"/>
  <c r="S3738" i="2" s="1"/>
  <c r="S3739" i="2" s="1"/>
  <c r="S3740" i="2" s="1"/>
  <c r="S3741" i="2" s="1"/>
  <c r="S3742" i="2" s="1"/>
  <c r="S3743" i="2" s="1"/>
  <c r="S3744" i="2" s="1"/>
  <c r="S3745" i="2" s="1"/>
  <c r="R3877" i="2"/>
  <c r="R2874" i="2"/>
  <c r="R2656" i="2"/>
  <c r="S2655" i="2"/>
  <c r="U2655" i="2"/>
  <c r="R2440" i="2"/>
  <c r="S2439" i="2"/>
  <c r="U2439" i="2"/>
  <c r="R1649" i="2"/>
  <c r="R1723" i="2"/>
  <c r="R1215" i="2"/>
  <c r="S1214" i="2"/>
  <c r="U1214" i="2"/>
  <c r="U3301" i="2"/>
  <c r="U3302" i="2" s="1"/>
  <c r="U3303" i="2" s="1"/>
  <c r="U3304" i="2" s="1"/>
  <c r="U3305" i="2" s="1"/>
  <c r="U3306" i="2" s="1"/>
  <c r="U3307" i="2" s="1"/>
  <c r="U3308" i="2" s="1"/>
  <c r="U3309" i="2" s="1"/>
  <c r="U3310" i="2" s="1"/>
  <c r="S3301" i="2"/>
  <c r="S3302" i="2" s="1"/>
  <c r="S3303" i="2" s="1"/>
  <c r="S3304" i="2" s="1"/>
  <c r="S3305" i="2" s="1"/>
  <c r="S3306" i="2" s="1"/>
  <c r="S3307" i="2" s="1"/>
  <c r="S3308" i="2" s="1"/>
  <c r="S3309" i="2" s="1"/>
  <c r="S3310" i="2" s="1"/>
  <c r="R3302" i="2"/>
  <c r="R3445" i="2"/>
  <c r="R135" i="2"/>
  <c r="S134" i="2"/>
  <c r="U134" i="2"/>
  <c r="R352" i="2"/>
  <c r="S351" i="2"/>
  <c r="U351" i="2"/>
  <c r="U280" i="2"/>
  <c r="U926" i="2"/>
  <c r="U495" i="2"/>
  <c r="U783" i="2"/>
  <c r="U1429" i="2"/>
  <c r="R65" i="2"/>
  <c r="U210" i="2"/>
  <c r="U1289" i="2"/>
  <c r="U1359" i="2"/>
  <c r="U424" i="2"/>
  <c r="U65" i="2"/>
  <c r="U854" i="2"/>
  <c r="R1071" i="2"/>
  <c r="S1070" i="2"/>
  <c r="U1070" i="2"/>
  <c r="R855" i="2"/>
  <c r="S854" i="2"/>
  <c r="R1147" i="2"/>
  <c r="S1146" i="2"/>
  <c r="R1290" i="2"/>
  <c r="S1289" i="2"/>
  <c r="R1360" i="2"/>
  <c r="S1359" i="2"/>
  <c r="R425" i="2"/>
  <c r="S424" i="2"/>
  <c r="S280" i="2"/>
  <c r="R281" i="2"/>
  <c r="S495" i="2"/>
  <c r="R496" i="2"/>
  <c r="S783" i="2"/>
  <c r="R784" i="2"/>
  <c r="S926" i="2"/>
  <c r="R927" i="2"/>
  <c r="S1429" i="2"/>
  <c r="R1430" i="2"/>
  <c r="S65" i="2"/>
  <c r="R66" i="2"/>
  <c r="S210" i="2"/>
  <c r="R211" i="2"/>
  <c r="U1861" i="2" l="1"/>
  <c r="V1860" i="2"/>
  <c r="U3157" i="2"/>
  <c r="V3157" i="2" s="1"/>
  <c r="V3156" i="2"/>
  <c r="U3517" i="2"/>
  <c r="V3516" i="2"/>
  <c r="U3229" i="2"/>
  <c r="V3228" i="2"/>
  <c r="U4093" i="2"/>
  <c r="V4093" i="2" s="1"/>
  <c r="V4092" i="2"/>
  <c r="R566" i="2"/>
  <c r="S565" i="2"/>
  <c r="U565" i="2"/>
  <c r="V565" i="2" s="1"/>
  <c r="R638" i="2"/>
  <c r="S637" i="2"/>
  <c r="U637" i="2"/>
  <c r="V637" i="2" s="1"/>
  <c r="U2293" i="2"/>
  <c r="V2293" i="2" s="1"/>
  <c r="V2292" i="2"/>
  <c r="U4237" i="2"/>
  <c r="V4236" i="2"/>
  <c r="U3733" i="2"/>
  <c r="V3732" i="2"/>
  <c r="U2941" i="2"/>
  <c r="V2941" i="2" s="1"/>
  <c r="V2940" i="2"/>
  <c r="U1573" i="2"/>
  <c r="V1572" i="2"/>
  <c r="V61" i="2"/>
  <c r="T62" i="2"/>
  <c r="V133" i="2"/>
  <c r="T134" i="2"/>
  <c r="V205" i="2"/>
  <c r="T206" i="2"/>
  <c r="V277" i="2"/>
  <c r="T278" i="2"/>
  <c r="V349" i="2"/>
  <c r="T350" i="2"/>
  <c r="V421" i="2"/>
  <c r="T422" i="2"/>
  <c r="V493" i="2"/>
  <c r="T494" i="2"/>
  <c r="T566" i="2"/>
  <c r="T638" i="2"/>
  <c r="V3445" i="2"/>
  <c r="T3446" i="2"/>
  <c r="T3518" i="2"/>
  <c r="V3589" i="2"/>
  <c r="T3590" i="2"/>
  <c r="V3661" i="2"/>
  <c r="T3662" i="2"/>
  <c r="T3734" i="2"/>
  <c r="V3805" i="2"/>
  <c r="T3806" i="2"/>
  <c r="T3878" i="2"/>
  <c r="V3949" i="2"/>
  <c r="T3950" i="2"/>
  <c r="V4021" i="2"/>
  <c r="T4022" i="2"/>
  <c r="T4094" i="2"/>
  <c r="T4166" i="2"/>
  <c r="T4238" i="2"/>
  <c r="V4309" i="2"/>
  <c r="T4310" i="2"/>
  <c r="V709" i="2"/>
  <c r="T710" i="2"/>
  <c r="V781" i="2"/>
  <c r="T782" i="2"/>
  <c r="V853" i="2"/>
  <c r="T854" i="2"/>
  <c r="V925" i="2"/>
  <c r="T926" i="2"/>
  <c r="V997" i="2"/>
  <c r="T998" i="2"/>
  <c r="V1069" i="2"/>
  <c r="T1070" i="2"/>
  <c r="V1141" i="2"/>
  <c r="T1142" i="2"/>
  <c r="V1213" i="2"/>
  <c r="T1214" i="2"/>
  <c r="V1285" i="2"/>
  <c r="T1286" i="2"/>
  <c r="V1357" i="2"/>
  <c r="T1358" i="2"/>
  <c r="V1429" i="2"/>
  <c r="T1430" i="2"/>
  <c r="T1502" i="2"/>
  <c r="T1574" i="2"/>
  <c r="V1645" i="2"/>
  <c r="T1646" i="2"/>
  <c r="V1717" i="2"/>
  <c r="T1718" i="2"/>
  <c r="V1789" i="2"/>
  <c r="T1790" i="2"/>
  <c r="T1862" i="2"/>
  <c r="T1934" i="2"/>
  <c r="V2005" i="2"/>
  <c r="T2006" i="2"/>
  <c r="V2077" i="2"/>
  <c r="T2078" i="2"/>
  <c r="V2149" i="2"/>
  <c r="T2150" i="2"/>
  <c r="T2222" i="2"/>
  <c r="T2294" i="2"/>
  <c r="V2365" i="2"/>
  <c r="T2366" i="2"/>
  <c r="V2437" i="2"/>
  <c r="T2438" i="2"/>
  <c r="V2509" i="2"/>
  <c r="T2510" i="2"/>
  <c r="T2582" i="2"/>
  <c r="V2653" i="2"/>
  <c r="T2654" i="2"/>
  <c r="V2725" i="2"/>
  <c r="T2726" i="2"/>
  <c r="V2797" i="2"/>
  <c r="T2798" i="2"/>
  <c r="V2869" i="2"/>
  <c r="T2870" i="2"/>
  <c r="T2942" i="2"/>
  <c r="V3013" i="2"/>
  <c r="T3014" i="2"/>
  <c r="T3086" i="2"/>
  <c r="T3158" i="2"/>
  <c r="T3230" i="2"/>
  <c r="V3301" i="2"/>
  <c r="T3302" i="2"/>
  <c r="V3373" i="2"/>
  <c r="T3374" i="2"/>
  <c r="U3085" i="2"/>
  <c r="V3084" i="2"/>
  <c r="R1502" i="2"/>
  <c r="S1501" i="2"/>
  <c r="R1862" i="2"/>
  <c r="R2294" i="2"/>
  <c r="R3158" i="2"/>
  <c r="R999" i="2"/>
  <c r="S998" i="2"/>
  <c r="U998" i="2"/>
  <c r="S2221" i="2"/>
  <c r="S2222" i="2" s="1"/>
  <c r="S2223" i="2" s="1"/>
  <c r="S2224" i="2" s="1"/>
  <c r="S2225" i="2" s="1"/>
  <c r="S2226" i="2" s="1"/>
  <c r="S2227" i="2" s="1"/>
  <c r="S2228" i="2" s="1"/>
  <c r="R2222" i="2"/>
  <c r="U2221" i="2"/>
  <c r="R2942" i="2"/>
  <c r="R1574" i="2"/>
  <c r="U1933" i="2"/>
  <c r="R1934" i="2"/>
  <c r="S1933" i="2"/>
  <c r="S1934" i="2" s="1"/>
  <c r="U2581" i="2"/>
  <c r="R2582" i="2"/>
  <c r="S2581" i="2"/>
  <c r="S2582" i="2" s="1"/>
  <c r="R3230" i="2"/>
  <c r="S2726" i="2"/>
  <c r="R2727" i="2"/>
  <c r="U2726" i="2"/>
  <c r="R3518" i="2"/>
  <c r="R4022" i="2"/>
  <c r="R2079" i="2"/>
  <c r="U2078" i="2"/>
  <c r="S2078" i="2"/>
  <c r="R2368" i="2"/>
  <c r="S2367" i="2"/>
  <c r="S2368" i="2" s="1"/>
  <c r="R2799" i="2"/>
  <c r="R1791" i="2"/>
  <c r="S1790" i="2"/>
  <c r="U1790" i="2"/>
  <c r="R3086" i="2"/>
  <c r="R4094" i="2"/>
  <c r="R4238" i="2"/>
  <c r="R3591" i="2"/>
  <c r="R3951" i="2"/>
  <c r="R2008" i="2"/>
  <c r="S2150" i="2"/>
  <c r="R2151" i="2"/>
  <c r="U2150" i="2"/>
  <c r="S710" i="2"/>
  <c r="U710" i="2"/>
  <c r="R711" i="2"/>
  <c r="U4165" i="2"/>
  <c r="R4166" i="2"/>
  <c r="S4165" i="2"/>
  <c r="S4166" i="2" s="1"/>
  <c r="S4167" i="2" s="1"/>
  <c r="S4168" i="2" s="1"/>
  <c r="S4169" i="2" s="1"/>
  <c r="S4170" i="2" s="1"/>
  <c r="S4171" i="2" s="1"/>
  <c r="S4172" i="2" s="1"/>
  <c r="S4173" i="2" s="1"/>
  <c r="S4174" i="2" s="1"/>
  <c r="S4175" i="2" s="1"/>
  <c r="S4176" i="2" s="1"/>
  <c r="S4177" i="2" s="1"/>
  <c r="R3375" i="2"/>
  <c r="R3662" i="2"/>
  <c r="R3806" i="2"/>
  <c r="R2513" i="2"/>
  <c r="R4310" i="2"/>
  <c r="R3014" i="2"/>
  <c r="R3734" i="2"/>
  <c r="S3877" i="2"/>
  <c r="S3878" i="2" s="1"/>
  <c r="S3879" i="2" s="1"/>
  <c r="S3880" i="2" s="1"/>
  <c r="S3881" i="2" s="1"/>
  <c r="S3882" i="2" s="1"/>
  <c r="S3883" i="2" s="1"/>
  <c r="S3884" i="2" s="1"/>
  <c r="S3885" i="2" s="1"/>
  <c r="R3878" i="2"/>
  <c r="U3877" i="2"/>
  <c r="U2874" i="2"/>
  <c r="U2875" i="2" s="1"/>
  <c r="U2876" i="2" s="1"/>
  <c r="U2877" i="2" s="1"/>
  <c r="R2875" i="2"/>
  <c r="S2874" i="2"/>
  <c r="S2875" i="2" s="1"/>
  <c r="S2876" i="2" s="1"/>
  <c r="S2877" i="2" s="1"/>
  <c r="R2657" i="2"/>
  <c r="S2656" i="2"/>
  <c r="S2657" i="2" s="1"/>
  <c r="U2656" i="2"/>
  <c r="U2657" i="2" s="1"/>
  <c r="R2441" i="2"/>
  <c r="S2440" i="2"/>
  <c r="S2441" i="2" s="1"/>
  <c r="U2440" i="2"/>
  <c r="U2441" i="2" s="1"/>
  <c r="R1650" i="2"/>
  <c r="U1723" i="2"/>
  <c r="R1724" i="2"/>
  <c r="S1723" i="2"/>
  <c r="R1216" i="2"/>
  <c r="S1215" i="2"/>
  <c r="U1215" i="2"/>
  <c r="R3303" i="2"/>
  <c r="R3446" i="2"/>
  <c r="R136" i="2"/>
  <c r="S135" i="2"/>
  <c r="U135" i="2"/>
  <c r="R353" i="2"/>
  <c r="S352" i="2"/>
  <c r="U352" i="2"/>
  <c r="U1501" i="2"/>
  <c r="V1501" i="2" s="1"/>
  <c r="U2367" i="2"/>
  <c r="U2368" i="2" s="1"/>
  <c r="U1290" i="2"/>
  <c r="U281" i="2"/>
  <c r="U496" i="2"/>
  <c r="U784" i="2"/>
  <c r="U1430" i="2"/>
  <c r="U855" i="2"/>
  <c r="U1360" i="2"/>
  <c r="U927" i="2"/>
  <c r="U66" i="2"/>
  <c r="U1147" i="2"/>
  <c r="U425" i="2"/>
  <c r="U211" i="2"/>
  <c r="R1072" i="2"/>
  <c r="S1071" i="2"/>
  <c r="U1071" i="2"/>
  <c r="R856" i="2"/>
  <c r="S855" i="2"/>
  <c r="R1148" i="2"/>
  <c r="S1147" i="2"/>
  <c r="R1291" i="2"/>
  <c r="S1290" i="2"/>
  <c r="S1360" i="2"/>
  <c r="R1361" i="2"/>
  <c r="S425" i="2"/>
  <c r="R426" i="2"/>
  <c r="S281" i="2"/>
  <c r="R282" i="2"/>
  <c r="S496" i="2"/>
  <c r="R497" i="2"/>
  <c r="S784" i="2"/>
  <c r="R785" i="2"/>
  <c r="S927" i="2"/>
  <c r="R928" i="2"/>
  <c r="S1430" i="2"/>
  <c r="R1431" i="2"/>
  <c r="S66" i="2"/>
  <c r="R67" i="2"/>
  <c r="S211" i="2"/>
  <c r="R212" i="2"/>
  <c r="U1862" i="2" l="1"/>
  <c r="U1863" i="2" s="1"/>
  <c r="V1861" i="2"/>
  <c r="U3518" i="2"/>
  <c r="V3517" i="2"/>
  <c r="U3230" i="2"/>
  <c r="V3229" i="2"/>
  <c r="U4238" i="2"/>
  <c r="V4237" i="2"/>
  <c r="U3734" i="2"/>
  <c r="V3733" i="2"/>
  <c r="R567" i="2"/>
  <c r="S566" i="2"/>
  <c r="U566" i="2"/>
  <c r="V566" i="2" s="1"/>
  <c r="R639" i="2"/>
  <c r="S638" i="2"/>
  <c r="U638" i="2"/>
  <c r="V638" i="2" s="1"/>
  <c r="U1574" i="2"/>
  <c r="V1573" i="2"/>
  <c r="U3086" i="2"/>
  <c r="V3085" i="2"/>
  <c r="U4166" i="2"/>
  <c r="V4165" i="2"/>
  <c r="V62" i="2"/>
  <c r="T63" i="2"/>
  <c r="V134" i="2"/>
  <c r="T135" i="2"/>
  <c r="V206" i="2"/>
  <c r="T207" i="2"/>
  <c r="V278" i="2"/>
  <c r="T279" i="2"/>
  <c r="V350" i="2"/>
  <c r="T351" i="2"/>
  <c r="V422" i="2"/>
  <c r="T423" i="2"/>
  <c r="V494" i="2"/>
  <c r="T495" i="2"/>
  <c r="T567" i="2"/>
  <c r="T639" i="2"/>
  <c r="V3446" i="2"/>
  <c r="T3447" i="2"/>
  <c r="T3519" i="2"/>
  <c r="V3590" i="2"/>
  <c r="T3591" i="2"/>
  <c r="V3662" i="2"/>
  <c r="T3663" i="2"/>
  <c r="T3735" i="2"/>
  <c r="V3806" i="2"/>
  <c r="T3807" i="2"/>
  <c r="T3879" i="2"/>
  <c r="V3950" i="2"/>
  <c r="T3951" i="2"/>
  <c r="V4022" i="2"/>
  <c r="T4023" i="2"/>
  <c r="T4095" i="2"/>
  <c r="T4167" i="2"/>
  <c r="T4239" i="2"/>
  <c r="T4311" i="2"/>
  <c r="V710" i="2"/>
  <c r="T711" i="2"/>
  <c r="V782" i="2"/>
  <c r="T783" i="2"/>
  <c r="V854" i="2"/>
  <c r="T855" i="2"/>
  <c r="V926" i="2"/>
  <c r="T927" i="2"/>
  <c r="V998" i="2"/>
  <c r="T999" i="2"/>
  <c r="V1070" i="2"/>
  <c r="T1071" i="2"/>
  <c r="V1142" i="2"/>
  <c r="T1143" i="2"/>
  <c r="V1214" i="2"/>
  <c r="T1215" i="2"/>
  <c r="V1286" i="2"/>
  <c r="T1287" i="2"/>
  <c r="V1358" i="2"/>
  <c r="T1359" i="2"/>
  <c r="V1430" i="2"/>
  <c r="T1431" i="2"/>
  <c r="T1503" i="2"/>
  <c r="T1575" i="2"/>
  <c r="V1646" i="2"/>
  <c r="T1647" i="2"/>
  <c r="V1718" i="2"/>
  <c r="T1719" i="2"/>
  <c r="V1790" i="2"/>
  <c r="T1791" i="2"/>
  <c r="V1862" i="2"/>
  <c r="T1863" i="2"/>
  <c r="T1935" i="2"/>
  <c r="V2006" i="2"/>
  <c r="T2007" i="2"/>
  <c r="V2078" i="2"/>
  <c r="T2079" i="2"/>
  <c r="V2150" i="2"/>
  <c r="T2151" i="2"/>
  <c r="T2223" i="2"/>
  <c r="T2295" i="2"/>
  <c r="V2366" i="2"/>
  <c r="T2367" i="2"/>
  <c r="V2438" i="2"/>
  <c r="T2439" i="2"/>
  <c r="V2510" i="2"/>
  <c r="T2511" i="2"/>
  <c r="T2583" i="2"/>
  <c r="V2654" i="2"/>
  <c r="T2655" i="2"/>
  <c r="V2726" i="2"/>
  <c r="T2727" i="2"/>
  <c r="V2798" i="2"/>
  <c r="T2799" i="2"/>
  <c r="V2870" i="2"/>
  <c r="T2871" i="2"/>
  <c r="T2943" i="2"/>
  <c r="V3014" i="2"/>
  <c r="T3015" i="2"/>
  <c r="T3087" i="2"/>
  <c r="T3159" i="2"/>
  <c r="T3231" i="2"/>
  <c r="V3302" i="2"/>
  <c r="T3303" i="2"/>
  <c r="V3374" i="2"/>
  <c r="T3375" i="2"/>
  <c r="U2222" i="2"/>
  <c r="V2221" i="2"/>
  <c r="U1934" i="2"/>
  <c r="V1934" i="2" s="1"/>
  <c r="V1933" i="2"/>
  <c r="U2582" i="2"/>
  <c r="V2582" i="2" s="1"/>
  <c r="V2581" i="2"/>
  <c r="U3878" i="2"/>
  <c r="V3877" i="2"/>
  <c r="U1724" i="2"/>
  <c r="U1725" i="2" s="1"/>
  <c r="R1503" i="2"/>
  <c r="S1502" i="2"/>
  <c r="S1503" i="2" s="1"/>
  <c r="U1502" i="2"/>
  <c r="R1863" i="2"/>
  <c r="S2294" i="2"/>
  <c r="R2295" i="2"/>
  <c r="U2294" i="2"/>
  <c r="V2294" i="2" s="1"/>
  <c r="U3158" i="2"/>
  <c r="R3159" i="2"/>
  <c r="S3158" i="2"/>
  <c r="S3159" i="2" s="1"/>
  <c r="S3160" i="2" s="1"/>
  <c r="S3161" i="2" s="1"/>
  <c r="S3162" i="2" s="1"/>
  <c r="S3163" i="2" s="1"/>
  <c r="S3164" i="2" s="1"/>
  <c r="S3165" i="2" s="1"/>
  <c r="S3166" i="2" s="1"/>
  <c r="S3167" i="2" s="1"/>
  <c r="S3168" i="2" s="1"/>
  <c r="S3169" i="2" s="1"/>
  <c r="R1000" i="2"/>
  <c r="S999" i="2"/>
  <c r="U999" i="2"/>
  <c r="R2223" i="2"/>
  <c r="U2942" i="2"/>
  <c r="V2942" i="2" s="1"/>
  <c r="R2943" i="2"/>
  <c r="S2942" i="2"/>
  <c r="R1575" i="2"/>
  <c r="R1935" i="2"/>
  <c r="R2583" i="2"/>
  <c r="R3231" i="2"/>
  <c r="S2727" i="2"/>
  <c r="S2728" i="2" s="1"/>
  <c r="R2728" i="2"/>
  <c r="U2727" i="2"/>
  <c r="U2728" i="2" s="1"/>
  <c r="R3519" i="2"/>
  <c r="R4023" i="2"/>
  <c r="U2079" i="2"/>
  <c r="R2080" i="2"/>
  <c r="S2079" i="2"/>
  <c r="R2369" i="2"/>
  <c r="U2799" i="2"/>
  <c r="R2800" i="2"/>
  <c r="S2799" i="2"/>
  <c r="R1792" i="2"/>
  <c r="S1791" i="2"/>
  <c r="U1791" i="2"/>
  <c r="R3087" i="2"/>
  <c r="R4095" i="2"/>
  <c r="S4094" i="2"/>
  <c r="S4095" i="2" s="1"/>
  <c r="S4096" i="2" s="1"/>
  <c r="S4097" i="2" s="1"/>
  <c r="U4094" i="2"/>
  <c r="R4239" i="2"/>
  <c r="R3592" i="2"/>
  <c r="R3952" i="2"/>
  <c r="U2008" i="2"/>
  <c r="U2009" i="2" s="1"/>
  <c r="U2010" i="2" s="1"/>
  <c r="U2011" i="2" s="1"/>
  <c r="R2009" i="2"/>
  <c r="S2008" i="2"/>
  <c r="S2009" i="2" s="1"/>
  <c r="S2010" i="2" s="1"/>
  <c r="S2011" i="2" s="1"/>
  <c r="S2151" i="2"/>
  <c r="S2152" i="2" s="1"/>
  <c r="S2153" i="2" s="1"/>
  <c r="R2152" i="2"/>
  <c r="U2151" i="2"/>
  <c r="U2152" i="2" s="1"/>
  <c r="U2153" i="2" s="1"/>
  <c r="S711" i="2"/>
  <c r="R712" i="2"/>
  <c r="U711" i="2"/>
  <c r="R4167" i="2"/>
  <c r="R3376" i="2"/>
  <c r="R3663" i="2"/>
  <c r="R3807" i="2"/>
  <c r="R2514" i="2"/>
  <c r="S2513" i="2"/>
  <c r="U2513" i="2"/>
  <c r="U4310" i="2"/>
  <c r="S4310" i="2"/>
  <c r="S4311" i="2" s="1"/>
  <c r="S4312" i="2" s="1"/>
  <c r="S4313" i="2" s="1"/>
  <c r="S4314" i="2" s="1"/>
  <c r="S4315" i="2" s="1"/>
  <c r="S4316" i="2" s="1"/>
  <c r="R4311" i="2"/>
  <c r="R3015" i="2"/>
  <c r="R3735" i="2"/>
  <c r="R3879" i="2"/>
  <c r="R2876" i="2"/>
  <c r="R2658" i="2"/>
  <c r="R2442" i="2"/>
  <c r="R1651" i="2"/>
  <c r="R1725" i="2"/>
  <c r="S1724" i="2"/>
  <c r="S1725" i="2" s="1"/>
  <c r="R1217" i="2"/>
  <c r="S1216" i="2"/>
  <c r="U1216" i="2"/>
  <c r="R3304" i="2"/>
  <c r="R3447" i="2"/>
  <c r="R137" i="2"/>
  <c r="S136" i="2"/>
  <c r="U136" i="2"/>
  <c r="R354" i="2"/>
  <c r="S353" i="2"/>
  <c r="U353" i="2"/>
  <c r="U282" i="2"/>
  <c r="U497" i="2"/>
  <c r="U785" i="2"/>
  <c r="U928" i="2"/>
  <c r="U1431" i="2"/>
  <c r="U67" i="2"/>
  <c r="U856" i="2"/>
  <c r="U426" i="2"/>
  <c r="U1148" i="2"/>
  <c r="U1291" i="2"/>
  <c r="U1361" i="2"/>
  <c r="U212" i="2"/>
  <c r="R1073" i="2"/>
  <c r="S1072" i="2"/>
  <c r="U1072" i="2"/>
  <c r="S856" i="2"/>
  <c r="R857" i="2"/>
  <c r="R1149" i="2"/>
  <c r="S1148" i="2"/>
  <c r="R1292" i="2"/>
  <c r="S1291" i="2"/>
  <c r="R1362" i="2"/>
  <c r="S1361" i="2"/>
  <c r="S426" i="2"/>
  <c r="R427" i="2"/>
  <c r="S282" i="2"/>
  <c r="R283" i="2"/>
  <c r="S497" i="2"/>
  <c r="R498" i="2"/>
  <c r="S785" i="2"/>
  <c r="R786" i="2"/>
  <c r="S928" i="2"/>
  <c r="R929" i="2"/>
  <c r="S1431" i="2"/>
  <c r="R1432" i="2"/>
  <c r="S67" i="2"/>
  <c r="R68" i="2"/>
  <c r="S212" i="2"/>
  <c r="R213" i="2"/>
  <c r="U3735" i="2" l="1"/>
  <c r="U3736" i="2" s="1"/>
  <c r="U3737" i="2" s="1"/>
  <c r="U3738" i="2" s="1"/>
  <c r="U3739" i="2" s="1"/>
  <c r="U3740" i="2" s="1"/>
  <c r="U3741" i="2" s="1"/>
  <c r="U3742" i="2" s="1"/>
  <c r="U3743" i="2" s="1"/>
  <c r="U3744" i="2" s="1"/>
  <c r="U3745" i="2" s="1"/>
  <c r="V3734" i="2"/>
  <c r="U3519" i="2"/>
  <c r="V3518" i="2"/>
  <c r="U3231" i="2"/>
  <c r="V3230" i="2"/>
  <c r="U4167" i="2"/>
  <c r="V4166" i="2"/>
  <c r="U4239" i="2"/>
  <c r="V4239" i="2" s="1"/>
  <c r="V4238" i="2"/>
  <c r="U1575" i="2"/>
  <c r="V1574" i="2"/>
  <c r="U2223" i="2"/>
  <c r="V2222" i="2"/>
  <c r="R568" i="2"/>
  <c r="S567" i="2"/>
  <c r="U567" i="2"/>
  <c r="V567" i="2" s="1"/>
  <c r="R640" i="2"/>
  <c r="S639" i="2"/>
  <c r="U639" i="2"/>
  <c r="V639" i="2" s="1"/>
  <c r="U3087" i="2"/>
  <c r="V3087" i="2" s="1"/>
  <c r="V3086" i="2"/>
  <c r="U4095" i="2"/>
  <c r="V4094" i="2"/>
  <c r="U3879" i="2"/>
  <c r="V3878" i="2"/>
  <c r="V63" i="2"/>
  <c r="T64" i="2"/>
  <c r="V135" i="2"/>
  <c r="T136" i="2"/>
  <c r="V207" i="2"/>
  <c r="T208" i="2"/>
  <c r="V279" i="2"/>
  <c r="T280" i="2"/>
  <c r="V351" i="2"/>
  <c r="T352" i="2"/>
  <c r="V423" i="2"/>
  <c r="T424" i="2"/>
  <c r="V495" i="2"/>
  <c r="T496" i="2"/>
  <c r="T568" i="2"/>
  <c r="T640" i="2"/>
  <c r="T3448" i="2"/>
  <c r="T3520" i="2"/>
  <c r="V3591" i="2"/>
  <c r="T3592" i="2"/>
  <c r="V3663" i="2"/>
  <c r="T3664" i="2"/>
  <c r="V3735" i="2"/>
  <c r="T3736" i="2"/>
  <c r="V3807" i="2"/>
  <c r="T3808" i="2"/>
  <c r="T3880" i="2"/>
  <c r="V3951" i="2"/>
  <c r="T3952" i="2"/>
  <c r="V4023" i="2"/>
  <c r="T4024" i="2"/>
  <c r="T4096" i="2"/>
  <c r="T4168" i="2"/>
  <c r="T4240" i="2"/>
  <c r="T4312" i="2"/>
  <c r="V711" i="2"/>
  <c r="T712" i="2"/>
  <c r="V783" i="2"/>
  <c r="T784" i="2"/>
  <c r="V855" i="2"/>
  <c r="T856" i="2"/>
  <c r="V927" i="2"/>
  <c r="T928" i="2"/>
  <c r="V999" i="2"/>
  <c r="T1000" i="2"/>
  <c r="V1071" i="2"/>
  <c r="T1072" i="2"/>
  <c r="V1143" i="2"/>
  <c r="T1144" i="2"/>
  <c r="V1215" i="2"/>
  <c r="T1216" i="2"/>
  <c r="V1287" i="2"/>
  <c r="T1288" i="2"/>
  <c r="V1359" i="2"/>
  <c r="T1360" i="2"/>
  <c r="V1431" i="2"/>
  <c r="T1432" i="2"/>
  <c r="T1504" i="2"/>
  <c r="T1576" i="2"/>
  <c r="V1647" i="2"/>
  <c r="T1648" i="2"/>
  <c r="V1719" i="2"/>
  <c r="T1720" i="2"/>
  <c r="V1791" i="2"/>
  <c r="T1792" i="2"/>
  <c r="V1863" i="2"/>
  <c r="T1864" i="2"/>
  <c r="T1936" i="2"/>
  <c r="V2007" i="2"/>
  <c r="T2008" i="2"/>
  <c r="V2079" i="2"/>
  <c r="T2080" i="2"/>
  <c r="V2151" i="2"/>
  <c r="T2152" i="2"/>
  <c r="T2224" i="2"/>
  <c r="T2296" i="2"/>
  <c r="V2367" i="2"/>
  <c r="T2368" i="2"/>
  <c r="V2439" i="2"/>
  <c r="T2440" i="2"/>
  <c r="V2511" i="2"/>
  <c r="T2512" i="2"/>
  <c r="T2584" i="2"/>
  <c r="V2655" i="2"/>
  <c r="T2656" i="2"/>
  <c r="V2727" i="2"/>
  <c r="T2728" i="2"/>
  <c r="V2799" i="2"/>
  <c r="T2800" i="2"/>
  <c r="V2871" i="2"/>
  <c r="T2872" i="2"/>
  <c r="T2944" i="2"/>
  <c r="V3015" i="2"/>
  <c r="T3016" i="2"/>
  <c r="T3088" i="2"/>
  <c r="T3160" i="2"/>
  <c r="T3232" i="2"/>
  <c r="V3303" i="2"/>
  <c r="T3304" i="2"/>
  <c r="V3375" i="2"/>
  <c r="T3376" i="2"/>
  <c r="U1503" i="2"/>
  <c r="V1503" i="2" s="1"/>
  <c r="V1502" i="2"/>
  <c r="U3159" i="2"/>
  <c r="V3158" i="2"/>
  <c r="U4311" i="2"/>
  <c r="V4310" i="2"/>
  <c r="U2943" i="2"/>
  <c r="R1504" i="2"/>
  <c r="R1864" i="2"/>
  <c r="S2295" i="2"/>
  <c r="R2296" i="2"/>
  <c r="U2295" i="2"/>
  <c r="V2295" i="2" s="1"/>
  <c r="R3160" i="2"/>
  <c r="R1001" i="2"/>
  <c r="S1000" i="2"/>
  <c r="U1000" i="2"/>
  <c r="R2224" i="2"/>
  <c r="S2943" i="2"/>
  <c r="S2944" i="2" s="1"/>
  <c r="S2945" i="2" s="1"/>
  <c r="R2944" i="2"/>
  <c r="R1576" i="2"/>
  <c r="U1935" i="2"/>
  <c r="R1936" i="2"/>
  <c r="S1935" i="2"/>
  <c r="S1936" i="2" s="1"/>
  <c r="S2583" i="2"/>
  <c r="S2584" i="2" s="1"/>
  <c r="R2584" i="2"/>
  <c r="U2583" i="2"/>
  <c r="R3232" i="2"/>
  <c r="R2729" i="2"/>
  <c r="R3520" i="2"/>
  <c r="R4024" i="2"/>
  <c r="R2081" i="2"/>
  <c r="U2080" i="2"/>
  <c r="U2081" i="2" s="1"/>
  <c r="U2082" i="2" s="1"/>
  <c r="S2080" i="2"/>
  <c r="S2081" i="2" s="1"/>
  <c r="S2082" i="2" s="1"/>
  <c r="U2369" i="2"/>
  <c r="U2370" i="2" s="1"/>
  <c r="R2370" i="2"/>
  <c r="S2369" i="2"/>
  <c r="S2370" i="2" s="1"/>
  <c r="R2801" i="2"/>
  <c r="S2800" i="2"/>
  <c r="U2800" i="2"/>
  <c r="R1793" i="2"/>
  <c r="S1792" i="2"/>
  <c r="U1792" i="2"/>
  <c r="R3088" i="2"/>
  <c r="R4096" i="2"/>
  <c r="R4240" i="2"/>
  <c r="R3593" i="2"/>
  <c r="S3592" i="2"/>
  <c r="S3593" i="2" s="1"/>
  <c r="U3592" i="2"/>
  <c r="U3593" i="2" s="1"/>
  <c r="R3953" i="2"/>
  <c r="R2010" i="2"/>
  <c r="R2153" i="2"/>
  <c r="R713" i="2"/>
  <c r="U712" i="2"/>
  <c r="S712" i="2"/>
  <c r="R4168" i="2"/>
  <c r="R3377" i="2"/>
  <c r="R3664" i="2"/>
  <c r="R3808" i="2"/>
  <c r="R2515" i="2"/>
  <c r="S2514" i="2"/>
  <c r="S2515" i="2" s="1"/>
  <c r="U2514" i="2"/>
  <c r="U2515" i="2" s="1"/>
  <c r="R4312" i="2"/>
  <c r="R3016" i="2"/>
  <c r="R3736" i="2"/>
  <c r="R3880" i="2"/>
  <c r="R2877" i="2"/>
  <c r="R2659" i="2"/>
  <c r="S2658" i="2"/>
  <c r="S2659" i="2" s="1"/>
  <c r="S2660" i="2" s="1"/>
  <c r="U2658" i="2"/>
  <c r="U2659" i="2" s="1"/>
  <c r="U2660" i="2" s="1"/>
  <c r="U2442" i="2"/>
  <c r="R2443" i="2"/>
  <c r="S2442" i="2"/>
  <c r="U1651" i="2"/>
  <c r="U1652" i="2" s="1"/>
  <c r="U1653" i="2" s="1"/>
  <c r="R1652" i="2"/>
  <c r="S1651" i="2"/>
  <c r="S1652" i="2" s="1"/>
  <c r="S1653" i="2" s="1"/>
  <c r="R1726" i="2"/>
  <c r="R1218" i="2"/>
  <c r="S1217" i="2"/>
  <c r="U1217" i="2"/>
  <c r="R3305" i="2"/>
  <c r="R3448" i="2"/>
  <c r="S3447" i="2"/>
  <c r="U3447" i="2"/>
  <c r="V3447" i="2" s="1"/>
  <c r="R138" i="2"/>
  <c r="S137" i="2"/>
  <c r="U137" i="2"/>
  <c r="R355" i="2"/>
  <c r="S354" i="2"/>
  <c r="U354" i="2"/>
  <c r="U283" i="2"/>
  <c r="U498" i="2"/>
  <c r="U786" i="2"/>
  <c r="U929" i="2"/>
  <c r="U1432" i="2"/>
  <c r="U68" i="2"/>
  <c r="U427" i="2"/>
  <c r="U857" i="2"/>
  <c r="U1149" i="2"/>
  <c r="U1292" i="2"/>
  <c r="U1362" i="2"/>
  <c r="U213" i="2"/>
  <c r="U214" i="2" s="1"/>
  <c r="R1074" i="2"/>
  <c r="S1073" i="2"/>
  <c r="U1073" i="2"/>
  <c r="R858" i="2"/>
  <c r="S857" i="2"/>
  <c r="R1150" i="2"/>
  <c r="S1149" i="2"/>
  <c r="R1293" i="2"/>
  <c r="S1292" i="2"/>
  <c r="R1363" i="2"/>
  <c r="S1362" i="2"/>
  <c r="S427" i="2"/>
  <c r="R428" i="2"/>
  <c r="S283" i="2"/>
  <c r="R284" i="2"/>
  <c r="S498" i="2"/>
  <c r="R499" i="2"/>
  <c r="S786" i="2"/>
  <c r="R787" i="2"/>
  <c r="S929" i="2"/>
  <c r="R930" i="2"/>
  <c r="S1432" i="2"/>
  <c r="R1433" i="2"/>
  <c r="S68" i="2"/>
  <c r="R69" i="2"/>
  <c r="S213" i="2"/>
  <c r="S214" i="2" s="1"/>
  <c r="R214" i="2"/>
  <c r="U3520" i="2" l="1"/>
  <c r="U3521" i="2" s="1"/>
  <c r="V3519" i="2"/>
  <c r="U3232" i="2"/>
  <c r="U3233" i="2" s="1"/>
  <c r="U3234" i="2" s="1"/>
  <c r="U3235" i="2" s="1"/>
  <c r="U3236" i="2" s="1"/>
  <c r="U3237" i="2" s="1"/>
  <c r="U3238" i="2" s="1"/>
  <c r="U3239" i="2" s="1"/>
  <c r="V3231" i="2"/>
  <c r="U4168" i="2"/>
  <c r="V4167" i="2"/>
  <c r="U1576" i="2"/>
  <c r="V1576" i="2" s="1"/>
  <c r="V1575" i="2"/>
  <c r="U2224" i="2"/>
  <c r="V2223" i="2"/>
  <c r="R569" i="2"/>
  <c r="S568" i="2"/>
  <c r="U568" i="2"/>
  <c r="V568" i="2" s="1"/>
  <c r="R641" i="2"/>
  <c r="S640" i="2"/>
  <c r="U640" i="2"/>
  <c r="V640" i="2" s="1"/>
  <c r="U4096" i="2"/>
  <c r="V4095" i="2"/>
  <c r="U2584" i="2"/>
  <c r="V2584" i="2" s="1"/>
  <c r="V2583" i="2"/>
  <c r="U3880" i="2"/>
  <c r="V3879" i="2"/>
  <c r="U3160" i="2"/>
  <c r="V3159" i="2"/>
  <c r="U4312" i="2"/>
  <c r="V4311" i="2"/>
  <c r="U2944" i="2"/>
  <c r="V2943" i="2"/>
  <c r="U1936" i="2"/>
  <c r="V1936" i="2" s="1"/>
  <c r="V1935" i="2"/>
  <c r="V64" i="2"/>
  <c r="T65" i="2"/>
  <c r="V136" i="2"/>
  <c r="T137" i="2"/>
  <c r="V208" i="2"/>
  <c r="T209" i="2"/>
  <c r="V280" i="2"/>
  <c r="T281" i="2"/>
  <c r="V352" i="2"/>
  <c r="T353" i="2"/>
  <c r="V424" i="2"/>
  <c r="T425" i="2"/>
  <c r="V496" i="2"/>
  <c r="T497" i="2"/>
  <c r="T569" i="2"/>
  <c r="T641" i="2"/>
  <c r="T3449" i="2"/>
  <c r="V3520" i="2"/>
  <c r="T3521" i="2"/>
  <c r="V3592" i="2"/>
  <c r="T3593" i="2"/>
  <c r="V3664" i="2"/>
  <c r="T3665" i="2"/>
  <c r="V3736" i="2"/>
  <c r="T3737" i="2"/>
  <c r="T3809" i="2"/>
  <c r="T3881" i="2"/>
  <c r="V3952" i="2"/>
  <c r="T3953" i="2"/>
  <c r="V4024" i="2"/>
  <c r="T4025" i="2"/>
  <c r="T4097" i="2"/>
  <c r="T4169" i="2"/>
  <c r="T4241" i="2"/>
  <c r="T4313" i="2"/>
  <c r="V712" i="2"/>
  <c r="T713" i="2"/>
  <c r="V784" i="2"/>
  <c r="T785" i="2"/>
  <c r="V856" i="2"/>
  <c r="T857" i="2"/>
  <c r="V928" i="2"/>
  <c r="T929" i="2"/>
  <c r="V1000" i="2"/>
  <c r="T1001" i="2"/>
  <c r="V1072" i="2"/>
  <c r="T1073" i="2"/>
  <c r="V1144" i="2"/>
  <c r="T1145" i="2"/>
  <c r="V1216" i="2"/>
  <c r="T1217" i="2"/>
  <c r="V1288" i="2"/>
  <c r="T1289" i="2"/>
  <c r="V1360" i="2"/>
  <c r="T1361" i="2"/>
  <c r="V1432" i="2"/>
  <c r="T1433" i="2"/>
  <c r="T1505" i="2"/>
  <c r="T1577" i="2"/>
  <c r="V1648" i="2"/>
  <c r="T1649" i="2"/>
  <c r="V1720" i="2"/>
  <c r="T1721" i="2"/>
  <c r="V1792" i="2"/>
  <c r="T1793" i="2"/>
  <c r="T1865" i="2"/>
  <c r="T1937" i="2"/>
  <c r="V2008" i="2"/>
  <c r="T2009" i="2"/>
  <c r="V2080" i="2"/>
  <c r="T2081" i="2"/>
  <c r="V2152" i="2"/>
  <c r="T2153" i="2"/>
  <c r="T2225" i="2"/>
  <c r="T2297" i="2"/>
  <c r="V2368" i="2"/>
  <c r="T2369" i="2"/>
  <c r="V2440" i="2"/>
  <c r="T2441" i="2"/>
  <c r="V2512" i="2"/>
  <c r="T2513" i="2"/>
  <c r="T2585" i="2"/>
  <c r="V2656" i="2"/>
  <c r="T2657" i="2"/>
  <c r="V2728" i="2"/>
  <c r="T2729" i="2"/>
  <c r="V2800" i="2"/>
  <c r="T2801" i="2"/>
  <c r="V2872" i="2"/>
  <c r="T2873" i="2"/>
  <c r="T2945" i="2"/>
  <c r="V3016" i="2"/>
  <c r="T3017" i="2"/>
  <c r="T3089" i="2"/>
  <c r="T3161" i="2"/>
  <c r="V3232" i="2"/>
  <c r="T3233" i="2"/>
  <c r="V3304" i="2"/>
  <c r="T3305" i="2"/>
  <c r="V3376" i="2"/>
  <c r="T3377" i="2"/>
  <c r="U1504" i="2"/>
  <c r="V1504" i="2" s="1"/>
  <c r="R1505" i="2"/>
  <c r="S1504" i="2"/>
  <c r="R1865" i="2"/>
  <c r="S1864" i="2"/>
  <c r="S1865" i="2" s="1"/>
  <c r="U1864" i="2"/>
  <c r="S2296" i="2"/>
  <c r="R2297" i="2"/>
  <c r="U2296" i="2"/>
  <c r="V2296" i="2" s="1"/>
  <c r="R3161" i="2"/>
  <c r="S1001" i="2"/>
  <c r="R1002" i="2"/>
  <c r="U1001" i="2"/>
  <c r="R2225" i="2"/>
  <c r="R2945" i="2"/>
  <c r="R1577" i="2"/>
  <c r="R1937" i="2"/>
  <c r="R2585" i="2"/>
  <c r="R3233" i="2"/>
  <c r="S2729" i="2"/>
  <c r="S2730" i="2" s="1"/>
  <c r="R2730" i="2"/>
  <c r="U2729" i="2"/>
  <c r="U2730" i="2" s="1"/>
  <c r="R3521" i="2"/>
  <c r="R4025" i="2"/>
  <c r="R2082" i="2"/>
  <c r="R2371" i="2"/>
  <c r="R2802" i="2"/>
  <c r="S2801" i="2"/>
  <c r="S2802" i="2" s="1"/>
  <c r="U2801" i="2"/>
  <c r="U2802" i="2" s="1"/>
  <c r="R1794" i="2"/>
  <c r="S1793" i="2"/>
  <c r="U1793" i="2"/>
  <c r="U3088" i="2"/>
  <c r="R3089" i="2"/>
  <c r="S3088" i="2"/>
  <c r="S3089" i="2" s="1"/>
  <c r="S3090" i="2" s="1"/>
  <c r="R4097" i="2"/>
  <c r="R4241" i="2"/>
  <c r="S4240" i="2"/>
  <c r="S4241" i="2" s="1"/>
  <c r="U4240" i="2"/>
  <c r="R3594" i="2"/>
  <c r="S3953" i="2"/>
  <c r="S3954" i="2" s="1"/>
  <c r="S3955" i="2" s="1"/>
  <c r="S3956" i="2" s="1"/>
  <c r="S3957" i="2" s="1"/>
  <c r="S3958" i="2" s="1"/>
  <c r="R3954" i="2"/>
  <c r="U3953" i="2"/>
  <c r="U3954" i="2" s="1"/>
  <c r="U3955" i="2" s="1"/>
  <c r="U3956" i="2" s="1"/>
  <c r="U3957" i="2" s="1"/>
  <c r="U3958" i="2" s="1"/>
  <c r="R2011" i="2"/>
  <c r="R2154" i="2"/>
  <c r="S713" i="2"/>
  <c r="R714" i="2"/>
  <c r="U713" i="2"/>
  <c r="R4169" i="2"/>
  <c r="R3378" i="2"/>
  <c r="S3377" i="2"/>
  <c r="S3378" i="2" s="1"/>
  <c r="S3379" i="2" s="1"/>
  <c r="S3380" i="2" s="1"/>
  <c r="S3381" i="2" s="1"/>
  <c r="U3377" i="2"/>
  <c r="U3378" i="2" s="1"/>
  <c r="U3379" i="2" s="1"/>
  <c r="U3380" i="2" s="1"/>
  <c r="U3381" i="2" s="1"/>
  <c r="R3665" i="2"/>
  <c r="U3808" i="2"/>
  <c r="R3809" i="2"/>
  <c r="S3808" i="2"/>
  <c r="S3809" i="2" s="1"/>
  <c r="S3810" i="2" s="1"/>
  <c r="S3811" i="2" s="1"/>
  <c r="S3812" i="2" s="1"/>
  <c r="R2516" i="2"/>
  <c r="R4313" i="2"/>
  <c r="R3017" i="2"/>
  <c r="R3737" i="2"/>
  <c r="R3881" i="2"/>
  <c r="R2878" i="2"/>
  <c r="R2660" i="2"/>
  <c r="R2444" i="2"/>
  <c r="S2443" i="2"/>
  <c r="S2444" i="2" s="1"/>
  <c r="S2445" i="2" s="1"/>
  <c r="U2443" i="2"/>
  <c r="U2444" i="2" s="1"/>
  <c r="U2445" i="2" s="1"/>
  <c r="R1653" i="2"/>
  <c r="U1726" i="2"/>
  <c r="R1727" i="2"/>
  <c r="S1726" i="2"/>
  <c r="R1219" i="2"/>
  <c r="S1218" i="2"/>
  <c r="U1218" i="2"/>
  <c r="R3306" i="2"/>
  <c r="R3449" i="2"/>
  <c r="S3448" i="2"/>
  <c r="S3449" i="2" s="1"/>
  <c r="U3448" i="2"/>
  <c r="R139" i="2"/>
  <c r="S138" i="2"/>
  <c r="U138" i="2"/>
  <c r="R356" i="2"/>
  <c r="S355" i="2"/>
  <c r="U355" i="2"/>
  <c r="U284" i="2"/>
  <c r="U499" i="2"/>
  <c r="U787" i="2"/>
  <c r="U930" i="2"/>
  <c r="U1433" i="2"/>
  <c r="U69" i="2"/>
  <c r="U70" i="2" s="1"/>
  <c r="R215" i="2"/>
  <c r="U428" i="2"/>
  <c r="U858" i="2"/>
  <c r="U1150" i="2"/>
  <c r="U1293" i="2"/>
  <c r="U1363" i="2"/>
  <c r="U215" i="2"/>
  <c r="R1075" i="2"/>
  <c r="S1074" i="2"/>
  <c r="U1074" i="2"/>
  <c r="R859" i="2"/>
  <c r="S858" i="2"/>
  <c r="R1151" i="2"/>
  <c r="S1150" i="2"/>
  <c r="R1294" i="2"/>
  <c r="S1293" i="2"/>
  <c r="R1364" i="2"/>
  <c r="S1363" i="2"/>
  <c r="R429" i="2"/>
  <c r="S428" i="2"/>
  <c r="S284" i="2"/>
  <c r="R285" i="2"/>
  <c r="S499" i="2"/>
  <c r="R500" i="2"/>
  <c r="S787" i="2"/>
  <c r="R788" i="2"/>
  <c r="S930" i="2"/>
  <c r="R931" i="2"/>
  <c r="S1433" i="2"/>
  <c r="R1434" i="2"/>
  <c r="S69" i="2"/>
  <c r="S70" i="2" s="1"/>
  <c r="R70" i="2"/>
  <c r="S215" i="2"/>
  <c r="R216" i="2"/>
  <c r="U4169" i="2" l="1"/>
  <c r="V4168" i="2"/>
  <c r="U2225" i="2"/>
  <c r="U2226" i="2" s="1"/>
  <c r="U2227" i="2" s="1"/>
  <c r="U2228" i="2" s="1"/>
  <c r="V2224" i="2"/>
  <c r="U4097" i="2"/>
  <c r="V4097" i="2" s="1"/>
  <c r="V4096" i="2"/>
  <c r="U3161" i="2"/>
  <c r="V3160" i="2"/>
  <c r="U3881" i="2"/>
  <c r="U3882" i="2" s="1"/>
  <c r="U3883" i="2" s="1"/>
  <c r="U3884" i="2" s="1"/>
  <c r="U3885" i="2" s="1"/>
  <c r="V3880" i="2"/>
  <c r="U4241" i="2"/>
  <c r="V4241" i="2" s="1"/>
  <c r="V4240" i="2"/>
  <c r="U569" i="2"/>
  <c r="V569" i="2" s="1"/>
  <c r="R570" i="2"/>
  <c r="S569" i="2"/>
  <c r="R642" i="2"/>
  <c r="U641" i="2"/>
  <c r="V641" i="2" s="1"/>
  <c r="S641" i="2"/>
  <c r="U4313" i="2"/>
  <c r="V4312" i="2"/>
  <c r="U2945" i="2"/>
  <c r="V2945" i="2" s="1"/>
  <c r="V2944" i="2"/>
  <c r="U1865" i="2"/>
  <c r="V1865" i="2" s="1"/>
  <c r="V1864" i="2"/>
  <c r="V65" i="2"/>
  <c r="T66" i="2"/>
  <c r="V137" i="2"/>
  <c r="T138" i="2"/>
  <c r="V209" i="2"/>
  <c r="T210" i="2"/>
  <c r="V281" i="2"/>
  <c r="T282" i="2"/>
  <c r="V353" i="2"/>
  <c r="T354" i="2"/>
  <c r="V425" i="2"/>
  <c r="T426" i="2"/>
  <c r="V497" i="2"/>
  <c r="T498" i="2"/>
  <c r="T570" i="2"/>
  <c r="T642" i="2"/>
  <c r="T3450" i="2"/>
  <c r="V3521" i="2"/>
  <c r="T3522" i="2"/>
  <c r="V3593" i="2"/>
  <c r="T3594" i="2"/>
  <c r="V3665" i="2"/>
  <c r="T3666" i="2"/>
  <c r="V3737" i="2"/>
  <c r="T3738" i="2"/>
  <c r="T3810" i="2"/>
  <c r="V3881" i="2"/>
  <c r="T3882" i="2"/>
  <c r="V3953" i="2"/>
  <c r="T3954" i="2"/>
  <c r="V4025" i="2"/>
  <c r="T4026" i="2"/>
  <c r="T4098" i="2"/>
  <c r="T4170" i="2"/>
  <c r="T4242" i="2"/>
  <c r="T4314" i="2"/>
  <c r="V713" i="2"/>
  <c r="T714" i="2"/>
  <c r="V785" i="2"/>
  <c r="T786" i="2"/>
  <c r="V857" i="2"/>
  <c r="T858" i="2"/>
  <c r="V929" i="2"/>
  <c r="T930" i="2"/>
  <c r="V1001" i="2"/>
  <c r="T1002" i="2"/>
  <c r="V1073" i="2"/>
  <c r="T1074" i="2"/>
  <c r="V1145" i="2"/>
  <c r="T1146" i="2"/>
  <c r="V1217" i="2"/>
  <c r="T1218" i="2"/>
  <c r="V1289" i="2"/>
  <c r="T1290" i="2"/>
  <c r="V1361" i="2"/>
  <c r="T1362" i="2"/>
  <c r="V1433" i="2"/>
  <c r="T1434" i="2"/>
  <c r="T1506" i="2"/>
  <c r="T1578" i="2"/>
  <c r="V1649" i="2"/>
  <c r="T1650" i="2"/>
  <c r="V1721" i="2"/>
  <c r="T1722" i="2"/>
  <c r="V1793" i="2"/>
  <c r="T1794" i="2"/>
  <c r="T1866" i="2"/>
  <c r="T1938" i="2"/>
  <c r="V2009" i="2"/>
  <c r="T2010" i="2"/>
  <c r="V2081" i="2"/>
  <c r="T2082" i="2"/>
  <c r="V2153" i="2"/>
  <c r="T2154" i="2"/>
  <c r="V2225" i="2"/>
  <c r="T2226" i="2"/>
  <c r="T2298" i="2"/>
  <c r="V2369" i="2"/>
  <c r="T2370" i="2"/>
  <c r="V2441" i="2"/>
  <c r="T2442" i="2"/>
  <c r="V2513" i="2"/>
  <c r="T2514" i="2"/>
  <c r="T2586" i="2"/>
  <c r="V2657" i="2"/>
  <c r="T2658" i="2"/>
  <c r="V2729" i="2"/>
  <c r="T2730" i="2"/>
  <c r="V2801" i="2"/>
  <c r="T2802" i="2"/>
  <c r="V2873" i="2"/>
  <c r="T2874" i="2"/>
  <c r="T2946" i="2"/>
  <c r="T3018" i="2"/>
  <c r="T3090" i="2"/>
  <c r="T3162" i="2"/>
  <c r="V3233" i="2"/>
  <c r="T3234" i="2"/>
  <c r="V3305" i="2"/>
  <c r="T3306" i="2"/>
  <c r="V3377" i="2"/>
  <c r="T3378" i="2"/>
  <c r="U3089" i="2"/>
  <c r="V3088" i="2"/>
  <c r="U3809" i="2"/>
  <c r="V3808" i="2"/>
  <c r="U3449" i="2"/>
  <c r="V3449" i="2" s="1"/>
  <c r="V3448" i="2"/>
  <c r="R1506" i="2"/>
  <c r="S1505" i="2"/>
  <c r="S1506" i="2" s="1"/>
  <c r="R1866" i="2"/>
  <c r="S2297" i="2"/>
  <c r="R2298" i="2"/>
  <c r="U2297" i="2"/>
  <c r="V2297" i="2" s="1"/>
  <c r="R3162" i="2"/>
  <c r="R1003" i="2"/>
  <c r="S1002" i="2"/>
  <c r="U1002" i="2"/>
  <c r="R2226" i="2"/>
  <c r="R2946" i="2"/>
  <c r="U1577" i="2"/>
  <c r="S1577" i="2"/>
  <c r="S1578" i="2" s="1"/>
  <c r="S1579" i="2" s="1"/>
  <c r="R1578" i="2"/>
  <c r="U1937" i="2"/>
  <c r="V1937" i="2" s="1"/>
  <c r="R1938" i="2"/>
  <c r="S1937" i="2"/>
  <c r="S2585" i="2"/>
  <c r="R2586" i="2"/>
  <c r="U2585" i="2"/>
  <c r="V2585" i="2" s="1"/>
  <c r="R3234" i="2"/>
  <c r="R2731" i="2"/>
  <c r="R3522" i="2"/>
  <c r="R4026" i="2"/>
  <c r="R2083" i="2"/>
  <c r="U2371" i="2"/>
  <c r="R2372" i="2"/>
  <c r="S2371" i="2"/>
  <c r="R2803" i="2"/>
  <c r="R1795" i="2"/>
  <c r="S1794" i="2"/>
  <c r="U1794" i="2"/>
  <c r="R3090" i="2"/>
  <c r="R4098" i="2"/>
  <c r="R4242" i="2"/>
  <c r="R3595" i="2"/>
  <c r="S3594" i="2"/>
  <c r="S3595" i="2" s="1"/>
  <c r="U3594" i="2"/>
  <c r="U3595" i="2" s="1"/>
  <c r="R3955" i="2"/>
  <c r="R2012" i="2"/>
  <c r="R2155" i="2"/>
  <c r="S2154" i="2"/>
  <c r="U2154" i="2"/>
  <c r="R715" i="2"/>
  <c r="S714" i="2"/>
  <c r="U714" i="2"/>
  <c r="R4170" i="2"/>
  <c r="R3379" i="2"/>
  <c r="R3666" i="2"/>
  <c r="R3810" i="2"/>
  <c r="R2517" i="2"/>
  <c r="S2516" i="2"/>
  <c r="U2516" i="2"/>
  <c r="R4314" i="2"/>
  <c r="R3018" i="2"/>
  <c r="S3017" i="2"/>
  <c r="S3018" i="2" s="1"/>
  <c r="S3019" i="2" s="1"/>
  <c r="S3020" i="2" s="1"/>
  <c r="S3021" i="2" s="1"/>
  <c r="S3022" i="2" s="1"/>
  <c r="U3017" i="2"/>
  <c r="R3738" i="2"/>
  <c r="R3882" i="2"/>
  <c r="U2878" i="2"/>
  <c r="U2879" i="2" s="1"/>
  <c r="R2879" i="2"/>
  <c r="S2878" i="2"/>
  <c r="S2879" i="2" s="1"/>
  <c r="R2661" i="2"/>
  <c r="R2445" i="2"/>
  <c r="R1654" i="2"/>
  <c r="R1728" i="2"/>
  <c r="S1727" i="2"/>
  <c r="R1220" i="2"/>
  <c r="S1219" i="2"/>
  <c r="U1219" i="2"/>
  <c r="R3307" i="2"/>
  <c r="R3450" i="2"/>
  <c r="R140" i="2"/>
  <c r="S139" i="2"/>
  <c r="U139" i="2"/>
  <c r="R357" i="2"/>
  <c r="S356" i="2"/>
  <c r="U356" i="2"/>
  <c r="U1505" i="2"/>
  <c r="U1727" i="2"/>
  <c r="U429" i="2"/>
  <c r="U500" i="2"/>
  <c r="U285" i="2"/>
  <c r="U788" i="2"/>
  <c r="U931" i="2"/>
  <c r="R71" i="2"/>
  <c r="U859" i="2"/>
  <c r="U1151" i="2"/>
  <c r="U1364" i="2"/>
  <c r="U1294" i="2"/>
  <c r="U1434" i="2"/>
  <c r="U216" i="2"/>
  <c r="S1075" i="2"/>
  <c r="R1076" i="2"/>
  <c r="U1075" i="2"/>
  <c r="S859" i="2"/>
  <c r="R860" i="2"/>
  <c r="S1151" i="2"/>
  <c r="R1152" i="2"/>
  <c r="R1295" i="2"/>
  <c r="S1294" i="2"/>
  <c r="R1365" i="2"/>
  <c r="S1364" i="2"/>
  <c r="R430" i="2"/>
  <c r="S429" i="2"/>
  <c r="S285" i="2"/>
  <c r="R286" i="2"/>
  <c r="S500" i="2"/>
  <c r="R501" i="2"/>
  <c r="S788" i="2"/>
  <c r="R789" i="2"/>
  <c r="S931" i="2"/>
  <c r="R932" i="2"/>
  <c r="S1434" i="2"/>
  <c r="R1435" i="2"/>
  <c r="S216" i="2"/>
  <c r="R217" i="2"/>
  <c r="U4170" i="2" l="1"/>
  <c r="U4171" i="2" s="1"/>
  <c r="U4172" i="2" s="1"/>
  <c r="U4173" i="2" s="1"/>
  <c r="U4174" i="2" s="1"/>
  <c r="U4175" i="2" s="1"/>
  <c r="U4176" i="2" s="1"/>
  <c r="U4177" i="2" s="1"/>
  <c r="V4169" i="2"/>
  <c r="U3162" i="2"/>
  <c r="V3161" i="2"/>
  <c r="U4314" i="2"/>
  <c r="V4313" i="2"/>
  <c r="R571" i="2"/>
  <c r="S570" i="2"/>
  <c r="U570" i="2"/>
  <c r="V570" i="2" s="1"/>
  <c r="R643" i="2"/>
  <c r="S642" i="2"/>
  <c r="U642" i="2"/>
  <c r="V642" i="2" s="1"/>
  <c r="U3090" i="2"/>
  <c r="V3090" i="2" s="1"/>
  <c r="V3089" i="2"/>
  <c r="U3810" i="2"/>
  <c r="V3809" i="2"/>
  <c r="U1506" i="2"/>
  <c r="V1506" i="2" s="1"/>
  <c r="V1505" i="2"/>
  <c r="V66" i="2"/>
  <c r="T67" i="2"/>
  <c r="V138" i="2"/>
  <c r="T139" i="2"/>
  <c r="V210" i="2"/>
  <c r="T211" i="2"/>
  <c r="V282" i="2"/>
  <c r="T283" i="2"/>
  <c r="V354" i="2"/>
  <c r="T355" i="2"/>
  <c r="V426" i="2"/>
  <c r="T427" i="2"/>
  <c r="V498" i="2"/>
  <c r="T499" i="2"/>
  <c r="T571" i="2"/>
  <c r="T643" i="2"/>
  <c r="T3451" i="2"/>
  <c r="T3523" i="2"/>
  <c r="V3594" i="2"/>
  <c r="T3595" i="2"/>
  <c r="V3666" i="2"/>
  <c r="T3667" i="2"/>
  <c r="V3738" i="2"/>
  <c r="T3739" i="2"/>
  <c r="T3811" i="2"/>
  <c r="V3882" i="2"/>
  <c r="T3883" i="2"/>
  <c r="V3954" i="2"/>
  <c r="T3955" i="2"/>
  <c r="T4027" i="2"/>
  <c r="T4099" i="2"/>
  <c r="V4170" i="2"/>
  <c r="T4171" i="2"/>
  <c r="T4243" i="2"/>
  <c r="T4315" i="2"/>
  <c r="V714" i="2"/>
  <c r="T715" i="2"/>
  <c r="V786" i="2"/>
  <c r="T787" i="2"/>
  <c r="V858" i="2"/>
  <c r="T859" i="2"/>
  <c r="V930" i="2"/>
  <c r="T931" i="2"/>
  <c r="V1002" i="2"/>
  <c r="T1003" i="2"/>
  <c r="V1074" i="2"/>
  <c r="T1075" i="2"/>
  <c r="V1146" i="2"/>
  <c r="T1147" i="2"/>
  <c r="V1218" i="2"/>
  <c r="T1219" i="2"/>
  <c r="V1290" i="2"/>
  <c r="T1291" i="2"/>
  <c r="V1362" i="2"/>
  <c r="T1363" i="2"/>
  <c r="V1434" i="2"/>
  <c r="T1435" i="2"/>
  <c r="T1507" i="2"/>
  <c r="T1579" i="2"/>
  <c r="V1650" i="2"/>
  <c r="T1651" i="2"/>
  <c r="V1722" i="2"/>
  <c r="T1723" i="2"/>
  <c r="V1794" i="2"/>
  <c r="T1795" i="2"/>
  <c r="T1867" i="2"/>
  <c r="T1939" i="2"/>
  <c r="V2010" i="2"/>
  <c r="T2011" i="2"/>
  <c r="V2082" i="2"/>
  <c r="T2083" i="2"/>
  <c r="V2154" i="2"/>
  <c r="T2155" i="2"/>
  <c r="V2226" i="2"/>
  <c r="T2227" i="2"/>
  <c r="T2299" i="2"/>
  <c r="V2370" i="2"/>
  <c r="T2371" i="2"/>
  <c r="V2442" i="2"/>
  <c r="T2443" i="2"/>
  <c r="V2514" i="2"/>
  <c r="T2515" i="2"/>
  <c r="T2587" i="2"/>
  <c r="V2658" i="2"/>
  <c r="T2659" i="2"/>
  <c r="V2730" i="2"/>
  <c r="T2731" i="2"/>
  <c r="V2802" i="2"/>
  <c r="T2803" i="2"/>
  <c r="V2874" i="2"/>
  <c r="T2875" i="2"/>
  <c r="T2947" i="2"/>
  <c r="T3019" i="2"/>
  <c r="T3091" i="2"/>
  <c r="T3163" i="2"/>
  <c r="V3234" i="2"/>
  <c r="T3235" i="2"/>
  <c r="V3306" i="2"/>
  <c r="T3307" i="2"/>
  <c r="V3378" i="2"/>
  <c r="T3379" i="2"/>
  <c r="U1578" i="2"/>
  <c r="V1577" i="2"/>
  <c r="U3018" i="2"/>
  <c r="V3017" i="2"/>
  <c r="R1507" i="2"/>
  <c r="R1867" i="2"/>
  <c r="S1866" i="2"/>
  <c r="U1866" i="2"/>
  <c r="V1866" i="2" s="1"/>
  <c r="R2299" i="2"/>
  <c r="S2298" i="2"/>
  <c r="U2298" i="2"/>
  <c r="V2298" i="2" s="1"/>
  <c r="R3163" i="2"/>
  <c r="R1004" i="2"/>
  <c r="S1003" i="2"/>
  <c r="U1003" i="2"/>
  <c r="R2227" i="2"/>
  <c r="U2946" i="2"/>
  <c r="R2947" i="2"/>
  <c r="S2946" i="2"/>
  <c r="S2947" i="2" s="1"/>
  <c r="S2948" i="2" s="1"/>
  <c r="R1579" i="2"/>
  <c r="R1939" i="2"/>
  <c r="S1938" i="2"/>
  <c r="S2586" i="2"/>
  <c r="R2587" i="2"/>
  <c r="U2586" i="2"/>
  <c r="V2586" i="2" s="1"/>
  <c r="R3235" i="2"/>
  <c r="S2731" i="2"/>
  <c r="S2732" i="2" s="1"/>
  <c r="R2732" i="2"/>
  <c r="U2731" i="2"/>
  <c r="U2732" i="2" s="1"/>
  <c r="S3522" i="2"/>
  <c r="S3523" i="2" s="1"/>
  <c r="S3524" i="2" s="1"/>
  <c r="S3525" i="2" s="1"/>
  <c r="S3526" i="2" s="1"/>
  <c r="U3522" i="2"/>
  <c r="R3523" i="2"/>
  <c r="S4026" i="2"/>
  <c r="S4027" i="2" s="1"/>
  <c r="S4028" i="2" s="1"/>
  <c r="R4027" i="2"/>
  <c r="U4026" i="2"/>
  <c r="U2083" i="2"/>
  <c r="U2084" i="2" s="1"/>
  <c r="S2083" i="2"/>
  <c r="S2084" i="2" s="1"/>
  <c r="R2084" i="2"/>
  <c r="R2373" i="2"/>
  <c r="S2372" i="2"/>
  <c r="S2373" i="2" s="1"/>
  <c r="U2803" i="2"/>
  <c r="R2804" i="2"/>
  <c r="S2803" i="2"/>
  <c r="R1796" i="2"/>
  <c r="S1795" i="2"/>
  <c r="S1796" i="2" s="1"/>
  <c r="U1795" i="2"/>
  <c r="U1796" i="2" s="1"/>
  <c r="R3091" i="2"/>
  <c r="R4099" i="2"/>
  <c r="S4098" i="2"/>
  <c r="S4099" i="2" s="1"/>
  <c r="S4100" i="2" s="1"/>
  <c r="S4101" i="2" s="1"/>
  <c r="S4102" i="2" s="1"/>
  <c r="S4103" i="2" s="1"/>
  <c r="S4104" i="2" s="1"/>
  <c r="S4105" i="2" s="1"/>
  <c r="U4098" i="2"/>
  <c r="R4243" i="2"/>
  <c r="S4242" i="2"/>
  <c r="S4243" i="2" s="1"/>
  <c r="S4244" i="2" s="1"/>
  <c r="S4245" i="2" s="1"/>
  <c r="S4246" i="2" s="1"/>
  <c r="S4247" i="2" s="1"/>
  <c r="U4242" i="2"/>
  <c r="R3596" i="2"/>
  <c r="R3956" i="2"/>
  <c r="U2012" i="2"/>
  <c r="R2013" i="2"/>
  <c r="S2012" i="2"/>
  <c r="U2155" i="2"/>
  <c r="S2155" i="2"/>
  <c r="R2156" i="2"/>
  <c r="S715" i="2"/>
  <c r="R716" i="2"/>
  <c r="U715" i="2"/>
  <c r="R4171" i="2"/>
  <c r="R3380" i="2"/>
  <c r="R3667" i="2"/>
  <c r="R3811" i="2"/>
  <c r="R2518" i="2"/>
  <c r="S2517" i="2"/>
  <c r="S2518" i="2" s="1"/>
  <c r="U2517" i="2"/>
  <c r="U2518" i="2" s="1"/>
  <c r="R4315" i="2"/>
  <c r="R3019" i="2"/>
  <c r="R3739" i="2"/>
  <c r="R3883" i="2"/>
  <c r="R2880" i="2"/>
  <c r="R2662" i="2"/>
  <c r="S2661" i="2"/>
  <c r="U2661" i="2"/>
  <c r="R2446" i="2"/>
  <c r="U1654" i="2"/>
  <c r="R1655" i="2"/>
  <c r="S1654" i="2"/>
  <c r="R1729" i="2"/>
  <c r="S1728" i="2"/>
  <c r="U1728" i="2"/>
  <c r="R1221" i="2"/>
  <c r="S1220" i="2"/>
  <c r="U1220" i="2"/>
  <c r="R3308" i="2"/>
  <c r="R3451" i="2"/>
  <c r="S3450" i="2"/>
  <c r="S3451" i="2" s="1"/>
  <c r="S3452" i="2" s="1"/>
  <c r="S3453" i="2" s="1"/>
  <c r="S3454" i="2" s="1"/>
  <c r="S3455" i="2" s="1"/>
  <c r="S3456" i="2" s="1"/>
  <c r="S3457" i="2" s="1"/>
  <c r="U3450" i="2"/>
  <c r="R141" i="2"/>
  <c r="S140" i="2"/>
  <c r="U140" i="2"/>
  <c r="R358" i="2"/>
  <c r="S357" i="2"/>
  <c r="U357" i="2"/>
  <c r="U1938" i="2"/>
  <c r="V1938" i="2" s="1"/>
  <c r="U2372" i="2"/>
  <c r="U2373" i="2" s="1"/>
  <c r="S71" i="2"/>
  <c r="R72" i="2"/>
  <c r="U71" i="2"/>
  <c r="U430" i="2"/>
  <c r="U501" i="2"/>
  <c r="U789" i="2"/>
  <c r="U932" i="2"/>
  <c r="U1152" i="2"/>
  <c r="U1295" i="2"/>
  <c r="U1435" i="2"/>
  <c r="U860" i="2"/>
  <c r="U1365" i="2"/>
  <c r="U286" i="2"/>
  <c r="S1076" i="2"/>
  <c r="R1077" i="2"/>
  <c r="U1076" i="2"/>
  <c r="S217" i="2"/>
  <c r="U217" i="2"/>
  <c r="R861" i="2"/>
  <c r="S860" i="2"/>
  <c r="R1153" i="2"/>
  <c r="S1152" i="2"/>
  <c r="R1296" i="2"/>
  <c r="S1295" i="2"/>
  <c r="S1365" i="2"/>
  <c r="R1366" i="2"/>
  <c r="R431" i="2"/>
  <c r="S430" i="2"/>
  <c r="S286" i="2"/>
  <c r="R287" i="2"/>
  <c r="S501" i="2"/>
  <c r="R502" i="2"/>
  <c r="S789" i="2"/>
  <c r="R790" i="2"/>
  <c r="S932" i="2"/>
  <c r="R933" i="2"/>
  <c r="S1435" i="2"/>
  <c r="R1436" i="2"/>
  <c r="U3163" i="2" l="1"/>
  <c r="U3164" i="2" s="1"/>
  <c r="U3165" i="2" s="1"/>
  <c r="U3166" i="2" s="1"/>
  <c r="U3167" i="2" s="1"/>
  <c r="U3168" i="2" s="1"/>
  <c r="U3169" i="2" s="1"/>
  <c r="V3162" i="2"/>
  <c r="U4315" i="2"/>
  <c r="V4314" i="2"/>
  <c r="R572" i="2"/>
  <c r="S571" i="2"/>
  <c r="U571" i="2"/>
  <c r="V571" i="2" s="1"/>
  <c r="R644" i="2"/>
  <c r="S643" i="2"/>
  <c r="U643" i="2"/>
  <c r="V643" i="2" s="1"/>
  <c r="U3811" i="2"/>
  <c r="V3810" i="2"/>
  <c r="U1579" i="2"/>
  <c r="V1579" i="2" s="1"/>
  <c r="V1578" i="2"/>
  <c r="U3019" i="2"/>
  <c r="V3018" i="2"/>
  <c r="U2947" i="2"/>
  <c r="V2946" i="2"/>
  <c r="U4027" i="2"/>
  <c r="V4026" i="2"/>
  <c r="V67" i="2"/>
  <c r="T68" i="2"/>
  <c r="V139" i="2"/>
  <c r="T140" i="2"/>
  <c r="V211" i="2"/>
  <c r="T212" i="2"/>
  <c r="V283" i="2"/>
  <c r="T284" i="2"/>
  <c r="V355" i="2"/>
  <c r="T356" i="2"/>
  <c r="V427" i="2"/>
  <c r="T428" i="2"/>
  <c r="V499" i="2"/>
  <c r="T500" i="2"/>
  <c r="T572" i="2"/>
  <c r="T644" i="2"/>
  <c r="T3452" i="2"/>
  <c r="T3524" i="2"/>
  <c r="V3595" i="2"/>
  <c r="T3596" i="2"/>
  <c r="T3668" i="2"/>
  <c r="V3739" i="2"/>
  <c r="T3740" i="2"/>
  <c r="T3812" i="2"/>
  <c r="V3883" i="2"/>
  <c r="T3884" i="2"/>
  <c r="V3955" i="2"/>
  <c r="T3956" i="2"/>
  <c r="T4028" i="2"/>
  <c r="T4100" i="2"/>
  <c r="V4171" i="2"/>
  <c r="T4172" i="2"/>
  <c r="T4244" i="2"/>
  <c r="T4316" i="2"/>
  <c r="V715" i="2"/>
  <c r="T716" i="2"/>
  <c r="V787" i="2"/>
  <c r="T788" i="2"/>
  <c r="V859" i="2"/>
  <c r="T860" i="2"/>
  <c r="V931" i="2"/>
  <c r="T932" i="2"/>
  <c r="V1003" i="2"/>
  <c r="T1004" i="2"/>
  <c r="V1075" i="2"/>
  <c r="T1076" i="2"/>
  <c r="V1147" i="2"/>
  <c r="T1148" i="2"/>
  <c r="V1219" i="2"/>
  <c r="T1220" i="2"/>
  <c r="V1291" i="2"/>
  <c r="T1292" i="2"/>
  <c r="V1363" i="2"/>
  <c r="T1364" i="2"/>
  <c r="V1435" i="2"/>
  <c r="T1436" i="2"/>
  <c r="T1508" i="2"/>
  <c r="T1580" i="2"/>
  <c r="V1651" i="2"/>
  <c r="T1652" i="2"/>
  <c r="V1723" i="2"/>
  <c r="T1724" i="2"/>
  <c r="V1795" i="2"/>
  <c r="T1796" i="2"/>
  <c r="T1868" i="2"/>
  <c r="T1940" i="2"/>
  <c r="V2011" i="2"/>
  <c r="T2012" i="2"/>
  <c r="V2083" i="2"/>
  <c r="T2084" i="2"/>
  <c r="V2155" i="2"/>
  <c r="T2156" i="2"/>
  <c r="V2227" i="2"/>
  <c r="T2228" i="2"/>
  <c r="T2300" i="2"/>
  <c r="V2371" i="2"/>
  <c r="T2372" i="2"/>
  <c r="V2443" i="2"/>
  <c r="T2444" i="2"/>
  <c r="V2515" i="2"/>
  <c r="T2516" i="2"/>
  <c r="T2588" i="2"/>
  <c r="V2659" i="2"/>
  <c r="T2660" i="2"/>
  <c r="V2731" i="2"/>
  <c r="T2732" i="2"/>
  <c r="V2803" i="2"/>
  <c r="T2804" i="2"/>
  <c r="V2875" i="2"/>
  <c r="T2876" i="2"/>
  <c r="T2948" i="2"/>
  <c r="T3020" i="2"/>
  <c r="T3092" i="2"/>
  <c r="V3163" i="2"/>
  <c r="T3164" i="2"/>
  <c r="V3235" i="2"/>
  <c r="T3236" i="2"/>
  <c r="V3307" i="2"/>
  <c r="T3308" i="2"/>
  <c r="V3379" i="2"/>
  <c r="T3380" i="2"/>
  <c r="U3523" i="2"/>
  <c r="V3522" i="2"/>
  <c r="U4099" i="2"/>
  <c r="V4098" i="2"/>
  <c r="U4243" i="2"/>
  <c r="V4242" i="2"/>
  <c r="U3451" i="2"/>
  <c r="V3450" i="2"/>
  <c r="U1507" i="2"/>
  <c r="V1507" i="2" s="1"/>
  <c r="R1508" i="2"/>
  <c r="S1507" i="2"/>
  <c r="R1868" i="2"/>
  <c r="S1867" i="2"/>
  <c r="U1867" i="2"/>
  <c r="V1867" i="2" s="1"/>
  <c r="S2299" i="2"/>
  <c r="S2300" i="2" s="1"/>
  <c r="S2301" i="2" s="1"/>
  <c r="S2302" i="2" s="1"/>
  <c r="R2300" i="2"/>
  <c r="U2299" i="2"/>
  <c r="R3164" i="2"/>
  <c r="R1005" i="2"/>
  <c r="S1004" i="2"/>
  <c r="U1004" i="2"/>
  <c r="R2228" i="2"/>
  <c r="R2948" i="2"/>
  <c r="R1580" i="2"/>
  <c r="R1940" i="2"/>
  <c r="S1939" i="2"/>
  <c r="U1939" i="2"/>
  <c r="V1939" i="2" s="1"/>
  <c r="R2588" i="2"/>
  <c r="S2587" i="2"/>
  <c r="U2587" i="2"/>
  <c r="V2587" i="2" s="1"/>
  <c r="R3236" i="2"/>
  <c r="R2733" i="2"/>
  <c r="R3524" i="2"/>
  <c r="R4028" i="2"/>
  <c r="R2085" i="2"/>
  <c r="R2374" i="2"/>
  <c r="R2805" i="2"/>
  <c r="S2804" i="2"/>
  <c r="S2805" i="2" s="1"/>
  <c r="S2806" i="2" s="1"/>
  <c r="S2807" i="2" s="1"/>
  <c r="U2804" i="2"/>
  <c r="U2805" i="2" s="1"/>
  <c r="U2806" i="2" s="1"/>
  <c r="U2807" i="2" s="1"/>
  <c r="R1797" i="2"/>
  <c r="U3091" i="2"/>
  <c r="V3091" i="2" s="1"/>
  <c r="R3092" i="2"/>
  <c r="S3091" i="2"/>
  <c r="R4100" i="2"/>
  <c r="R4244" i="2"/>
  <c r="U3596" i="2"/>
  <c r="U3597" i="2" s="1"/>
  <c r="S3596" i="2"/>
  <c r="S3597" i="2" s="1"/>
  <c r="R3597" i="2"/>
  <c r="R3957" i="2"/>
  <c r="R2014" i="2"/>
  <c r="S2013" i="2"/>
  <c r="U2013" i="2"/>
  <c r="S2156" i="2"/>
  <c r="R2157" i="2"/>
  <c r="U2156" i="2"/>
  <c r="R717" i="2"/>
  <c r="S716" i="2"/>
  <c r="S717" i="2" s="1"/>
  <c r="U716" i="2"/>
  <c r="U717" i="2" s="1"/>
  <c r="R4172" i="2"/>
  <c r="R3381" i="2"/>
  <c r="R3668" i="2"/>
  <c r="S3667" i="2"/>
  <c r="U3667" i="2"/>
  <c r="V3667" i="2" s="1"/>
  <c r="R3812" i="2"/>
  <c r="R2519" i="2"/>
  <c r="R4316" i="2"/>
  <c r="R3020" i="2"/>
  <c r="R3740" i="2"/>
  <c r="R3884" i="2"/>
  <c r="U2880" i="2"/>
  <c r="R2881" i="2"/>
  <c r="S2880" i="2"/>
  <c r="R2663" i="2"/>
  <c r="S2662" i="2"/>
  <c r="U2662" i="2"/>
  <c r="U2446" i="2"/>
  <c r="U2447" i="2" s="1"/>
  <c r="R2447" i="2"/>
  <c r="S2446" i="2"/>
  <c r="S2447" i="2" s="1"/>
  <c r="R1656" i="2"/>
  <c r="S1655" i="2"/>
  <c r="S1656" i="2" s="1"/>
  <c r="U1729" i="2"/>
  <c r="S1729" i="2"/>
  <c r="R1222" i="2"/>
  <c r="S1221" i="2"/>
  <c r="U1221" i="2"/>
  <c r="R3309" i="2"/>
  <c r="R3452" i="2"/>
  <c r="R142" i="2"/>
  <c r="S141" i="2"/>
  <c r="U141" i="2"/>
  <c r="R359" i="2"/>
  <c r="S358" i="2"/>
  <c r="U358" i="2"/>
  <c r="U1655" i="2"/>
  <c r="U1656" i="2" s="1"/>
  <c r="U72" i="2"/>
  <c r="S72" i="2"/>
  <c r="R73" i="2"/>
  <c r="S73" i="2" s="1"/>
  <c r="U502" i="2"/>
  <c r="U790" i="2"/>
  <c r="U1366" i="2"/>
  <c r="U1296" i="2"/>
  <c r="U287" i="2"/>
  <c r="U1436" i="2"/>
  <c r="U861" i="2"/>
  <c r="U431" i="2"/>
  <c r="U933" i="2"/>
  <c r="S1077" i="2"/>
  <c r="R1078" i="2"/>
  <c r="U1077" i="2"/>
  <c r="S1153" i="2"/>
  <c r="U1153" i="2"/>
  <c r="R862" i="2"/>
  <c r="S861" i="2"/>
  <c r="S1296" i="2"/>
  <c r="R1297" i="2"/>
  <c r="R1367" i="2"/>
  <c r="S1366" i="2"/>
  <c r="R432" i="2"/>
  <c r="S431" i="2"/>
  <c r="S287" i="2"/>
  <c r="R288" i="2"/>
  <c r="S502" i="2"/>
  <c r="R503" i="2"/>
  <c r="S790" i="2"/>
  <c r="R791" i="2"/>
  <c r="S933" i="2"/>
  <c r="R934" i="2"/>
  <c r="S1436" i="2"/>
  <c r="R1437" i="2"/>
  <c r="U4316" i="2" l="1"/>
  <c r="V4316" i="2" s="1"/>
  <c r="V4315" i="2"/>
  <c r="U3812" i="2"/>
  <c r="V3812" i="2" s="1"/>
  <c r="V3811" i="2"/>
  <c r="U3020" i="2"/>
  <c r="V3019" i="2"/>
  <c r="R573" i="2"/>
  <c r="S572" i="2"/>
  <c r="U572" i="2"/>
  <c r="V572" i="2" s="1"/>
  <c r="U644" i="2"/>
  <c r="V644" i="2" s="1"/>
  <c r="R645" i="2"/>
  <c r="S644" i="2"/>
  <c r="U73" i="2"/>
  <c r="U2948" i="2"/>
  <c r="V2948" i="2" s="1"/>
  <c r="V2947" i="2"/>
  <c r="U4028" i="2"/>
  <c r="V4028" i="2" s="1"/>
  <c r="V4027" i="2"/>
  <c r="U3524" i="2"/>
  <c r="V3523" i="2"/>
  <c r="U4100" i="2"/>
  <c r="V4099" i="2"/>
  <c r="U4244" i="2"/>
  <c r="V4243" i="2"/>
  <c r="U3452" i="2"/>
  <c r="V3451" i="2"/>
  <c r="U2300" i="2"/>
  <c r="V2299" i="2"/>
  <c r="V68" i="2"/>
  <c r="T69" i="2"/>
  <c r="V140" i="2"/>
  <c r="T141" i="2"/>
  <c r="V212" i="2"/>
  <c r="T213" i="2"/>
  <c r="V284" i="2"/>
  <c r="T285" i="2"/>
  <c r="V356" i="2"/>
  <c r="T357" i="2"/>
  <c r="V428" i="2"/>
  <c r="T429" i="2"/>
  <c r="V500" i="2"/>
  <c r="T501" i="2"/>
  <c r="T573" i="2"/>
  <c r="T645" i="2"/>
  <c r="T3453" i="2"/>
  <c r="T3525" i="2"/>
  <c r="V3596" i="2"/>
  <c r="T3597" i="2"/>
  <c r="T3669" i="2"/>
  <c r="V3740" i="2"/>
  <c r="T3741" i="2"/>
  <c r="T3813" i="2"/>
  <c r="V3884" i="2"/>
  <c r="T3885" i="2"/>
  <c r="V3956" i="2"/>
  <c r="T3957" i="2"/>
  <c r="T4029" i="2"/>
  <c r="T4101" i="2"/>
  <c r="V4172" i="2"/>
  <c r="T4173" i="2"/>
  <c r="T4245" i="2"/>
  <c r="T4317" i="2"/>
  <c r="V716" i="2"/>
  <c r="T717" i="2"/>
  <c r="V788" i="2"/>
  <c r="T789" i="2"/>
  <c r="V860" i="2"/>
  <c r="T861" i="2"/>
  <c r="V932" i="2"/>
  <c r="T933" i="2"/>
  <c r="V1004" i="2"/>
  <c r="T1005" i="2"/>
  <c r="V1076" i="2"/>
  <c r="T1077" i="2"/>
  <c r="V1148" i="2"/>
  <c r="T1149" i="2"/>
  <c r="V1220" i="2"/>
  <c r="T1221" i="2"/>
  <c r="V1292" i="2"/>
  <c r="T1293" i="2"/>
  <c r="V1364" i="2"/>
  <c r="T1365" i="2"/>
  <c r="V1436" i="2"/>
  <c r="T1437" i="2"/>
  <c r="T1509" i="2"/>
  <c r="T1581" i="2"/>
  <c r="V1652" i="2"/>
  <c r="T1653" i="2"/>
  <c r="V1724" i="2"/>
  <c r="T1725" i="2"/>
  <c r="V1796" i="2"/>
  <c r="T1797" i="2"/>
  <c r="T1869" i="2"/>
  <c r="T1941" i="2"/>
  <c r="V2012" i="2"/>
  <c r="T2013" i="2"/>
  <c r="V2084" i="2"/>
  <c r="T2085" i="2"/>
  <c r="V2156" i="2"/>
  <c r="T2157" i="2"/>
  <c r="V2228" i="2"/>
  <c r="T2229" i="2"/>
  <c r="T2301" i="2"/>
  <c r="V2372" i="2"/>
  <c r="T2373" i="2"/>
  <c r="V2444" i="2"/>
  <c r="T2445" i="2"/>
  <c r="V2516" i="2"/>
  <c r="T2517" i="2"/>
  <c r="T2589" i="2"/>
  <c r="V2660" i="2"/>
  <c r="T2661" i="2"/>
  <c r="V2732" i="2"/>
  <c r="T2733" i="2"/>
  <c r="V2804" i="2"/>
  <c r="T2805" i="2"/>
  <c r="V2876" i="2"/>
  <c r="T2877" i="2"/>
  <c r="T2949" i="2"/>
  <c r="T3021" i="2"/>
  <c r="T3093" i="2"/>
  <c r="V3164" i="2"/>
  <c r="T3165" i="2"/>
  <c r="V3236" i="2"/>
  <c r="T3237" i="2"/>
  <c r="V3308" i="2"/>
  <c r="T3309" i="2"/>
  <c r="V3380" i="2"/>
  <c r="T3381" i="2"/>
  <c r="R1509" i="2"/>
  <c r="S1508" i="2"/>
  <c r="S1509" i="2" s="1"/>
  <c r="U1508" i="2"/>
  <c r="R1869" i="2"/>
  <c r="S1868" i="2"/>
  <c r="S1869" i="2" s="1"/>
  <c r="U1868" i="2"/>
  <c r="R2301" i="2"/>
  <c r="R3165" i="2"/>
  <c r="R1006" i="2"/>
  <c r="S1005" i="2"/>
  <c r="U1005" i="2"/>
  <c r="R2229" i="2"/>
  <c r="R2949" i="2"/>
  <c r="U1580" i="2"/>
  <c r="R1581" i="2"/>
  <c r="S1580" i="2"/>
  <c r="S1581" i="2" s="1"/>
  <c r="R1941" i="2"/>
  <c r="S1940" i="2"/>
  <c r="S1941" i="2" s="1"/>
  <c r="U1940" i="2"/>
  <c r="S2588" i="2"/>
  <c r="R2589" i="2"/>
  <c r="U2588" i="2"/>
  <c r="V2588" i="2" s="1"/>
  <c r="R3237" i="2"/>
  <c r="R2734" i="2"/>
  <c r="U2733" i="2"/>
  <c r="S2733" i="2"/>
  <c r="R3525" i="2"/>
  <c r="R4029" i="2"/>
  <c r="U2085" i="2"/>
  <c r="U2086" i="2" s="1"/>
  <c r="S2085" i="2"/>
  <c r="S2086" i="2" s="1"/>
  <c r="R2086" i="2"/>
  <c r="R2375" i="2"/>
  <c r="S2374" i="2"/>
  <c r="S2375" i="2" s="1"/>
  <c r="U2374" i="2"/>
  <c r="U2375" i="2" s="1"/>
  <c r="R2806" i="2"/>
  <c r="R1798" i="2"/>
  <c r="S1797" i="2"/>
  <c r="U1797" i="2"/>
  <c r="R3093" i="2"/>
  <c r="S3092" i="2"/>
  <c r="R4101" i="2"/>
  <c r="R4245" i="2"/>
  <c r="R3598" i="2"/>
  <c r="R3958" i="2"/>
  <c r="R2015" i="2"/>
  <c r="S2014" i="2"/>
  <c r="U2014" i="2"/>
  <c r="S2157" i="2"/>
  <c r="S2158" i="2" s="1"/>
  <c r="S2159" i="2" s="1"/>
  <c r="R2158" i="2"/>
  <c r="U2157" i="2"/>
  <c r="U2158" i="2" s="1"/>
  <c r="U2159" i="2" s="1"/>
  <c r="R718" i="2"/>
  <c r="R4173" i="2"/>
  <c r="R3382" i="2"/>
  <c r="R3669" i="2"/>
  <c r="S3668" i="2"/>
  <c r="S3669" i="2" s="1"/>
  <c r="S3670" i="2" s="1"/>
  <c r="S3671" i="2" s="1"/>
  <c r="S3672" i="2" s="1"/>
  <c r="U3668" i="2"/>
  <c r="R3813" i="2"/>
  <c r="R2520" i="2"/>
  <c r="S2519" i="2"/>
  <c r="U2519" i="2"/>
  <c r="R4317" i="2"/>
  <c r="R3021" i="2"/>
  <c r="R3741" i="2"/>
  <c r="R3885" i="2"/>
  <c r="U2881" i="2"/>
  <c r="S2881" i="2"/>
  <c r="R2664" i="2"/>
  <c r="S2663" i="2"/>
  <c r="U2663" i="2"/>
  <c r="R2448" i="2"/>
  <c r="R1657" i="2"/>
  <c r="R1223" i="2"/>
  <c r="S1222" i="2"/>
  <c r="U1222" i="2"/>
  <c r="R3310" i="2"/>
  <c r="R3453" i="2"/>
  <c r="R143" i="2"/>
  <c r="S142" i="2"/>
  <c r="U142" i="2"/>
  <c r="R360" i="2"/>
  <c r="S359" i="2"/>
  <c r="U359" i="2"/>
  <c r="U3092" i="2"/>
  <c r="U862" i="2"/>
  <c r="U503" i="2"/>
  <c r="U288" i="2"/>
  <c r="U1437" i="2"/>
  <c r="U1367" i="2"/>
  <c r="U432" i="2"/>
  <c r="U791" i="2"/>
  <c r="U934" i="2"/>
  <c r="S1078" i="2"/>
  <c r="R1079" i="2"/>
  <c r="U1078" i="2"/>
  <c r="S1297" i="2"/>
  <c r="U1297" i="2"/>
  <c r="S862" i="2"/>
  <c r="R863" i="2"/>
  <c r="S1367" i="2"/>
  <c r="R1368" i="2"/>
  <c r="S432" i="2"/>
  <c r="R433" i="2"/>
  <c r="S288" i="2"/>
  <c r="R289" i="2"/>
  <c r="S503" i="2"/>
  <c r="R504" i="2"/>
  <c r="S791" i="2"/>
  <c r="R792" i="2"/>
  <c r="S934" i="2"/>
  <c r="R935" i="2"/>
  <c r="S1437" i="2"/>
  <c r="R1438" i="2"/>
  <c r="U3021" i="2" l="1"/>
  <c r="V3020" i="2"/>
  <c r="U4101" i="2"/>
  <c r="V4100" i="2"/>
  <c r="R574" i="2"/>
  <c r="S573" i="2"/>
  <c r="U573" i="2"/>
  <c r="V573" i="2" s="1"/>
  <c r="R646" i="2"/>
  <c r="S645" i="2"/>
  <c r="U645" i="2"/>
  <c r="V645" i="2" s="1"/>
  <c r="U3525" i="2"/>
  <c r="V3524" i="2"/>
  <c r="U4245" i="2"/>
  <c r="V4244" i="2"/>
  <c r="U3453" i="2"/>
  <c r="V3452" i="2"/>
  <c r="U2301" i="2"/>
  <c r="V2300" i="2"/>
  <c r="U1581" i="2"/>
  <c r="V1581" i="2" s="1"/>
  <c r="V1580" i="2"/>
  <c r="U1941" i="2"/>
  <c r="V1941" i="2" s="1"/>
  <c r="V1940" i="2"/>
  <c r="V69" i="2"/>
  <c r="T70" i="2"/>
  <c r="V141" i="2"/>
  <c r="T142" i="2"/>
  <c r="V213" i="2"/>
  <c r="T214" i="2"/>
  <c r="V285" i="2"/>
  <c r="T286" i="2"/>
  <c r="V357" i="2"/>
  <c r="T358" i="2"/>
  <c r="V429" i="2"/>
  <c r="T430" i="2"/>
  <c r="V501" i="2"/>
  <c r="T502" i="2"/>
  <c r="T574" i="2"/>
  <c r="T646" i="2"/>
  <c r="T3454" i="2"/>
  <c r="T3526" i="2"/>
  <c r="V3597" i="2"/>
  <c r="T3598" i="2"/>
  <c r="T3670" i="2"/>
  <c r="V3741" i="2"/>
  <c r="T3742" i="2"/>
  <c r="T3814" i="2"/>
  <c r="V3885" i="2"/>
  <c r="T3886" i="2"/>
  <c r="V3957" i="2"/>
  <c r="T3958" i="2"/>
  <c r="T4030" i="2"/>
  <c r="T4102" i="2"/>
  <c r="V4173" i="2"/>
  <c r="T4174" i="2"/>
  <c r="T4246" i="2"/>
  <c r="T4318" i="2"/>
  <c r="V717" i="2"/>
  <c r="T718" i="2"/>
  <c r="V789" i="2"/>
  <c r="T790" i="2"/>
  <c r="V861" i="2"/>
  <c r="T862" i="2"/>
  <c r="V933" i="2"/>
  <c r="T934" i="2"/>
  <c r="V1005" i="2"/>
  <c r="T1006" i="2"/>
  <c r="V1077" i="2"/>
  <c r="T1078" i="2"/>
  <c r="V1149" i="2"/>
  <c r="T1150" i="2"/>
  <c r="V1221" i="2"/>
  <c r="T1222" i="2"/>
  <c r="V1293" i="2"/>
  <c r="T1294" i="2"/>
  <c r="V1365" i="2"/>
  <c r="T1366" i="2"/>
  <c r="V1437" i="2"/>
  <c r="T1438" i="2"/>
  <c r="T1510" i="2"/>
  <c r="T1582" i="2"/>
  <c r="V1653" i="2"/>
  <c r="T1654" i="2"/>
  <c r="V1725" i="2"/>
  <c r="T1726" i="2"/>
  <c r="V1797" i="2"/>
  <c r="T1798" i="2"/>
  <c r="T1870" i="2"/>
  <c r="T1942" i="2"/>
  <c r="V2013" i="2"/>
  <c r="T2014" i="2"/>
  <c r="V2085" i="2"/>
  <c r="T2086" i="2"/>
  <c r="V2157" i="2"/>
  <c r="T2158" i="2"/>
  <c r="T2230" i="2"/>
  <c r="T2302" i="2"/>
  <c r="V2373" i="2"/>
  <c r="T2374" i="2"/>
  <c r="V2445" i="2"/>
  <c r="T2446" i="2"/>
  <c r="V2517" i="2"/>
  <c r="T2518" i="2"/>
  <c r="T2590" i="2"/>
  <c r="V2661" i="2"/>
  <c r="T2662" i="2"/>
  <c r="V2733" i="2"/>
  <c r="T2734" i="2"/>
  <c r="V2805" i="2"/>
  <c r="T2806" i="2"/>
  <c r="V2877" i="2"/>
  <c r="T2878" i="2"/>
  <c r="T2950" i="2"/>
  <c r="T3022" i="2"/>
  <c r="T3094" i="2"/>
  <c r="V3165" i="2"/>
  <c r="T3166" i="2"/>
  <c r="V3237" i="2"/>
  <c r="T3238" i="2"/>
  <c r="V3309" i="2"/>
  <c r="T3310" i="2"/>
  <c r="V3381" i="2"/>
  <c r="T3382" i="2"/>
  <c r="U1509" i="2"/>
  <c r="V1509" i="2" s="1"/>
  <c r="V1508" i="2"/>
  <c r="U1869" i="2"/>
  <c r="V1869" i="2" s="1"/>
  <c r="V1868" i="2"/>
  <c r="U3669" i="2"/>
  <c r="V3668" i="2"/>
  <c r="U3093" i="2"/>
  <c r="V3092" i="2"/>
  <c r="R1510" i="2"/>
  <c r="R1870" i="2"/>
  <c r="R2302" i="2"/>
  <c r="R3166" i="2"/>
  <c r="R1007" i="2"/>
  <c r="S1006" i="2"/>
  <c r="U1006" i="2"/>
  <c r="S2229" i="2"/>
  <c r="R2230" i="2"/>
  <c r="U2229" i="2"/>
  <c r="V2229" i="2" s="1"/>
  <c r="U2949" i="2"/>
  <c r="V2949" i="2" s="1"/>
  <c r="R2950" i="2"/>
  <c r="S2949" i="2"/>
  <c r="R1582" i="2"/>
  <c r="R1942" i="2"/>
  <c r="S2589" i="2"/>
  <c r="R2590" i="2"/>
  <c r="U2589" i="2"/>
  <c r="V2589" i="2" s="1"/>
  <c r="R3238" i="2"/>
  <c r="S2734" i="2"/>
  <c r="S2735" i="2" s="1"/>
  <c r="R2735" i="2"/>
  <c r="U2734" i="2"/>
  <c r="U2735" i="2" s="1"/>
  <c r="R3526" i="2"/>
  <c r="R4030" i="2"/>
  <c r="S4029" i="2"/>
  <c r="U4029" i="2"/>
  <c r="V4029" i="2" s="1"/>
  <c r="R2087" i="2"/>
  <c r="R2376" i="2"/>
  <c r="R2807" i="2"/>
  <c r="R1799" i="2"/>
  <c r="S1798" i="2"/>
  <c r="U1798" i="2"/>
  <c r="R3094" i="2"/>
  <c r="S3093" i="2"/>
  <c r="S3094" i="2" s="1"/>
  <c r="S3095" i="2" s="1"/>
  <c r="S3096" i="2" s="1"/>
  <c r="R4102" i="2"/>
  <c r="R4246" i="2"/>
  <c r="U3598" i="2"/>
  <c r="U3599" i="2" s="1"/>
  <c r="R3599" i="2"/>
  <c r="S3598" i="2"/>
  <c r="S3599" i="2" s="1"/>
  <c r="R3959" i="2"/>
  <c r="R2016" i="2"/>
  <c r="S2015" i="2"/>
  <c r="U2015" i="2"/>
  <c r="R2159" i="2"/>
  <c r="S718" i="2"/>
  <c r="R719" i="2"/>
  <c r="U718" i="2"/>
  <c r="R4174" i="2"/>
  <c r="R3383" i="2"/>
  <c r="S3382" i="2"/>
  <c r="S3383" i="2" s="1"/>
  <c r="S3384" i="2" s="1"/>
  <c r="S3385" i="2" s="1"/>
  <c r="U3382" i="2"/>
  <c r="U3383" i="2" s="1"/>
  <c r="U3384" i="2" s="1"/>
  <c r="U3385" i="2" s="1"/>
  <c r="R3670" i="2"/>
  <c r="U3813" i="2"/>
  <c r="R3814" i="2"/>
  <c r="S3813" i="2"/>
  <c r="R2521" i="2"/>
  <c r="S2520" i="2"/>
  <c r="U2520" i="2"/>
  <c r="S4317" i="2"/>
  <c r="R4318" i="2"/>
  <c r="U4317" i="2"/>
  <c r="V4317" i="2" s="1"/>
  <c r="R3022" i="2"/>
  <c r="R3742" i="2"/>
  <c r="R3886" i="2"/>
  <c r="R2665" i="2"/>
  <c r="S2664" i="2"/>
  <c r="S2665" i="2" s="1"/>
  <c r="U2664" i="2"/>
  <c r="U2665" i="2" s="1"/>
  <c r="R2449" i="2"/>
  <c r="S2448" i="2"/>
  <c r="S2449" i="2" s="1"/>
  <c r="U2448" i="2"/>
  <c r="U2449" i="2" s="1"/>
  <c r="U1657" i="2"/>
  <c r="S1657" i="2"/>
  <c r="R1224" i="2"/>
  <c r="S1223" i="2"/>
  <c r="U1223" i="2"/>
  <c r="R3311" i="2"/>
  <c r="R3454" i="2"/>
  <c r="U143" i="2"/>
  <c r="R144" i="2"/>
  <c r="S143" i="2"/>
  <c r="R361" i="2"/>
  <c r="S360" i="2"/>
  <c r="U360" i="2"/>
  <c r="U935" i="2"/>
  <c r="U504" i="2"/>
  <c r="U863" i="2"/>
  <c r="U1368" i="2"/>
  <c r="U792" i="2"/>
  <c r="U1438" i="2"/>
  <c r="R1080" i="2"/>
  <c r="S1079" i="2"/>
  <c r="U1079" i="2"/>
  <c r="S433" i="2"/>
  <c r="U433" i="2"/>
  <c r="S289" i="2"/>
  <c r="U289" i="2"/>
  <c r="R864" i="2"/>
  <c r="S863" i="2"/>
  <c r="S1368" i="2"/>
  <c r="R1369" i="2"/>
  <c r="S504" i="2"/>
  <c r="R505" i="2"/>
  <c r="S792" i="2"/>
  <c r="R793" i="2"/>
  <c r="S935" i="2"/>
  <c r="R936" i="2"/>
  <c r="S1438" i="2"/>
  <c r="R1439" i="2"/>
  <c r="U3022" i="2" l="1"/>
  <c r="V3021" i="2"/>
  <c r="U4102" i="2"/>
  <c r="V4101" i="2"/>
  <c r="U4246" i="2"/>
  <c r="V4245" i="2"/>
  <c r="U3526" i="2"/>
  <c r="V3526" i="2" s="1"/>
  <c r="V3525" i="2"/>
  <c r="R575" i="2"/>
  <c r="U574" i="2"/>
  <c r="V574" i="2" s="1"/>
  <c r="S574" i="2"/>
  <c r="R647" i="2"/>
  <c r="U646" i="2"/>
  <c r="V646" i="2" s="1"/>
  <c r="S646" i="2"/>
  <c r="U2302" i="2"/>
  <c r="V2302" i="2" s="1"/>
  <c r="V2301" i="2"/>
  <c r="U3454" i="2"/>
  <c r="V3453" i="2"/>
  <c r="U3670" i="2"/>
  <c r="V3669" i="2"/>
  <c r="U3094" i="2"/>
  <c r="V3093" i="2"/>
  <c r="V70" i="2"/>
  <c r="T71" i="2"/>
  <c r="V142" i="2"/>
  <c r="T143" i="2"/>
  <c r="V214" i="2"/>
  <c r="T215" i="2"/>
  <c r="V286" i="2"/>
  <c r="T287" i="2"/>
  <c r="V358" i="2"/>
  <c r="T359" i="2"/>
  <c r="V430" i="2"/>
  <c r="T431" i="2"/>
  <c r="V502" i="2"/>
  <c r="T503" i="2"/>
  <c r="T575" i="2"/>
  <c r="T647" i="2"/>
  <c r="T3455" i="2"/>
  <c r="T3527" i="2"/>
  <c r="V3598" i="2"/>
  <c r="T3599" i="2"/>
  <c r="T3671" i="2"/>
  <c r="V3742" i="2"/>
  <c r="T3743" i="2"/>
  <c r="T3815" i="2"/>
  <c r="T3887" i="2"/>
  <c r="V3958" i="2"/>
  <c r="T3959" i="2"/>
  <c r="T4031" i="2"/>
  <c r="T4103" i="2"/>
  <c r="V4174" i="2"/>
  <c r="T4175" i="2"/>
  <c r="T4247" i="2"/>
  <c r="T4319" i="2"/>
  <c r="V718" i="2"/>
  <c r="T719" i="2"/>
  <c r="V790" i="2"/>
  <c r="T791" i="2"/>
  <c r="V862" i="2"/>
  <c r="T863" i="2"/>
  <c r="V934" i="2"/>
  <c r="T935" i="2"/>
  <c r="V1006" i="2"/>
  <c r="T1007" i="2"/>
  <c r="V1078" i="2"/>
  <c r="T1079" i="2"/>
  <c r="V1150" i="2"/>
  <c r="T1151" i="2"/>
  <c r="V1222" i="2"/>
  <c r="T1223" i="2"/>
  <c r="V1294" i="2"/>
  <c r="T1295" i="2"/>
  <c r="V1366" i="2"/>
  <c r="T1367" i="2"/>
  <c r="V1438" i="2"/>
  <c r="T1439" i="2"/>
  <c r="T1511" i="2"/>
  <c r="T1583" i="2"/>
  <c r="V1654" i="2"/>
  <c r="T1655" i="2"/>
  <c r="V1726" i="2"/>
  <c r="T1727" i="2"/>
  <c r="V1798" i="2"/>
  <c r="T1799" i="2"/>
  <c r="T1871" i="2"/>
  <c r="T1943" i="2"/>
  <c r="V2014" i="2"/>
  <c r="T2015" i="2"/>
  <c r="V2086" i="2"/>
  <c r="T2087" i="2"/>
  <c r="V2158" i="2"/>
  <c r="T2159" i="2"/>
  <c r="T2231" i="2"/>
  <c r="T2303" i="2"/>
  <c r="V2374" i="2"/>
  <c r="T2375" i="2"/>
  <c r="V2446" i="2"/>
  <c r="T2447" i="2"/>
  <c r="V2518" i="2"/>
  <c r="T2519" i="2"/>
  <c r="T2591" i="2"/>
  <c r="V2662" i="2"/>
  <c r="T2663" i="2"/>
  <c r="V2734" i="2"/>
  <c r="T2735" i="2"/>
  <c r="V2806" i="2"/>
  <c r="T2807" i="2"/>
  <c r="V2878" i="2"/>
  <c r="T2879" i="2"/>
  <c r="T2951" i="2"/>
  <c r="V3022" i="2"/>
  <c r="T3023" i="2"/>
  <c r="T3095" i="2"/>
  <c r="V3166" i="2"/>
  <c r="T3167" i="2"/>
  <c r="V3238" i="2"/>
  <c r="T3239" i="2"/>
  <c r="V3310" i="2"/>
  <c r="T3311" i="2"/>
  <c r="V3382" i="2"/>
  <c r="T3383" i="2"/>
  <c r="U3814" i="2"/>
  <c r="V3813" i="2"/>
  <c r="U1510" i="2"/>
  <c r="V1510" i="2" s="1"/>
  <c r="R1511" i="2"/>
  <c r="S1510" i="2"/>
  <c r="R1871" i="2"/>
  <c r="S1870" i="2"/>
  <c r="U1870" i="2"/>
  <c r="V1870" i="2" s="1"/>
  <c r="R2303" i="2"/>
  <c r="R3167" i="2"/>
  <c r="S1007" i="2"/>
  <c r="U1007" i="2"/>
  <c r="R1008" i="2"/>
  <c r="S2230" i="2"/>
  <c r="S2231" i="2" s="1"/>
  <c r="R2231" i="2"/>
  <c r="U2230" i="2"/>
  <c r="R2951" i="2"/>
  <c r="S2950" i="2"/>
  <c r="S2951" i="2" s="1"/>
  <c r="S2952" i="2" s="1"/>
  <c r="S2953" i="2" s="1"/>
  <c r="R1583" i="2"/>
  <c r="S1582" i="2"/>
  <c r="U1582" i="2"/>
  <c r="V1582" i="2" s="1"/>
  <c r="U1942" i="2"/>
  <c r="V1942" i="2" s="1"/>
  <c r="R1943" i="2"/>
  <c r="S1942" i="2"/>
  <c r="S2590" i="2"/>
  <c r="S2591" i="2" s="1"/>
  <c r="R2591" i="2"/>
  <c r="U2590" i="2"/>
  <c r="R3239" i="2"/>
  <c r="R2736" i="2"/>
  <c r="R3527" i="2"/>
  <c r="R4031" i="2"/>
  <c r="S4030" i="2"/>
  <c r="U4030" i="2"/>
  <c r="V4030" i="2" s="1"/>
  <c r="U2087" i="2"/>
  <c r="U2088" i="2" s="1"/>
  <c r="R2088" i="2"/>
  <c r="S2087" i="2"/>
  <c r="S2088" i="2" s="1"/>
  <c r="R2377" i="2"/>
  <c r="S2376" i="2"/>
  <c r="U2376" i="2"/>
  <c r="R2808" i="2"/>
  <c r="R1800" i="2"/>
  <c r="S1799" i="2"/>
  <c r="U1799" i="2"/>
  <c r="R3095" i="2"/>
  <c r="R4103" i="2"/>
  <c r="R4247" i="2"/>
  <c r="R3600" i="2"/>
  <c r="R3960" i="2"/>
  <c r="S3959" i="2"/>
  <c r="S3960" i="2" s="1"/>
  <c r="S3961" i="2" s="1"/>
  <c r="U3959" i="2"/>
  <c r="U3960" i="2" s="1"/>
  <c r="U3961" i="2" s="1"/>
  <c r="R2017" i="2"/>
  <c r="S2016" i="2"/>
  <c r="S2017" i="2" s="1"/>
  <c r="U2016" i="2"/>
  <c r="U2017" i="2" s="1"/>
  <c r="R2160" i="2"/>
  <c r="S719" i="2"/>
  <c r="S720" i="2" s="1"/>
  <c r="R720" i="2"/>
  <c r="U719" i="2"/>
  <c r="U720" i="2" s="1"/>
  <c r="R4175" i="2"/>
  <c r="R3384" i="2"/>
  <c r="R3671" i="2"/>
  <c r="R3815" i="2"/>
  <c r="S3814" i="2"/>
  <c r="S3815" i="2" s="1"/>
  <c r="S3816" i="2" s="1"/>
  <c r="U2521" i="2"/>
  <c r="S2521" i="2"/>
  <c r="R4319" i="2"/>
  <c r="S4318" i="2"/>
  <c r="S4319" i="2" s="1"/>
  <c r="S4320" i="2" s="1"/>
  <c r="S4321" i="2" s="1"/>
  <c r="U4318" i="2"/>
  <c r="R3023" i="2"/>
  <c r="R3743" i="2"/>
  <c r="R3887" i="2"/>
  <c r="S3886" i="2"/>
  <c r="S3887" i="2" s="1"/>
  <c r="S3888" i="2" s="1"/>
  <c r="U3886" i="2"/>
  <c r="S1224" i="2"/>
  <c r="R1225" i="2"/>
  <c r="U1224" i="2"/>
  <c r="R3312" i="2"/>
  <c r="S3311" i="2"/>
  <c r="S3312" i="2" s="1"/>
  <c r="S3313" i="2" s="1"/>
  <c r="U3311" i="2"/>
  <c r="U3312" i="2" s="1"/>
  <c r="U3313" i="2" s="1"/>
  <c r="R3455" i="2"/>
  <c r="R145" i="2"/>
  <c r="S144" i="2"/>
  <c r="U144" i="2"/>
  <c r="U361" i="2"/>
  <c r="S361" i="2"/>
  <c r="U2950" i="2"/>
  <c r="U936" i="2"/>
  <c r="U864" i="2"/>
  <c r="U1439" i="2"/>
  <c r="S1080" i="2"/>
  <c r="R1081" i="2"/>
  <c r="U1080" i="2"/>
  <c r="S1369" i="2"/>
  <c r="U1369" i="2"/>
  <c r="S505" i="2"/>
  <c r="U505" i="2"/>
  <c r="S793" i="2"/>
  <c r="U793" i="2"/>
  <c r="R865" i="2"/>
  <c r="S864" i="2"/>
  <c r="S936" i="2"/>
  <c r="R937" i="2"/>
  <c r="S1439" i="2"/>
  <c r="R1440" i="2"/>
  <c r="U4103" i="2" l="1"/>
  <c r="U4104" i="2" s="1"/>
  <c r="U4105" i="2" s="1"/>
  <c r="V4102" i="2"/>
  <c r="U4247" i="2"/>
  <c r="V4247" i="2" s="1"/>
  <c r="V4246" i="2"/>
  <c r="U2231" i="2"/>
  <c r="V2231" i="2" s="1"/>
  <c r="V2230" i="2"/>
  <c r="U3455" i="2"/>
  <c r="V3454" i="2"/>
  <c r="S575" i="2"/>
  <c r="R576" i="2"/>
  <c r="U575" i="2"/>
  <c r="V575" i="2" s="1"/>
  <c r="R648" i="2"/>
  <c r="U647" i="2"/>
  <c r="V647" i="2" s="1"/>
  <c r="S647" i="2"/>
  <c r="U3095" i="2"/>
  <c r="V3094" i="2"/>
  <c r="U3671" i="2"/>
  <c r="V3670" i="2"/>
  <c r="U3815" i="2"/>
  <c r="V3814" i="2"/>
  <c r="U2951" i="2"/>
  <c r="V2950" i="2"/>
  <c r="V71" i="2"/>
  <c r="T72" i="2"/>
  <c r="V143" i="2"/>
  <c r="T144" i="2"/>
  <c r="V215" i="2"/>
  <c r="T216" i="2"/>
  <c r="V287" i="2"/>
  <c r="T288" i="2"/>
  <c r="V359" i="2"/>
  <c r="T360" i="2"/>
  <c r="V431" i="2"/>
  <c r="T432" i="2"/>
  <c r="V503" i="2"/>
  <c r="T504" i="2"/>
  <c r="T576" i="2"/>
  <c r="T648" i="2"/>
  <c r="T3456" i="2"/>
  <c r="T3528" i="2"/>
  <c r="V3599" i="2"/>
  <c r="T3600" i="2"/>
  <c r="T3672" i="2"/>
  <c r="V3743" i="2"/>
  <c r="T3744" i="2"/>
  <c r="T3816" i="2"/>
  <c r="T3888" i="2"/>
  <c r="V3959" i="2"/>
  <c r="T3960" i="2"/>
  <c r="T4032" i="2"/>
  <c r="V4103" i="2"/>
  <c r="T4104" i="2"/>
  <c r="V4175" i="2"/>
  <c r="T4176" i="2"/>
  <c r="T4248" i="2"/>
  <c r="T4320" i="2"/>
  <c r="V719" i="2"/>
  <c r="T720" i="2"/>
  <c r="V791" i="2"/>
  <c r="T792" i="2"/>
  <c r="V863" i="2"/>
  <c r="T864" i="2"/>
  <c r="V935" i="2"/>
  <c r="T936" i="2"/>
  <c r="V1007" i="2"/>
  <c r="T1008" i="2"/>
  <c r="V1079" i="2"/>
  <c r="T1080" i="2"/>
  <c r="V1151" i="2"/>
  <c r="T1152" i="2"/>
  <c r="V1223" i="2"/>
  <c r="T1224" i="2"/>
  <c r="V1295" i="2"/>
  <c r="T1296" i="2"/>
  <c r="V1367" i="2"/>
  <c r="T1368" i="2"/>
  <c r="V1439" i="2"/>
  <c r="T1440" i="2"/>
  <c r="T1512" i="2"/>
  <c r="T1584" i="2"/>
  <c r="V1655" i="2"/>
  <c r="T1656" i="2"/>
  <c r="V1727" i="2"/>
  <c r="T1728" i="2"/>
  <c r="V1799" i="2"/>
  <c r="T1800" i="2"/>
  <c r="T1872" i="2"/>
  <c r="T1944" i="2"/>
  <c r="V2015" i="2"/>
  <c r="T2016" i="2"/>
  <c r="V2087" i="2"/>
  <c r="T2088" i="2"/>
  <c r="V2159" i="2"/>
  <c r="T2160" i="2"/>
  <c r="T2232" i="2"/>
  <c r="T2304" i="2"/>
  <c r="V2375" i="2"/>
  <c r="T2376" i="2"/>
  <c r="V2447" i="2"/>
  <c r="T2448" i="2"/>
  <c r="V2519" i="2"/>
  <c r="T2520" i="2"/>
  <c r="T2592" i="2"/>
  <c r="V2663" i="2"/>
  <c r="T2664" i="2"/>
  <c r="V2735" i="2"/>
  <c r="T2736" i="2"/>
  <c r="V2807" i="2"/>
  <c r="T2808" i="2"/>
  <c r="V2879" i="2"/>
  <c r="T2880" i="2"/>
  <c r="T2952" i="2"/>
  <c r="T3024" i="2"/>
  <c r="T3096" i="2"/>
  <c r="V3167" i="2"/>
  <c r="T3168" i="2"/>
  <c r="V3239" i="2"/>
  <c r="T3240" i="2"/>
  <c r="V3311" i="2"/>
  <c r="T3312" i="2"/>
  <c r="V3383" i="2"/>
  <c r="T3384" i="2"/>
  <c r="U2591" i="2"/>
  <c r="V2591" i="2" s="1"/>
  <c r="V2590" i="2"/>
  <c r="U4319" i="2"/>
  <c r="V4318" i="2"/>
  <c r="U3887" i="2"/>
  <c r="V3886" i="2"/>
  <c r="R1512" i="2"/>
  <c r="S1511" i="2"/>
  <c r="S1512" i="2" s="1"/>
  <c r="R1872" i="2"/>
  <c r="S1871" i="2"/>
  <c r="S1872" i="2" s="1"/>
  <c r="U1871" i="2"/>
  <c r="S2303" i="2"/>
  <c r="S2304" i="2" s="1"/>
  <c r="R2304" i="2"/>
  <c r="U2303" i="2"/>
  <c r="R3168" i="2"/>
  <c r="R1009" i="2"/>
  <c r="S1008" i="2"/>
  <c r="S1009" i="2" s="1"/>
  <c r="U1008" i="2"/>
  <c r="U1009" i="2" s="1"/>
  <c r="R2232" i="2"/>
  <c r="R2952" i="2"/>
  <c r="R1584" i="2"/>
  <c r="S1583" i="2"/>
  <c r="S1584" i="2" s="1"/>
  <c r="U1583" i="2"/>
  <c r="R1944" i="2"/>
  <c r="S1943" i="2"/>
  <c r="U1943" i="2"/>
  <c r="V1943" i="2" s="1"/>
  <c r="R2592" i="2"/>
  <c r="R3240" i="2"/>
  <c r="S2736" i="2"/>
  <c r="S2737" i="2" s="1"/>
  <c r="R2737" i="2"/>
  <c r="U2736" i="2"/>
  <c r="U2737" i="2" s="1"/>
  <c r="R3528" i="2"/>
  <c r="S3527" i="2"/>
  <c r="U3527" i="2"/>
  <c r="V3527" i="2" s="1"/>
  <c r="R4032" i="2"/>
  <c r="S4031" i="2"/>
  <c r="S4032" i="2" s="1"/>
  <c r="S4033" i="2" s="1"/>
  <c r="U4031" i="2"/>
  <c r="R2089" i="2"/>
  <c r="U2377" i="2"/>
  <c r="S2377" i="2"/>
  <c r="U2808" i="2"/>
  <c r="R2809" i="2"/>
  <c r="S2808" i="2"/>
  <c r="U1800" i="2"/>
  <c r="U1801" i="2" s="1"/>
  <c r="S1800" i="2"/>
  <c r="S1801" i="2" s="1"/>
  <c r="R1801" i="2"/>
  <c r="R3096" i="2"/>
  <c r="R4104" i="2"/>
  <c r="R4248" i="2"/>
  <c r="U3600" i="2"/>
  <c r="U3601" i="2" s="1"/>
  <c r="R3601" i="2"/>
  <c r="S3600" i="2"/>
  <c r="S3601" i="2" s="1"/>
  <c r="R3961" i="2"/>
  <c r="R2161" i="2"/>
  <c r="S2160" i="2"/>
  <c r="U2160" i="2"/>
  <c r="R721" i="2"/>
  <c r="R4176" i="2"/>
  <c r="R3385" i="2"/>
  <c r="R3672" i="2"/>
  <c r="R3816" i="2"/>
  <c r="R4320" i="2"/>
  <c r="R3024" i="2"/>
  <c r="S3023" i="2"/>
  <c r="S3024" i="2" s="1"/>
  <c r="S3025" i="2" s="1"/>
  <c r="U3023" i="2"/>
  <c r="R3744" i="2"/>
  <c r="R3888" i="2"/>
  <c r="U1225" i="2"/>
  <c r="S1225" i="2"/>
  <c r="R3313" i="2"/>
  <c r="R3456" i="2"/>
  <c r="S145" i="2"/>
  <c r="U145" i="2"/>
  <c r="U1511" i="2"/>
  <c r="U1440" i="2"/>
  <c r="U1081" i="2"/>
  <c r="S1081" i="2"/>
  <c r="S865" i="2"/>
  <c r="U865" i="2"/>
  <c r="S937" i="2"/>
  <c r="U937" i="2"/>
  <c r="S1440" i="2"/>
  <c r="R1441" i="2"/>
  <c r="U3456" i="2" l="1"/>
  <c r="U3457" i="2" s="1"/>
  <c r="V3455" i="2"/>
  <c r="U3672" i="2"/>
  <c r="V3672" i="2" s="1"/>
  <c r="V3671" i="2"/>
  <c r="U3816" i="2"/>
  <c r="V3816" i="2" s="1"/>
  <c r="V3815" i="2"/>
  <c r="U2952" i="2"/>
  <c r="U2953" i="2" s="1"/>
  <c r="V2951" i="2"/>
  <c r="U4320" i="2"/>
  <c r="U4321" i="2" s="1"/>
  <c r="V4319" i="2"/>
  <c r="U3096" i="2"/>
  <c r="V3095" i="2"/>
  <c r="U3024" i="2"/>
  <c r="U3025" i="2" s="1"/>
  <c r="V3023" i="2"/>
  <c r="R577" i="2"/>
  <c r="U576" i="2"/>
  <c r="S576" i="2"/>
  <c r="S648" i="2"/>
  <c r="U648" i="2"/>
  <c r="R649" i="2"/>
  <c r="U1872" i="2"/>
  <c r="V1871" i="2"/>
  <c r="U3888" i="2"/>
  <c r="V3888" i="2" s="1"/>
  <c r="V3887" i="2"/>
  <c r="V72" i="2"/>
  <c r="T73" i="2"/>
  <c r="V73" i="2" s="1"/>
  <c r="V16" i="1" s="1" a="1"/>
  <c r="V144" i="2"/>
  <c r="T145" i="2"/>
  <c r="V145" i="2" s="1"/>
  <c r="V18" i="1" s="1" a="1"/>
  <c r="V216" i="2"/>
  <c r="T217" i="2"/>
  <c r="V217" i="2" s="1"/>
  <c r="V9" i="1" s="1" a="1"/>
  <c r="V288" i="2"/>
  <c r="T289" i="2"/>
  <c r="V289" i="2" s="1"/>
  <c r="V5" i="1" s="1" a="1"/>
  <c r="V360" i="2"/>
  <c r="T361" i="2"/>
  <c r="V361" i="2" s="1"/>
  <c r="V21" i="1" s="1" a="1"/>
  <c r="V432" i="2"/>
  <c r="T433" i="2"/>
  <c r="V433" i="2" s="1"/>
  <c r="V4" i="1" s="1" a="1"/>
  <c r="V504" i="2"/>
  <c r="T505" i="2"/>
  <c r="V505" i="2" s="1"/>
  <c r="V14" i="1" s="1" a="1"/>
  <c r="V576" i="2"/>
  <c r="T577" i="2"/>
  <c r="V648" i="2"/>
  <c r="T649" i="2"/>
  <c r="V3456" i="2"/>
  <c r="T3457" i="2"/>
  <c r="V3457" i="2" s="1"/>
  <c r="V59" i="1" s="1" a="1"/>
  <c r="W59" i="1" s="1"/>
  <c r="Z59" i="1" s="1"/>
  <c r="T3529" i="2"/>
  <c r="V3600" i="2"/>
  <c r="T3601" i="2"/>
  <c r="V3601" i="2" s="1"/>
  <c r="V45" i="1" s="1" a="1"/>
  <c r="W45" i="1" s="1"/>
  <c r="Z45" i="1" s="1"/>
  <c r="T3673" i="2"/>
  <c r="V3744" i="2"/>
  <c r="T3745" i="2"/>
  <c r="V3745" i="2" s="1"/>
  <c r="V50" i="1" s="1" a="1"/>
  <c r="W50" i="1" s="1"/>
  <c r="Z50" i="1" s="1"/>
  <c r="T3817" i="2"/>
  <c r="T3889" i="2"/>
  <c r="V3960" i="2"/>
  <c r="T3961" i="2"/>
  <c r="V3961" i="2" s="1"/>
  <c r="V49" i="1" s="1" a="1"/>
  <c r="W49" i="1" s="1"/>
  <c r="Z49" i="1" s="1"/>
  <c r="T4033" i="2"/>
  <c r="V4104" i="2"/>
  <c r="T4105" i="2"/>
  <c r="V4105" i="2" s="1"/>
  <c r="V47" i="1" s="1" a="1"/>
  <c r="W47" i="1" s="1"/>
  <c r="Z47" i="1" s="1"/>
  <c r="V4176" i="2"/>
  <c r="T4177" i="2"/>
  <c r="V4177" i="2" s="1"/>
  <c r="V58" i="1" s="1" a="1"/>
  <c r="W58" i="1" s="1"/>
  <c r="Z58" i="1" s="1"/>
  <c r="T4249" i="2"/>
  <c r="V4320" i="2"/>
  <c r="T4321" i="2"/>
  <c r="V4321" i="2" s="1"/>
  <c r="V60" i="1" s="1" a="1"/>
  <c r="W60" i="1" s="1"/>
  <c r="Z60" i="1" s="1"/>
  <c r="V720" i="2"/>
  <c r="T721" i="2"/>
  <c r="V792" i="2"/>
  <c r="T793" i="2"/>
  <c r="V793" i="2" s="1"/>
  <c r="V11" i="1" s="1" a="1"/>
  <c r="V864" i="2"/>
  <c r="T865" i="2"/>
  <c r="V865" i="2" s="1"/>
  <c r="V2" i="1" s="1" a="1"/>
  <c r="V936" i="2"/>
  <c r="T937" i="2"/>
  <c r="V937" i="2" s="1"/>
  <c r="V12" i="1" s="1" a="1"/>
  <c r="V1008" i="2"/>
  <c r="T1009" i="2"/>
  <c r="V1009" i="2" s="1"/>
  <c r="V10" i="1" s="1" a="1"/>
  <c r="V1080" i="2"/>
  <c r="T1081" i="2"/>
  <c r="V1081" i="2" s="1"/>
  <c r="V19" i="1" s="1" a="1"/>
  <c r="V1152" i="2"/>
  <c r="T1153" i="2"/>
  <c r="V1153" i="2" s="1"/>
  <c r="V15" i="1" s="1" a="1"/>
  <c r="V1224" i="2"/>
  <c r="T1225" i="2"/>
  <c r="V1225" i="2" s="1"/>
  <c r="V7" i="1" s="1" a="1"/>
  <c r="V1296" i="2"/>
  <c r="T1297" i="2"/>
  <c r="V1297" i="2" s="1"/>
  <c r="V13" i="1" s="1" a="1"/>
  <c r="V1368" i="2"/>
  <c r="T1369" i="2"/>
  <c r="V1369" i="2" s="1"/>
  <c r="V6" i="1" s="1" a="1"/>
  <c r="V1440" i="2"/>
  <c r="T1441" i="2"/>
  <c r="T1513" i="2"/>
  <c r="T1585" i="2"/>
  <c r="V1656" i="2"/>
  <c r="T1657" i="2"/>
  <c r="V1657" i="2" s="1"/>
  <c r="V28" i="1" s="1" a="1"/>
  <c r="W28" i="1" s="1"/>
  <c r="Z28" i="1" s="1"/>
  <c r="V1728" i="2"/>
  <c r="T1729" i="2"/>
  <c r="V1729" i="2" s="1"/>
  <c r="V31" i="1" s="1" a="1"/>
  <c r="W31" i="1" s="1"/>
  <c r="Z31" i="1" s="1"/>
  <c r="V1800" i="2"/>
  <c r="T1801" i="2"/>
  <c r="V1801" i="2" s="1"/>
  <c r="V22" i="1" s="1" a="1"/>
  <c r="W22" i="1" s="1"/>
  <c r="Z22" i="1" s="1"/>
  <c r="V1872" i="2"/>
  <c r="T1873" i="2"/>
  <c r="T1945" i="2"/>
  <c r="V2016" i="2"/>
  <c r="T2017" i="2"/>
  <c r="V2017" i="2" s="1"/>
  <c r="V36" i="1" s="1" a="1"/>
  <c r="W36" i="1" s="1"/>
  <c r="Z36" i="1" s="1"/>
  <c r="V2088" i="2"/>
  <c r="T2089" i="2"/>
  <c r="V2160" i="2"/>
  <c r="T2161" i="2"/>
  <c r="T2233" i="2"/>
  <c r="T2305" i="2"/>
  <c r="V2376" i="2"/>
  <c r="T2377" i="2"/>
  <c r="V2377" i="2" s="1"/>
  <c r="V40" i="1" s="1" a="1"/>
  <c r="W40" i="1" s="1"/>
  <c r="Z40" i="1" s="1"/>
  <c r="V2448" i="2"/>
  <c r="T2449" i="2"/>
  <c r="V2449" i="2" s="1"/>
  <c r="V23" i="1" s="1" a="1"/>
  <c r="W23" i="1" s="1"/>
  <c r="Z23" i="1" s="1"/>
  <c r="V2520" i="2"/>
  <c r="T2521" i="2"/>
  <c r="V2521" i="2" s="1"/>
  <c r="V24" i="1" s="1" a="1"/>
  <c r="W24" i="1" s="1"/>
  <c r="Z24" i="1" s="1"/>
  <c r="T2593" i="2"/>
  <c r="V2664" i="2"/>
  <c r="T2665" i="2"/>
  <c r="V2665" i="2" s="1"/>
  <c r="V27" i="1" s="1" a="1"/>
  <c r="W27" i="1" s="1"/>
  <c r="Z27" i="1" s="1"/>
  <c r="V2736" i="2"/>
  <c r="T2737" i="2"/>
  <c r="V2737" i="2" s="1"/>
  <c r="V32" i="1" s="1" a="1"/>
  <c r="W32" i="1" s="1"/>
  <c r="Z32" i="1" s="1"/>
  <c r="V2808" i="2"/>
  <c r="T2809" i="2"/>
  <c r="V2880" i="2"/>
  <c r="T2881" i="2"/>
  <c r="V2881" i="2" s="1"/>
  <c r="V37" i="1" s="1" a="1"/>
  <c r="W37" i="1" s="1"/>
  <c r="Z37" i="1" s="1"/>
  <c r="V2952" i="2"/>
  <c r="T2953" i="2"/>
  <c r="V2953" i="2" s="1"/>
  <c r="V51" i="1" s="1" a="1"/>
  <c r="W51" i="1" s="1"/>
  <c r="Z51" i="1" s="1"/>
  <c r="V3024" i="2"/>
  <c r="T3025" i="2"/>
  <c r="V3025" i="2" s="1"/>
  <c r="V55" i="1" s="1" a="1"/>
  <c r="W55" i="1" s="1"/>
  <c r="Z55" i="1" s="1"/>
  <c r="V3096" i="2"/>
  <c r="T3097" i="2"/>
  <c r="V3168" i="2"/>
  <c r="T3169" i="2"/>
  <c r="V3169" i="2" s="1"/>
  <c r="V53" i="1" s="1" a="1"/>
  <c r="W53" i="1" s="1"/>
  <c r="Z53" i="1" s="1"/>
  <c r="T3241" i="2"/>
  <c r="V3312" i="2"/>
  <c r="T3313" i="2"/>
  <c r="V3313" i="2" s="1"/>
  <c r="V61" i="1" s="1" a="1"/>
  <c r="W61" i="1" s="1"/>
  <c r="Z61" i="1" s="1"/>
  <c r="V3384" i="2"/>
  <c r="T3385" i="2"/>
  <c r="V3385" i="2" s="1"/>
  <c r="V48" i="1" s="1" a="1"/>
  <c r="W48" i="1" s="1"/>
  <c r="Z48" i="1" s="1"/>
  <c r="U2304" i="2"/>
  <c r="V2304" i="2" s="1"/>
  <c r="V2303" i="2"/>
  <c r="U1584" i="2"/>
  <c r="V1584" i="2" s="1"/>
  <c r="V1583" i="2"/>
  <c r="U4032" i="2"/>
  <c r="V4031" i="2"/>
  <c r="U1512" i="2"/>
  <c r="V1512" i="2" s="1"/>
  <c r="V1511" i="2"/>
  <c r="R1513" i="2"/>
  <c r="R1873" i="2"/>
  <c r="R2305" i="2"/>
  <c r="R3169" i="2"/>
  <c r="S2232" i="2"/>
  <c r="S2233" i="2" s="1"/>
  <c r="R2233" i="2"/>
  <c r="U2232" i="2"/>
  <c r="R2953" i="2"/>
  <c r="R1585" i="2"/>
  <c r="R1945" i="2"/>
  <c r="S1944" i="2"/>
  <c r="U1944" i="2"/>
  <c r="V1944" i="2" s="1"/>
  <c r="S2592" i="2"/>
  <c r="S2593" i="2" s="1"/>
  <c r="R2593" i="2"/>
  <c r="U2592" i="2"/>
  <c r="U3240" i="2"/>
  <c r="R3241" i="2"/>
  <c r="S3240" i="2"/>
  <c r="S3241" i="2" s="1"/>
  <c r="R3529" i="2"/>
  <c r="S3528" i="2"/>
  <c r="S3529" i="2" s="1"/>
  <c r="U3528" i="2"/>
  <c r="R4033" i="2"/>
  <c r="U2089" i="2"/>
  <c r="S2089" i="2"/>
  <c r="S2809" i="2"/>
  <c r="R3097" i="2"/>
  <c r="R4105" i="2"/>
  <c r="R4249" i="2"/>
  <c r="S4248" i="2"/>
  <c r="U4248" i="2"/>
  <c r="V4248" i="2" s="1"/>
  <c r="U2161" i="2"/>
  <c r="S2161" i="2"/>
  <c r="U721" i="2"/>
  <c r="S721" i="2"/>
  <c r="R4177" i="2"/>
  <c r="R3673" i="2"/>
  <c r="R3817" i="2"/>
  <c r="R4321" i="2"/>
  <c r="R3025" i="2"/>
  <c r="R3745" i="2"/>
  <c r="R3889" i="2"/>
  <c r="R3457" i="2"/>
  <c r="U2809" i="2"/>
  <c r="S1441" i="2"/>
  <c r="U1441" i="2"/>
  <c r="U577" i="2" l="1"/>
  <c r="V577" i="2" s="1"/>
  <c r="V17" i="1" s="1" a="1"/>
  <c r="S577" i="2"/>
  <c r="U649" i="2"/>
  <c r="V649" i="2" s="1"/>
  <c r="V3" i="1" s="1" a="1"/>
  <c r="S649" i="2"/>
  <c r="U4033" i="2"/>
  <c r="V4033" i="2" s="1"/>
  <c r="V52" i="1" s="1" a="1"/>
  <c r="W52" i="1" s="1"/>
  <c r="Z52" i="1" s="1"/>
  <c r="V4032" i="2"/>
  <c r="V721" i="2"/>
  <c r="V20" i="1" s="1" a="1"/>
  <c r="V1441" i="2"/>
  <c r="V8" i="1" s="1" a="1"/>
  <c r="V2089" i="2"/>
  <c r="V39" i="1" s="1" a="1"/>
  <c r="W39" i="1" s="1"/>
  <c r="Z39" i="1" s="1"/>
  <c r="V2161" i="2"/>
  <c r="V34" i="1" s="1" a="1"/>
  <c r="W34" i="1" s="1"/>
  <c r="Z34" i="1" s="1"/>
  <c r="V2809" i="2"/>
  <c r="V25" i="1" s="1" a="1"/>
  <c r="W25" i="1" s="1"/>
  <c r="Z25" i="1" s="1"/>
  <c r="U2233" i="2"/>
  <c r="V2233" i="2" s="1"/>
  <c r="V38" i="1" s="1" a="1"/>
  <c r="W38" i="1" s="1"/>
  <c r="Z38" i="1" s="1"/>
  <c r="V2232" i="2"/>
  <c r="U2593" i="2"/>
  <c r="V2593" i="2" s="1"/>
  <c r="V29" i="1" s="1" a="1"/>
  <c r="W29" i="1" s="1"/>
  <c r="Z29" i="1" s="1"/>
  <c r="V2592" i="2"/>
  <c r="U3241" i="2"/>
  <c r="V3241" i="2" s="1"/>
  <c r="V44" i="1" s="1" a="1"/>
  <c r="W44" i="1" s="1"/>
  <c r="Z44" i="1" s="1"/>
  <c r="V3240" i="2"/>
  <c r="U3529" i="2"/>
  <c r="V3529" i="2" s="1"/>
  <c r="V56" i="1" s="1" a="1"/>
  <c r="W56" i="1" s="1"/>
  <c r="Z56" i="1" s="1"/>
  <c r="V3528" i="2"/>
  <c r="U1513" i="2"/>
  <c r="V1513" i="2" s="1"/>
  <c r="V30" i="1" s="1" a="1"/>
  <c r="W30" i="1" s="1"/>
  <c r="Z30" i="1" s="1"/>
  <c r="S1513" i="2"/>
  <c r="U1873" i="2"/>
  <c r="V1873" i="2" s="1"/>
  <c r="V33" i="1" s="1" a="1"/>
  <c r="W33" i="1" s="1"/>
  <c r="Z33" i="1" s="1"/>
  <c r="S1873" i="2"/>
  <c r="U2305" i="2"/>
  <c r="V2305" i="2" s="1"/>
  <c r="V35" i="1" s="1" a="1"/>
  <c r="W35" i="1" s="1"/>
  <c r="Z35" i="1" s="1"/>
  <c r="S2305" i="2"/>
  <c r="U1585" i="2"/>
  <c r="V1585" i="2" s="1"/>
  <c r="V41" i="1" s="1" a="1"/>
  <c r="W41" i="1" s="1"/>
  <c r="Z41" i="1" s="1"/>
  <c r="S1585" i="2"/>
  <c r="U1945" i="2"/>
  <c r="V1945" i="2" s="1"/>
  <c r="V26" i="1" s="1" a="1"/>
  <c r="W26" i="1" s="1"/>
  <c r="Z26" i="1" s="1"/>
  <c r="S1945" i="2"/>
  <c r="U3097" i="2"/>
  <c r="V3097" i="2" s="1"/>
  <c r="V43" i="1" s="1" a="1"/>
  <c r="W43" i="1" s="1"/>
  <c r="Z43" i="1" s="1"/>
  <c r="S3097" i="2"/>
  <c r="U4249" i="2"/>
  <c r="V4249" i="2" s="1"/>
  <c r="V46" i="1" s="1" a="1"/>
  <c r="W46" i="1" s="1"/>
  <c r="Z46" i="1" s="1"/>
  <c r="S4249" i="2"/>
  <c r="U3673" i="2"/>
  <c r="V3673" i="2" s="1"/>
  <c r="V54" i="1" s="1" a="1"/>
  <c r="W54" i="1" s="1"/>
  <c r="Z54" i="1" s="1"/>
  <c r="S3673" i="2"/>
  <c r="U3817" i="2"/>
  <c r="V3817" i="2" s="1"/>
  <c r="V42" i="1" s="1" a="1"/>
  <c r="W42" i="1" s="1"/>
  <c r="Z42" i="1" s="1"/>
  <c r="S3817" i="2"/>
  <c r="U3889" i="2"/>
  <c r="V3889" i="2" s="1"/>
  <c r="V57" i="1" s="1" a="1"/>
  <c r="W57" i="1" s="1"/>
  <c r="Z57" i="1" s="1"/>
  <c r="S388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15" authorId="0" shapeId="0" xr:uid="{B36666EE-4C03-4974-919E-6703B21CC75D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One missed month doesn't create any interval wider than 1 unless there are multiple consecutive zero-demand months in a row.</t>
        </r>
      </text>
    </comment>
    <comment ref="U2900" authorId="0" shapeId="0" xr:uid="{03A97472-E00F-4268-B998-9CD463B133C7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the true gap since the last demand (period 4) to period 19 is 15 periods — a huge interval. Smoothing blends that: 0.2×15 + 0.8×2(prior X) = 3.0+1.6 = 4.6... showing 4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9D1797-02E9-4D03-9CCA-81B202997AE1}" keepAlive="1" name="Query - obj1_synthetic_demand" description="Connection to the 'obj1_synthetic_demand' query in the workbook." type="5" refreshedVersion="8" background="1" saveData="1">
    <dbPr connection="Provider=Microsoft.Mashup.OleDb.1;Data Source=$Workbook$;Location=obj1_synthetic_demand;Extended Properties=&quot;&quot;" command="SELECT * FROM [obj1_synthetic_demand]"/>
  </connection>
  <connection id="2" xr16:uid="{DD572990-75AE-47A8-81C6-87B563065B4A}" keepAlive="1" name="Query - obj1_synthetic_demand (2)" description="Connection to the 'obj1_synthetic_demand (2)' query in the workbook." type="5" refreshedVersion="8" background="1" saveData="1">
    <dbPr connection="Provider=Microsoft.Mashup.OleDb.1;Data Source=$Workbook$;Location=&quot;obj1_synthetic_demand (2)&quot;;Extended Properties=&quot;&quot;" command="SELECT * FROM [obj1_synthetic_demand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<sst xmlns="http://schemas.openxmlformats.org/spreadsheetml/2006/main" count="17389" uniqueCount="115">
  <si>
    <t>part_id</t>
  </si>
  <si>
    <t>part_class</t>
  </si>
  <si>
    <t>ata_chapter</t>
  </si>
  <si>
    <t>aircraft_type</t>
  </si>
  <si>
    <t>location_id</t>
  </si>
  <si>
    <t>period_start_date</t>
  </si>
  <si>
    <t>demand_quantity</t>
  </si>
  <si>
    <t>issues_quantity</t>
  </si>
  <si>
    <t>opening_inventory</t>
  </si>
  <si>
    <t>closing_inventory</t>
  </si>
  <si>
    <t>stockout_indicator</t>
  </si>
  <si>
    <t>flight_cycles</t>
  </si>
  <si>
    <t>lead_time_days</t>
  </si>
  <si>
    <t>P001</t>
  </si>
  <si>
    <t>fast_moving</t>
  </si>
  <si>
    <t>A320</t>
  </si>
  <si>
    <t>MRO_BLR</t>
  </si>
  <si>
    <t>P002</t>
  </si>
  <si>
    <t>A321</t>
  </si>
  <si>
    <t>P003</t>
  </si>
  <si>
    <t>P004</t>
  </si>
  <si>
    <t>P005</t>
  </si>
  <si>
    <t>B737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</si>
  <si>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</si>
  <si>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</si>
  <si>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</si>
  <si>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</si>
  <si>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</si>
  <si>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</si>
  <si>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</si>
  <si>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</si>
  <si>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</si>
  <si>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</si>
  <si>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</si>
  <si>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</si>
  <si>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</si>
  <si>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</si>
  <si>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</si>
  <si>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</si>
  <si>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slow_moving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</si>
  <si>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</si>
  <si>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</si>
  <si>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</si>
  <si>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</si>
  <si>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</si>
  <si>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</si>
  <si>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</si>
  <si>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</si>
  <si>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</si>
  <si>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</si>
  <si>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</si>
  <si>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</si>
  <si>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</si>
  <si>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</si>
  <si>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</si>
  <si>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</si>
  <si>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</si>
  <si>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</si>
  <si>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</si>
  <si>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</si>
  <si>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intermittent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</si>
  <si>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</si>
  <si>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</si>
  <si>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</si>
  <si>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</si>
  <si>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</si>
  <si>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</si>
  <si>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</si>
  <si>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</si>
  <si>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</si>
  <si>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</si>
  <si>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</si>
  <si>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</si>
  <si>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</si>
  <si>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</si>
  <si>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</si>
  <si>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</si>
  <si>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</si>
  <si>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</si>
  <si>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</si>
  <si>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Column1</t>
  </si>
  <si>
    <t>Column2</t>
  </si>
  <si>
    <t>TotalPeriods</t>
  </si>
  <si>
    <t>NonZeroPeriods</t>
  </si>
  <si>
    <t>MeanNonZeroDemand</t>
  </si>
  <si>
    <t>StdDevNonZeroDemand</t>
  </si>
  <si>
    <t>ADI</t>
  </si>
  <si>
    <t>CV2</t>
  </si>
  <si>
    <t>MoverType</t>
  </si>
  <si>
    <t>TotalDemand</t>
  </si>
  <si>
    <t>Rank</t>
  </si>
  <si>
    <t>CumulativeDemand</t>
  </si>
  <si>
    <t>CumulativePercent</t>
  </si>
  <si>
    <t>ABC_Class</t>
  </si>
  <si>
    <t>CV_Demand</t>
  </si>
  <si>
    <t>XYZ_Class</t>
  </si>
  <si>
    <t>ABC_XYZ</t>
  </si>
  <si>
    <t>AvgLeadTime</t>
  </si>
  <si>
    <t>StdDevLeadTime</t>
  </si>
  <si>
    <t>LastPeriodDate</t>
  </si>
  <si>
    <t>period_start_date_FIXED</t>
  </si>
  <si>
    <t>MovingAverage_6mo (for Smooth parts)</t>
  </si>
  <si>
    <t>Croston_Forecast (for Intermittent parts) static</t>
  </si>
  <si>
    <t>Part_Boundary</t>
  </si>
  <si>
    <t>PartPeriodIndex</t>
  </si>
  <si>
    <t>LastDemandIndex</t>
  </si>
  <si>
    <t>Z (smoothed demand size)</t>
  </si>
  <si>
    <t>X (smoothed interval)</t>
  </si>
  <si>
    <t>Croston_Recursive_Forecast</t>
  </si>
  <si>
    <t>FinalForecast</t>
  </si>
  <si>
    <t>RecursiveCroston_Final column</t>
  </si>
  <si>
    <t>Z_Score</t>
  </si>
  <si>
    <t>service level</t>
  </si>
  <si>
    <t>SafetyStock</t>
  </si>
  <si>
    <t>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</si>
</sst>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4" fillId="0" borderId="0" xfId="0" applyFont="1"/>
    <xf numFmtId="0" fontId="2" fillId="0" borderId="0" xfId="0" applyFont="1"/>
    <xf numFmtId="9" fontId="0" fillId="0" borderId="0" xfId="1" applyFont="1"/>
    <xf numFmtId="0" fontId="0" fillId="2" borderId="0" xfId="0" applyFill="1"/>
    <xf numFmtId="9" fontId="0" fillId="2" borderId="0" xfId="1" applyFont="1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4" borderId="0" xfId="0" applyFill="1"/>
    <xf numFmtId="0" fontId="0" fillId="5" borderId="0" xfId="0" applyFill="1"/>
  </cellXfs>
  <cellStyles count="2">
    <cellStyle name="Normal" xfId="0" builtinId="0"/>
    <cellStyle name="Percent" xfId="1" builtinId="5"/>
  </cellStyles>
  <dxfs count="36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9823A6-36C9-41BD-A965-29F9F1613AB9}" autoFormatId="16" applyNumberFormats="0" applyBorderFormats="0" applyFontFormats="0" applyPatternFormats="0" applyAlignmentFormats="0" applyWidthHeightFormats="0">
  <queryTableRefresh nextId="25" unboundColumnsRight="9">
    <queryTableFields count="22">
      <queryTableField id="1" name="part_id" tableColumnId="1"/>
      <queryTableField id="2" name="part_class" tableColumnId="2"/>
      <queryTableField id="3" name="ata_chapter" tableColumnId="3"/>
      <queryTableField id="4" name="aircraft_type" tableColumnId="4"/>
      <queryTableField id="5" name="location_id" tableColumnId="5"/>
      <queryTableField id="6" name="period_start_date" tableColumnId="6"/>
      <queryTableField id="7" name="demand_quantity" tableColumnId="7"/>
      <queryTableField id="8" name="issues_quantity" tableColumnId="8"/>
      <queryTableField id="9" name="opening_inventory" tableColumnId="9"/>
      <queryTableField id="10" name="closing_inventory" tableColumnId="10"/>
      <queryTableField id="11" name="stockout_indicator" tableColumnId="11"/>
      <queryTableField id="12" name="flight_cycles" tableColumnId="12"/>
      <queryTableField id="13" name="lead_time_days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24" dataBound="0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CECEA-CF61-4FD6-9C93-74DC8E7AFF12}" name="RawData" displayName="RawData" ref="A1:V4321" tableType="queryTable" totalsRowShown="0">
  <autoFilter ref="A1:V4321" xr:uid="{559CECEA-CF61-4FD6-9C93-74DC8E7AFF12}"/>
  <sortState xmlns:xlrd2="http://schemas.microsoft.com/office/spreadsheetml/2017/richdata2" ref="A2:R4321">
    <sortCondition ref="A2:A4321"/>
  </sortState>
  <tableColumns count="22">
    <tableColumn id="1" xr3:uid="{2846D9F0-D877-4A32-A821-8535CB1895F8}" uniqueName="1" name="part_id" queryTableFieldId="1" dataDxfId="35"/>
    <tableColumn id="2" xr3:uid="{FE3A2692-C9D2-4DBC-AD93-52CD7B5DA551}" uniqueName="2" name="part_class" queryTableFieldId="2" dataDxfId="34"/>
    <tableColumn id="3" xr3:uid="{D590FE04-4163-4749-84B5-E6D0ED02ADAC}" uniqueName="3" name="ata_chapter" queryTableFieldId="3"/>
    <tableColumn id="4" xr3:uid="{9F76D6A8-7FF4-4AAC-B895-41688C5DCB83}" uniqueName="4" name="aircraft_type" queryTableFieldId="4" dataDxfId="33"/>
    <tableColumn id="5" xr3:uid="{27E8827A-5D62-42DD-B0F1-7A3F35CB8DF2}" uniqueName="5" name="location_id" queryTableFieldId="5" dataDxfId="32"/>
    <tableColumn id="6" xr3:uid="{090BE0A6-13DE-4F35-9D7C-BEC7C7D4B291}" uniqueName="6" name="period_start_date" queryTableFieldId="6" dataDxfId="31"/>
    <tableColumn id="7" xr3:uid="{F93391DE-162A-451C-AFEF-16AE633615FE}" uniqueName="7" name="demand_quantity" queryTableFieldId="7"/>
    <tableColumn id="8" xr3:uid="{8B779A9F-0FB2-4E3D-9343-44AA0E8AC064}" uniqueName="8" name="issues_quantity" queryTableFieldId="8"/>
    <tableColumn id="9" xr3:uid="{0FDB1100-B404-49BC-984C-07A0E7D1D53D}" uniqueName="9" name="opening_inventory" queryTableFieldId="9"/>
    <tableColumn id="10" xr3:uid="{D7ED05BF-8106-403D-A778-A80E6D99786E}" uniqueName="10" name="closing_inventory" queryTableFieldId="10"/>
    <tableColumn id="11" xr3:uid="{28CE0438-4A65-4A0A-8827-0D1A0A03CDBD}" uniqueName="11" name="stockout_indicator" queryTableFieldId="11"/>
    <tableColumn id="12" xr3:uid="{3EFFA162-8668-4827-942F-B7765872401C}" uniqueName="12" name="flight_cycles" queryTableFieldId="12"/>
    <tableColumn id="13" xr3:uid="{0CE4062F-1978-4B6D-A162-67D5F6CF9FEC}" uniqueName="13" name="lead_time_days" queryTableFieldId="13"/>
    <tableColumn id="14" xr3:uid="{83FD286B-C394-4D6C-82A5-96EDA46344E7}" uniqueName="14" name="Column1" queryTableFieldId="14" dataDxfId="30">
      <calculatedColumnFormula>MAX(F:F)</calculatedColumnFormula>
    </tableColumn>
    <tableColumn id="15" xr3:uid="{5250EDB5-7258-415A-9EC2-7B9EEC1E44CD}" uniqueName="15" name="Column2" queryTableFieldId="15" dataDxfId="29">
      <calculatedColumnFormula>MIN(F:F)</calculatedColumnFormula>
    </tableColumn>
    <tableColumn id="16" xr3:uid="{1BFEDC12-2182-447C-904D-BD0F1713F017}" uniqueName="16" name="period_start_date_FIXED" queryTableFieldId="16" dataDxfId="28">
      <calculatedColumnFormula>DATE(YEAR(F2), DAY(F2), 1)</calculatedColumnFormula>
    </tableColumn>
    <tableColumn id="17" xr3:uid="{1E9582DA-B7CB-48A2-99BE-989EBE16669B}" uniqueName="17" name="Part_Boundary" queryTableFieldId="17" dataDxfId="27">
      <calculatedColumnFormula xml:space="preserve"> IF(A2&lt;&gt;A1, 1, 0)</calculatedColumnFormula>
    </tableColumn>
    <tableColumn id="18" xr3:uid="{64081CD2-80C6-4A9B-A596-00F1AE4B0D0A}" uniqueName="18" name="PartPeriodIndex" queryTableFieldId="18" dataDxfId="26">
      <calculatedColumnFormula>IF(Q2=1,1,R1+1)</calculatedColumnFormula>
    </tableColumn>
    <tableColumn id="19" xr3:uid="{09CA18D3-3CC0-4EB2-ABCA-C23FAEB413D1}" uniqueName="19" name="LastDemandIndex" queryTableFieldId="19" dataDxfId="25">
      <calculatedColumnFormula xml:space="preserve"> IF(Q2=1, IF(G2&gt;0, R2, 0), IF(G2&gt;0, R2, OFFSET(S2,-1,0)))</calculatedColumnFormula>
    </tableColumn>
    <tableColumn id="20" xr3:uid="{231E9626-3A35-4FC3-AB0B-F41CBFCD5868}" uniqueName="20" name="Z (smoothed demand size)" queryTableFieldId="20" dataDxfId="24">
      <calculatedColumnFormula xml:space="preserve"> IF(Q2=1, IF(G2&gt;0, G2, 0), IF(G2&gt;0, $X$1*G2+(1-$X$1)*OFFSET(T2,-1,0), OFFSET(T2,-1,0)))</calculatedColumnFormula>
    </tableColumn>
    <tableColumn id="21" xr3:uid="{456B9A14-11DA-4BF3-9D7D-CCDDD54940B2}" uniqueName="21" name="X (smoothed interval)" queryTableFieldId="21" dataDxfId="23">
      <calculatedColumnFormula xml:space="preserve"> IF(Q2=1, 1, IF(G2&gt;0, $X$1*(R2-OFFSET(S2,-1,0))+(1-$X$1)*OFFSET(U2,-1,0), OFFSET(U2,-1,0)))</calculatedColumnFormula>
    </tableColumn>
    <tableColumn id="24" xr3:uid="{8C41778E-FE52-4AA3-8980-F417BD5D8AC3}" uniqueName="24" name="Croston_Recursive_Forecast" queryTableFieldId="24" dataDxfId="22">
      <calculatedColumnFormula>RawData[[#This Row],[Z (smoothed demand size)]]/RawData[[#This Row],[X (smoothed interval)]]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06A802-C1D7-4E7F-B350-6F268F009654}" name="PartSummary" displayName="PartSummary" ref="A1:Z61" totalsRowShown="0">
  <autoFilter ref="A1:Z61" xr:uid="{8A06A802-C1D7-4E7F-B350-6F268F009654}"/>
  <sortState xmlns:xlrd2="http://schemas.microsoft.com/office/spreadsheetml/2017/richdata2" ref="A2:P61">
    <sortCondition ref="J1:J61"/>
  </sortState>
  <tableColumns count="26">
    <tableColumn id="1" xr3:uid="{EF11C242-531D-4092-ABFA-FA44535C7D00}" name="part_id"/>
    <tableColumn id="2" xr3:uid="{ADB3BAD4-E7C5-4976-A9CF-3006EB4492C8}" name="TotalPeriods">
      <calculatedColumnFormula>72</calculatedColumnFormula>
    </tableColumn>
    <tableColumn id="3" xr3:uid="{8B24C2CA-CBF3-45FE-8C10-2511989B3DBD}" name="NonZeroPeriods">
      <calculatedColumnFormula xml:space="preserve"> COUNTIFS(RawData[part_id], A2, RawData[demand_quantity], "&gt;0")</calculatedColumnFormula>
    </tableColumn>
    <tableColumn id="4" xr3:uid="{0E11960C-FFE5-4D61-849A-281DC082BD6F}" name="MeanNonZeroDemand" dataDxfId="21">
      <calculatedColumnFormula xml:space="preserve"> AVERAGEIFS(RawData[demand_quantity], RawData[part_id], A2, RawData[demand_quantity], "&gt;0")</calculatedColumnFormula>
    </tableColumn>
    <tableColumn id="5" xr3:uid="{2649C3FE-E242-4748-9BF0-9309BDD99890}" name="StdDevNonZeroDemand" dataDxfId="20">
      <calculatedColumnFormula array="1" xml:space="preserve"> _xlfn.STDEV.S(IF((RawData[part_id]=A2)*(RawData[demand_quantity]&gt;0), RawData[demand_quantity]))</calculatedColumnFormula>
    </tableColumn>
    <tableColumn id="6" xr3:uid="{1E9768CB-AF7F-4CA6-B12C-8CFE16DFC36A}" name="ADI" dataDxfId="19">
      <calculatedColumnFormula>PartSummary[[#This Row],[TotalPeriods]]/PartSummary[[#This Row],[NonZeroPeriods]]</calculatedColumnFormula>
    </tableColumn>
    <tableColumn id="7" xr3:uid="{4CBFAC42-4D7D-4497-9B54-8D0669F26468}" name="CV2" dataDxfId="18">
      <calculatedColumnFormula>(E2 / D2) ^ 2</calculatedColumnFormula>
    </tableColumn>
    <tableColumn id="8" xr3:uid="{B76FCE71-3B39-4E88-A3B1-93D60EA65B2D}" name="MoverType" dataDxfId="17">
      <calculatedColumnFormula xml:space="preserve"> IF(F2&lt;=1.32, IF(G2&lt;=0.49, "Smooth", "Erratic"), IF(G2&lt;=0.49, "Intermittent", "Lumpy"))</calculatedColumnFormula>
    </tableColumn>
    <tableColumn id="9" xr3:uid="{22ACF5FC-13C8-4695-86EE-76278C44183E}" name="TotalDemand" dataDxfId="16">
      <calculatedColumnFormula>SUMIFS('RawData'!G:G,'RawData'!A:A,PartSummary[[#This Row],[part_id]])</calculatedColumnFormula>
    </tableColumn>
    <tableColumn id="10" xr3:uid="{FB49963B-B194-441E-9703-EEB0A287658E}" name="Rank" dataDxfId="15">
      <calculatedColumnFormula xml:space="preserve"> _xlfn.RANK.EQ(I2, $I$2:$I$61, 0)</calculatedColumnFormula>
    </tableColumn>
    <tableColumn id="11" xr3:uid="{03013D88-6B60-4F41-B403-BD36C19FAEF7}" name="CumulativeDemand" dataDxfId="14">
      <calculatedColumnFormula>SUMIFS($I$2:$I$61, $J$2:$J$61, "&lt;="&amp;J2)</calculatedColumnFormula>
    </tableColumn>
    <tableColumn id="12" xr3:uid="{6C1744B0-1386-4492-99B0-CE50C84FEDD9}" name="CumulativePercent" dataCellStyle="Percent">
      <calculatedColumnFormula xml:space="preserve"> K2 / SUM($I$2:$I$61)</calculatedColumnFormula>
    </tableColumn>
    <tableColumn id="13" xr3:uid="{434A8572-6C13-4649-9049-AF4EB146B254}" name="ABC_Class" dataDxfId="13">
      <calculatedColumnFormula>IF(L2&lt;=0.8, "A", IF(L2&lt;=0.95, "B", "C"))</calculatedColumnFormula>
    </tableColumn>
    <tableColumn id="14" xr3:uid="{2DBCE625-7C43-4282-994E-D7F8FAD7660C}" name="CV_Demand" dataDxfId="12">
      <calculatedColumnFormula>PartSummary[[#This Row],[StdDevNonZeroDemand]]/PartSummary[[#This Row],[MeanNonZeroDemand]]</calculatedColumnFormula>
    </tableColumn>
    <tableColumn id="15" xr3:uid="{912E9BDD-E947-4B5B-B484-E05692515910}" name="XYZ_Class" dataDxfId="11">
      <calculatedColumnFormula xml:space="preserve"> IF(N2&lt;=0.5, "X", IF(N2&lt;=1, "Y", "Z"))</calculatedColumnFormula>
    </tableColumn>
    <tableColumn id="16" xr3:uid="{3A0A74BD-089F-449D-9B65-118B3DEFB7BA}" name="ABC_XYZ" dataDxfId="10">
      <calculatedColumnFormula>M2 &amp; O2</calculatedColumnFormula>
    </tableColumn>
    <tableColumn id="17" xr3:uid="{6B2F869E-E484-4D14-BC83-D3539BDC2651}" name="AvgLeadTime" dataDxfId="9">
      <calculatedColumnFormula>AVERAGEIFS('RawData'!M:M,'RawData'!A:A,PartSummary[[#This Row],[part_id]])</calculatedColumnFormula>
    </tableColumn>
    <tableColumn id="18" xr3:uid="{1D44FA46-E7F4-4DC3-8222-461734DD43EC}" name="StdDevLeadTime" dataDxfId="8">
      <calculatedColumnFormula array="1">_xlfn.STDEV.S(IF('RawData'!A:A=PartSummary[[#This Row],[part_id]],'RawData'!M:M))</calculatedColumnFormula>
    </tableColumn>
    <tableColumn id="21" xr3:uid="{4B7040F7-3CC9-4604-B4DE-A0F2C2381A3E}" name="LastPeriodDate" dataDxfId="7">
      <calculatedColumnFormula array="1" xml:space="preserve"> MAX(IF(RawData[part_id]=A2, RawData[period_start_date_FIXED]))</calculatedColumnFormula>
    </tableColumn>
    <tableColumn id="22" xr3:uid="{D1EE4F1A-BF30-433C-A92E-EB84C0DEA250}" name="MovingAverage_6mo (for Smooth parts)" dataDxfId="6">
      <calculatedColumnFormula xml:space="preserve"> AVERAGEIFS(RawData[demand_quantity], RawData[part_id], A2, RawData[period_start_date_FIXED], "&gt;"&amp;EDATE(S2,-6))</calculatedColumnFormula>
    </tableColumn>
    <tableColumn id="23" xr3:uid="{30A86C5D-9EEB-4A67-A8A9-CA87F331B7AB}" name="Croston_Forecast (for Intermittent parts) static" dataDxfId="5">
      <calculatedColumnFormula array="1">(LOOKUP(2,1/((RawData[part_id]=A2)*(RawData[demand_quantity]&lt;&gt;0)), RawData[demand_quantity])) / F2</calculatedColumnFormula>
    </tableColumn>
    <tableColumn id="25" xr3:uid="{E517B36E-FAB8-42AF-96A9-3CB1118A454A}" name="RecursiveCroston_Final column" dataDxfId="4">
      <calculatedColumnFormula array="1" xml:space="preserve"> LOOKUP(2,1/(RawData[part_id]=A2), RawData[Croston_Recursive_Forecast])</calculatedColumnFormula>
    </tableColumn>
    <tableColumn id="26" xr3:uid="{4E42F732-593C-4BC0-A8E3-496D9A43C93D}" name="FinalForecast" dataDxfId="3">
      <calculatedColumnFormula xml:space="preserve"> IF(H2="Smooth", T2, IF(H2="Intermittent", V2, (1-0.2/2)*V2))</calculatedColumnFormula>
    </tableColumn>
    <tableColumn id="27" xr3:uid="{ED24337F-1653-485A-B1F2-A959AAAA159D}" name="Z_Score" dataDxfId="2">
      <calculatedColumnFormula>_xlfn.NORM.S.INV($AB$1)</calculatedColumnFormula>
    </tableColumn>
    <tableColumn id="28" xr3:uid="{D33B0D04-5156-4E9F-8993-06BEB07BACBF}" name="SafetyStock" dataDxfId="1">
      <calculatedColumnFormula xml:space="preserve"> X2 * SQRT(((Q2/30) * E2^2) + (D2^2 * (R2/30)^2))</calculatedColumnFormula>
    </tableColumn>
    <tableColumn id="29" xr3:uid="{B44EFDA0-A1B5-4402-910F-893D354E662A}" name="ROP" dataDxfId="0">
      <calculatedColumnFormula xml:space="preserve"> (W2 * (Q2/30)) + Y2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88510-EA1F-4991-ABEE-77B7525FD883}">
  <dimension ref="A1:X4326"/>
  <sheetViews>
    <sheetView tabSelected="1" topLeftCell="A4288" workbookViewId="0">
      <pane xSplit="1" topLeftCell="L1" activePane="topRight" state="frozen"/>
      <selection pane="topRight" activeCell="L4324" sqref="L4324"/>
    </sheetView>
  </sheetViews>
  <sheetFormatPr defaultRowHeight="15"/>
  <cols>
    <col min="1" max="1" width="9.5703125" bestFit="1" customWidth="1"/>
    <col min="2" max="2" width="12.7109375" bestFit="1" customWidth="1"/>
    <col min="3" max="3" width="13.7109375" bestFit="1" customWidth="1"/>
    <col min="4" max="4" width="14.5703125" bestFit="1" customWidth="1"/>
    <col min="5" max="5" width="13.140625" bestFit="1" customWidth="1"/>
    <col min="6" max="6" width="19.28515625" customWidth="1"/>
    <col min="7" max="7" width="19.140625" bestFit="1" customWidth="1"/>
    <col min="8" max="8" width="17.28515625" customWidth="1"/>
    <col min="9" max="9" width="20.42578125" customWidth="1"/>
    <col min="10" max="10" width="19.140625" customWidth="1"/>
    <col min="11" max="11" width="20" customWidth="1"/>
    <col min="12" max="12" width="14.28515625" customWidth="1"/>
    <col min="13" max="13" width="17.42578125" customWidth="1"/>
    <col min="14" max="14" width="9.7109375" style="1" customWidth="1"/>
    <col min="15" max="15" width="9.140625" style="1" customWidth="1"/>
    <col min="16" max="16" width="27.42578125" customWidth="1"/>
    <col min="17" max="17" width="18.5703125" customWidth="1"/>
    <col min="18" max="18" width="26.28515625" style="9" customWidth="1"/>
    <col min="19" max="19" width="25" style="8" customWidth="1"/>
    <col min="20" max="20" width="28.85546875" customWidth="1"/>
    <col min="21" max="21" width="25" customWidth="1"/>
    <col min="22" max="22" width="32.2851562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80</v>
      </c>
      <c r="O1" s="1" t="s">
        <v>81</v>
      </c>
      <c r="P1" t="s">
        <v>100</v>
      </c>
      <c r="Q1" t="s">
        <v>103</v>
      </c>
      <c r="R1" s="3" t="s">
        <v>104</v>
      </c>
      <c r="S1" s="8" t="s">
        <v>105</v>
      </c>
      <c r="T1" s="3" t="s">
        <v>106</v>
      </c>
      <c r="U1" t="s">
        <v>107</v>
      </c>
      <c r="V1" t="s">
        <v>108</v>
      </c>
      <c r="X1">
        <v>0.2</v>
      </c>
    </row>
    <row r="2" spans="1:24">
      <c r="A2" t="s">
        <v>13</v>
      </c>
      <c r="B2" t="s">
        <v>14</v>
      </c>
      <c r="C2">
        <v>32</v>
      </c>
      <c r="D2" t="s">
        <v>15</v>
      </c>
      <c r="E2" t="s">
        <v>16</v>
      </c>
      <c r="F2" s="1">
        <v>43101</v>
      </c>
      <c r="G2">
        <v>11</v>
      </c>
      <c r="H2">
        <v>11</v>
      </c>
      <c r="I2">
        <v>23</v>
      </c>
      <c r="J2">
        <v>12</v>
      </c>
      <c r="K2">
        <v>0</v>
      </c>
      <c r="L2">
        <v>609</v>
      </c>
      <c r="M2">
        <v>15</v>
      </c>
      <c r="N2" s="1">
        <f t="shared" ref="N2:N65" si="0">MAX(F:F)</f>
        <v>44938</v>
      </c>
      <c r="O2" s="1">
        <f t="shared" ref="O2:O65" si="1">MIN(F:F)</f>
        <v>43101</v>
      </c>
      <c r="P2" s="1">
        <f t="shared" ref="P2:P65" si="2">DATE(YEAR(F2), DAY(F2), 1)</f>
        <v>43101</v>
      </c>
      <c r="Q2" s="8">
        <f t="shared" ref="Q2:Q65" si="3" xml:space="preserve"> IF(A2&lt;&gt;A1, 1, 0)</f>
        <v>1</v>
      </c>
      <c r="R2" s="8">
        <f t="shared" ref="R2:R65" si="4">IF(Q2=1,1,R1+1)</f>
        <v>1</v>
      </c>
      <c r="S2" s="8">
        <f t="shared" ref="S2:S65" ca="1" si="5" xml:space="preserve"> IF(Q2=1, IF(G2&gt;0, R2, 0), IF(G2&gt;0, R2, OFFSET(S2,-1,0)))</f>
        <v>1</v>
      </c>
      <c r="T2">
        <f t="shared" ref="T2:T65" ca="1" si="6" xml:space="preserve"> IF(Q2=1, IF(G2&gt;0, G2, 0), IF(G2&gt;0, $X$1*G2+(1-$X$1)*OFFSET(T2,-1,0), OFFSET(T2,-1,0)))</f>
        <v>11</v>
      </c>
      <c r="U2" s="8">
        <f t="shared" ref="U2:U65" ca="1" si="7" xml:space="preserve"> IF(Q2=1, 1, IF(G2&gt;0, $X$1*(R2-OFFSET(S2,-1,0))+(1-$X$1)*OFFSET(U2,-1,0), OFFSET(U2,-1,0)))</f>
        <v>1</v>
      </c>
      <c r="V2" s="8">
        <f ca="1">RawData[[#This Row],[Z (smoothed demand size)]]/RawData[[#This Row],[X (smoothed interval)]]</f>
        <v>11</v>
      </c>
    </row>
    <row r="3" spans="1:24">
      <c r="A3" t="s">
        <v>13</v>
      </c>
      <c r="B3" t="s">
        <v>14</v>
      </c>
      <c r="C3">
        <v>32</v>
      </c>
      <c r="D3" t="s">
        <v>15</v>
      </c>
      <c r="E3" t="s">
        <v>16</v>
      </c>
      <c r="F3" s="1">
        <v>43102</v>
      </c>
      <c r="G3">
        <v>11</v>
      </c>
      <c r="H3">
        <v>11</v>
      </c>
      <c r="I3">
        <v>12</v>
      </c>
      <c r="J3">
        <v>1</v>
      </c>
      <c r="K3">
        <v>0</v>
      </c>
      <c r="L3">
        <v>609</v>
      </c>
      <c r="M3">
        <v>15</v>
      </c>
      <c r="N3" s="1">
        <f t="shared" si="0"/>
        <v>44938</v>
      </c>
      <c r="O3" s="1">
        <f t="shared" si="1"/>
        <v>43101</v>
      </c>
      <c r="P3" s="1">
        <f t="shared" si="2"/>
        <v>43132</v>
      </c>
      <c r="Q3" s="8">
        <f t="shared" si="3"/>
        <v>0</v>
      </c>
      <c r="R3" s="8">
        <f t="shared" si="4"/>
        <v>2</v>
      </c>
      <c r="S3" s="8">
        <f t="shared" ca="1" si="5"/>
        <v>2</v>
      </c>
      <c r="T3">
        <f t="shared" ca="1" si="6"/>
        <v>11</v>
      </c>
      <c r="U3" s="8">
        <f t="shared" ca="1" si="7"/>
        <v>1</v>
      </c>
      <c r="V3" s="8">
        <f ca="1">RawData[[#This Row],[Z (smoothed demand size)]]/RawData[[#This Row],[X (smoothed interval)]]</f>
        <v>11</v>
      </c>
    </row>
    <row r="4" spans="1:24">
      <c r="A4" t="s">
        <v>13</v>
      </c>
      <c r="B4" t="s">
        <v>14</v>
      </c>
      <c r="C4">
        <v>32</v>
      </c>
      <c r="D4" t="s">
        <v>15</v>
      </c>
      <c r="E4" t="s">
        <v>16</v>
      </c>
      <c r="F4" s="1">
        <v>43103</v>
      </c>
      <c r="G4">
        <v>6</v>
      </c>
      <c r="H4">
        <v>6</v>
      </c>
      <c r="I4">
        <v>8</v>
      </c>
      <c r="J4">
        <v>2</v>
      </c>
      <c r="K4">
        <v>0</v>
      </c>
      <c r="L4">
        <v>610</v>
      </c>
      <c r="M4">
        <v>30</v>
      </c>
      <c r="N4" s="1">
        <f t="shared" si="0"/>
        <v>44938</v>
      </c>
      <c r="O4" s="1">
        <f t="shared" si="1"/>
        <v>43101</v>
      </c>
      <c r="P4" s="1">
        <f t="shared" si="2"/>
        <v>43160</v>
      </c>
      <c r="Q4" s="8">
        <f t="shared" si="3"/>
        <v>0</v>
      </c>
      <c r="R4" s="8">
        <f t="shared" si="4"/>
        <v>3</v>
      </c>
      <c r="S4" s="8">
        <f t="shared" ca="1" si="5"/>
        <v>3</v>
      </c>
      <c r="T4">
        <f t="shared" ca="1" si="6"/>
        <v>10</v>
      </c>
      <c r="U4" s="8">
        <f t="shared" ca="1" si="7"/>
        <v>1</v>
      </c>
      <c r="V4" s="8">
        <f ca="1">RawData[[#This Row],[Z (smoothed demand size)]]/RawData[[#This Row],[X (smoothed interval)]]</f>
        <v>10</v>
      </c>
    </row>
    <row r="5" spans="1:24">
      <c r="A5" t="s">
        <v>13</v>
      </c>
      <c r="B5" t="s">
        <v>14</v>
      </c>
      <c r="C5">
        <v>32</v>
      </c>
      <c r="D5" t="s">
        <v>15</v>
      </c>
      <c r="E5" t="s">
        <v>16</v>
      </c>
      <c r="F5" s="1">
        <v>43104</v>
      </c>
      <c r="G5">
        <v>10</v>
      </c>
      <c r="H5">
        <v>10</v>
      </c>
      <c r="I5">
        <v>13</v>
      </c>
      <c r="J5">
        <v>3</v>
      </c>
      <c r="K5">
        <v>0</v>
      </c>
      <c r="L5">
        <v>605</v>
      </c>
      <c r="M5">
        <v>15</v>
      </c>
      <c r="N5" s="1">
        <f t="shared" si="0"/>
        <v>44938</v>
      </c>
      <c r="O5" s="1">
        <f t="shared" si="1"/>
        <v>43101</v>
      </c>
      <c r="P5" s="1">
        <f t="shared" si="2"/>
        <v>43191</v>
      </c>
      <c r="Q5" s="8">
        <f t="shared" si="3"/>
        <v>0</v>
      </c>
      <c r="R5" s="8">
        <f t="shared" si="4"/>
        <v>4</v>
      </c>
      <c r="S5" s="8">
        <f t="shared" ca="1" si="5"/>
        <v>4</v>
      </c>
      <c r="T5">
        <f t="shared" ca="1" si="6"/>
        <v>10</v>
      </c>
      <c r="U5" s="8">
        <f t="shared" ca="1" si="7"/>
        <v>1</v>
      </c>
      <c r="V5" s="8">
        <f ca="1">RawData[[#This Row],[Z (smoothed demand size)]]/RawData[[#This Row],[X (smoothed interval)]]</f>
        <v>10</v>
      </c>
    </row>
    <row r="6" spans="1:24">
      <c r="A6" t="s">
        <v>13</v>
      </c>
      <c r="B6" t="s">
        <v>14</v>
      </c>
      <c r="C6">
        <v>32</v>
      </c>
      <c r="D6" t="s">
        <v>15</v>
      </c>
      <c r="E6" t="s">
        <v>16</v>
      </c>
      <c r="F6" s="1">
        <v>43105</v>
      </c>
      <c r="G6">
        <v>9</v>
      </c>
      <c r="H6">
        <v>9</v>
      </c>
      <c r="I6">
        <v>15</v>
      </c>
      <c r="J6">
        <v>6</v>
      </c>
      <c r="K6">
        <v>0</v>
      </c>
      <c r="L6">
        <v>603</v>
      </c>
      <c r="M6">
        <v>30</v>
      </c>
      <c r="N6" s="1">
        <f t="shared" si="0"/>
        <v>44938</v>
      </c>
      <c r="O6" s="1">
        <f t="shared" si="1"/>
        <v>43101</v>
      </c>
      <c r="P6" s="1">
        <f t="shared" si="2"/>
        <v>43221</v>
      </c>
      <c r="Q6" s="8">
        <f t="shared" si="3"/>
        <v>0</v>
      </c>
      <c r="R6" s="8">
        <f t="shared" si="4"/>
        <v>5</v>
      </c>
      <c r="S6" s="8">
        <f t="shared" ca="1" si="5"/>
        <v>5</v>
      </c>
      <c r="T6">
        <f t="shared" ca="1" si="6"/>
        <v>9.8000000000000007</v>
      </c>
      <c r="U6" s="8">
        <f t="shared" ca="1" si="7"/>
        <v>1</v>
      </c>
      <c r="V6" s="8">
        <f ca="1">RawData[[#This Row],[Z (smoothed demand size)]]/RawData[[#This Row],[X (smoothed interval)]]</f>
        <v>9.8000000000000007</v>
      </c>
    </row>
    <row r="7" spans="1:24">
      <c r="A7" t="s">
        <v>13</v>
      </c>
      <c r="B7" t="s">
        <v>14</v>
      </c>
      <c r="C7">
        <v>32</v>
      </c>
      <c r="D7" t="s">
        <v>15</v>
      </c>
      <c r="E7" t="s">
        <v>16</v>
      </c>
      <c r="F7" s="1">
        <v>43106</v>
      </c>
      <c r="G7">
        <v>10</v>
      </c>
      <c r="H7">
        <v>10</v>
      </c>
      <c r="I7">
        <v>13</v>
      </c>
      <c r="J7">
        <v>3</v>
      </c>
      <c r="K7">
        <v>0</v>
      </c>
      <c r="L7">
        <v>696</v>
      </c>
      <c r="M7">
        <v>30</v>
      </c>
      <c r="N7" s="1">
        <f t="shared" si="0"/>
        <v>44938</v>
      </c>
      <c r="O7" s="1">
        <f t="shared" si="1"/>
        <v>43101</v>
      </c>
      <c r="P7" s="1">
        <f t="shared" si="2"/>
        <v>43252</v>
      </c>
      <c r="Q7" s="8">
        <f t="shared" si="3"/>
        <v>0</v>
      </c>
      <c r="R7" s="8">
        <f t="shared" si="4"/>
        <v>6</v>
      </c>
      <c r="S7" s="8">
        <f t="shared" ca="1" si="5"/>
        <v>6</v>
      </c>
      <c r="T7">
        <f t="shared" ca="1" si="6"/>
        <v>9.84</v>
      </c>
      <c r="U7" s="8">
        <f t="shared" ca="1" si="7"/>
        <v>1</v>
      </c>
      <c r="V7" s="8">
        <f ca="1">RawData[[#This Row],[Z (smoothed demand size)]]/RawData[[#This Row],[X (smoothed interval)]]</f>
        <v>9.84</v>
      </c>
    </row>
    <row r="8" spans="1:24">
      <c r="A8" t="s">
        <v>13</v>
      </c>
      <c r="B8" t="s">
        <v>14</v>
      </c>
      <c r="C8">
        <v>32</v>
      </c>
      <c r="D8" t="s">
        <v>15</v>
      </c>
      <c r="E8" t="s">
        <v>16</v>
      </c>
      <c r="F8" s="1">
        <v>43107</v>
      </c>
      <c r="G8">
        <v>7</v>
      </c>
      <c r="H8">
        <v>7</v>
      </c>
      <c r="I8">
        <v>14</v>
      </c>
      <c r="J8">
        <v>7</v>
      </c>
      <c r="K8">
        <v>0</v>
      </c>
      <c r="L8">
        <v>685</v>
      </c>
      <c r="M8">
        <v>15</v>
      </c>
      <c r="N8" s="1">
        <f t="shared" si="0"/>
        <v>44938</v>
      </c>
      <c r="O8" s="1">
        <f t="shared" si="1"/>
        <v>43101</v>
      </c>
      <c r="P8" s="1">
        <f t="shared" si="2"/>
        <v>43282</v>
      </c>
      <c r="Q8" s="8">
        <f t="shared" si="3"/>
        <v>0</v>
      </c>
      <c r="R8" s="8">
        <f t="shared" si="4"/>
        <v>7</v>
      </c>
      <c r="S8" s="8">
        <f t="shared" ca="1" si="5"/>
        <v>7</v>
      </c>
      <c r="T8">
        <f t="shared" ca="1" si="6"/>
        <v>9.2720000000000002</v>
      </c>
      <c r="U8" s="8">
        <f t="shared" ca="1" si="7"/>
        <v>1</v>
      </c>
      <c r="V8" s="8">
        <f ca="1">RawData[[#This Row],[Z (smoothed demand size)]]/RawData[[#This Row],[X (smoothed interval)]]</f>
        <v>9.2720000000000002</v>
      </c>
    </row>
    <row r="9" spans="1:24">
      <c r="A9" t="s">
        <v>13</v>
      </c>
      <c r="B9" t="s">
        <v>14</v>
      </c>
      <c r="C9">
        <v>32</v>
      </c>
      <c r="D9" t="s">
        <v>15</v>
      </c>
      <c r="E9" t="s">
        <v>16</v>
      </c>
      <c r="F9" s="1">
        <v>43108</v>
      </c>
      <c r="G9">
        <v>9</v>
      </c>
      <c r="H9">
        <v>9</v>
      </c>
      <c r="I9">
        <v>14</v>
      </c>
      <c r="J9">
        <v>5</v>
      </c>
      <c r="K9">
        <v>0</v>
      </c>
      <c r="L9">
        <v>687</v>
      </c>
      <c r="M9">
        <v>60</v>
      </c>
      <c r="N9" s="1">
        <f t="shared" si="0"/>
        <v>44938</v>
      </c>
      <c r="O9" s="1">
        <f t="shared" si="1"/>
        <v>43101</v>
      </c>
      <c r="P9" s="1">
        <f t="shared" si="2"/>
        <v>43313</v>
      </c>
      <c r="Q9" s="8">
        <f t="shared" si="3"/>
        <v>0</v>
      </c>
      <c r="R9" s="8">
        <f t="shared" si="4"/>
        <v>8</v>
      </c>
      <c r="S9" s="8">
        <f t="shared" ca="1" si="5"/>
        <v>8</v>
      </c>
      <c r="T9">
        <f t="shared" ca="1" si="6"/>
        <v>9.2176000000000009</v>
      </c>
      <c r="U9" s="8">
        <f t="shared" ca="1" si="7"/>
        <v>1</v>
      </c>
      <c r="V9" s="8">
        <f ca="1">RawData[[#This Row],[Z (smoothed demand size)]]/RawData[[#This Row],[X (smoothed interval)]]</f>
        <v>9.2176000000000009</v>
      </c>
    </row>
    <row r="10" spans="1:24">
      <c r="A10" t="s">
        <v>13</v>
      </c>
      <c r="B10" t="s">
        <v>14</v>
      </c>
      <c r="C10">
        <v>32</v>
      </c>
      <c r="D10" t="s">
        <v>15</v>
      </c>
      <c r="E10" t="s">
        <v>16</v>
      </c>
      <c r="F10" s="1">
        <v>43109</v>
      </c>
      <c r="G10">
        <v>8</v>
      </c>
      <c r="H10">
        <v>5</v>
      </c>
      <c r="I10">
        <v>5</v>
      </c>
      <c r="J10">
        <v>0</v>
      </c>
      <c r="K10">
        <v>1</v>
      </c>
      <c r="L10">
        <v>598</v>
      </c>
      <c r="M10">
        <v>30</v>
      </c>
      <c r="N10" s="1">
        <f t="shared" si="0"/>
        <v>44938</v>
      </c>
      <c r="O10" s="1">
        <f t="shared" si="1"/>
        <v>43101</v>
      </c>
      <c r="P10" s="1">
        <f t="shared" si="2"/>
        <v>43344</v>
      </c>
      <c r="Q10" s="8">
        <f t="shared" si="3"/>
        <v>0</v>
      </c>
      <c r="R10" s="8">
        <f t="shared" si="4"/>
        <v>9</v>
      </c>
      <c r="S10" s="8">
        <f t="shared" ca="1" si="5"/>
        <v>9</v>
      </c>
      <c r="T10">
        <f t="shared" ca="1" si="6"/>
        <v>8.9740800000000007</v>
      </c>
      <c r="U10" s="8">
        <f t="shared" ca="1" si="7"/>
        <v>1</v>
      </c>
      <c r="V10" s="8">
        <f ca="1">RawData[[#This Row],[Z (smoothed demand size)]]/RawData[[#This Row],[X (smoothed interval)]]</f>
        <v>8.9740800000000007</v>
      </c>
    </row>
    <row r="11" spans="1:24">
      <c r="A11" t="s">
        <v>13</v>
      </c>
      <c r="B11" t="s">
        <v>14</v>
      </c>
      <c r="C11">
        <v>32</v>
      </c>
      <c r="D11" t="s">
        <v>15</v>
      </c>
      <c r="E11" t="s">
        <v>16</v>
      </c>
      <c r="F11" s="1">
        <v>43110</v>
      </c>
      <c r="G11">
        <v>9</v>
      </c>
      <c r="H11">
        <v>9</v>
      </c>
      <c r="I11">
        <v>10</v>
      </c>
      <c r="J11">
        <v>1</v>
      </c>
      <c r="K11">
        <v>0</v>
      </c>
      <c r="L11">
        <v>600</v>
      </c>
      <c r="M11">
        <v>60</v>
      </c>
      <c r="N11" s="1">
        <f t="shared" si="0"/>
        <v>44938</v>
      </c>
      <c r="O11" s="1">
        <f t="shared" si="1"/>
        <v>43101</v>
      </c>
      <c r="P11" s="1">
        <f t="shared" si="2"/>
        <v>43374</v>
      </c>
      <c r="Q11" s="8">
        <f t="shared" si="3"/>
        <v>0</v>
      </c>
      <c r="R11" s="8">
        <f t="shared" si="4"/>
        <v>10</v>
      </c>
      <c r="S11" s="8">
        <f t="shared" ca="1" si="5"/>
        <v>10</v>
      </c>
      <c r="T11">
        <f t="shared" ca="1" si="6"/>
        <v>8.9792640000000006</v>
      </c>
      <c r="U11" s="8">
        <f t="shared" ca="1" si="7"/>
        <v>1</v>
      </c>
      <c r="V11" s="8">
        <f ca="1">RawData[[#This Row],[Z (smoothed demand size)]]/RawData[[#This Row],[X (smoothed interval)]]</f>
        <v>8.9792640000000006</v>
      </c>
    </row>
    <row r="12" spans="1:24">
      <c r="A12" t="s">
        <v>13</v>
      </c>
      <c r="B12" t="s">
        <v>14</v>
      </c>
      <c r="C12">
        <v>32</v>
      </c>
      <c r="D12" t="s">
        <v>15</v>
      </c>
      <c r="E12" t="s">
        <v>16</v>
      </c>
      <c r="F12" s="1">
        <v>43111</v>
      </c>
      <c r="G12">
        <v>4</v>
      </c>
      <c r="H12">
        <v>1</v>
      </c>
      <c r="I12">
        <v>1</v>
      </c>
      <c r="J12">
        <v>0</v>
      </c>
      <c r="K12">
        <v>1</v>
      </c>
      <c r="L12">
        <v>608</v>
      </c>
      <c r="M12">
        <v>30</v>
      </c>
      <c r="N12" s="1">
        <f t="shared" si="0"/>
        <v>44938</v>
      </c>
      <c r="O12" s="1">
        <f t="shared" si="1"/>
        <v>43101</v>
      </c>
      <c r="P12" s="1">
        <f t="shared" si="2"/>
        <v>43405</v>
      </c>
      <c r="Q12" s="8">
        <f t="shared" si="3"/>
        <v>0</v>
      </c>
      <c r="R12" s="8">
        <f t="shared" si="4"/>
        <v>11</v>
      </c>
      <c r="S12" s="8">
        <f t="shared" ca="1" si="5"/>
        <v>11</v>
      </c>
      <c r="T12">
        <f t="shared" ca="1" si="6"/>
        <v>7.9834112000000008</v>
      </c>
      <c r="U12" s="8">
        <f t="shared" ca="1" si="7"/>
        <v>1</v>
      </c>
      <c r="V12" s="8">
        <f ca="1">RawData[[#This Row],[Z (smoothed demand size)]]/RawData[[#This Row],[X (smoothed interval)]]</f>
        <v>7.9834112000000008</v>
      </c>
    </row>
    <row r="13" spans="1:24">
      <c r="A13" t="s">
        <v>13</v>
      </c>
      <c r="B13" t="s">
        <v>14</v>
      </c>
      <c r="C13">
        <v>32</v>
      </c>
      <c r="D13" t="s">
        <v>15</v>
      </c>
      <c r="E13" t="s">
        <v>16</v>
      </c>
      <c r="F13" s="1">
        <v>43112</v>
      </c>
      <c r="G13">
        <v>13</v>
      </c>
      <c r="H13">
        <v>12</v>
      </c>
      <c r="I13">
        <v>12</v>
      </c>
      <c r="J13">
        <v>0</v>
      </c>
      <c r="K13">
        <v>1</v>
      </c>
      <c r="L13">
        <v>691</v>
      </c>
      <c r="M13">
        <v>45</v>
      </c>
      <c r="N13" s="1">
        <f t="shared" si="0"/>
        <v>44938</v>
      </c>
      <c r="O13" s="1">
        <f t="shared" si="1"/>
        <v>43101</v>
      </c>
      <c r="P13" s="1">
        <f t="shared" si="2"/>
        <v>43435</v>
      </c>
      <c r="Q13" s="8">
        <f t="shared" si="3"/>
        <v>0</v>
      </c>
      <c r="R13" s="8">
        <f t="shared" si="4"/>
        <v>12</v>
      </c>
      <c r="S13" s="8">
        <f t="shared" ca="1" si="5"/>
        <v>12</v>
      </c>
      <c r="T13">
        <f t="shared" ca="1" si="6"/>
        <v>8.9867289600000007</v>
      </c>
      <c r="U13" s="8">
        <f t="shared" ca="1" si="7"/>
        <v>1</v>
      </c>
      <c r="V13" s="8">
        <f ca="1">RawData[[#This Row],[Z (smoothed demand size)]]/RawData[[#This Row],[X (smoothed interval)]]</f>
        <v>8.9867289600000007</v>
      </c>
    </row>
    <row r="14" spans="1:24">
      <c r="A14" t="s">
        <v>13</v>
      </c>
      <c r="B14" t="s">
        <v>14</v>
      </c>
      <c r="C14">
        <v>32</v>
      </c>
      <c r="D14" t="s">
        <v>15</v>
      </c>
      <c r="E14" t="s">
        <v>16</v>
      </c>
      <c r="F14" s="1">
        <v>43466</v>
      </c>
      <c r="G14">
        <v>8</v>
      </c>
      <c r="H14">
        <v>0</v>
      </c>
      <c r="I14">
        <v>0</v>
      </c>
      <c r="J14">
        <v>0</v>
      </c>
      <c r="K14">
        <v>1</v>
      </c>
      <c r="L14">
        <v>602</v>
      </c>
      <c r="M14">
        <v>30</v>
      </c>
      <c r="N14" s="1">
        <f t="shared" si="0"/>
        <v>44938</v>
      </c>
      <c r="O14" s="1">
        <f t="shared" si="1"/>
        <v>43101</v>
      </c>
      <c r="P14" s="1">
        <f t="shared" si="2"/>
        <v>43466</v>
      </c>
      <c r="Q14" s="8">
        <f t="shared" si="3"/>
        <v>0</v>
      </c>
      <c r="R14" s="8">
        <f t="shared" si="4"/>
        <v>13</v>
      </c>
      <c r="S14" s="8">
        <f t="shared" ca="1" si="5"/>
        <v>13</v>
      </c>
      <c r="T14">
        <f t="shared" ca="1" si="6"/>
        <v>8.7893831680000005</v>
      </c>
      <c r="U14" s="8">
        <f t="shared" ca="1" si="7"/>
        <v>1</v>
      </c>
      <c r="V14" s="8">
        <f ca="1">RawData[[#This Row],[Z (smoothed demand size)]]/RawData[[#This Row],[X (smoothed interval)]]</f>
        <v>8.7893831680000005</v>
      </c>
    </row>
    <row r="15" spans="1:24">
      <c r="A15" t="s">
        <v>13</v>
      </c>
      <c r="B15" t="s">
        <v>14</v>
      </c>
      <c r="C15">
        <v>32</v>
      </c>
      <c r="D15" t="s">
        <v>15</v>
      </c>
      <c r="E15" t="s">
        <v>16</v>
      </c>
      <c r="F15" s="1">
        <v>43467</v>
      </c>
      <c r="G15">
        <v>0</v>
      </c>
      <c r="H15">
        <v>0</v>
      </c>
      <c r="I15">
        <v>7</v>
      </c>
      <c r="J15">
        <v>7</v>
      </c>
      <c r="K15">
        <v>0</v>
      </c>
      <c r="L15">
        <v>612</v>
      </c>
      <c r="M15">
        <v>45</v>
      </c>
      <c r="N15" s="1">
        <f t="shared" si="0"/>
        <v>44938</v>
      </c>
      <c r="O15" s="1">
        <f t="shared" si="1"/>
        <v>43101</v>
      </c>
      <c r="P15" s="1">
        <f t="shared" si="2"/>
        <v>43497</v>
      </c>
      <c r="Q15" s="8">
        <f t="shared" si="3"/>
        <v>0</v>
      </c>
      <c r="R15" s="8">
        <f t="shared" si="4"/>
        <v>14</v>
      </c>
      <c r="S15" s="8">
        <f t="shared" ca="1" si="5"/>
        <v>13</v>
      </c>
      <c r="T15">
        <f t="shared" ca="1" si="6"/>
        <v>8.7893831680000005</v>
      </c>
      <c r="U15" s="8">
        <f t="shared" ca="1" si="7"/>
        <v>1</v>
      </c>
      <c r="V15" s="8">
        <f ca="1">RawData[[#This Row],[Z (smoothed demand size)]]/RawData[[#This Row],[X (smoothed interval)]]</f>
        <v>8.7893831680000005</v>
      </c>
    </row>
    <row r="16" spans="1:24">
      <c r="A16" t="s">
        <v>13</v>
      </c>
      <c r="B16" t="s">
        <v>14</v>
      </c>
      <c r="C16">
        <v>32</v>
      </c>
      <c r="D16" t="s">
        <v>15</v>
      </c>
      <c r="E16" t="s">
        <v>16</v>
      </c>
      <c r="F16" s="1">
        <v>43468</v>
      </c>
      <c r="G16">
        <v>6</v>
      </c>
      <c r="H16">
        <v>6</v>
      </c>
      <c r="I16">
        <v>7</v>
      </c>
      <c r="J16">
        <v>1</v>
      </c>
      <c r="K16">
        <v>0</v>
      </c>
      <c r="L16">
        <v>602</v>
      </c>
      <c r="M16">
        <v>60</v>
      </c>
      <c r="N16" s="1">
        <f t="shared" si="0"/>
        <v>44938</v>
      </c>
      <c r="O16" s="1">
        <f t="shared" si="1"/>
        <v>43101</v>
      </c>
      <c r="P16" s="1">
        <f t="shared" si="2"/>
        <v>43525</v>
      </c>
      <c r="Q16" s="8">
        <f t="shared" si="3"/>
        <v>0</v>
      </c>
      <c r="R16" s="8">
        <f t="shared" si="4"/>
        <v>15</v>
      </c>
      <c r="S16" s="8">
        <f t="shared" ca="1" si="5"/>
        <v>15</v>
      </c>
      <c r="T16">
        <f t="shared" ca="1" si="6"/>
        <v>8.2315065344000011</v>
      </c>
      <c r="U16" s="8">
        <f t="shared" ca="1" si="7"/>
        <v>1.2000000000000002</v>
      </c>
      <c r="V16" s="8">
        <f ca="1">RawData[[#This Row],[Z (smoothed demand size)]]/RawData[[#This Row],[X (smoothed interval)]]</f>
        <v>6.8595887786666667</v>
      </c>
    </row>
    <row r="17" spans="1:22">
      <c r="A17" t="s">
        <v>13</v>
      </c>
      <c r="B17" t="s">
        <v>14</v>
      </c>
      <c r="C17">
        <v>32</v>
      </c>
      <c r="D17" t="s">
        <v>15</v>
      </c>
      <c r="E17" t="s">
        <v>16</v>
      </c>
      <c r="F17" s="1">
        <v>43469</v>
      </c>
      <c r="G17">
        <v>11</v>
      </c>
      <c r="H17">
        <v>9</v>
      </c>
      <c r="I17">
        <v>9</v>
      </c>
      <c r="J17">
        <v>0</v>
      </c>
      <c r="K17">
        <v>1</v>
      </c>
      <c r="L17">
        <v>609</v>
      </c>
      <c r="M17">
        <v>60</v>
      </c>
      <c r="N17" s="1">
        <f t="shared" si="0"/>
        <v>44938</v>
      </c>
      <c r="O17" s="1">
        <f t="shared" si="1"/>
        <v>43101</v>
      </c>
      <c r="P17" s="1">
        <f t="shared" si="2"/>
        <v>43556</v>
      </c>
      <c r="Q17" s="8">
        <f t="shared" si="3"/>
        <v>0</v>
      </c>
      <c r="R17" s="8">
        <f t="shared" si="4"/>
        <v>16</v>
      </c>
      <c r="S17" s="8">
        <f t="shared" ca="1" si="5"/>
        <v>16</v>
      </c>
      <c r="T17">
        <f t="shared" ca="1" si="6"/>
        <v>8.7852052275200023</v>
      </c>
      <c r="U17" s="8">
        <f t="shared" ca="1" si="7"/>
        <v>1.1600000000000001</v>
      </c>
      <c r="V17" s="8">
        <f ca="1">RawData[[#This Row],[Z (smoothed demand size)]]/RawData[[#This Row],[X (smoothed interval)]]</f>
        <v>7.5734527823448285</v>
      </c>
    </row>
    <row r="18" spans="1:22">
      <c r="A18" t="s">
        <v>13</v>
      </c>
      <c r="B18" t="s">
        <v>14</v>
      </c>
      <c r="C18">
        <v>32</v>
      </c>
      <c r="D18" t="s">
        <v>15</v>
      </c>
      <c r="E18" t="s">
        <v>16</v>
      </c>
      <c r="F18" s="1">
        <v>43470</v>
      </c>
      <c r="G18">
        <v>12</v>
      </c>
      <c r="H18">
        <v>0</v>
      </c>
      <c r="I18">
        <v>0</v>
      </c>
      <c r="J18">
        <v>0</v>
      </c>
      <c r="K18">
        <v>1</v>
      </c>
      <c r="L18">
        <v>599</v>
      </c>
      <c r="M18">
        <v>30</v>
      </c>
      <c r="N18" s="1">
        <f t="shared" si="0"/>
        <v>44938</v>
      </c>
      <c r="O18" s="1">
        <f t="shared" si="1"/>
        <v>43101</v>
      </c>
      <c r="P18" s="1">
        <f t="shared" si="2"/>
        <v>43586</v>
      </c>
      <c r="Q18" s="8">
        <f t="shared" si="3"/>
        <v>0</v>
      </c>
      <c r="R18" s="8">
        <f t="shared" si="4"/>
        <v>17</v>
      </c>
      <c r="S18" s="8">
        <f t="shared" ca="1" si="5"/>
        <v>17</v>
      </c>
      <c r="T18">
        <f t="shared" ca="1" si="6"/>
        <v>9.4281641820160029</v>
      </c>
      <c r="U18" s="8">
        <f t="shared" ca="1" si="7"/>
        <v>1.1280000000000001</v>
      </c>
      <c r="V18" s="8">
        <f ca="1">RawData[[#This Row],[Z (smoothed demand size)]]/RawData[[#This Row],[X (smoothed interval)]]</f>
        <v>8.3583015798014202</v>
      </c>
    </row>
    <row r="19" spans="1:22">
      <c r="A19" t="s">
        <v>13</v>
      </c>
      <c r="B19" t="s">
        <v>14</v>
      </c>
      <c r="C19">
        <v>32</v>
      </c>
      <c r="D19" t="s">
        <v>15</v>
      </c>
      <c r="E19" t="s">
        <v>16</v>
      </c>
      <c r="F19" s="1">
        <v>43471</v>
      </c>
      <c r="G19">
        <v>13</v>
      </c>
      <c r="H19">
        <v>8</v>
      </c>
      <c r="I19">
        <v>8</v>
      </c>
      <c r="J19">
        <v>0</v>
      </c>
      <c r="K19">
        <v>1</v>
      </c>
      <c r="L19">
        <v>693</v>
      </c>
      <c r="M19">
        <v>15</v>
      </c>
      <c r="N19" s="1">
        <f t="shared" si="0"/>
        <v>44938</v>
      </c>
      <c r="O19" s="1">
        <f t="shared" si="1"/>
        <v>43101</v>
      </c>
      <c r="P19" s="1">
        <f t="shared" si="2"/>
        <v>43617</v>
      </c>
      <c r="Q19" s="8">
        <f t="shared" si="3"/>
        <v>0</v>
      </c>
      <c r="R19" s="8">
        <f t="shared" si="4"/>
        <v>18</v>
      </c>
      <c r="S19" s="8">
        <f t="shared" ca="1" si="5"/>
        <v>18</v>
      </c>
      <c r="T19">
        <f t="shared" ca="1" si="6"/>
        <v>10.142531345612802</v>
      </c>
      <c r="U19" s="8">
        <f t="shared" ca="1" si="7"/>
        <v>1.1024</v>
      </c>
      <c r="V19" s="8">
        <f ca="1">RawData[[#This Row],[Z (smoothed demand size)]]/RawData[[#This Row],[X (smoothed interval)]]</f>
        <v>9.200409420911468</v>
      </c>
    </row>
    <row r="20" spans="1:22">
      <c r="A20" t="s">
        <v>13</v>
      </c>
      <c r="B20" t="s">
        <v>14</v>
      </c>
      <c r="C20">
        <v>32</v>
      </c>
      <c r="D20" t="s">
        <v>15</v>
      </c>
      <c r="E20" t="s">
        <v>16</v>
      </c>
      <c r="F20" s="1">
        <v>43472</v>
      </c>
      <c r="G20">
        <v>7</v>
      </c>
      <c r="H20">
        <v>7</v>
      </c>
      <c r="I20">
        <v>10</v>
      </c>
      <c r="J20">
        <v>3</v>
      </c>
      <c r="K20">
        <v>0</v>
      </c>
      <c r="L20">
        <v>688</v>
      </c>
      <c r="M20">
        <v>15</v>
      </c>
      <c r="N20" s="1">
        <f t="shared" si="0"/>
        <v>44938</v>
      </c>
      <c r="O20" s="1">
        <f t="shared" si="1"/>
        <v>43101</v>
      </c>
      <c r="P20" s="1">
        <f t="shared" si="2"/>
        <v>43647</v>
      </c>
      <c r="Q20" s="8">
        <f t="shared" si="3"/>
        <v>0</v>
      </c>
      <c r="R20" s="8">
        <f t="shared" si="4"/>
        <v>19</v>
      </c>
      <c r="S20" s="8">
        <f t="shared" ca="1" si="5"/>
        <v>19</v>
      </c>
      <c r="T20">
        <f t="shared" ca="1" si="6"/>
        <v>9.5140250764902419</v>
      </c>
      <c r="U20" s="8">
        <f t="shared" ca="1" si="7"/>
        <v>1.08192</v>
      </c>
      <c r="V20" s="8">
        <f ca="1">RawData[[#This Row],[Z (smoothed demand size)]]/RawData[[#This Row],[X (smoothed interval)]]</f>
        <v>8.7936493238781441</v>
      </c>
    </row>
    <row r="21" spans="1:22">
      <c r="A21" t="s">
        <v>13</v>
      </c>
      <c r="B21" t="s">
        <v>14</v>
      </c>
      <c r="C21">
        <v>32</v>
      </c>
      <c r="D21" t="s">
        <v>15</v>
      </c>
      <c r="E21" t="s">
        <v>16</v>
      </c>
      <c r="F21" s="1">
        <v>43473</v>
      </c>
      <c r="G21">
        <v>4</v>
      </c>
      <c r="H21">
        <v>4</v>
      </c>
      <c r="I21">
        <v>12</v>
      </c>
      <c r="J21">
        <v>8</v>
      </c>
      <c r="K21">
        <v>0</v>
      </c>
      <c r="L21">
        <v>692</v>
      </c>
      <c r="M21">
        <v>45</v>
      </c>
      <c r="N21" s="1">
        <f t="shared" si="0"/>
        <v>44938</v>
      </c>
      <c r="O21" s="1">
        <f t="shared" si="1"/>
        <v>43101</v>
      </c>
      <c r="P21" s="1">
        <f t="shared" si="2"/>
        <v>43678</v>
      </c>
      <c r="Q21" s="8">
        <f t="shared" si="3"/>
        <v>0</v>
      </c>
      <c r="R21" s="8">
        <f t="shared" si="4"/>
        <v>20</v>
      </c>
      <c r="S21" s="8">
        <f t="shared" ca="1" si="5"/>
        <v>20</v>
      </c>
      <c r="T21">
        <f t="shared" ca="1" si="6"/>
        <v>8.4112200611921946</v>
      </c>
      <c r="U21" s="8">
        <f t="shared" ca="1" si="7"/>
        <v>1.065536</v>
      </c>
      <c r="V21" s="8">
        <f ca="1">RawData[[#This Row],[Z (smoothed demand size)]]/RawData[[#This Row],[X (smoothed interval)]]</f>
        <v>7.8938863268741688</v>
      </c>
    </row>
    <row r="22" spans="1:22">
      <c r="A22" t="s">
        <v>13</v>
      </c>
      <c r="B22" t="s">
        <v>14</v>
      </c>
      <c r="C22">
        <v>32</v>
      </c>
      <c r="D22" t="s">
        <v>15</v>
      </c>
      <c r="E22" t="s">
        <v>16</v>
      </c>
      <c r="F22" s="1">
        <v>43474</v>
      </c>
      <c r="G22">
        <v>7</v>
      </c>
      <c r="H22">
        <v>7</v>
      </c>
      <c r="I22">
        <v>8</v>
      </c>
      <c r="J22">
        <v>1</v>
      </c>
      <c r="K22">
        <v>0</v>
      </c>
      <c r="L22">
        <v>609</v>
      </c>
      <c r="M22">
        <v>45</v>
      </c>
      <c r="N22" s="1">
        <f t="shared" si="0"/>
        <v>44938</v>
      </c>
      <c r="O22" s="1">
        <f t="shared" si="1"/>
        <v>43101</v>
      </c>
      <c r="P22" s="1">
        <f t="shared" si="2"/>
        <v>43709</v>
      </c>
      <c r="Q22" s="8">
        <f t="shared" si="3"/>
        <v>0</v>
      </c>
      <c r="R22" s="8">
        <f t="shared" si="4"/>
        <v>21</v>
      </c>
      <c r="S22" s="8">
        <f t="shared" ca="1" si="5"/>
        <v>21</v>
      </c>
      <c r="T22">
        <f t="shared" ca="1" si="6"/>
        <v>8.1289760489537564</v>
      </c>
      <c r="U22" s="8">
        <f t="shared" ca="1" si="7"/>
        <v>1.0524288000000002</v>
      </c>
      <c r="V22" s="8">
        <f ca="1">RawData[[#This Row],[Z (smoothed demand size)]]/RawData[[#This Row],[X (smoothed interval)]]</f>
        <v>7.7240152007943488</v>
      </c>
    </row>
    <row r="23" spans="1:22">
      <c r="A23" t="s">
        <v>13</v>
      </c>
      <c r="B23" t="s">
        <v>14</v>
      </c>
      <c r="C23">
        <v>32</v>
      </c>
      <c r="D23" t="s">
        <v>15</v>
      </c>
      <c r="E23" t="s">
        <v>16</v>
      </c>
      <c r="F23" s="1">
        <v>43475</v>
      </c>
      <c r="G23">
        <v>10</v>
      </c>
      <c r="H23">
        <v>10</v>
      </c>
      <c r="I23">
        <v>11</v>
      </c>
      <c r="J23">
        <v>1</v>
      </c>
      <c r="K23">
        <v>0</v>
      </c>
      <c r="L23">
        <v>594</v>
      </c>
      <c r="M23">
        <v>15</v>
      </c>
      <c r="N23" s="1">
        <f t="shared" si="0"/>
        <v>44938</v>
      </c>
      <c r="O23" s="1">
        <f t="shared" si="1"/>
        <v>43101</v>
      </c>
      <c r="P23" s="1">
        <f t="shared" si="2"/>
        <v>43739</v>
      </c>
      <c r="Q23" s="8">
        <f t="shared" si="3"/>
        <v>0</v>
      </c>
      <c r="R23" s="8">
        <f t="shared" si="4"/>
        <v>22</v>
      </c>
      <c r="S23" s="8">
        <f t="shared" ca="1" si="5"/>
        <v>22</v>
      </c>
      <c r="T23">
        <f t="shared" ca="1" si="6"/>
        <v>8.5031808391630044</v>
      </c>
      <c r="U23" s="8">
        <f t="shared" ca="1" si="7"/>
        <v>1.0419430400000003</v>
      </c>
      <c r="V23" s="8">
        <f ca="1">RawData[[#This Row],[Z (smoothed demand size)]]/RawData[[#This Row],[X (smoothed interval)]]</f>
        <v>8.1608883717511098</v>
      </c>
    </row>
    <row r="24" spans="1:22">
      <c r="A24" t="s">
        <v>13</v>
      </c>
      <c r="B24" t="s">
        <v>14</v>
      </c>
      <c r="C24">
        <v>32</v>
      </c>
      <c r="D24" t="s">
        <v>15</v>
      </c>
      <c r="E24" t="s">
        <v>16</v>
      </c>
      <c r="F24" s="1">
        <v>43476</v>
      </c>
      <c r="G24">
        <v>4</v>
      </c>
      <c r="H24">
        <v>4</v>
      </c>
      <c r="I24">
        <v>12</v>
      </c>
      <c r="J24">
        <v>8</v>
      </c>
      <c r="K24">
        <v>0</v>
      </c>
      <c r="L24">
        <v>607</v>
      </c>
      <c r="M24">
        <v>45</v>
      </c>
      <c r="N24" s="1">
        <f t="shared" si="0"/>
        <v>44938</v>
      </c>
      <c r="O24" s="1">
        <f t="shared" si="1"/>
        <v>43101</v>
      </c>
      <c r="P24" s="1">
        <f t="shared" si="2"/>
        <v>43770</v>
      </c>
      <c r="Q24" s="8">
        <f t="shared" si="3"/>
        <v>0</v>
      </c>
      <c r="R24" s="8">
        <f t="shared" si="4"/>
        <v>23</v>
      </c>
      <c r="S24" s="8">
        <f t="shared" ca="1" si="5"/>
        <v>23</v>
      </c>
      <c r="T24">
        <f t="shared" ca="1" si="6"/>
        <v>7.6025446713304037</v>
      </c>
      <c r="U24" s="8">
        <f t="shared" ca="1" si="7"/>
        <v>1.0335544320000003</v>
      </c>
      <c r="V24" s="8">
        <f ca="1">RawData[[#This Row],[Z (smoothed demand size)]]/RawData[[#This Row],[X (smoothed interval)]]</f>
        <v>7.3557274159416517</v>
      </c>
    </row>
    <row r="25" spans="1:22">
      <c r="A25" t="s">
        <v>13</v>
      </c>
      <c r="B25" t="s">
        <v>14</v>
      </c>
      <c r="C25">
        <v>32</v>
      </c>
      <c r="D25" t="s">
        <v>15</v>
      </c>
      <c r="E25" t="s">
        <v>16</v>
      </c>
      <c r="F25" s="1">
        <v>43477</v>
      </c>
      <c r="G25">
        <v>9</v>
      </c>
      <c r="H25">
        <v>8</v>
      </c>
      <c r="I25">
        <v>8</v>
      </c>
      <c r="J25">
        <v>0</v>
      </c>
      <c r="K25">
        <v>1</v>
      </c>
      <c r="L25">
        <v>696</v>
      </c>
      <c r="M25">
        <v>30</v>
      </c>
      <c r="N25" s="1">
        <f t="shared" si="0"/>
        <v>44938</v>
      </c>
      <c r="O25" s="1">
        <f t="shared" si="1"/>
        <v>43101</v>
      </c>
      <c r="P25" s="1">
        <f t="shared" si="2"/>
        <v>43800</v>
      </c>
      <c r="Q25" s="8">
        <f t="shared" si="3"/>
        <v>0</v>
      </c>
      <c r="R25" s="8">
        <f t="shared" si="4"/>
        <v>24</v>
      </c>
      <c r="S25" s="8">
        <f t="shared" ca="1" si="5"/>
        <v>24</v>
      </c>
      <c r="T25">
        <f t="shared" ca="1" si="6"/>
        <v>7.8820357370643235</v>
      </c>
      <c r="U25" s="8">
        <f t="shared" ca="1" si="7"/>
        <v>1.0268435456000002</v>
      </c>
      <c r="V25" s="8">
        <f ca="1">RawData[[#This Row],[Z (smoothed demand size)]]/RawData[[#This Row],[X (smoothed interval)]]</f>
        <v>7.6759850815040478</v>
      </c>
    </row>
    <row r="26" spans="1:22">
      <c r="A26" t="s">
        <v>13</v>
      </c>
      <c r="B26" t="s">
        <v>14</v>
      </c>
      <c r="C26">
        <v>32</v>
      </c>
      <c r="D26" t="s">
        <v>15</v>
      </c>
      <c r="E26" t="s">
        <v>16</v>
      </c>
      <c r="F26" s="1">
        <v>43831</v>
      </c>
      <c r="G26">
        <v>7</v>
      </c>
      <c r="H26">
        <v>7</v>
      </c>
      <c r="I26">
        <v>11</v>
      </c>
      <c r="J26">
        <v>4</v>
      </c>
      <c r="K26">
        <v>0</v>
      </c>
      <c r="L26">
        <v>599</v>
      </c>
      <c r="M26">
        <v>60</v>
      </c>
      <c r="N26" s="1">
        <f t="shared" si="0"/>
        <v>44938</v>
      </c>
      <c r="O26" s="1">
        <f t="shared" si="1"/>
        <v>43101</v>
      </c>
      <c r="P26" s="1">
        <f t="shared" si="2"/>
        <v>43831</v>
      </c>
      <c r="Q26" s="8">
        <f t="shared" si="3"/>
        <v>0</v>
      </c>
      <c r="R26" s="8">
        <f t="shared" si="4"/>
        <v>25</v>
      </c>
      <c r="S26" s="8">
        <f t="shared" ca="1" si="5"/>
        <v>25</v>
      </c>
      <c r="T26">
        <f t="shared" ca="1" si="6"/>
        <v>7.7056285896514591</v>
      </c>
      <c r="U26" s="8">
        <f t="shared" ca="1" si="7"/>
        <v>1.0214748364800001</v>
      </c>
      <c r="V26" s="8">
        <f ca="1">RawData[[#This Row],[Z (smoothed demand size)]]/RawData[[#This Row],[X (smoothed interval)]]</f>
        <v>7.5436303611795639</v>
      </c>
    </row>
    <row r="27" spans="1:22">
      <c r="A27" t="s">
        <v>13</v>
      </c>
      <c r="B27" t="s">
        <v>14</v>
      </c>
      <c r="C27">
        <v>32</v>
      </c>
      <c r="D27" t="s">
        <v>15</v>
      </c>
      <c r="E27" t="s">
        <v>16</v>
      </c>
      <c r="F27" s="1">
        <v>43832</v>
      </c>
      <c r="G27">
        <v>7</v>
      </c>
      <c r="H27">
        <v>4</v>
      </c>
      <c r="I27">
        <v>4</v>
      </c>
      <c r="J27">
        <v>0</v>
      </c>
      <c r="K27">
        <v>1</v>
      </c>
      <c r="L27">
        <v>594</v>
      </c>
      <c r="M27">
        <v>60</v>
      </c>
      <c r="N27" s="1">
        <f t="shared" si="0"/>
        <v>44938</v>
      </c>
      <c r="O27" s="1">
        <f t="shared" si="1"/>
        <v>43101</v>
      </c>
      <c r="P27" s="1">
        <f t="shared" si="2"/>
        <v>43862</v>
      </c>
      <c r="Q27" s="8">
        <f t="shared" si="3"/>
        <v>0</v>
      </c>
      <c r="R27" s="8">
        <f t="shared" si="4"/>
        <v>26</v>
      </c>
      <c r="S27" s="8">
        <f t="shared" ca="1" si="5"/>
        <v>26</v>
      </c>
      <c r="T27">
        <f t="shared" ca="1" si="6"/>
        <v>7.5645028717211682</v>
      </c>
      <c r="U27" s="8">
        <f t="shared" ca="1" si="7"/>
        <v>1.0171798691840002</v>
      </c>
      <c r="V27" s="8">
        <f ca="1">RawData[[#This Row],[Z (smoothed demand size)]]/RawData[[#This Row],[X (smoothed interval)]]</f>
        <v>7.4367406403643708</v>
      </c>
    </row>
    <row r="28" spans="1:22">
      <c r="A28" t="s">
        <v>13</v>
      </c>
      <c r="B28" t="s">
        <v>14</v>
      </c>
      <c r="C28">
        <v>32</v>
      </c>
      <c r="D28" t="s">
        <v>15</v>
      </c>
      <c r="E28" t="s">
        <v>16</v>
      </c>
      <c r="F28" s="1">
        <v>43833</v>
      </c>
      <c r="G28">
        <v>9</v>
      </c>
      <c r="H28">
        <v>9</v>
      </c>
      <c r="I28">
        <v>9</v>
      </c>
      <c r="J28">
        <v>0</v>
      </c>
      <c r="K28">
        <v>0</v>
      </c>
      <c r="L28">
        <v>603</v>
      </c>
      <c r="M28">
        <v>15</v>
      </c>
      <c r="N28" s="1">
        <f t="shared" si="0"/>
        <v>44938</v>
      </c>
      <c r="O28" s="1">
        <f t="shared" si="1"/>
        <v>43101</v>
      </c>
      <c r="P28" s="1">
        <f t="shared" si="2"/>
        <v>43891</v>
      </c>
      <c r="Q28" s="8">
        <f t="shared" si="3"/>
        <v>0</v>
      </c>
      <c r="R28" s="8">
        <f t="shared" si="4"/>
        <v>27</v>
      </c>
      <c r="S28" s="8">
        <f t="shared" ca="1" si="5"/>
        <v>27</v>
      </c>
      <c r="T28">
        <f t="shared" ca="1" si="6"/>
        <v>7.8516022973769344</v>
      </c>
      <c r="U28" s="8">
        <f t="shared" ca="1" si="7"/>
        <v>1.0137438953472002</v>
      </c>
      <c r="V28" s="8">
        <f ca="1">RawData[[#This Row],[Z (smoothed demand size)]]/RawData[[#This Row],[X (smoothed interval)]]</f>
        <v>7.7451537152663352</v>
      </c>
    </row>
    <row r="29" spans="1:22">
      <c r="A29" t="s">
        <v>13</v>
      </c>
      <c r="B29" t="s">
        <v>14</v>
      </c>
      <c r="C29">
        <v>32</v>
      </c>
      <c r="D29" t="s">
        <v>15</v>
      </c>
      <c r="E29" t="s">
        <v>16</v>
      </c>
      <c r="F29" s="1">
        <v>43834</v>
      </c>
      <c r="G29">
        <v>9</v>
      </c>
      <c r="H29">
        <v>8</v>
      </c>
      <c r="I29">
        <v>8</v>
      </c>
      <c r="J29">
        <v>0</v>
      </c>
      <c r="K29">
        <v>1</v>
      </c>
      <c r="L29">
        <v>599</v>
      </c>
      <c r="M29">
        <v>45</v>
      </c>
      <c r="N29" s="1">
        <f t="shared" si="0"/>
        <v>44938</v>
      </c>
      <c r="O29" s="1">
        <f t="shared" si="1"/>
        <v>43101</v>
      </c>
      <c r="P29" s="1">
        <f t="shared" si="2"/>
        <v>43922</v>
      </c>
      <c r="Q29" s="8">
        <f t="shared" si="3"/>
        <v>0</v>
      </c>
      <c r="R29" s="8">
        <f t="shared" si="4"/>
        <v>28</v>
      </c>
      <c r="S29" s="8">
        <f t="shared" ca="1" si="5"/>
        <v>28</v>
      </c>
      <c r="T29">
        <f t="shared" ca="1" si="6"/>
        <v>8.0812818379015479</v>
      </c>
      <c r="U29" s="8">
        <f t="shared" ca="1" si="7"/>
        <v>1.0109951162777602</v>
      </c>
      <c r="V29" s="8">
        <f ca="1">RawData[[#This Row],[Z (smoothed demand size)]]/RawData[[#This Row],[X (smoothed interval)]]</f>
        <v>7.9933935464049277</v>
      </c>
    </row>
    <row r="30" spans="1:22">
      <c r="A30" t="s">
        <v>13</v>
      </c>
      <c r="B30" t="s">
        <v>14</v>
      </c>
      <c r="C30">
        <v>32</v>
      </c>
      <c r="D30" t="s">
        <v>15</v>
      </c>
      <c r="E30" t="s">
        <v>16</v>
      </c>
      <c r="F30" s="1">
        <v>43835</v>
      </c>
      <c r="G30">
        <v>9</v>
      </c>
      <c r="H30">
        <v>0</v>
      </c>
      <c r="I30">
        <v>0</v>
      </c>
      <c r="J30">
        <v>0</v>
      </c>
      <c r="K30">
        <v>1</v>
      </c>
      <c r="L30">
        <v>604</v>
      </c>
      <c r="M30">
        <v>45</v>
      </c>
      <c r="N30" s="1">
        <f t="shared" si="0"/>
        <v>44938</v>
      </c>
      <c r="O30" s="1">
        <f t="shared" si="1"/>
        <v>43101</v>
      </c>
      <c r="P30" s="1">
        <f t="shared" si="2"/>
        <v>43952</v>
      </c>
      <c r="Q30" s="8">
        <f t="shared" si="3"/>
        <v>0</v>
      </c>
      <c r="R30" s="8">
        <f t="shared" si="4"/>
        <v>29</v>
      </c>
      <c r="S30" s="8">
        <f t="shared" ca="1" si="5"/>
        <v>29</v>
      </c>
      <c r="T30">
        <f t="shared" ca="1" si="6"/>
        <v>8.2650254703212394</v>
      </c>
      <c r="U30" s="8">
        <f t="shared" ca="1" si="7"/>
        <v>1.0087960930222082</v>
      </c>
      <c r="V30" s="8">
        <f ca="1">RawData[[#This Row],[Z (smoothed demand size)]]/RawData[[#This Row],[X (smoothed interval)]]</f>
        <v>8.1929594369863299</v>
      </c>
    </row>
    <row r="31" spans="1:22">
      <c r="A31" t="s">
        <v>13</v>
      </c>
      <c r="B31" t="s">
        <v>14</v>
      </c>
      <c r="C31">
        <v>32</v>
      </c>
      <c r="D31" t="s">
        <v>15</v>
      </c>
      <c r="E31" t="s">
        <v>16</v>
      </c>
      <c r="F31" s="1">
        <v>43836</v>
      </c>
      <c r="G31">
        <v>9</v>
      </c>
      <c r="H31">
        <v>9</v>
      </c>
      <c r="I31">
        <v>10</v>
      </c>
      <c r="J31">
        <v>1</v>
      </c>
      <c r="K31">
        <v>0</v>
      </c>
      <c r="L31">
        <v>693</v>
      </c>
      <c r="M31">
        <v>30</v>
      </c>
      <c r="N31" s="1">
        <f t="shared" si="0"/>
        <v>44938</v>
      </c>
      <c r="O31" s="1">
        <f t="shared" si="1"/>
        <v>43101</v>
      </c>
      <c r="P31" s="1">
        <f t="shared" si="2"/>
        <v>43983</v>
      </c>
      <c r="Q31" s="8">
        <f t="shared" si="3"/>
        <v>0</v>
      </c>
      <c r="R31" s="8">
        <f t="shared" si="4"/>
        <v>30</v>
      </c>
      <c r="S31" s="8">
        <f t="shared" ca="1" si="5"/>
        <v>30</v>
      </c>
      <c r="T31">
        <f t="shared" ca="1" si="6"/>
        <v>8.4120203762569918</v>
      </c>
      <c r="U31" s="8">
        <f t="shared" ca="1" si="7"/>
        <v>1.0070368744177667</v>
      </c>
      <c r="V31" s="8">
        <f ca="1">RawData[[#This Row],[Z (smoothed demand size)]]/RawData[[#This Row],[X (smoothed interval)]]</f>
        <v>8.3532396776637654</v>
      </c>
    </row>
    <row r="32" spans="1:22">
      <c r="A32" t="s">
        <v>13</v>
      </c>
      <c r="B32" t="s">
        <v>14</v>
      </c>
      <c r="C32">
        <v>32</v>
      </c>
      <c r="D32" t="s">
        <v>15</v>
      </c>
      <c r="E32" t="s">
        <v>16</v>
      </c>
      <c r="F32" s="1">
        <v>43837</v>
      </c>
      <c r="G32">
        <v>7</v>
      </c>
      <c r="H32">
        <v>7</v>
      </c>
      <c r="I32">
        <v>13</v>
      </c>
      <c r="J32">
        <v>6</v>
      </c>
      <c r="K32">
        <v>0</v>
      </c>
      <c r="L32">
        <v>704</v>
      </c>
      <c r="M32">
        <v>30</v>
      </c>
      <c r="N32" s="1">
        <f t="shared" si="0"/>
        <v>44938</v>
      </c>
      <c r="O32" s="1">
        <f t="shared" si="1"/>
        <v>43101</v>
      </c>
      <c r="P32" s="1">
        <f t="shared" si="2"/>
        <v>44013</v>
      </c>
      <c r="Q32" s="8">
        <f t="shared" si="3"/>
        <v>0</v>
      </c>
      <c r="R32" s="8">
        <f t="shared" si="4"/>
        <v>31</v>
      </c>
      <c r="S32" s="8">
        <f t="shared" ca="1" si="5"/>
        <v>31</v>
      </c>
      <c r="T32">
        <f t="shared" ca="1" si="6"/>
        <v>8.1296163010055942</v>
      </c>
      <c r="U32" s="8">
        <f t="shared" ca="1" si="7"/>
        <v>1.0056294995342134</v>
      </c>
      <c r="V32" s="8">
        <f ca="1">RawData[[#This Row],[Z (smoothed demand size)]]/RawData[[#This Row],[X (smoothed interval)]]</f>
        <v>8.0841068253974875</v>
      </c>
    </row>
    <row r="33" spans="1:22">
      <c r="A33" t="s">
        <v>13</v>
      </c>
      <c r="B33" t="s">
        <v>14</v>
      </c>
      <c r="C33">
        <v>32</v>
      </c>
      <c r="D33" t="s">
        <v>15</v>
      </c>
      <c r="E33" t="s">
        <v>16</v>
      </c>
      <c r="F33" s="1">
        <v>43838</v>
      </c>
      <c r="G33">
        <v>5</v>
      </c>
      <c r="H33">
        <v>5</v>
      </c>
      <c r="I33">
        <v>16</v>
      </c>
      <c r="J33">
        <v>11</v>
      </c>
      <c r="K33">
        <v>0</v>
      </c>
      <c r="L33">
        <v>691</v>
      </c>
      <c r="M33">
        <v>60</v>
      </c>
      <c r="N33" s="1">
        <f t="shared" si="0"/>
        <v>44938</v>
      </c>
      <c r="O33" s="1">
        <f t="shared" si="1"/>
        <v>43101</v>
      </c>
      <c r="P33" s="1">
        <f t="shared" si="2"/>
        <v>44044</v>
      </c>
      <c r="Q33" s="8">
        <f t="shared" si="3"/>
        <v>0</v>
      </c>
      <c r="R33" s="8">
        <f t="shared" si="4"/>
        <v>32</v>
      </c>
      <c r="S33" s="8">
        <f t="shared" ca="1" si="5"/>
        <v>32</v>
      </c>
      <c r="T33">
        <f t="shared" ca="1" si="6"/>
        <v>7.5036930408044755</v>
      </c>
      <c r="U33" s="8">
        <f t="shared" ca="1" si="7"/>
        <v>1.0045035996273708</v>
      </c>
      <c r="V33" s="8">
        <f ca="1">RawData[[#This Row],[Z (smoothed demand size)]]/RawData[[#This Row],[X (smoothed interval)]]</f>
        <v>7.4700509222545692</v>
      </c>
    </row>
    <row r="34" spans="1:22">
      <c r="A34" t="s">
        <v>13</v>
      </c>
      <c r="B34" t="s">
        <v>14</v>
      </c>
      <c r="C34">
        <v>32</v>
      </c>
      <c r="D34" t="s">
        <v>15</v>
      </c>
      <c r="E34" t="s">
        <v>16</v>
      </c>
      <c r="F34" s="1">
        <v>43839</v>
      </c>
      <c r="G34">
        <v>3</v>
      </c>
      <c r="H34">
        <v>3</v>
      </c>
      <c r="I34">
        <v>11</v>
      </c>
      <c r="J34">
        <v>8</v>
      </c>
      <c r="K34">
        <v>0</v>
      </c>
      <c r="L34">
        <v>596</v>
      </c>
      <c r="M34">
        <v>45</v>
      </c>
      <c r="N34" s="1">
        <f t="shared" si="0"/>
        <v>44938</v>
      </c>
      <c r="O34" s="1">
        <f t="shared" si="1"/>
        <v>43101</v>
      </c>
      <c r="P34" s="1">
        <f t="shared" si="2"/>
        <v>44075</v>
      </c>
      <c r="Q34" s="8">
        <f t="shared" si="3"/>
        <v>0</v>
      </c>
      <c r="R34" s="8">
        <f t="shared" si="4"/>
        <v>33</v>
      </c>
      <c r="S34" s="8">
        <f t="shared" ca="1" si="5"/>
        <v>33</v>
      </c>
      <c r="T34">
        <f t="shared" ca="1" si="6"/>
        <v>6.6029544326435801</v>
      </c>
      <c r="U34" s="8">
        <f t="shared" ca="1" si="7"/>
        <v>1.0036028797018968</v>
      </c>
      <c r="V34" s="8">
        <f ca="1">RawData[[#This Row],[Z (smoothed demand size)]]/RawData[[#This Row],[X (smoothed interval)]]</f>
        <v>6.5792501856958356</v>
      </c>
    </row>
    <row r="35" spans="1:22">
      <c r="A35" t="s">
        <v>13</v>
      </c>
      <c r="B35" t="s">
        <v>14</v>
      </c>
      <c r="C35">
        <v>32</v>
      </c>
      <c r="D35" t="s">
        <v>15</v>
      </c>
      <c r="E35" t="s">
        <v>16</v>
      </c>
      <c r="F35" s="1">
        <v>43840</v>
      </c>
      <c r="G35">
        <v>6</v>
      </c>
      <c r="H35">
        <v>6</v>
      </c>
      <c r="I35">
        <v>8</v>
      </c>
      <c r="J35">
        <v>2</v>
      </c>
      <c r="K35">
        <v>0</v>
      </c>
      <c r="L35">
        <v>603</v>
      </c>
      <c r="M35">
        <v>60</v>
      </c>
      <c r="N35" s="1">
        <f t="shared" si="0"/>
        <v>44938</v>
      </c>
      <c r="O35" s="1">
        <f t="shared" si="1"/>
        <v>43101</v>
      </c>
      <c r="P35" s="1">
        <f t="shared" si="2"/>
        <v>44105</v>
      </c>
      <c r="Q35" s="8">
        <f t="shared" si="3"/>
        <v>0</v>
      </c>
      <c r="R35" s="8">
        <f t="shared" si="4"/>
        <v>34</v>
      </c>
      <c r="S35" s="8">
        <f t="shared" ca="1" si="5"/>
        <v>34</v>
      </c>
      <c r="T35">
        <f t="shared" ca="1" si="6"/>
        <v>6.4823635461148648</v>
      </c>
      <c r="U35" s="8">
        <f t="shared" ca="1" si="7"/>
        <v>1.0028823037615175</v>
      </c>
      <c r="V35" s="8">
        <f ca="1">RawData[[#This Row],[Z (smoothed demand size)]]/RawData[[#This Row],[X (smoothed interval)]]</f>
        <v>6.463733103876117</v>
      </c>
    </row>
    <row r="36" spans="1:22">
      <c r="A36" t="s">
        <v>13</v>
      </c>
      <c r="B36" t="s">
        <v>14</v>
      </c>
      <c r="C36">
        <v>32</v>
      </c>
      <c r="D36" t="s">
        <v>15</v>
      </c>
      <c r="E36" t="s">
        <v>16</v>
      </c>
      <c r="F36" s="1">
        <v>43841</v>
      </c>
      <c r="G36">
        <v>5</v>
      </c>
      <c r="H36">
        <v>5</v>
      </c>
      <c r="I36">
        <v>13</v>
      </c>
      <c r="J36">
        <v>8</v>
      </c>
      <c r="K36">
        <v>0</v>
      </c>
      <c r="L36">
        <v>604</v>
      </c>
      <c r="M36">
        <v>60</v>
      </c>
      <c r="N36" s="1">
        <f t="shared" si="0"/>
        <v>44938</v>
      </c>
      <c r="O36" s="1">
        <f t="shared" si="1"/>
        <v>43101</v>
      </c>
      <c r="P36" s="1">
        <f t="shared" si="2"/>
        <v>44136</v>
      </c>
      <c r="Q36" s="8">
        <f t="shared" si="3"/>
        <v>0</v>
      </c>
      <c r="R36" s="8">
        <f t="shared" si="4"/>
        <v>35</v>
      </c>
      <c r="S36" s="8">
        <f t="shared" ca="1" si="5"/>
        <v>35</v>
      </c>
      <c r="T36">
        <f t="shared" ca="1" si="6"/>
        <v>6.1858908368918923</v>
      </c>
      <c r="U36" s="8">
        <f t="shared" ca="1" si="7"/>
        <v>1.002305843009214</v>
      </c>
      <c r="V36" s="8">
        <f ca="1">RawData[[#This Row],[Z (smoothed demand size)]]/RawData[[#This Row],[X (smoothed interval)]]</f>
        <v>6.1716599579226701</v>
      </c>
    </row>
    <row r="37" spans="1:22">
      <c r="A37" t="s">
        <v>13</v>
      </c>
      <c r="B37" t="s">
        <v>14</v>
      </c>
      <c r="C37">
        <v>32</v>
      </c>
      <c r="D37" t="s">
        <v>15</v>
      </c>
      <c r="E37" t="s">
        <v>16</v>
      </c>
      <c r="F37" s="1">
        <v>43842</v>
      </c>
      <c r="G37">
        <v>10</v>
      </c>
      <c r="H37">
        <v>8</v>
      </c>
      <c r="I37">
        <v>8</v>
      </c>
      <c r="J37">
        <v>0</v>
      </c>
      <c r="K37">
        <v>1</v>
      </c>
      <c r="L37">
        <v>702</v>
      </c>
      <c r="M37">
        <v>30</v>
      </c>
      <c r="N37" s="1">
        <f t="shared" si="0"/>
        <v>44938</v>
      </c>
      <c r="O37" s="1">
        <f t="shared" si="1"/>
        <v>43101</v>
      </c>
      <c r="P37" s="1">
        <f t="shared" si="2"/>
        <v>44166</v>
      </c>
      <c r="Q37" s="8">
        <f t="shared" si="3"/>
        <v>0</v>
      </c>
      <c r="R37" s="8">
        <f t="shared" si="4"/>
        <v>36</v>
      </c>
      <c r="S37" s="8">
        <f t="shared" ca="1" si="5"/>
        <v>36</v>
      </c>
      <c r="T37">
        <f t="shared" ca="1" si="6"/>
        <v>6.9487126695135144</v>
      </c>
      <c r="U37" s="8">
        <f t="shared" ca="1" si="7"/>
        <v>1.0018446744073712</v>
      </c>
      <c r="V37" s="8">
        <f ca="1">RawData[[#This Row],[Z (smoothed demand size)]]/RawData[[#This Row],[X (smoothed interval)]]</f>
        <v>6.9359181587943652</v>
      </c>
    </row>
    <row r="38" spans="1:22">
      <c r="A38" t="s">
        <v>13</v>
      </c>
      <c r="B38" t="s">
        <v>14</v>
      </c>
      <c r="C38">
        <v>32</v>
      </c>
      <c r="D38" t="s">
        <v>15</v>
      </c>
      <c r="E38" t="s">
        <v>16</v>
      </c>
      <c r="F38" s="1">
        <v>44197</v>
      </c>
      <c r="G38">
        <v>6</v>
      </c>
      <c r="H38">
        <v>6</v>
      </c>
      <c r="I38">
        <v>9</v>
      </c>
      <c r="J38">
        <v>3</v>
      </c>
      <c r="K38">
        <v>0</v>
      </c>
      <c r="L38">
        <v>606</v>
      </c>
      <c r="M38">
        <v>15</v>
      </c>
      <c r="N38" s="1">
        <f t="shared" si="0"/>
        <v>44938</v>
      </c>
      <c r="O38" s="1">
        <f t="shared" si="1"/>
        <v>43101</v>
      </c>
      <c r="P38" s="1">
        <f t="shared" si="2"/>
        <v>44197</v>
      </c>
      <c r="Q38" s="8">
        <f t="shared" si="3"/>
        <v>0</v>
      </c>
      <c r="R38" s="8">
        <f t="shared" si="4"/>
        <v>37</v>
      </c>
      <c r="S38" s="8">
        <f t="shared" ca="1" si="5"/>
        <v>37</v>
      </c>
      <c r="T38">
        <f t="shared" ca="1" si="6"/>
        <v>6.7589701356108121</v>
      </c>
      <c r="U38" s="8">
        <f t="shared" ca="1" si="7"/>
        <v>1.0014757395258971</v>
      </c>
      <c r="V38" s="8">
        <f ca="1">RawData[[#This Row],[Z (smoothed demand size)]]/RawData[[#This Row],[X (smoothed interval)]]</f>
        <v>6.749010354270327</v>
      </c>
    </row>
    <row r="39" spans="1:22">
      <c r="A39" t="s">
        <v>13</v>
      </c>
      <c r="B39" t="s">
        <v>14</v>
      </c>
      <c r="C39">
        <v>32</v>
      </c>
      <c r="D39" t="s">
        <v>15</v>
      </c>
      <c r="E39" t="s">
        <v>16</v>
      </c>
      <c r="F39" s="1">
        <v>44198</v>
      </c>
      <c r="G39">
        <v>5</v>
      </c>
      <c r="H39">
        <v>5</v>
      </c>
      <c r="I39">
        <v>13</v>
      </c>
      <c r="J39">
        <v>8</v>
      </c>
      <c r="K39">
        <v>0</v>
      </c>
      <c r="L39">
        <v>603</v>
      </c>
      <c r="M39">
        <v>60</v>
      </c>
      <c r="N39" s="1">
        <f t="shared" si="0"/>
        <v>44938</v>
      </c>
      <c r="O39" s="1">
        <f t="shared" si="1"/>
        <v>43101</v>
      </c>
      <c r="P39" s="1">
        <f t="shared" si="2"/>
        <v>44228</v>
      </c>
      <c r="Q39" s="8">
        <f t="shared" si="3"/>
        <v>0</v>
      </c>
      <c r="R39" s="8">
        <f t="shared" si="4"/>
        <v>38</v>
      </c>
      <c r="S39" s="8">
        <f t="shared" ca="1" si="5"/>
        <v>38</v>
      </c>
      <c r="T39">
        <f t="shared" ca="1" si="6"/>
        <v>6.4071761084886498</v>
      </c>
      <c r="U39" s="8">
        <f t="shared" ca="1" si="7"/>
        <v>1.0011805916207177</v>
      </c>
      <c r="V39" s="8">
        <f ca="1">RawData[[#This Row],[Z (smoothed demand size)]]/RawData[[#This Row],[X (smoothed interval)]]</f>
        <v>6.3996207698320156</v>
      </c>
    </row>
    <row r="40" spans="1:22">
      <c r="A40" t="s">
        <v>13</v>
      </c>
      <c r="B40" t="s">
        <v>14</v>
      </c>
      <c r="C40">
        <v>32</v>
      </c>
      <c r="D40" t="s">
        <v>15</v>
      </c>
      <c r="E40" t="s">
        <v>16</v>
      </c>
      <c r="F40" s="1">
        <v>44199</v>
      </c>
      <c r="G40">
        <v>11</v>
      </c>
      <c r="H40">
        <v>8</v>
      </c>
      <c r="I40">
        <v>8</v>
      </c>
      <c r="J40">
        <v>0</v>
      </c>
      <c r="K40">
        <v>1</v>
      </c>
      <c r="L40">
        <v>609</v>
      </c>
      <c r="M40">
        <v>30</v>
      </c>
      <c r="N40" s="1">
        <f t="shared" si="0"/>
        <v>44938</v>
      </c>
      <c r="O40" s="1">
        <f t="shared" si="1"/>
        <v>43101</v>
      </c>
      <c r="P40" s="1">
        <f t="shared" si="2"/>
        <v>44256</v>
      </c>
      <c r="Q40" s="8">
        <f t="shared" si="3"/>
        <v>0</v>
      </c>
      <c r="R40" s="8">
        <f t="shared" si="4"/>
        <v>39</v>
      </c>
      <c r="S40" s="8">
        <f t="shared" ca="1" si="5"/>
        <v>39</v>
      </c>
      <c r="T40">
        <f t="shared" ca="1" si="6"/>
        <v>7.3257408867909204</v>
      </c>
      <c r="U40" s="8">
        <f t="shared" ca="1" si="7"/>
        <v>1.0009444732965742</v>
      </c>
      <c r="V40" s="8">
        <f ca="1">RawData[[#This Row],[Z (smoothed demand size)]]/RawData[[#This Row],[X (smoothed interval)]]</f>
        <v>7.3188284487588602</v>
      </c>
    </row>
    <row r="41" spans="1:22">
      <c r="A41" t="s">
        <v>13</v>
      </c>
      <c r="B41" t="s">
        <v>14</v>
      </c>
      <c r="C41">
        <v>32</v>
      </c>
      <c r="D41" t="s">
        <v>15</v>
      </c>
      <c r="E41" t="s">
        <v>16</v>
      </c>
      <c r="F41" s="1">
        <v>44200</v>
      </c>
      <c r="G41">
        <v>4</v>
      </c>
      <c r="H41">
        <v>4</v>
      </c>
      <c r="I41">
        <v>9</v>
      </c>
      <c r="J41">
        <v>5</v>
      </c>
      <c r="K41">
        <v>0</v>
      </c>
      <c r="L41">
        <v>593</v>
      </c>
      <c r="M41">
        <v>15</v>
      </c>
      <c r="N41" s="1">
        <f t="shared" si="0"/>
        <v>44938</v>
      </c>
      <c r="O41" s="1">
        <f t="shared" si="1"/>
        <v>43101</v>
      </c>
      <c r="P41" s="1">
        <f t="shared" si="2"/>
        <v>44287</v>
      </c>
      <c r="Q41" s="8">
        <f t="shared" si="3"/>
        <v>0</v>
      </c>
      <c r="R41" s="8">
        <f t="shared" si="4"/>
        <v>40</v>
      </c>
      <c r="S41" s="8">
        <f t="shared" ca="1" si="5"/>
        <v>40</v>
      </c>
      <c r="T41">
        <f t="shared" ca="1" si="6"/>
        <v>6.6605927094327368</v>
      </c>
      <c r="U41" s="8">
        <f t="shared" ca="1" si="7"/>
        <v>1.0007555786372595</v>
      </c>
      <c r="V41" s="8">
        <f ca="1">RawData[[#This Row],[Z (smoothed demand size)]]/RawData[[#This Row],[X (smoothed interval)]]</f>
        <v>6.6555639075252957</v>
      </c>
    </row>
    <row r="42" spans="1:22">
      <c r="A42" t="s">
        <v>13</v>
      </c>
      <c r="B42" t="s">
        <v>14</v>
      </c>
      <c r="C42">
        <v>32</v>
      </c>
      <c r="D42" t="s">
        <v>15</v>
      </c>
      <c r="E42" t="s">
        <v>16</v>
      </c>
      <c r="F42" s="1">
        <v>44201</v>
      </c>
      <c r="G42">
        <v>8</v>
      </c>
      <c r="H42">
        <v>8</v>
      </c>
      <c r="I42">
        <v>14</v>
      </c>
      <c r="J42">
        <v>6</v>
      </c>
      <c r="K42">
        <v>0</v>
      </c>
      <c r="L42">
        <v>597</v>
      </c>
      <c r="M42">
        <v>15</v>
      </c>
      <c r="N42" s="1">
        <f t="shared" si="0"/>
        <v>44938</v>
      </c>
      <c r="O42" s="1">
        <f t="shared" si="1"/>
        <v>43101</v>
      </c>
      <c r="P42" s="1">
        <f t="shared" si="2"/>
        <v>44317</v>
      </c>
      <c r="Q42" s="8">
        <f t="shared" si="3"/>
        <v>0</v>
      </c>
      <c r="R42" s="8">
        <f t="shared" si="4"/>
        <v>41</v>
      </c>
      <c r="S42" s="8">
        <f t="shared" ca="1" si="5"/>
        <v>41</v>
      </c>
      <c r="T42">
        <f t="shared" ca="1" si="6"/>
        <v>6.9284741675461898</v>
      </c>
      <c r="U42" s="8">
        <f t="shared" ca="1" si="7"/>
        <v>1.0006044629098076</v>
      </c>
      <c r="V42" s="8">
        <f ca="1">RawData[[#This Row],[Z (smoothed demand size)]]/RawData[[#This Row],[X (smoothed interval)]]</f>
        <v>6.9242886918551632</v>
      </c>
    </row>
    <row r="43" spans="1:22">
      <c r="A43" t="s">
        <v>13</v>
      </c>
      <c r="B43" t="s">
        <v>14</v>
      </c>
      <c r="C43">
        <v>32</v>
      </c>
      <c r="D43" t="s">
        <v>15</v>
      </c>
      <c r="E43" t="s">
        <v>16</v>
      </c>
      <c r="F43" s="1">
        <v>44202</v>
      </c>
      <c r="G43">
        <v>5</v>
      </c>
      <c r="H43">
        <v>5</v>
      </c>
      <c r="I43">
        <v>18</v>
      </c>
      <c r="J43">
        <v>13</v>
      </c>
      <c r="K43">
        <v>0</v>
      </c>
      <c r="L43">
        <v>684</v>
      </c>
      <c r="M43">
        <v>45</v>
      </c>
      <c r="N43" s="1">
        <f t="shared" si="0"/>
        <v>44938</v>
      </c>
      <c r="O43" s="1">
        <f t="shared" si="1"/>
        <v>43101</v>
      </c>
      <c r="P43" s="1">
        <f t="shared" si="2"/>
        <v>44348</v>
      </c>
      <c r="Q43" s="8">
        <f t="shared" si="3"/>
        <v>0</v>
      </c>
      <c r="R43" s="8">
        <f t="shared" si="4"/>
        <v>42</v>
      </c>
      <c r="S43" s="8">
        <f t="shared" ca="1" si="5"/>
        <v>42</v>
      </c>
      <c r="T43">
        <f t="shared" ca="1" si="6"/>
        <v>6.5427793340369522</v>
      </c>
      <c r="U43" s="8">
        <f t="shared" ca="1" si="7"/>
        <v>1.0004835703278461</v>
      </c>
      <c r="V43" s="8">
        <f ca="1">RawData[[#This Row],[Z (smoothed demand size)]]/RawData[[#This Row],[X (smoothed interval)]]</f>
        <v>6.5396169693151132</v>
      </c>
    </row>
    <row r="44" spans="1:22">
      <c r="A44" t="s">
        <v>13</v>
      </c>
      <c r="B44" t="s">
        <v>14</v>
      </c>
      <c r="C44">
        <v>32</v>
      </c>
      <c r="D44" t="s">
        <v>15</v>
      </c>
      <c r="E44" t="s">
        <v>16</v>
      </c>
      <c r="F44" s="1">
        <v>44203</v>
      </c>
      <c r="G44">
        <v>12</v>
      </c>
      <c r="H44">
        <v>12</v>
      </c>
      <c r="I44">
        <v>13</v>
      </c>
      <c r="J44">
        <v>1</v>
      </c>
      <c r="K44">
        <v>0</v>
      </c>
      <c r="L44">
        <v>688</v>
      </c>
      <c r="M44">
        <v>15</v>
      </c>
      <c r="N44" s="1">
        <f t="shared" si="0"/>
        <v>44938</v>
      </c>
      <c r="O44" s="1">
        <f t="shared" si="1"/>
        <v>43101</v>
      </c>
      <c r="P44" s="1">
        <f t="shared" si="2"/>
        <v>44378</v>
      </c>
      <c r="Q44" s="8">
        <f t="shared" si="3"/>
        <v>0</v>
      </c>
      <c r="R44" s="8">
        <f t="shared" si="4"/>
        <v>43</v>
      </c>
      <c r="S44" s="8">
        <f t="shared" ca="1" si="5"/>
        <v>43</v>
      </c>
      <c r="T44">
        <f t="shared" ca="1" si="6"/>
        <v>7.6342234672295621</v>
      </c>
      <c r="U44" s="8">
        <f t="shared" ca="1" si="7"/>
        <v>1.0003868562622769</v>
      </c>
      <c r="V44" s="8">
        <f ca="1">RawData[[#This Row],[Z (smoothed demand size)]]/RawData[[#This Row],[X (smoothed interval)]]</f>
        <v>7.6312712621526648</v>
      </c>
    </row>
    <row r="45" spans="1:22">
      <c r="A45" t="s">
        <v>13</v>
      </c>
      <c r="B45" t="s">
        <v>14</v>
      </c>
      <c r="C45">
        <v>32</v>
      </c>
      <c r="D45" t="s">
        <v>15</v>
      </c>
      <c r="E45" t="s">
        <v>16</v>
      </c>
      <c r="F45" s="1">
        <v>44204</v>
      </c>
      <c r="G45">
        <v>4</v>
      </c>
      <c r="H45">
        <v>4</v>
      </c>
      <c r="I45">
        <v>8</v>
      </c>
      <c r="J45">
        <v>4</v>
      </c>
      <c r="K45">
        <v>0</v>
      </c>
      <c r="L45">
        <v>681</v>
      </c>
      <c r="M45">
        <v>60</v>
      </c>
      <c r="N45" s="1">
        <f t="shared" si="0"/>
        <v>44938</v>
      </c>
      <c r="O45" s="1">
        <f t="shared" si="1"/>
        <v>43101</v>
      </c>
      <c r="P45" s="1">
        <f t="shared" si="2"/>
        <v>44409</v>
      </c>
      <c r="Q45" s="8">
        <f t="shared" si="3"/>
        <v>0</v>
      </c>
      <c r="R45" s="8">
        <f t="shared" si="4"/>
        <v>44</v>
      </c>
      <c r="S45" s="8">
        <f t="shared" ca="1" si="5"/>
        <v>44</v>
      </c>
      <c r="T45">
        <f t="shared" ca="1" si="6"/>
        <v>6.9073787737836501</v>
      </c>
      <c r="U45" s="8">
        <f t="shared" ca="1" si="7"/>
        <v>1.0003094850098215</v>
      </c>
      <c r="V45" s="8">
        <f ca="1">RawData[[#This Row],[Z (smoothed demand size)]]/RawData[[#This Row],[X (smoothed interval)]]</f>
        <v>6.9052417049867625</v>
      </c>
    </row>
    <row r="46" spans="1:22">
      <c r="A46" t="s">
        <v>13</v>
      </c>
      <c r="B46" t="s">
        <v>14</v>
      </c>
      <c r="C46">
        <v>32</v>
      </c>
      <c r="D46" t="s">
        <v>15</v>
      </c>
      <c r="E46" t="s">
        <v>16</v>
      </c>
      <c r="F46" s="1">
        <v>44205</v>
      </c>
      <c r="G46">
        <v>6</v>
      </c>
      <c r="H46">
        <v>4</v>
      </c>
      <c r="I46">
        <v>4</v>
      </c>
      <c r="J46">
        <v>0</v>
      </c>
      <c r="K46">
        <v>1</v>
      </c>
      <c r="L46">
        <v>604</v>
      </c>
      <c r="M46">
        <v>60</v>
      </c>
      <c r="N46" s="1">
        <f t="shared" si="0"/>
        <v>44938</v>
      </c>
      <c r="O46" s="1">
        <f t="shared" si="1"/>
        <v>43101</v>
      </c>
      <c r="P46" s="1">
        <f t="shared" si="2"/>
        <v>44440</v>
      </c>
      <c r="Q46" s="8">
        <f t="shared" si="3"/>
        <v>0</v>
      </c>
      <c r="R46" s="8">
        <f t="shared" si="4"/>
        <v>45</v>
      </c>
      <c r="S46" s="8">
        <f t="shared" ca="1" si="5"/>
        <v>45</v>
      </c>
      <c r="T46">
        <f t="shared" ca="1" si="6"/>
        <v>6.7259030190269202</v>
      </c>
      <c r="U46" s="8">
        <f t="shared" ca="1" si="7"/>
        <v>1.0002475880078572</v>
      </c>
      <c r="V46" s="8">
        <f ca="1">RawData[[#This Row],[Z (smoothed demand size)]]/RawData[[#This Row],[X (smoothed interval)]]</f>
        <v>6.7242381782919995</v>
      </c>
    </row>
    <row r="47" spans="1:22">
      <c r="A47" t="s">
        <v>13</v>
      </c>
      <c r="B47" t="s">
        <v>14</v>
      </c>
      <c r="C47">
        <v>32</v>
      </c>
      <c r="D47" t="s">
        <v>15</v>
      </c>
      <c r="E47" t="s">
        <v>16</v>
      </c>
      <c r="F47" s="1">
        <v>44206</v>
      </c>
      <c r="G47">
        <v>0</v>
      </c>
      <c r="H47">
        <v>0</v>
      </c>
      <c r="I47">
        <v>12</v>
      </c>
      <c r="J47">
        <v>12</v>
      </c>
      <c r="K47">
        <v>0</v>
      </c>
      <c r="L47">
        <v>599</v>
      </c>
      <c r="M47">
        <v>15</v>
      </c>
      <c r="N47" s="1">
        <f t="shared" si="0"/>
        <v>44938</v>
      </c>
      <c r="O47" s="1">
        <f t="shared" si="1"/>
        <v>43101</v>
      </c>
      <c r="P47" s="1">
        <f t="shared" si="2"/>
        <v>44470</v>
      </c>
      <c r="Q47" s="8">
        <f t="shared" si="3"/>
        <v>0</v>
      </c>
      <c r="R47" s="8">
        <f t="shared" si="4"/>
        <v>46</v>
      </c>
      <c r="S47" s="8">
        <f t="shared" ca="1" si="5"/>
        <v>45</v>
      </c>
      <c r="T47">
        <f t="shared" ca="1" si="6"/>
        <v>6.7259030190269202</v>
      </c>
      <c r="U47" s="8">
        <f t="shared" ca="1" si="7"/>
        <v>1.0002475880078572</v>
      </c>
      <c r="V47" s="8">
        <f ca="1">RawData[[#This Row],[Z (smoothed demand size)]]/RawData[[#This Row],[X (smoothed interval)]]</f>
        <v>6.7242381782919995</v>
      </c>
    </row>
    <row r="48" spans="1:22">
      <c r="A48" t="s">
        <v>13</v>
      </c>
      <c r="B48" t="s">
        <v>14</v>
      </c>
      <c r="C48">
        <v>32</v>
      </c>
      <c r="D48" t="s">
        <v>15</v>
      </c>
      <c r="E48" t="s">
        <v>16</v>
      </c>
      <c r="F48" s="1">
        <v>44207</v>
      </c>
      <c r="G48">
        <v>15</v>
      </c>
      <c r="H48">
        <v>12</v>
      </c>
      <c r="I48">
        <v>12</v>
      </c>
      <c r="J48">
        <v>0</v>
      </c>
      <c r="K48">
        <v>1</v>
      </c>
      <c r="L48">
        <v>592</v>
      </c>
      <c r="M48">
        <v>15</v>
      </c>
      <c r="N48" s="1">
        <f t="shared" si="0"/>
        <v>44938</v>
      </c>
      <c r="O48" s="1">
        <f t="shared" si="1"/>
        <v>43101</v>
      </c>
      <c r="P48" s="1">
        <f t="shared" si="2"/>
        <v>44501</v>
      </c>
      <c r="Q48" s="8">
        <f t="shared" si="3"/>
        <v>0</v>
      </c>
      <c r="R48" s="8">
        <f t="shared" si="4"/>
        <v>47</v>
      </c>
      <c r="S48" s="8">
        <f t="shared" ca="1" si="5"/>
        <v>47</v>
      </c>
      <c r="T48">
        <f t="shared" ca="1" si="6"/>
        <v>8.3807224152215376</v>
      </c>
      <c r="U48" s="8">
        <f t="shared" ca="1" si="7"/>
        <v>1.2001980704062858</v>
      </c>
      <c r="V48" s="8">
        <f ca="1">RawData[[#This Row],[Z (smoothed demand size)]]/RawData[[#This Row],[X (smoothed interval)]]</f>
        <v>6.9827827771665492</v>
      </c>
    </row>
    <row r="49" spans="1:22">
      <c r="A49" t="s">
        <v>13</v>
      </c>
      <c r="B49" t="s">
        <v>14</v>
      </c>
      <c r="C49">
        <v>32</v>
      </c>
      <c r="D49" t="s">
        <v>15</v>
      </c>
      <c r="E49" t="s">
        <v>16</v>
      </c>
      <c r="F49" s="1">
        <v>44208</v>
      </c>
      <c r="G49">
        <v>8</v>
      </c>
      <c r="H49">
        <v>8</v>
      </c>
      <c r="I49">
        <v>8</v>
      </c>
      <c r="J49">
        <v>0</v>
      </c>
      <c r="K49">
        <v>0</v>
      </c>
      <c r="L49">
        <v>684</v>
      </c>
      <c r="M49">
        <v>60</v>
      </c>
      <c r="N49" s="1">
        <f t="shared" si="0"/>
        <v>44938</v>
      </c>
      <c r="O49" s="1">
        <f t="shared" si="1"/>
        <v>43101</v>
      </c>
      <c r="P49" s="1">
        <f t="shared" si="2"/>
        <v>44531</v>
      </c>
      <c r="Q49" s="8">
        <f t="shared" si="3"/>
        <v>0</v>
      </c>
      <c r="R49" s="8">
        <f t="shared" si="4"/>
        <v>48</v>
      </c>
      <c r="S49" s="8">
        <f t="shared" ca="1" si="5"/>
        <v>48</v>
      </c>
      <c r="T49">
        <f t="shared" ca="1" si="6"/>
        <v>8.3045779321772297</v>
      </c>
      <c r="U49" s="8">
        <f t="shared" ca="1" si="7"/>
        <v>1.1601584563250287</v>
      </c>
      <c r="V49" s="8">
        <f ca="1">RawData[[#This Row],[Z (smoothed demand size)]]/RawData[[#This Row],[X (smoothed interval)]]</f>
        <v>7.1581411029689797</v>
      </c>
    </row>
    <row r="50" spans="1:22">
      <c r="A50" t="s">
        <v>13</v>
      </c>
      <c r="B50" t="s">
        <v>14</v>
      </c>
      <c r="C50">
        <v>32</v>
      </c>
      <c r="D50" t="s">
        <v>15</v>
      </c>
      <c r="E50" t="s">
        <v>16</v>
      </c>
      <c r="F50" s="1">
        <v>44562</v>
      </c>
      <c r="G50">
        <v>5</v>
      </c>
      <c r="H50">
        <v>0</v>
      </c>
      <c r="I50">
        <v>0</v>
      </c>
      <c r="J50">
        <v>0</v>
      </c>
      <c r="K50">
        <v>1</v>
      </c>
      <c r="L50">
        <v>601</v>
      </c>
      <c r="M50">
        <v>60</v>
      </c>
      <c r="N50" s="1">
        <f t="shared" si="0"/>
        <v>44938</v>
      </c>
      <c r="O50" s="1">
        <f t="shared" si="1"/>
        <v>43101</v>
      </c>
      <c r="P50" s="1">
        <f t="shared" si="2"/>
        <v>44562</v>
      </c>
      <c r="Q50" s="8">
        <f t="shared" si="3"/>
        <v>0</v>
      </c>
      <c r="R50" s="8">
        <f t="shared" si="4"/>
        <v>49</v>
      </c>
      <c r="S50" s="8">
        <f t="shared" ca="1" si="5"/>
        <v>49</v>
      </c>
      <c r="T50">
        <f t="shared" ca="1" si="6"/>
        <v>7.6436623457417845</v>
      </c>
      <c r="U50" s="8">
        <f t="shared" ca="1" si="7"/>
        <v>1.1281267650600231</v>
      </c>
      <c r="V50" s="8">
        <f ca="1">RawData[[#This Row],[Z (smoothed demand size)]]/RawData[[#This Row],[X (smoothed interval)]]</f>
        <v>6.7755349686567321</v>
      </c>
    </row>
    <row r="51" spans="1:22">
      <c r="A51" t="s">
        <v>13</v>
      </c>
      <c r="B51" t="s">
        <v>14</v>
      </c>
      <c r="C51">
        <v>32</v>
      </c>
      <c r="D51" t="s">
        <v>15</v>
      </c>
      <c r="E51" t="s">
        <v>16</v>
      </c>
      <c r="F51" s="1">
        <v>44563</v>
      </c>
      <c r="G51">
        <v>8</v>
      </c>
      <c r="H51">
        <v>8</v>
      </c>
      <c r="I51">
        <v>11</v>
      </c>
      <c r="J51">
        <v>3</v>
      </c>
      <c r="K51">
        <v>0</v>
      </c>
      <c r="L51">
        <v>604</v>
      </c>
      <c r="M51">
        <v>15</v>
      </c>
      <c r="N51" s="1">
        <f t="shared" si="0"/>
        <v>44938</v>
      </c>
      <c r="O51" s="1">
        <f t="shared" si="1"/>
        <v>43101</v>
      </c>
      <c r="P51" s="1">
        <f t="shared" si="2"/>
        <v>44593</v>
      </c>
      <c r="Q51" s="8">
        <f t="shared" si="3"/>
        <v>0</v>
      </c>
      <c r="R51" s="8">
        <f t="shared" si="4"/>
        <v>50</v>
      </c>
      <c r="S51" s="8">
        <f t="shared" ca="1" si="5"/>
        <v>50</v>
      </c>
      <c r="T51">
        <f t="shared" ca="1" si="6"/>
        <v>7.7149298765934287</v>
      </c>
      <c r="U51" s="8">
        <f t="shared" ca="1" si="7"/>
        <v>1.1025014120480185</v>
      </c>
      <c r="V51" s="8">
        <f ca="1">RawData[[#This Row],[Z (smoothed demand size)]]/RawData[[#This Row],[X (smoothed interval)]]</f>
        <v>6.9976598599198994</v>
      </c>
    </row>
    <row r="52" spans="1:22">
      <c r="A52" t="s">
        <v>13</v>
      </c>
      <c r="B52" t="s">
        <v>14</v>
      </c>
      <c r="C52">
        <v>32</v>
      </c>
      <c r="D52" t="s">
        <v>15</v>
      </c>
      <c r="E52" t="s">
        <v>16</v>
      </c>
      <c r="F52" s="1">
        <v>44564</v>
      </c>
      <c r="G52">
        <v>10</v>
      </c>
      <c r="H52">
        <v>10</v>
      </c>
      <c r="I52">
        <v>10</v>
      </c>
      <c r="J52">
        <v>0</v>
      </c>
      <c r="K52">
        <v>0</v>
      </c>
      <c r="L52">
        <v>611</v>
      </c>
      <c r="M52">
        <v>60</v>
      </c>
      <c r="N52" s="1">
        <f t="shared" si="0"/>
        <v>44938</v>
      </c>
      <c r="O52" s="1">
        <f t="shared" si="1"/>
        <v>43101</v>
      </c>
      <c r="P52" s="1">
        <f t="shared" si="2"/>
        <v>44621</v>
      </c>
      <c r="Q52" s="8">
        <f t="shared" si="3"/>
        <v>0</v>
      </c>
      <c r="R52" s="8">
        <f t="shared" si="4"/>
        <v>51</v>
      </c>
      <c r="S52" s="8">
        <f t="shared" ca="1" si="5"/>
        <v>51</v>
      </c>
      <c r="T52">
        <f t="shared" ca="1" si="6"/>
        <v>8.1719439012747443</v>
      </c>
      <c r="U52" s="8">
        <f t="shared" ca="1" si="7"/>
        <v>1.0820011296384149</v>
      </c>
      <c r="V52" s="8">
        <f ca="1">RawData[[#This Row],[Z (smoothed demand size)]]/RawData[[#This Row],[X (smoothed interval)]]</f>
        <v>7.5526204894126678</v>
      </c>
    </row>
    <row r="53" spans="1:22">
      <c r="A53" t="s">
        <v>13</v>
      </c>
      <c r="B53" t="s">
        <v>14</v>
      </c>
      <c r="C53">
        <v>32</v>
      </c>
      <c r="D53" t="s">
        <v>15</v>
      </c>
      <c r="E53" t="s">
        <v>16</v>
      </c>
      <c r="F53" s="1">
        <v>44565</v>
      </c>
      <c r="G53">
        <v>6</v>
      </c>
      <c r="H53">
        <v>0</v>
      </c>
      <c r="I53">
        <v>0</v>
      </c>
      <c r="J53">
        <v>0</v>
      </c>
      <c r="K53">
        <v>1</v>
      </c>
      <c r="L53">
        <v>616</v>
      </c>
      <c r="M53">
        <v>45</v>
      </c>
      <c r="N53" s="1">
        <f t="shared" si="0"/>
        <v>44938</v>
      </c>
      <c r="O53" s="1">
        <f t="shared" si="1"/>
        <v>43101</v>
      </c>
      <c r="P53" s="1">
        <f t="shared" si="2"/>
        <v>44652</v>
      </c>
      <c r="Q53" s="8">
        <f t="shared" si="3"/>
        <v>0</v>
      </c>
      <c r="R53" s="8">
        <f t="shared" si="4"/>
        <v>52</v>
      </c>
      <c r="S53" s="8">
        <f t="shared" ca="1" si="5"/>
        <v>52</v>
      </c>
      <c r="T53">
        <f t="shared" ca="1" si="6"/>
        <v>7.7375551210197964</v>
      </c>
      <c r="U53" s="8">
        <f t="shared" ca="1" si="7"/>
        <v>1.0656009037107319</v>
      </c>
      <c r="V53" s="8">
        <f ca="1">RawData[[#This Row],[Z (smoothed demand size)]]/RawData[[#This Row],[X (smoothed interval)]]</f>
        <v>7.2612129870342468</v>
      </c>
    </row>
    <row r="54" spans="1:22">
      <c r="A54" t="s">
        <v>13</v>
      </c>
      <c r="B54" t="s">
        <v>14</v>
      </c>
      <c r="C54">
        <v>32</v>
      </c>
      <c r="D54" t="s">
        <v>15</v>
      </c>
      <c r="E54" t="s">
        <v>16</v>
      </c>
      <c r="F54" s="1">
        <v>44566</v>
      </c>
      <c r="G54">
        <v>7</v>
      </c>
      <c r="H54">
        <v>7</v>
      </c>
      <c r="I54">
        <v>12</v>
      </c>
      <c r="J54">
        <v>5</v>
      </c>
      <c r="K54">
        <v>0</v>
      </c>
      <c r="L54">
        <v>601</v>
      </c>
      <c r="M54">
        <v>15</v>
      </c>
      <c r="N54" s="1">
        <f t="shared" si="0"/>
        <v>44938</v>
      </c>
      <c r="O54" s="1">
        <f t="shared" si="1"/>
        <v>43101</v>
      </c>
      <c r="P54" s="1">
        <f t="shared" si="2"/>
        <v>44682</v>
      </c>
      <c r="Q54" s="8">
        <f t="shared" si="3"/>
        <v>0</v>
      </c>
      <c r="R54" s="8">
        <f t="shared" si="4"/>
        <v>53</v>
      </c>
      <c r="S54" s="8">
        <f t="shared" ca="1" si="5"/>
        <v>53</v>
      </c>
      <c r="T54">
        <f t="shared" ca="1" si="6"/>
        <v>7.5900440968158378</v>
      </c>
      <c r="U54" s="8">
        <f t="shared" ca="1" si="7"/>
        <v>1.0524807229685855</v>
      </c>
      <c r="V54" s="8">
        <f ca="1">RawData[[#This Row],[Z (smoothed demand size)]]/RawData[[#This Row],[X (smoothed interval)]]</f>
        <v>7.2115754057781309</v>
      </c>
    </row>
    <row r="55" spans="1:22">
      <c r="A55" t="s">
        <v>13</v>
      </c>
      <c r="B55" t="s">
        <v>14</v>
      </c>
      <c r="C55">
        <v>32</v>
      </c>
      <c r="D55" t="s">
        <v>15</v>
      </c>
      <c r="E55" t="s">
        <v>16</v>
      </c>
      <c r="F55" s="1">
        <v>44567</v>
      </c>
      <c r="G55">
        <v>11</v>
      </c>
      <c r="H55">
        <v>11</v>
      </c>
      <c r="I55">
        <v>12</v>
      </c>
      <c r="J55">
        <v>1</v>
      </c>
      <c r="K55">
        <v>0</v>
      </c>
      <c r="L55">
        <v>682</v>
      </c>
      <c r="M55">
        <v>15</v>
      </c>
      <c r="N55" s="1">
        <f t="shared" si="0"/>
        <v>44938</v>
      </c>
      <c r="O55" s="1">
        <f t="shared" si="1"/>
        <v>43101</v>
      </c>
      <c r="P55" s="1">
        <f t="shared" si="2"/>
        <v>44713</v>
      </c>
      <c r="Q55" s="8">
        <f t="shared" si="3"/>
        <v>0</v>
      </c>
      <c r="R55" s="8">
        <f t="shared" si="4"/>
        <v>54</v>
      </c>
      <c r="S55" s="8">
        <f t="shared" ca="1" si="5"/>
        <v>54</v>
      </c>
      <c r="T55">
        <f t="shared" ca="1" si="6"/>
        <v>8.2720352774526695</v>
      </c>
      <c r="U55" s="8">
        <f t="shared" ca="1" si="7"/>
        <v>1.0419845783748685</v>
      </c>
      <c r="V55" s="8">
        <f ca="1">RawData[[#This Row],[Z (smoothed demand size)]]/RawData[[#This Row],[X (smoothed interval)]]</f>
        <v>7.9387310034416743</v>
      </c>
    </row>
    <row r="56" spans="1:22">
      <c r="A56" t="s">
        <v>13</v>
      </c>
      <c r="B56" t="s">
        <v>14</v>
      </c>
      <c r="C56">
        <v>32</v>
      </c>
      <c r="D56" t="s">
        <v>15</v>
      </c>
      <c r="E56" t="s">
        <v>16</v>
      </c>
      <c r="F56" s="1">
        <v>44568</v>
      </c>
      <c r="G56">
        <v>10</v>
      </c>
      <c r="H56">
        <v>10</v>
      </c>
      <c r="I56">
        <v>12</v>
      </c>
      <c r="J56">
        <v>2</v>
      </c>
      <c r="K56">
        <v>0</v>
      </c>
      <c r="L56">
        <v>674</v>
      </c>
      <c r="M56">
        <v>60</v>
      </c>
      <c r="N56" s="1">
        <f t="shared" si="0"/>
        <v>44938</v>
      </c>
      <c r="O56" s="1">
        <f t="shared" si="1"/>
        <v>43101</v>
      </c>
      <c r="P56" s="1">
        <f t="shared" si="2"/>
        <v>44743</v>
      </c>
      <c r="Q56" s="8">
        <f t="shared" si="3"/>
        <v>0</v>
      </c>
      <c r="R56" s="8">
        <f t="shared" si="4"/>
        <v>55</v>
      </c>
      <c r="S56" s="8">
        <f t="shared" ca="1" si="5"/>
        <v>55</v>
      </c>
      <c r="T56">
        <f t="shared" ca="1" si="6"/>
        <v>8.6176282219621356</v>
      </c>
      <c r="U56" s="8">
        <f t="shared" ca="1" si="7"/>
        <v>1.0335876626998948</v>
      </c>
      <c r="V56" s="8">
        <f ca="1">RawData[[#This Row],[Z (smoothed demand size)]]/RawData[[#This Row],[X (smoothed interval)]]</f>
        <v>8.3375881243120933</v>
      </c>
    </row>
    <row r="57" spans="1:22">
      <c r="A57" t="s">
        <v>13</v>
      </c>
      <c r="B57" t="s">
        <v>14</v>
      </c>
      <c r="C57">
        <v>32</v>
      </c>
      <c r="D57" t="s">
        <v>15</v>
      </c>
      <c r="E57" t="s">
        <v>16</v>
      </c>
      <c r="F57" s="1">
        <v>44569</v>
      </c>
      <c r="G57">
        <v>9</v>
      </c>
      <c r="H57">
        <v>2</v>
      </c>
      <c r="I57">
        <v>2</v>
      </c>
      <c r="J57">
        <v>0</v>
      </c>
      <c r="K57">
        <v>1</v>
      </c>
      <c r="L57">
        <v>690</v>
      </c>
      <c r="M57">
        <v>30</v>
      </c>
      <c r="N57" s="1">
        <f t="shared" si="0"/>
        <v>44938</v>
      </c>
      <c r="O57" s="1">
        <f t="shared" si="1"/>
        <v>43101</v>
      </c>
      <c r="P57" s="1">
        <f t="shared" si="2"/>
        <v>44774</v>
      </c>
      <c r="Q57" s="8">
        <f t="shared" si="3"/>
        <v>0</v>
      </c>
      <c r="R57" s="8">
        <f t="shared" si="4"/>
        <v>56</v>
      </c>
      <c r="S57" s="8">
        <f t="shared" ca="1" si="5"/>
        <v>56</v>
      </c>
      <c r="T57">
        <f t="shared" ca="1" si="6"/>
        <v>8.6941025775697085</v>
      </c>
      <c r="U57" s="8">
        <f t="shared" ca="1" si="7"/>
        <v>1.0268701301599159</v>
      </c>
      <c r="V57" s="8">
        <f ca="1">RawData[[#This Row],[Z (smoothed demand size)]]/RawData[[#This Row],[X (smoothed interval)]]</f>
        <v>8.4666038306282836</v>
      </c>
    </row>
    <row r="58" spans="1:22">
      <c r="A58" t="s">
        <v>13</v>
      </c>
      <c r="B58" t="s">
        <v>14</v>
      </c>
      <c r="C58">
        <v>32</v>
      </c>
      <c r="D58" t="s">
        <v>15</v>
      </c>
      <c r="E58" t="s">
        <v>16</v>
      </c>
      <c r="F58" s="1">
        <v>44570</v>
      </c>
      <c r="G58">
        <v>5</v>
      </c>
      <c r="H58">
        <v>5</v>
      </c>
      <c r="I58">
        <v>10</v>
      </c>
      <c r="J58">
        <v>5</v>
      </c>
      <c r="K58">
        <v>0</v>
      </c>
      <c r="L58">
        <v>594</v>
      </c>
      <c r="M58">
        <v>60</v>
      </c>
      <c r="N58" s="1">
        <f t="shared" si="0"/>
        <v>44938</v>
      </c>
      <c r="O58" s="1">
        <f t="shared" si="1"/>
        <v>43101</v>
      </c>
      <c r="P58" s="1">
        <f t="shared" si="2"/>
        <v>44805</v>
      </c>
      <c r="Q58" s="8">
        <f t="shared" si="3"/>
        <v>0</v>
      </c>
      <c r="R58" s="8">
        <f t="shared" si="4"/>
        <v>57</v>
      </c>
      <c r="S58" s="8">
        <f t="shared" ca="1" si="5"/>
        <v>57</v>
      </c>
      <c r="T58">
        <f t="shared" ca="1" si="6"/>
        <v>7.9552820620557672</v>
      </c>
      <c r="U58" s="8">
        <f t="shared" ca="1" si="7"/>
        <v>1.0214961041279327</v>
      </c>
      <c r="V58" s="8">
        <f ca="1">RawData[[#This Row],[Z (smoothed demand size)]]/RawData[[#This Row],[X (smoothed interval)]]</f>
        <v>7.7878731303114632</v>
      </c>
    </row>
    <row r="59" spans="1:22">
      <c r="A59" t="s">
        <v>13</v>
      </c>
      <c r="B59" t="s">
        <v>14</v>
      </c>
      <c r="C59">
        <v>32</v>
      </c>
      <c r="D59" t="s">
        <v>15</v>
      </c>
      <c r="E59" t="s">
        <v>16</v>
      </c>
      <c r="F59" s="1">
        <v>44571</v>
      </c>
      <c r="G59">
        <v>11</v>
      </c>
      <c r="H59">
        <v>5</v>
      </c>
      <c r="I59">
        <v>5</v>
      </c>
      <c r="J59">
        <v>0</v>
      </c>
      <c r="K59">
        <v>1</v>
      </c>
      <c r="L59">
        <v>596</v>
      </c>
      <c r="M59">
        <v>60</v>
      </c>
      <c r="N59" s="1">
        <f t="shared" si="0"/>
        <v>44938</v>
      </c>
      <c r="O59" s="1">
        <f t="shared" si="1"/>
        <v>43101</v>
      </c>
      <c r="P59" s="1">
        <f t="shared" si="2"/>
        <v>44835</v>
      </c>
      <c r="Q59" s="8">
        <f t="shared" si="3"/>
        <v>0</v>
      </c>
      <c r="R59" s="8">
        <f t="shared" si="4"/>
        <v>58</v>
      </c>
      <c r="S59" s="8">
        <f t="shared" ca="1" si="5"/>
        <v>58</v>
      </c>
      <c r="T59">
        <f t="shared" ca="1" si="6"/>
        <v>8.5642256496446141</v>
      </c>
      <c r="U59" s="8">
        <f t="shared" ca="1" si="7"/>
        <v>1.0171968833023461</v>
      </c>
      <c r="V59" s="8">
        <f ca="1">RawData[[#This Row],[Z (smoothed demand size)]]/RawData[[#This Row],[X (smoothed interval)]]</f>
        <v>8.4194375643786064</v>
      </c>
    </row>
    <row r="60" spans="1:22">
      <c r="A60" t="s">
        <v>13</v>
      </c>
      <c r="B60" t="s">
        <v>14</v>
      </c>
      <c r="C60">
        <v>32</v>
      </c>
      <c r="D60" t="s">
        <v>15</v>
      </c>
      <c r="E60" t="s">
        <v>16</v>
      </c>
      <c r="F60" s="1">
        <v>44572</v>
      </c>
      <c r="G60">
        <v>9</v>
      </c>
      <c r="H60">
        <v>7</v>
      </c>
      <c r="I60">
        <v>7</v>
      </c>
      <c r="J60">
        <v>0</v>
      </c>
      <c r="K60">
        <v>1</v>
      </c>
      <c r="L60">
        <v>595</v>
      </c>
      <c r="M60">
        <v>60</v>
      </c>
      <c r="N60" s="1">
        <f t="shared" si="0"/>
        <v>44938</v>
      </c>
      <c r="O60" s="1">
        <f t="shared" si="1"/>
        <v>43101</v>
      </c>
      <c r="P60" s="1">
        <f t="shared" si="2"/>
        <v>44866</v>
      </c>
      <c r="Q60" s="8">
        <f t="shared" si="3"/>
        <v>0</v>
      </c>
      <c r="R60" s="8">
        <f t="shared" si="4"/>
        <v>59</v>
      </c>
      <c r="S60" s="8">
        <f t="shared" ca="1" si="5"/>
        <v>59</v>
      </c>
      <c r="T60">
        <f t="shared" ca="1" si="6"/>
        <v>8.6513805197156923</v>
      </c>
      <c r="U60" s="8">
        <f t="shared" ca="1" si="7"/>
        <v>1.0137575066418769</v>
      </c>
      <c r="V60" s="8">
        <f ca="1">RawData[[#This Row],[Z (smoothed demand size)]]/RawData[[#This Row],[X (smoothed interval)]]</f>
        <v>8.5339743114443891</v>
      </c>
    </row>
    <row r="61" spans="1:22">
      <c r="A61" t="s">
        <v>13</v>
      </c>
      <c r="B61" t="s">
        <v>14</v>
      </c>
      <c r="C61">
        <v>32</v>
      </c>
      <c r="D61" t="s">
        <v>15</v>
      </c>
      <c r="E61" t="s">
        <v>16</v>
      </c>
      <c r="F61" s="1">
        <v>44573</v>
      </c>
      <c r="G61">
        <v>10</v>
      </c>
      <c r="H61">
        <v>0</v>
      </c>
      <c r="I61">
        <v>0</v>
      </c>
      <c r="J61">
        <v>0</v>
      </c>
      <c r="K61">
        <v>1</v>
      </c>
      <c r="L61">
        <v>688</v>
      </c>
      <c r="M61">
        <v>60</v>
      </c>
      <c r="N61" s="1">
        <f t="shared" si="0"/>
        <v>44938</v>
      </c>
      <c r="O61" s="1">
        <f t="shared" si="1"/>
        <v>43101</v>
      </c>
      <c r="P61" s="1">
        <f t="shared" si="2"/>
        <v>44896</v>
      </c>
      <c r="Q61" s="8">
        <f t="shared" si="3"/>
        <v>0</v>
      </c>
      <c r="R61" s="8">
        <f t="shared" si="4"/>
        <v>60</v>
      </c>
      <c r="S61" s="8">
        <f t="shared" ca="1" si="5"/>
        <v>60</v>
      </c>
      <c r="T61">
        <f t="shared" ca="1" si="6"/>
        <v>8.9211044157725539</v>
      </c>
      <c r="U61" s="8">
        <f t="shared" ca="1" si="7"/>
        <v>1.0110060053135015</v>
      </c>
      <c r="V61" s="8">
        <f ca="1">RawData[[#This Row],[Z (smoothed demand size)]]/RawData[[#This Row],[X (smoothed interval)]]</f>
        <v>8.8239875617813173</v>
      </c>
    </row>
    <row r="62" spans="1:22">
      <c r="A62" t="s">
        <v>13</v>
      </c>
      <c r="B62" t="s">
        <v>14</v>
      </c>
      <c r="C62">
        <v>32</v>
      </c>
      <c r="D62" t="s">
        <v>15</v>
      </c>
      <c r="E62" t="s">
        <v>16</v>
      </c>
      <c r="F62" s="1">
        <v>44927</v>
      </c>
      <c r="G62">
        <v>8</v>
      </c>
      <c r="H62">
        <v>8</v>
      </c>
      <c r="I62">
        <v>11</v>
      </c>
      <c r="J62">
        <v>3</v>
      </c>
      <c r="K62">
        <v>0</v>
      </c>
      <c r="L62">
        <v>603</v>
      </c>
      <c r="M62">
        <v>45</v>
      </c>
      <c r="N62" s="1">
        <f t="shared" si="0"/>
        <v>44938</v>
      </c>
      <c r="O62" s="1">
        <f t="shared" si="1"/>
        <v>43101</v>
      </c>
      <c r="P62" s="1">
        <f t="shared" si="2"/>
        <v>44927</v>
      </c>
      <c r="Q62" s="8">
        <f t="shared" si="3"/>
        <v>0</v>
      </c>
      <c r="R62" s="8">
        <f t="shared" si="4"/>
        <v>61</v>
      </c>
      <c r="S62" s="8">
        <f t="shared" ca="1" si="5"/>
        <v>61</v>
      </c>
      <c r="T62">
        <f t="shared" ca="1" si="6"/>
        <v>8.7368835326180427</v>
      </c>
      <c r="U62" s="8">
        <f t="shared" ca="1" si="7"/>
        <v>1.0088048042508013</v>
      </c>
      <c r="V62" s="8">
        <f ca="1">RawData[[#This Row],[Z (smoothed demand size)]]/RawData[[#This Row],[X (smoothed interval)]]</f>
        <v>8.6606283949119121</v>
      </c>
    </row>
    <row r="63" spans="1:22">
      <c r="A63" t="s">
        <v>13</v>
      </c>
      <c r="B63" t="s">
        <v>14</v>
      </c>
      <c r="C63">
        <v>32</v>
      </c>
      <c r="D63" t="s">
        <v>15</v>
      </c>
      <c r="E63" t="s">
        <v>16</v>
      </c>
      <c r="F63" s="1">
        <v>44928</v>
      </c>
      <c r="G63">
        <v>4</v>
      </c>
      <c r="H63">
        <v>3</v>
      </c>
      <c r="I63">
        <v>3</v>
      </c>
      <c r="J63">
        <v>0</v>
      </c>
      <c r="K63">
        <v>1</v>
      </c>
      <c r="L63">
        <v>598</v>
      </c>
      <c r="M63">
        <v>30</v>
      </c>
      <c r="N63" s="1">
        <f t="shared" si="0"/>
        <v>44938</v>
      </c>
      <c r="O63" s="1">
        <f t="shared" si="1"/>
        <v>43101</v>
      </c>
      <c r="P63" s="1">
        <f t="shared" si="2"/>
        <v>44958</v>
      </c>
      <c r="Q63" s="8">
        <f t="shared" si="3"/>
        <v>0</v>
      </c>
      <c r="R63" s="8">
        <f t="shared" si="4"/>
        <v>62</v>
      </c>
      <c r="S63" s="8">
        <f t="shared" ca="1" si="5"/>
        <v>62</v>
      </c>
      <c r="T63">
        <f t="shared" ca="1" si="6"/>
        <v>7.789506826094434</v>
      </c>
      <c r="U63" s="8">
        <f t="shared" ca="1" si="7"/>
        <v>1.007043843400641</v>
      </c>
      <c r="V63" s="8">
        <f ca="1">RawData[[#This Row],[Z (smoothed demand size)]]/RawData[[#This Row],[X (smoothed interval)]]</f>
        <v>7.735022538631882</v>
      </c>
    </row>
    <row r="64" spans="1:22">
      <c r="A64" t="s">
        <v>13</v>
      </c>
      <c r="B64" t="s">
        <v>14</v>
      </c>
      <c r="C64">
        <v>32</v>
      </c>
      <c r="D64" t="s">
        <v>15</v>
      </c>
      <c r="E64" t="s">
        <v>16</v>
      </c>
      <c r="F64" s="1">
        <v>44929</v>
      </c>
      <c r="G64">
        <v>0</v>
      </c>
      <c r="H64">
        <v>0</v>
      </c>
      <c r="I64">
        <v>9</v>
      </c>
      <c r="J64">
        <v>9</v>
      </c>
      <c r="K64">
        <v>0</v>
      </c>
      <c r="L64">
        <v>596</v>
      </c>
      <c r="M64">
        <v>60</v>
      </c>
      <c r="N64" s="1">
        <f t="shared" si="0"/>
        <v>44938</v>
      </c>
      <c r="O64" s="1">
        <f t="shared" si="1"/>
        <v>43101</v>
      </c>
      <c r="P64" s="1">
        <f t="shared" si="2"/>
        <v>44986</v>
      </c>
      <c r="Q64" s="8">
        <f t="shared" si="3"/>
        <v>0</v>
      </c>
      <c r="R64" s="8">
        <f t="shared" si="4"/>
        <v>63</v>
      </c>
      <c r="S64" s="8">
        <f t="shared" ca="1" si="5"/>
        <v>62</v>
      </c>
      <c r="T64">
        <f t="shared" ca="1" si="6"/>
        <v>7.789506826094434</v>
      </c>
      <c r="U64" s="8">
        <f t="shared" ca="1" si="7"/>
        <v>1.007043843400641</v>
      </c>
      <c r="V64" s="8">
        <f ca="1">RawData[[#This Row],[Z (smoothed demand size)]]/RawData[[#This Row],[X (smoothed interval)]]</f>
        <v>7.735022538631882</v>
      </c>
    </row>
    <row r="65" spans="1:22">
      <c r="A65" t="s">
        <v>13</v>
      </c>
      <c r="B65" t="s">
        <v>14</v>
      </c>
      <c r="C65">
        <v>32</v>
      </c>
      <c r="D65" t="s">
        <v>15</v>
      </c>
      <c r="E65" t="s">
        <v>16</v>
      </c>
      <c r="F65" s="1">
        <v>44930</v>
      </c>
      <c r="G65">
        <v>11</v>
      </c>
      <c r="H65">
        <v>9</v>
      </c>
      <c r="I65">
        <v>9</v>
      </c>
      <c r="J65">
        <v>0</v>
      </c>
      <c r="K65">
        <v>1</v>
      </c>
      <c r="L65">
        <v>591</v>
      </c>
      <c r="M65">
        <v>45</v>
      </c>
      <c r="N65" s="1">
        <f t="shared" si="0"/>
        <v>44938</v>
      </c>
      <c r="O65" s="1">
        <f t="shared" si="1"/>
        <v>43101</v>
      </c>
      <c r="P65" s="1">
        <f t="shared" si="2"/>
        <v>45017</v>
      </c>
      <c r="Q65" s="8">
        <f t="shared" si="3"/>
        <v>0</v>
      </c>
      <c r="R65" s="8">
        <f t="shared" si="4"/>
        <v>64</v>
      </c>
      <c r="S65" s="8">
        <f t="shared" ca="1" si="5"/>
        <v>64</v>
      </c>
      <c r="T65">
        <f t="shared" ca="1" si="6"/>
        <v>8.4316054608755486</v>
      </c>
      <c r="U65" s="8">
        <f t="shared" ca="1" si="7"/>
        <v>1.2056350747205129</v>
      </c>
      <c r="V65" s="8">
        <f ca="1">RawData[[#This Row],[Z (smoothed demand size)]]/RawData[[#This Row],[X (smoothed interval)]]</f>
        <v>6.9934971515573574</v>
      </c>
    </row>
    <row r="66" spans="1:22">
      <c r="A66" t="s">
        <v>13</v>
      </c>
      <c r="B66" t="s">
        <v>14</v>
      </c>
      <c r="C66">
        <v>32</v>
      </c>
      <c r="D66" t="s">
        <v>15</v>
      </c>
      <c r="E66" t="s">
        <v>16</v>
      </c>
      <c r="F66" s="1">
        <v>44931</v>
      </c>
      <c r="G66">
        <v>7</v>
      </c>
      <c r="H66">
        <v>0</v>
      </c>
      <c r="I66">
        <v>0</v>
      </c>
      <c r="J66">
        <v>0</v>
      </c>
      <c r="K66">
        <v>1</v>
      </c>
      <c r="L66">
        <v>587</v>
      </c>
      <c r="M66">
        <v>60</v>
      </c>
      <c r="N66" s="1">
        <f t="shared" ref="N66:N129" si="8">MAX(F:F)</f>
        <v>44938</v>
      </c>
      <c r="O66" s="1">
        <f t="shared" ref="O66:O129" si="9">MIN(F:F)</f>
        <v>43101</v>
      </c>
      <c r="P66" s="1">
        <f t="shared" ref="P66:P129" si="10">DATE(YEAR(F66), DAY(F66), 1)</f>
        <v>45047</v>
      </c>
      <c r="Q66" s="8">
        <f t="shared" ref="Q66:Q129" si="11" xml:space="preserve"> IF(A66&lt;&gt;A65, 1, 0)</f>
        <v>0</v>
      </c>
      <c r="R66" s="8">
        <f t="shared" ref="R66:R129" si="12">IF(Q66=1,1,R65+1)</f>
        <v>65</v>
      </c>
      <c r="S66" s="8">
        <f t="shared" ref="S66:S129" ca="1" si="13" xml:space="preserve"> IF(Q66=1, IF(G66&gt;0, R66, 0), IF(G66&gt;0, R66, OFFSET(S66,-1,0)))</f>
        <v>65</v>
      </c>
      <c r="T66">
        <f t="shared" ref="T66:T129" ca="1" si="14" xml:space="preserve"> IF(Q66=1, IF(G66&gt;0, G66, 0), IF(G66&gt;0, $X$1*G66+(1-$X$1)*OFFSET(T66,-1,0), OFFSET(T66,-1,0)))</f>
        <v>8.1452843687004393</v>
      </c>
      <c r="U66" s="8">
        <f t="shared" ref="U66:U129" ca="1" si="15" xml:space="preserve"> IF(Q66=1, 1, IF(G66&gt;0, $X$1*(R66-OFFSET(S66,-1,0))+(1-$X$1)*OFFSET(U66,-1,0), OFFSET(U66,-1,0)))</f>
        <v>1.1645080597764104</v>
      </c>
      <c r="V66" s="8">
        <f ca="1">RawData[[#This Row],[Z (smoothed demand size)]]/RawData[[#This Row],[X (smoothed interval)]]</f>
        <v>6.9946139919927752</v>
      </c>
    </row>
    <row r="67" spans="1:22">
      <c r="A67" t="s">
        <v>13</v>
      </c>
      <c r="B67" t="s">
        <v>14</v>
      </c>
      <c r="C67">
        <v>32</v>
      </c>
      <c r="D67" t="s">
        <v>15</v>
      </c>
      <c r="E67" t="s">
        <v>16</v>
      </c>
      <c r="F67" s="1">
        <v>44932</v>
      </c>
      <c r="G67">
        <v>7</v>
      </c>
      <c r="H67">
        <v>7</v>
      </c>
      <c r="I67">
        <v>8</v>
      </c>
      <c r="J67">
        <v>1</v>
      </c>
      <c r="K67">
        <v>0</v>
      </c>
      <c r="L67">
        <v>683</v>
      </c>
      <c r="M67">
        <v>15</v>
      </c>
      <c r="N67" s="1">
        <f t="shared" si="8"/>
        <v>44938</v>
      </c>
      <c r="O67" s="1">
        <f t="shared" si="9"/>
        <v>43101</v>
      </c>
      <c r="P67" s="1">
        <f t="shared" si="10"/>
        <v>45078</v>
      </c>
      <c r="Q67" s="8">
        <f t="shared" si="11"/>
        <v>0</v>
      </c>
      <c r="R67" s="8">
        <f t="shared" si="12"/>
        <v>66</v>
      </c>
      <c r="S67" s="8">
        <f t="shared" ca="1" si="13"/>
        <v>66</v>
      </c>
      <c r="T67">
        <f t="shared" ca="1" si="14"/>
        <v>7.9162274949603519</v>
      </c>
      <c r="U67" s="8">
        <f t="shared" ca="1" si="15"/>
        <v>1.1316064478211283</v>
      </c>
      <c r="V67" s="8">
        <f ca="1">RawData[[#This Row],[Z (smoothed demand size)]]/RawData[[#This Row],[X (smoothed interval)]]</f>
        <v>6.9955659144597426</v>
      </c>
    </row>
    <row r="68" spans="1:22">
      <c r="A68" t="s">
        <v>13</v>
      </c>
      <c r="B68" t="s">
        <v>14</v>
      </c>
      <c r="C68">
        <v>32</v>
      </c>
      <c r="D68" t="s">
        <v>15</v>
      </c>
      <c r="E68" t="s">
        <v>16</v>
      </c>
      <c r="F68" s="1">
        <v>44933</v>
      </c>
      <c r="G68">
        <v>8</v>
      </c>
      <c r="H68">
        <v>8</v>
      </c>
      <c r="I68">
        <v>11</v>
      </c>
      <c r="J68">
        <v>3</v>
      </c>
      <c r="K68">
        <v>0</v>
      </c>
      <c r="L68">
        <v>686</v>
      </c>
      <c r="M68">
        <v>15</v>
      </c>
      <c r="N68" s="1">
        <f t="shared" si="8"/>
        <v>44938</v>
      </c>
      <c r="O68" s="1">
        <f t="shared" si="9"/>
        <v>43101</v>
      </c>
      <c r="P68" s="1">
        <f t="shared" si="10"/>
        <v>45108</v>
      </c>
      <c r="Q68" s="8">
        <f t="shared" si="11"/>
        <v>0</v>
      </c>
      <c r="R68" s="8">
        <f t="shared" si="12"/>
        <v>67</v>
      </c>
      <c r="S68" s="8">
        <f t="shared" ca="1" si="13"/>
        <v>67</v>
      </c>
      <c r="T68">
        <f t="shared" ca="1" si="14"/>
        <v>7.9329819959682819</v>
      </c>
      <c r="U68" s="8">
        <f t="shared" ca="1" si="15"/>
        <v>1.1052851582569028</v>
      </c>
      <c r="V68" s="8">
        <f ca="1">RawData[[#This Row],[Z (smoothed demand size)]]/RawData[[#This Row],[X (smoothed interval)]]</f>
        <v>7.1773170359756238</v>
      </c>
    </row>
    <row r="69" spans="1:22">
      <c r="A69" t="s">
        <v>13</v>
      </c>
      <c r="B69" t="s">
        <v>14</v>
      </c>
      <c r="C69">
        <v>32</v>
      </c>
      <c r="D69" t="s">
        <v>15</v>
      </c>
      <c r="E69" t="s">
        <v>16</v>
      </c>
      <c r="F69" s="1">
        <v>44934</v>
      </c>
      <c r="G69">
        <v>7</v>
      </c>
      <c r="H69">
        <v>7</v>
      </c>
      <c r="I69">
        <v>13</v>
      </c>
      <c r="J69">
        <v>6</v>
      </c>
      <c r="K69">
        <v>0</v>
      </c>
      <c r="L69">
        <v>699</v>
      </c>
      <c r="M69">
        <v>30</v>
      </c>
      <c r="N69" s="1">
        <f t="shared" si="8"/>
        <v>44938</v>
      </c>
      <c r="O69" s="1">
        <f t="shared" si="9"/>
        <v>43101</v>
      </c>
      <c r="P69" s="1">
        <f t="shared" si="10"/>
        <v>45139</v>
      </c>
      <c r="Q69" s="8">
        <f t="shared" si="11"/>
        <v>0</v>
      </c>
      <c r="R69" s="8">
        <f t="shared" si="12"/>
        <v>68</v>
      </c>
      <c r="S69" s="8">
        <f t="shared" ca="1" si="13"/>
        <v>68</v>
      </c>
      <c r="T69">
        <f t="shared" ca="1" si="14"/>
        <v>7.7463855967746262</v>
      </c>
      <c r="U69" s="8">
        <f t="shared" ca="1" si="15"/>
        <v>1.0842281266055223</v>
      </c>
      <c r="V69" s="8">
        <f ca="1">RawData[[#This Row],[Z (smoothed demand size)]]/RawData[[#This Row],[X (smoothed interval)]]</f>
        <v>7.144608599139409</v>
      </c>
    </row>
    <row r="70" spans="1:22">
      <c r="A70" t="s">
        <v>13</v>
      </c>
      <c r="B70" t="s">
        <v>14</v>
      </c>
      <c r="C70">
        <v>32</v>
      </c>
      <c r="D70" t="s">
        <v>15</v>
      </c>
      <c r="E70" t="s">
        <v>16</v>
      </c>
      <c r="F70" s="1">
        <v>44935</v>
      </c>
      <c r="G70">
        <v>0</v>
      </c>
      <c r="H70">
        <v>0</v>
      </c>
      <c r="I70">
        <v>15</v>
      </c>
      <c r="J70">
        <v>15</v>
      </c>
      <c r="K70">
        <v>0</v>
      </c>
      <c r="L70">
        <v>598</v>
      </c>
      <c r="M70">
        <v>45</v>
      </c>
      <c r="N70" s="1">
        <f t="shared" si="8"/>
        <v>44938</v>
      </c>
      <c r="O70" s="1">
        <f t="shared" si="9"/>
        <v>43101</v>
      </c>
      <c r="P70" s="1">
        <f t="shared" si="10"/>
        <v>45170</v>
      </c>
      <c r="Q70" s="8">
        <f t="shared" si="11"/>
        <v>0</v>
      </c>
      <c r="R70" s="8">
        <f t="shared" si="12"/>
        <v>69</v>
      </c>
      <c r="S70" s="8">
        <f t="shared" ca="1" si="13"/>
        <v>68</v>
      </c>
      <c r="T70">
        <f t="shared" ca="1" si="14"/>
        <v>7.7463855967746262</v>
      </c>
      <c r="U70" s="8">
        <f t="shared" ca="1" si="15"/>
        <v>1.0842281266055223</v>
      </c>
      <c r="V70" s="8">
        <f ca="1">RawData[[#This Row],[Z (smoothed demand size)]]/RawData[[#This Row],[X (smoothed interval)]]</f>
        <v>7.144608599139409</v>
      </c>
    </row>
    <row r="71" spans="1:22">
      <c r="A71" t="s">
        <v>13</v>
      </c>
      <c r="B71" t="s">
        <v>14</v>
      </c>
      <c r="C71">
        <v>32</v>
      </c>
      <c r="D71" t="s">
        <v>15</v>
      </c>
      <c r="E71" t="s">
        <v>16</v>
      </c>
      <c r="F71" s="1">
        <v>44936</v>
      </c>
      <c r="G71">
        <v>10</v>
      </c>
      <c r="H71">
        <v>10</v>
      </c>
      <c r="I71">
        <v>15</v>
      </c>
      <c r="J71">
        <v>5</v>
      </c>
      <c r="K71">
        <v>0</v>
      </c>
      <c r="L71">
        <v>603</v>
      </c>
      <c r="M71">
        <v>60</v>
      </c>
      <c r="N71" s="1">
        <f t="shared" si="8"/>
        <v>44938</v>
      </c>
      <c r="O71" s="1">
        <f t="shared" si="9"/>
        <v>43101</v>
      </c>
      <c r="P71" s="1">
        <f t="shared" si="10"/>
        <v>45200</v>
      </c>
      <c r="Q71" s="8">
        <f t="shared" si="11"/>
        <v>0</v>
      </c>
      <c r="R71" s="8">
        <f t="shared" si="12"/>
        <v>70</v>
      </c>
      <c r="S71" s="8">
        <f t="shared" ca="1" si="13"/>
        <v>70</v>
      </c>
      <c r="T71">
        <f t="shared" ca="1" si="14"/>
        <v>8.1971084774197003</v>
      </c>
      <c r="U71" s="8">
        <f t="shared" ca="1" si="15"/>
        <v>1.267382501284418</v>
      </c>
      <c r="V71" s="8">
        <f ca="1">RawData[[#This Row],[Z (smoothed demand size)]]/RawData[[#This Row],[X (smoothed interval)]]</f>
        <v>6.4677462953073839</v>
      </c>
    </row>
    <row r="72" spans="1:22">
      <c r="A72" t="s">
        <v>13</v>
      </c>
      <c r="B72" t="s">
        <v>14</v>
      </c>
      <c r="C72">
        <v>32</v>
      </c>
      <c r="D72" t="s">
        <v>15</v>
      </c>
      <c r="E72" t="s">
        <v>16</v>
      </c>
      <c r="F72" s="1">
        <v>44937</v>
      </c>
      <c r="G72">
        <v>9</v>
      </c>
      <c r="H72">
        <v>5</v>
      </c>
      <c r="I72">
        <v>5</v>
      </c>
      <c r="J72">
        <v>0</v>
      </c>
      <c r="K72">
        <v>1</v>
      </c>
      <c r="L72">
        <v>594</v>
      </c>
      <c r="M72">
        <v>60</v>
      </c>
      <c r="N72" s="1">
        <f t="shared" si="8"/>
        <v>44938</v>
      </c>
      <c r="O72" s="1">
        <f t="shared" si="9"/>
        <v>43101</v>
      </c>
      <c r="P72" s="1">
        <f t="shared" si="10"/>
        <v>45231</v>
      </c>
      <c r="Q72" s="8">
        <f t="shared" si="11"/>
        <v>0</v>
      </c>
      <c r="R72" s="8">
        <f t="shared" si="12"/>
        <v>71</v>
      </c>
      <c r="S72" s="8">
        <f t="shared" ca="1" si="13"/>
        <v>71</v>
      </c>
      <c r="T72">
        <f t="shared" ca="1" si="14"/>
        <v>8.3576867819357616</v>
      </c>
      <c r="U72" s="8">
        <f t="shared" ca="1" si="15"/>
        <v>1.2139060010275344</v>
      </c>
      <c r="V72" s="8">
        <f ca="1">RawData[[#This Row],[Z (smoothed demand size)]]/RawData[[#This Row],[X (smoothed interval)]]</f>
        <v>6.8849538389803122</v>
      </c>
    </row>
    <row r="73" spans="1:22">
      <c r="A73" t="s">
        <v>13</v>
      </c>
      <c r="B73" t="s">
        <v>14</v>
      </c>
      <c r="C73">
        <v>32</v>
      </c>
      <c r="D73" t="s">
        <v>15</v>
      </c>
      <c r="E73" t="s">
        <v>16</v>
      </c>
      <c r="F73" s="1">
        <v>44938</v>
      </c>
      <c r="G73">
        <v>8</v>
      </c>
      <c r="H73">
        <v>8</v>
      </c>
      <c r="I73">
        <v>9</v>
      </c>
      <c r="J73">
        <v>1</v>
      </c>
      <c r="K73">
        <v>0</v>
      </c>
      <c r="L73">
        <v>678</v>
      </c>
      <c r="M73">
        <v>30</v>
      </c>
      <c r="N73" s="1">
        <f t="shared" si="8"/>
        <v>44938</v>
      </c>
      <c r="O73" s="1">
        <f t="shared" si="9"/>
        <v>43101</v>
      </c>
      <c r="P73" s="1">
        <f t="shared" si="10"/>
        <v>45261</v>
      </c>
      <c r="Q73" s="8">
        <f t="shared" si="11"/>
        <v>0</v>
      </c>
      <c r="R73" s="8">
        <f t="shared" si="12"/>
        <v>72</v>
      </c>
      <c r="S73" s="8">
        <f t="shared" ca="1" si="13"/>
        <v>72</v>
      </c>
      <c r="T73">
        <f t="shared" ca="1" si="14"/>
        <v>8.2861494255486097</v>
      </c>
      <c r="U73" s="8">
        <f t="shared" ca="1" si="15"/>
        <v>1.1711248008220276</v>
      </c>
      <c r="V73" s="8">
        <f ca="1">RawData[[#This Row],[Z (smoothed demand size)]]/RawData[[#This Row],[X (smoothed interval)]]</f>
        <v>7.0753769536196778</v>
      </c>
    </row>
    <row r="74" spans="1:22">
      <c r="A74" t="s">
        <v>17</v>
      </c>
      <c r="B74" t="s">
        <v>14</v>
      </c>
      <c r="C74">
        <v>27</v>
      </c>
      <c r="D74" t="s">
        <v>18</v>
      </c>
      <c r="E74" t="s">
        <v>16</v>
      </c>
      <c r="F74" s="1">
        <v>43101</v>
      </c>
      <c r="G74">
        <v>12</v>
      </c>
      <c r="H74">
        <v>12</v>
      </c>
      <c r="I74">
        <v>26</v>
      </c>
      <c r="J74">
        <v>14</v>
      </c>
      <c r="K74">
        <v>0</v>
      </c>
      <c r="L74">
        <v>663</v>
      </c>
      <c r="M74">
        <v>30</v>
      </c>
      <c r="N74" s="1">
        <f t="shared" si="8"/>
        <v>44938</v>
      </c>
      <c r="O74" s="1">
        <f t="shared" si="9"/>
        <v>43101</v>
      </c>
      <c r="P74" s="1">
        <f t="shared" si="10"/>
        <v>43101</v>
      </c>
      <c r="Q74" s="8">
        <f t="shared" si="11"/>
        <v>1</v>
      </c>
      <c r="R74" s="8">
        <f t="shared" si="12"/>
        <v>1</v>
      </c>
      <c r="S74" s="8">
        <f t="shared" ca="1" si="13"/>
        <v>1</v>
      </c>
      <c r="T74">
        <f t="shared" ca="1" si="14"/>
        <v>12</v>
      </c>
      <c r="U74" s="8">
        <f t="shared" ca="1" si="15"/>
        <v>1</v>
      </c>
      <c r="V74" s="8">
        <f ca="1">RawData[[#This Row],[Z (smoothed demand size)]]/RawData[[#This Row],[X (smoothed interval)]]</f>
        <v>12</v>
      </c>
    </row>
    <row r="75" spans="1:22">
      <c r="A75" t="s">
        <v>17</v>
      </c>
      <c r="B75" t="s">
        <v>14</v>
      </c>
      <c r="C75">
        <v>27</v>
      </c>
      <c r="D75" t="s">
        <v>18</v>
      </c>
      <c r="E75" t="s">
        <v>16</v>
      </c>
      <c r="F75" s="1">
        <v>43102</v>
      </c>
      <c r="G75">
        <v>8</v>
      </c>
      <c r="H75">
        <v>8</v>
      </c>
      <c r="I75">
        <v>14</v>
      </c>
      <c r="J75">
        <v>6</v>
      </c>
      <c r="K75">
        <v>0</v>
      </c>
      <c r="L75">
        <v>676</v>
      </c>
      <c r="M75">
        <v>15</v>
      </c>
      <c r="N75" s="1">
        <f t="shared" si="8"/>
        <v>44938</v>
      </c>
      <c r="O75" s="1">
        <f t="shared" si="9"/>
        <v>43101</v>
      </c>
      <c r="P75" s="1">
        <f t="shared" si="10"/>
        <v>43132</v>
      </c>
      <c r="Q75" s="8">
        <f t="shared" si="11"/>
        <v>0</v>
      </c>
      <c r="R75" s="8">
        <f t="shared" si="12"/>
        <v>2</v>
      </c>
      <c r="S75" s="8">
        <f t="shared" ca="1" si="13"/>
        <v>2</v>
      </c>
      <c r="T75">
        <f t="shared" ca="1" si="14"/>
        <v>11.200000000000001</v>
      </c>
      <c r="U75" s="8">
        <f t="shared" ca="1" si="15"/>
        <v>1</v>
      </c>
      <c r="V75" s="8">
        <f ca="1">RawData[[#This Row],[Z (smoothed demand size)]]/RawData[[#This Row],[X (smoothed interval)]]</f>
        <v>11.200000000000001</v>
      </c>
    </row>
    <row r="76" spans="1:22">
      <c r="A76" t="s">
        <v>17</v>
      </c>
      <c r="B76" t="s">
        <v>14</v>
      </c>
      <c r="C76">
        <v>27</v>
      </c>
      <c r="D76" t="s">
        <v>18</v>
      </c>
      <c r="E76" t="s">
        <v>16</v>
      </c>
      <c r="F76" s="1">
        <v>43103</v>
      </c>
      <c r="G76">
        <v>8</v>
      </c>
      <c r="H76">
        <v>8</v>
      </c>
      <c r="I76">
        <v>14</v>
      </c>
      <c r="J76">
        <v>6</v>
      </c>
      <c r="K76">
        <v>0</v>
      </c>
      <c r="L76">
        <v>668</v>
      </c>
      <c r="M76">
        <v>30</v>
      </c>
      <c r="N76" s="1">
        <f t="shared" si="8"/>
        <v>44938</v>
      </c>
      <c r="O76" s="1">
        <f t="shared" si="9"/>
        <v>43101</v>
      </c>
      <c r="P76" s="1">
        <f t="shared" si="10"/>
        <v>43160</v>
      </c>
      <c r="Q76" s="8">
        <f t="shared" si="11"/>
        <v>0</v>
      </c>
      <c r="R76" s="8">
        <f t="shared" si="12"/>
        <v>3</v>
      </c>
      <c r="S76" s="8">
        <f t="shared" ca="1" si="13"/>
        <v>3</v>
      </c>
      <c r="T76">
        <f t="shared" ca="1" si="14"/>
        <v>10.56</v>
      </c>
      <c r="U76" s="8">
        <f t="shared" ca="1" si="15"/>
        <v>1</v>
      </c>
      <c r="V76" s="8">
        <f ca="1">RawData[[#This Row],[Z (smoothed demand size)]]/RawData[[#This Row],[X (smoothed interval)]]</f>
        <v>10.56</v>
      </c>
    </row>
    <row r="77" spans="1:22">
      <c r="A77" t="s">
        <v>17</v>
      </c>
      <c r="B77" t="s">
        <v>14</v>
      </c>
      <c r="C77">
        <v>27</v>
      </c>
      <c r="D77" t="s">
        <v>18</v>
      </c>
      <c r="E77" t="s">
        <v>16</v>
      </c>
      <c r="F77" s="1">
        <v>43104</v>
      </c>
      <c r="G77">
        <v>4</v>
      </c>
      <c r="H77">
        <v>4</v>
      </c>
      <c r="I77">
        <v>18</v>
      </c>
      <c r="J77">
        <v>14</v>
      </c>
      <c r="K77">
        <v>0</v>
      </c>
      <c r="L77">
        <v>666</v>
      </c>
      <c r="M77">
        <v>15</v>
      </c>
      <c r="N77" s="1">
        <f t="shared" si="8"/>
        <v>44938</v>
      </c>
      <c r="O77" s="1">
        <f t="shared" si="9"/>
        <v>43101</v>
      </c>
      <c r="P77" s="1">
        <f t="shared" si="10"/>
        <v>43191</v>
      </c>
      <c r="Q77" s="8">
        <f t="shared" si="11"/>
        <v>0</v>
      </c>
      <c r="R77" s="8">
        <f t="shared" si="12"/>
        <v>4</v>
      </c>
      <c r="S77" s="8">
        <f t="shared" ca="1" si="13"/>
        <v>4</v>
      </c>
      <c r="T77">
        <f t="shared" ca="1" si="14"/>
        <v>9.2480000000000011</v>
      </c>
      <c r="U77" s="8">
        <f t="shared" ca="1" si="15"/>
        <v>1</v>
      </c>
      <c r="V77" s="8">
        <f ca="1">RawData[[#This Row],[Z (smoothed demand size)]]/RawData[[#This Row],[X (smoothed interval)]]</f>
        <v>9.2480000000000011</v>
      </c>
    </row>
    <row r="78" spans="1:22">
      <c r="A78" t="s">
        <v>17</v>
      </c>
      <c r="B78" t="s">
        <v>14</v>
      </c>
      <c r="C78">
        <v>27</v>
      </c>
      <c r="D78" t="s">
        <v>18</v>
      </c>
      <c r="E78" t="s">
        <v>16</v>
      </c>
      <c r="F78" s="1">
        <v>43105</v>
      </c>
      <c r="G78">
        <v>10</v>
      </c>
      <c r="H78">
        <v>10</v>
      </c>
      <c r="I78">
        <v>14</v>
      </c>
      <c r="J78">
        <v>4</v>
      </c>
      <c r="K78">
        <v>0</v>
      </c>
      <c r="L78">
        <v>671</v>
      </c>
      <c r="M78">
        <v>30</v>
      </c>
      <c r="N78" s="1">
        <f t="shared" si="8"/>
        <v>44938</v>
      </c>
      <c r="O78" s="1">
        <f t="shared" si="9"/>
        <v>43101</v>
      </c>
      <c r="P78" s="1">
        <f t="shared" si="10"/>
        <v>43221</v>
      </c>
      <c r="Q78" s="8">
        <f t="shared" si="11"/>
        <v>0</v>
      </c>
      <c r="R78" s="8">
        <f t="shared" si="12"/>
        <v>5</v>
      </c>
      <c r="S78" s="8">
        <f t="shared" ca="1" si="13"/>
        <v>5</v>
      </c>
      <c r="T78">
        <f t="shared" ca="1" si="14"/>
        <v>9.3984000000000023</v>
      </c>
      <c r="U78" s="8">
        <f t="shared" ca="1" si="15"/>
        <v>1</v>
      </c>
      <c r="V78" s="8">
        <f ca="1">RawData[[#This Row],[Z (smoothed demand size)]]/RawData[[#This Row],[X (smoothed interval)]]</f>
        <v>9.3984000000000023</v>
      </c>
    </row>
    <row r="79" spans="1:22">
      <c r="A79" t="s">
        <v>17</v>
      </c>
      <c r="B79" t="s">
        <v>14</v>
      </c>
      <c r="C79">
        <v>27</v>
      </c>
      <c r="D79" t="s">
        <v>18</v>
      </c>
      <c r="E79" t="s">
        <v>16</v>
      </c>
      <c r="F79" s="1">
        <v>43106</v>
      </c>
      <c r="G79">
        <v>14</v>
      </c>
      <c r="H79">
        <v>14</v>
      </c>
      <c r="I79">
        <v>14</v>
      </c>
      <c r="J79">
        <v>0</v>
      </c>
      <c r="K79">
        <v>0</v>
      </c>
      <c r="L79">
        <v>774</v>
      </c>
      <c r="M79">
        <v>15</v>
      </c>
      <c r="N79" s="1">
        <f t="shared" si="8"/>
        <v>44938</v>
      </c>
      <c r="O79" s="1">
        <f t="shared" si="9"/>
        <v>43101</v>
      </c>
      <c r="P79" s="1">
        <f t="shared" si="10"/>
        <v>43252</v>
      </c>
      <c r="Q79" s="8">
        <f t="shared" si="11"/>
        <v>0</v>
      </c>
      <c r="R79" s="8">
        <f t="shared" si="12"/>
        <v>6</v>
      </c>
      <c r="S79" s="8">
        <f t="shared" ca="1" si="13"/>
        <v>6</v>
      </c>
      <c r="T79">
        <f t="shared" ca="1" si="14"/>
        <v>10.318720000000003</v>
      </c>
      <c r="U79" s="8">
        <f t="shared" ca="1" si="15"/>
        <v>1</v>
      </c>
      <c r="V79" s="8">
        <f ca="1">RawData[[#This Row],[Z (smoothed demand size)]]/RawData[[#This Row],[X (smoothed interval)]]</f>
        <v>10.318720000000003</v>
      </c>
    </row>
    <row r="80" spans="1:22">
      <c r="A80" t="s">
        <v>17</v>
      </c>
      <c r="B80" t="s">
        <v>14</v>
      </c>
      <c r="C80">
        <v>27</v>
      </c>
      <c r="D80" t="s">
        <v>18</v>
      </c>
      <c r="E80" t="s">
        <v>16</v>
      </c>
      <c r="F80" s="1">
        <v>43107</v>
      </c>
      <c r="G80">
        <v>15</v>
      </c>
      <c r="H80">
        <v>12</v>
      </c>
      <c r="I80">
        <v>12</v>
      </c>
      <c r="J80">
        <v>0</v>
      </c>
      <c r="K80">
        <v>1</v>
      </c>
      <c r="L80">
        <v>770</v>
      </c>
      <c r="M80">
        <v>60</v>
      </c>
      <c r="N80" s="1">
        <f t="shared" si="8"/>
        <v>44938</v>
      </c>
      <c r="O80" s="1">
        <f t="shared" si="9"/>
        <v>43101</v>
      </c>
      <c r="P80" s="1">
        <f t="shared" si="10"/>
        <v>43282</v>
      </c>
      <c r="Q80" s="8">
        <f t="shared" si="11"/>
        <v>0</v>
      </c>
      <c r="R80" s="8">
        <f t="shared" si="12"/>
        <v>7</v>
      </c>
      <c r="S80" s="8">
        <f t="shared" ca="1" si="13"/>
        <v>7</v>
      </c>
      <c r="T80">
        <f t="shared" ca="1" si="14"/>
        <v>11.254976000000003</v>
      </c>
      <c r="U80" s="8">
        <f t="shared" ca="1" si="15"/>
        <v>1</v>
      </c>
      <c r="V80" s="8">
        <f ca="1">RawData[[#This Row],[Z (smoothed demand size)]]/RawData[[#This Row],[X (smoothed interval)]]</f>
        <v>11.254976000000003</v>
      </c>
    </row>
    <row r="81" spans="1:22">
      <c r="A81" t="s">
        <v>17</v>
      </c>
      <c r="B81" t="s">
        <v>14</v>
      </c>
      <c r="C81">
        <v>27</v>
      </c>
      <c r="D81" t="s">
        <v>18</v>
      </c>
      <c r="E81" t="s">
        <v>16</v>
      </c>
      <c r="F81" s="1">
        <v>43108</v>
      </c>
      <c r="G81">
        <v>9</v>
      </c>
      <c r="H81">
        <v>0</v>
      </c>
      <c r="I81">
        <v>0</v>
      </c>
      <c r="J81">
        <v>0</v>
      </c>
      <c r="K81">
        <v>1</v>
      </c>
      <c r="L81">
        <v>780</v>
      </c>
      <c r="M81">
        <v>45</v>
      </c>
      <c r="N81" s="1">
        <f t="shared" si="8"/>
        <v>44938</v>
      </c>
      <c r="O81" s="1">
        <f t="shared" si="9"/>
        <v>43101</v>
      </c>
      <c r="P81" s="1">
        <f t="shared" si="10"/>
        <v>43313</v>
      </c>
      <c r="Q81" s="8">
        <f t="shared" si="11"/>
        <v>0</v>
      </c>
      <c r="R81" s="8">
        <f t="shared" si="12"/>
        <v>8</v>
      </c>
      <c r="S81" s="8">
        <f t="shared" ca="1" si="13"/>
        <v>8</v>
      </c>
      <c r="T81">
        <f t="shared" ca="1" si="14"/>
        <v>10.803980800000003</v>
      </c>
      <c r="U81" s="8">
        <f t="shared" ca="1" si="15"/>
        <v>1</v>
      </c>
      <c r="V81" s="8">
        <f ca="1">RawData[[#This Row],[Z (smoothed demand size)]]/RawData[[#This Row],[X (smoothed interval)]]</f>
        <v>10.803980800000003</v>
      </c>
    </row>
    <row r="82" spans="1:22">
      <c r="A82" t="s">
        <v>17</v>
      </c>
      <c r="B82" t="s">
        <v>14</v>
      </c>
      <c r="C82">
        <v>27</v>
      </c>
      <c r="D82" t="s">
        <v>18</v>
      </c>
      <c r="E82" t="s">
        <v>16</v>
      </c>
      <c r="F82" s="1">
        <v>43109</v>
      </c>
      <c r="G82">
        <v>7</v>
      </c>
      <c r="H82">
        <v>7</v>
      </c>
      <c r="I82">
        <v>9</v>
      </c>
      <c r="J82">
        <v>2</v>
      </c>
      <c r="K82">
        <v>0</v>
      </c>
      <c r="L82">
        <v>671</v>
      </c>
      <c r="M82">
        <v>60</v>
      </c>
      <c r="N82" s="1">
        <f t="shared" si="8"/>
        <v>44938</v>
      </c>
      <c r="O82" s="1">
        <f t="shared" si="9"/>
        <v>43101</v>
      </c>
      <c r="P82" s="1">
        <f t="shared" si="10"/>
        <v>43344</v>
      </c>
      <c r="Q82" s="8">
        <f t="shared" si="11"/>
        <v>0</v>
      </c>
      <c r="R82" s="8">
        <f t="shared" si="12"/>
        <v>9</v>
      </c>
      <c r="S82" s="8">
        <f t="shared" ca="1" si="13"/>
        <v>9</v>
      </c>
      <c r="T82">
        <f t="shared" ca="1" si="14"/>
        <v>10.043184640000003</v>
      </c>
      <c r="U82" s="8">
        <f t="shared" ca="1" si="15"/>
        <v>1</v>
      </c>
      <c r="V82" s="8">
        <f ca="1">RawData[[#This Row],[Z (smoothed demand size)]]/RawData[[#This Row],[X (smoothed interval)]]</f>
        <v>10.043184640000003</v>
      </c>
    </row>
    <row r="83" spans="1:22">
      <c r="A83" t="s">
        <v>17</v>
      </c>
      <c r="B83" t="s">
        <v>14</v>
      </c>
      <c r="C83">
        <v>27</v>
      </c>
      <c r="D83" t="s">
        <v>18</v>
      </c>
      <c r="E83" t="s">
        <v>16</v>
      </c>
      <c r="F83" s="1">
        <v>43110</v>
      </c>
      <c r="G83">
        <v>6</v>
      </c>
      <c r="H83">
        <v>2</v>
      </c>
      <c r="I83">
        <v>2</v>
      </c>
      <c r="J83">
        <v>0</v>
      </c>
      <c r="K83">
        <v>1</v>
      </c>
      <c r="L83">
        <v>681</v>
      </c>
      <c r="M83">
        <v>15</v>
      </c>
      <c r="N83" s="1">
        <f t="shared" si="8"/>
        <v>44938</v>
      </c>
      <c r="O83" s="1">
        <f t="shared" si="9"/>
        <v>43101</v>
      </c>
      <c r="P83" s="1">
        <f t="shared" si="10"/>
        <v>43374</v>
      </c>
      <c r="Q83" s="8">
        <f t="shared" si="11"/>
        <v>0</v>
      </c>
      <c r="R83" s="8">
        <f t="shared" si="12"/>
        <v>10</v>
      </c>
      <c r="S83" s="8">
        <f t="shared" ca="1" si="13"/>
        <v>10</v>
      </c>
      <c r="T83">
        <f t="shared" ca="1" si="14"/>
        <v>9.2345477120000048</v>
      </c>
      <c r="U83" s="8">
        <f t="shared" ca="1" si="15"/>
        <v>1</v>
      </c>
      <c r="V83" s="8">
        <f ca="1">RawData[[#This Row],[Z (smoothed demand size)]]/RawData[[#This Row],[X (smoothed interval)]]</f>
        <v>9.2345477120000048</v>
      </c>
    </row>
    <row r="84" spans="1:22">
      <c r="A84" t="s">
        <v>17</v>
      </c>
      <c r="B84" t="s">
        <v>14</v>
      </c>
      <c r="C84">
        <v>27</v>
      </c>
      <c r="D84" t="s">
        <v>18</v>
      </c>
      <c r="E84" t="s">
        <v>16</v>
      </c>
      <c r="F84" s="1">
        <v>43111</v>
      </c>
      <c r="G84">
        <v>6</v>
      </c>
      <c r="H84">
        <v>6</v>
      </c>
      <c r="I84">
        <v>11</v>
      </c>
      <c r="J84">
        <v>5</v>
      </c>
      <c r="K84">
        <v>0</v>
      </c>
      <c r="L84">
        <v>676</v>
      </c>
      <c r="M84">
        <v>15</v>
      </c>
      <c r="N84" s="1">
        <f t="shared" si="8"/>
        <v>44938</v>
      </c>
      <c r="O84" s="1">
        <f t="shared" si="9"/>
        <v>43101</v>
      </c>
      <c r="P84" s="1">
        <f t="shared" si="10"/>
        <v>43405</v>
      </c>
      <c r="Q84" s="8">
        <f t="shared" si="11"/>
        <v>0</v>
      </c>
      <c r="R84" s="8">
        <f t="shared" si="12"/>
        <v>11</v>
      </c>
      <c r="S84" s="8">
        <f t="shared" ca="1" si="13"/>
        <v>11</v>
      </c>
      <c r="T84">
        <f t="shared" ca="1" si="14"/>
        <v>8.5876381696000053</v>
      </c>
      <c r="U84" s="8">
        <f t="shared" ca="1" si="15"/>
        <v>1</v>
      </c>
      <c r="V84" s="8">
        <f ca="1">RawData[[#This Row],[Z (smoothed demand size)]]/RawData[[#This Row],[X (smoothed interval)]]</f>
        <v>8.5876381696000053</v>
      </c>
    </row>
    <row r="85" spans="1:22">
      <c r="A85" t="s">
        <v>17</v>
      </c>
      <c r="B85" t="s">
        <v>14</v>
      </c>
      <c r="C85">
        <v>27</v>
      </c>
      <c r="D85" t="s">
        <v>18</v>
      </c>
      <c r="E85" t="s">
        <v>16</v>
      </c>
      <c r="F85" s="1">
        <v>43112</v>
      </c>
      <c r="G85">
        <v>13</v>
      </c>
      <c r="H85">
        <v>13</v>
      </c>
      <c r="I85">
        <v>14</v>
      </c>
      <c r="J85">
        <v>1</v>
      </c>
      <c r="K85">
        <v>0</v>
      </c>
      <c r="L85">
        <v>770</v>
      </c>
      <c r="M85">
        <v>15</v>
      </c>
      <c r="N85" s="1">
        <f t="shared" si="8"/>
        <v>44938</v>
      </c>
      <c r="O85" s="1">
        <f t="shared" si="9"/>
        <v>43101</v>
      </c>
      <c r="P85" s="1">
        <f t="shared" si="10"/>
        <v>43435</v>
      </c>
      <c r="Q85" s="8">
        <f t="shared" si="11"/>
        <v>0</v>
      </c>
      <c r="R85" s="8">
        <f t="shared" si="12"/>
        <v>12</v>
      </c>
      <c r="S85" s="8">
        <f t="shared" ca="1" si="13"/>
        <v>12</v>
      </c>
      <c r="T85">
        <f t="shared" ca="1" si="14"/>
        <v>9.4701105356800053</v>
      </c>
      <c r="U85" s="8">
        <f t="shared" ca="1" si="15"/>
        <v>1</v>
      </c>
      <c r="V85" s="8">
        <f ca="1">RawData[[#This Row],[Z (smoothed demand size)]]/RawData[[#This Row],[X (smoothed interval)]]</f>
        <v>9.4701105356800053</v>
      </c>
    </row>
    <row r="86" spans="1:22">
      <c r="A86" t="s">
        <v>17</v>
      </c>
      <c r="B86" t="s">
        <v>14</v>
      </c>
      <c r="C86">
        <v>27</v>
      </c>
      <c r="D86" t="s">
        <v>18</v>
      </c>
      <c r="E86" t="s">
        <v>16</v>
      </c>
      <c r="F86" s="1">
        <v>43466</v>
      </c>
      <c r="G86">
        <v>6</v>
      </c>
      <c r="H86">
        <v>6</v>
      </c>
      <c r="I86">
        <v>9</v>
      </c>
      <c r="J86">
        <v>3</v>
      </c>
      <c r="K86">
        <v>0</v>
      </c>
      <c r="L86">
        <v>666</v>
      </c>
      <c r="M86">
        <v>45</v>
      </c>
      <c r="N86" s="1">
        <f t="shared" si="8"/>
        <v>44938</v>
      </c>
      <c r="O86" s="1">
        <f t="shared" si="9"/>
        <v>43101</v>
      </c>
      <c r="P86" s="1">
        <f t="shared" si="10"/>
        <v>43466</v>
      </c>
      <c r="Q86" s="8">
        <f t="shared" si="11"/>
        <v>0</v>
      </c>
      <c r="R86" s="8">
        <f t="shared" si="12"/>
        <v>13</v>
      </c>
      <c r="S86" s="8">
        <f t="shared" ca="1" si="13"/>
        <v>13</v>
      </c>
      <c r="T86">
        <f t="shared" ca="1" si="14"/>
        <v>8.7760884285440035</v>
      </c>
      <c r="U86" s="8">
        <f t="shared" ca="1" si="15"/>
        <v>1</v>
      </c>
      <c r="V86" s="8">
        <f ca="1">RawData[[#This Row],[Z (smoothed demand size)]]/RawData[[#This Row],[X (smoothed interval)]]</f>
        <v>8.7760884285440035</v>
      </c>
    </row>
    <row r="87" spans="1:22">
      <c r="A87" t="s">
        <v>17</v>
      </c>
      <c r="B87" t="s">
        <v>14</v>
      </c>
      <c r="C87">
        <v>27</v>
      </c>
      <c r="D87" t="s">
        <v>18</v>
      </c>
      <c r="E87" t="s">
        <v>16</v>
      </c>
      <c r="F87" s="1">
        <v>43467</v>
      </c>
      <c r="G87">
        <v>4</v>
      </c>
      <c r="H87">
        <v>3</v>
      </c>
      <c r="I87">
        <v>3</v>
      </c>
      <c r="J87">
        <v>0</v>
      </c>
      <c r="K87">
        <v>1</v>
      </c>
      <c r="L87">
        <v>661</v>
      </c>
      <c r="M87">
        <v>15</v>
      </c>
      <c r="N87" s="1">
        <f t="shared" si="8"/>
        <v>44938</v>
      </c>
      <c r="O87" s="1">
        <f t="shared" si="9"/>
        <v>43101</v>
      </c>
      <c r="P87" s="1">
        <f t="shared" si="10"/>
        <v>43497</v>
      </c>
      <c r="Q87" s="8">
        <f t="shared" si="11"/>
        <v>0</v>
      </c>
      <c r="R87" s="8">
        <f t="shared" si="12"/>
        <v>14</v>
      </c>
      <c r="S87" s="8">
        <f t="shared" ca="1" si="13"/>
        <v>14</v>
      </c>
      <c r="T87">
        <f t="shared" ca="1" si="14"/>
        <v>7.8208707428352033</v>
      </c>
      <c r="U87" s="8">
        <f t="shared" ca="1" si="15"/>
        <v>1</v>
      </c>
      <c r="V87" s="8">
        <f ca="1">RawData[[#This Row],[Z (smoothed demand size)]]/RawData[[#This Row],[X (smoothed interval)]]</f>
        <v>7.8208707428352033</v>
      </c>
    </row>
    <row r="88" spans="1:22">
      <c r="A88" t="s">
        <v>17</v>
      </c>
      <c r="B88" t="s">
        <v>14</v>
      </c>
      <c r="C88">
        <v>27</v>
      </c>
      <c r="D88" t="s">
        <v>18</v>
      </c>
      <c r="E88" t="s">
        <v>16</v>
      </c>
      <c r="F88" s="1">
        <v>43468</v>
      </c>
      <c r="G88">
        <v>5</v>
      </c>
      <c r="H88">
        <v>5</v>
      </c>
      <c r="I88">
        <v>10</v>
      </c>
      <c r="J88">
        <v>5</v>
      </c>
      <c r="K88">
        <v>0</v>
      </c>
      <c r="L88">
        <v>674</v>
      </c>
      <c r="M88">
        <v>15</v>
      </c>
      <c r="N88" s="1">
        <f t="shared" si="8"/>
        <v>44938</v>
      </c>
      <c r="O88" s="1">
        <f t="shared" si="9"/>
        <v>43101</v>
      </c>
      <c r="P88" s="1">
        <f t="shared" si="10"/>
        <v>43525</v>
      </c>
      <c r="Q88" s="8">
        <f t="shared" si="11"/>
        <v>0</v>
      </c>
      <c r="R88" s="8">
        <f t="shared" si="12"/>
        <v>15</v>
      </c>
      <c r="S88" s="8">
        <f t="shared" ca="1" si="13"/>
        <v>15</v>
      </c>
      <c r="T88">
        <f t="shared" ca="1" si="14"/>
        <v>7.2566965942681634</v>
      </c>
      <c r="U88" s="8">
        <f t="shared" ca="1" si="15"/>
        <v>1</v>
      </c>
      <c r="V88" s="8">
        <f ca="1">RawData[[#This Row],[Z (smoothed demand size)]]/RawData[[#This Row],[X (smoothed interval)]]</f>
        <v>7.2566965942681634</v>
      </c>
    </row>
    <row r="89" spans="1:22">
      <c r="A89" t="s">
        <v>17</v>
      </c>
      <c r="B89" t="s">
        <v>14</v>
      </c>
      <c r="C89">
        <v>27</v>
      </c>
      <c r="D89" t="s">
        <v>18</v>
      </c>
      <c r="E89" t="s">
        <v>16</v>
      </c>
      <c r="F89" s="1">
        <v>43469</v>
      </c>
      <c r="G89">
        <v>6</v>
      </c>
      <c r="H89">
        <v>6</v>
      </c>
      <c r="I89">
        <v>13</v>
      </c>
      <c r="J89">
        <v>7</v>
      </c>
      <c r="K89">
        <v>0</v>
      </c>
      <c r="L89">
        <v>670</v>
      </c>
      <c r="M89">
        <v>30</v>
      </c>
      <c r="N89" s="1">
        <f t="shared" si="8"/>
        <v>44938</v>
      </c>
      <c r="O89" s="1">
        <f t="shared" si="9"/>
        <v>43101</v>
      </c>
      <c r="P89" s="1">
        <f t="shared" si="10"/>
        <v>43556</v>
      </c>
      <c r="Q89" s="8">
        <f t="shared" si="11"/>
        <v>0</v>
      </c>
      <c r="R89" s="8">
        <f t="shared" si="12"/>
        <v>16</v>
      </c>
      <c r="S89" s="8">
        <f t="shared" ca="1" si="13"/>
        <v>16</v>
      </c>
      <c r="T89">
        <f t="shared" ca="1" si="14"/>
        <v>7.0053572754145312</v>
      </c>
      <c r="U89" s="8">
        <f t="shared" ca="1" si="15"/>
        <v>1</v>
      </c>
      <c r="V89" s="8">
        <f ca="1">RawData[[#This Row],[Z (smoothed demand size)]]/RawData[[#This Row],[X (smoothed interval)]]</f>
        <v>7.0053572754145312</v>
      </c>
    </row>
    <row r="90" spans="1:22">
      <c r="A90" t="s">
        <v>17</v>
      </c>
      <c r="B90" t="s">
        <v>14</v>
      </c>
      <c r="C90">
        <v>27</v>
      </c>
      <c r="D90" t="s">
        <v>18</v>
      </c>
      <c r="E90" t="s">
        <v>16</v>
      </c>
      <c r="F90" s="1">
        <v>43470</v>
      </c>
      <c r="G90">
        <v>4</v>
      </c>
      <c r="H90">
        <v>4</v>
      </c>
      <c r="I90">
        <v>18</v>
      </c>
      <c r="J90">
        <v>14</v>
      </c>
      <c r="K90">
        <v>0</v>
      </c>
      <c r="L90">
        <v>656</v>
      </c>
      <c r="M90">
        <v>30</v>
      </c>
      <c r="N90" s="1">
        <f t="shared" si="8"/>
        <v>44938</v>
      </c>
      <c r="O90" s="1">
        <f t="shared" si="9"/>
        <v>43101</v>
      </c>
      <c r="P90" s="1">
        <f t="shared" si="10"/>
        <v>43586</v>
      </c>
      <c r="Q90" s="8">
        <f t="shared" si="11"/>
        <v>0</v>
      </c>
      <c r="R90" s="8">
        <f t="shared" si="12"/>
        <v>17</v>
      </c>
      <c r="S90" s="8">
        <f t="shared" ca="1" si="13"/>
        <v>17</v>
      </c>
      <c r="T90">
        <f t="shared" ca="1" si="14"/>
        <v>6.4042858203316255</v>
      </c>
      <c r="U90" s="8">
        <f t="shared" ca="1" si="15"/>
        <v>1</v>
      </c>
      <c r="V90" s="8">
        <f ca="1">RawData[[#This Row],[Z (smoothed demand size)]]/RawData[[#This Row],[X (smoothed interval)]]</f>
        <v>6.4042858203316255</v>
      </c>
    </row>
    <row r="91" spans="1:22">
      <c r="A91" t="s">
        <v>17</v>
      </c>
      <c r="B91" t="s">
        <v>14</v>
      </c>
      <c r="C91">
        <v>27</v>
      </c>
      <c r="D91" t="s">
        <v>18</v>
      </c>
      <c r="E91" t="s">
        <v>16</v>
      </c>
      <c r="F91" s="1">
        <v>43471</v>
      </c>
      <c r="G91">
        <v>8</v>
      </c>
      <c r="H91">
        <v>8</v>
      </c>
      <c r="I91">
        <v>14</v>
      </c>
      <c r="J91">
        <v>6</v>
      </c>
      <c r="K91">
        <v>0</v>
      </c>
      <c r="L91">
        <v>769</v>
      </c>
      <c r="M91">
        <v>30</v>
      </c>
      <c r="N91" s="1">
        <f t="shared" si="8"/>
        <v>44938</v>
      </c>
      <c r="O91" s="1">
        <f t="shared" si="9"/>
        <v>43101</v>
      </c>
      <c r="P91" s="1">
        <f t="shared" si="10"/>
        <v>43617</v>
      </c>
      <c r="Q91" s="8">
        <f t="shared" si="11"/>
        <v>0</v>
      </c>
      <c r="R91" s="8">
        <f t="shared" si="12"/>
        <v>18</v>
      </c>
      <c r="S91" s="8">
        <f t="shared" ca="1" si="13"/>
        <v>18</v>
      </c>
      <c r="T91">
        <f t="shared" ca="1" si="14"/>
        <v>6.7234286562653001</v>
      </c>
      <c r="U91" s="8">
        <f t="shared" ca="1" si="15"/>
        <v>1</v>
      </c>
      <c r="V91" s="8">
        <f ca="1">RawData[[#This Row],[Z (smoothed demand size)]]/RawData[[#This Row],[X (smoothed interval)]]</f>
        <v>6.7234286562653001</v>
      </c>
    </row>
    <row r="92" spans="1:22">
      <c r="A92" t="s">
        <v>17</v>
      </c>
      <c r="B92" t="s">
        <v>14</v>
      </c>
      <c r="C92">
        <v>27</v>
      </c>
      <c r="D92" t="s">
        <v>18</v>
      </c>
      <c r="E92" t="s">
        <v>16</v>
      </c>
      <c r="F92" s="1">
        <v>43472</v>
      </c>
      <c r="G92">
        <v>11</v>
      </c>
      <c r="H92">
        <v>11</v>
      </c>
      <c r="I92">
        <v>16</v>
      </c>
      <c r="J92">
        <v>5</v>
      </c>
      <c r="K92">
        <v>0</v>
      </c>
      <c r="L92">
        <v>766</v>
      </c>
      <c r="M92">
        <v>15</v>
      </c>
      <c r="N92" s="1">
        <f t="shared" si="8"/>
        <v>44938</v>
      </c>
      <c r="O92" s="1">
        <f t="shared" si="9"/>
        <v>43101</v>
      </c>
      <c r="P92" s="1">
        <f t="shared" si="10"/>
        <v>43647</v>
      </c>
      <c r="Q92" s="8">
        <f t="shared" si="11"/>
        <v>0</v>
      </c>
      <c r="R92" s="8">
        <f t="shared" si="12"/>
        <v>19</v>
      </c>
      <c r="S92" s="8">
        <f t="shared" ca="1" si="13"/>
        <v>19</v>
      </c>
      <c r="T92">
        <f t="shared" ca="1" si="14"/>
        <v>7.5787429250122402</v>
      </c>
      <c r="U92" s="8">
        <f t="shared" ca="1" si="15"/>
        <v>1</v>
      </c>
      <c r="V92" s="8">
        <f ca="1">RawData[[#This Row],[Z (smoothed demand size)]]/RawData[[#This Row],[X (smoothed interval)]]</f>
        <v>7.5787429250122402</v>
      </c>
    </row>
    <row r="93" spans="1:22">
      <c r="A93" t="s">
        <v>17</v>
      </c>
      <c r="B93" t="s">
        <v>14</v>
      </c>
      <c r="C93">
        <v>27</v>
      </c>
      <c r="D93" t="s">
        <v>18</v>
      </c>
      <c r="E93" t="s">
        <v>16</v>
      </c>
      <c r="F93" s="1">
        <v>43473</v>
      </c>
      <c r="G93">
        <v>6</v>
      </c>
      <c r="H93">
        <v>6</v>
      </c>
      <c r="I93">
        <v>13</v>
      </c>
      <c r="J93">
        <v>7</v>
      </c>
      <c r="K93">
        <v>0</v>
      </c>
      <c r="L93">
        <v>785</v>
      </c>
      <c r="M93">
        <v>15</v>
      </c>
      <c r="N93" s="1">
        <f t="shared" si="8"/>
        <v>44938</v>
      </c>
      <c r="O93" s="1">
        <f t="shared" si="9"/>
        <v>43101</v>
      </c>
      <c r="P93" s="1">
        <f t="shared" si="10"/>
        <v>43678</v>
      </c>
      <c r="Q93" s="8">
        <f t="shared" si="11"/>
        <v>0</v>
      </c>
      <c r="R93" s="8">
        <f t="shared" si="12"/>
        <v>20</v>
      </c>
      <c r="S93" s="8">
        <f t="shared" ca="1" si="13"/>
        <v>20</v>
      </c>
      <c r="T93">
        <f t="shared" ca="1" si="14"/>
        <v>7.2629943400097927</v>
      </c>
      <c r="U93" s="8">
        <f t="shared" ca="1" si="15"/>
        <v>1</v>
      </c>
      <c r="V93" s="8">
        <f ca="1">RawData[[#This Row],[Z (smoothed demand size)]]/RawData[[#This Row],[X (smoothed interval)]]</f>
        <v>7.2629943400097927</v>
      </c>
    </row>
    <row r="94" spans="1:22">
      <c r="A94" t="s">
        <v>17</v>
      </c>
      <c r="B94" t="s">
        <v>14</v>
      </c>
      <c r="C94">
        <v>27</v>
      </c>
      <c r="D94" t="s">
        <v>18</v>
      </c>
      <c r="E94" t="s">
        <v>16</v>
      </c>
      <c r="F94" s="1">
        <v>43474</v>
      </c>
      <c r="G94">
        <v>5</v>
      </c>
      <c r="H94">
        <v>5</v>
      </c>
      <c r="I94">
        <v>17</v>
      </c>
      <c r="J94">
        <v>12</v>
      </c>
      <c r="K94">
        <v>0</v>
      </c>
      <c r="L94">
        <v>661</v>
      </c>
      <c r="M94">
        <v>30</v>
      </c>
      <c r="N94" s="1">
        <f t="shared" si="8"/>
        <v>44938</v>
      </c>
      <c r="O94" s="1">
        <f t="shared" si="9"/>
        <v>43101</v>
      </c>
      <c r="P94" s="1">
        <f t="shared" si="10"/>
        <v>43709</v>
      </c>
      <c r="Q94" s="8">
        <f t="shared" si="11"/>
        <v>0</v>
      </c>
      <c r="R94" s="8">
        <f t="shared" si="12"/>
        <v>21</v>
      </c>
      <c r="S94" s="8">
        <f t="shared" ca="1" si="13"/>
        <v>21</v>
      </c>
      <c r="T94">
        <f t="shared" ca="1" si="14"/>
        <v>6.8103954720078343</v>
      </c>
      <c r="U94" s="8">
        <f t="shared" ca="1" si="15"/>
        <v>1</v>
      </c>
      <c r="V94" s="8">
        <f ca="1">RawData[[#This Row],[Z (smoothed demand size)]]/RawData[[#This Row],[X (smoothed interval)]]</f>
        <v>6.8103954720078343</v>
      </c>
    </row>
    <row r="95" spans="1:22">
      <c r="A95" t="s">
        <v>17</v>
      </c>
      <c r="B95" t="s">
        <v>14</v>
      </c>
      <c r="C95">
        <v>27</v>
      </c>
      <c r="D95" t="s">
        <v>18</v>
      </c>
      <c r="E95" t="s">
        <v>16</v>
      </c>
      <c r="F95" s="1">
        <v>43475</v>
      </c>
      <c r="G95">
        <v>14</v>
      </c>
      <c r="H95">
        <v>12</v>
      </c>
      <c r="I95">
        <v>12</v>
      </c>
      <c r="J95">
        <v>0</v>
      </c>
      <c r="K95">
        <v>1</v>
      </c>
      <c r="L95">
        <v>662</v>
      </c>
      <c r="M95">
        <v>45</v>
      </c>
      <c r="N95" s="1">
        <f t="shared" si="8"/>
        <v>44938</v>
      </c>
      <c r="O95" s="1">
        <f t="shared" si="9"/>
        <v>43101</v>
      </c>
      <c r="P95" s="1">
        <f t="shared" si="10"/>
        <v>43739</v>
      </c>
      <c r="Q95" s="8">
        <f t="shared" si="11"/>
        <v>0</v>
      </c>
      <c r="R95" s="8">
        <f t="shared" si="12"/>
        <v>22</v>
      </c>
      <c r="S95" s="8">
        <f t="shared" ca="1" si="13"/>
        <v>22</v>
      </c>
      <c r="T95">
        <f t="shared" ca="1" si="14"/>
        <v>8.2483163776062689</v>
      </c>
      <c r="U95" s="8">
        <f t="shared" ca="1" si="15"/>
        <v>1</v>
      </c>
      <c r="V95" s="8">
        <f ca="1">RawData[[#This Row],[Z (smoothed demand size)]]/RawData[[#This Row],[X (smoothed interval)]]</f>
        <v>8.2483163776062689</v>
      </c>
    </row>
    <row r="96" spans="1:22">
      <c r="A96" t="s">
        <v>17</v>
      </c>
      <c r="B96" t="s">
        <v>14</v>
      </c>
      <c r="C96">
        <v>27</v>
      </c>
      <c r="D96" t="s">
        <v>18</v>
      </c>
      <c r="E96" t="s">
        <v>16</v>
      </c>
      <c r="F96" s="1">
        <v>43476</v>
      </c>
      <c r="G96">
        <v>5</v>
      </c>
      <c r="H96">
        <v>0</v>
      </c>
      <c r="I96">
        <v>0</v>
      </c>
      <c r="J96">
        <v>0</v>
      </c>
      <c r="K96">
        <v>1</v>
      </c>
      <c r="L96">
        <v>679</v>
      </c>
      <c r="M96">
        <v>30</v>
      </c>
      <c r="N96" s="1">
        <f t="shared" si="8"/>
        <v>44938</v>
      </c>
      <c r="O96" s="1">
        <f t="shared" si="9"/>
        <v>43101</v>
      </c>
      <c r="P96" s="1">
        <f t="shared" si="10"/>
        <v>43770</v>
      </c>
      <c r="Q96" s="8">
        <f t="shared" si="11"/>
        <v>0</v>
      </c>
      <c r="R96" s="8">
        <f t="shared" si="12"/>
        <v>23</v>
      </c>
      <c r="S96" s="8">
        <f t="shared" ca="1" si="13"/>
        <v>23</v>
      </c>
      <c r="T96">
        <f t="shared" ca="1" si="14"/>
        <v>7.5986531020850157</v>
      </c>
      <c r="U96" s="8">
        <f t="shared" ca="1" si="15"/>
        <v>1</v>
      </c>
      <c r="V96" s="8">
        <f ca="1">RawData[[#This Row],[Z (smoothed demand size)]]/RawData[[#This Row],[X (smoothed interval)]]</f>
        <v>7.5986531020850157</v>
      </c>
    </row>
    <row r="97" spans="1:22">
      <c r="A97" t="s">
        <v>17</v>
      </c>
      <c r="B97" t="s">
        <v>14</v>
      </c>
      <c r="C97">
        <v>27</v>
      </c>
      <c r="D97" t="s">
        <v>18</v>
      </c>
      <c r="E97" t="s">
        <v>16</v>
      </c>
      <c r="F97" s="1">
        <v>43477</v>
      </c>
      <c r="G97">
        <v>7</v>
      </c>
      <c r="H97">
        <v>7</v>
      </c>
      <c r="I97">
        <v>10</v>
      </c>
      <c r="J97">
        <v>3</v>
      </c>
      <c r="K97">
        <v>0</v>
      </c>
      <c r="L97">
        <v>783</v>
      </c>
      <c r="M97">
        <v>60</v>
      </c>
      <c r="N97" s="1">
        <f t="shared" si="8"/>
        <v>44938</v>
      </c>
      <c r="O97" s="1">
        <f t="shared" si="9"/>
        <v>43101</v>
      </c>
      <c r="P97" s="1">
        <f t="shared" si="10"/>
        <v>43800</v>
      </c>
      <c r="Q97" s="8">
        <f t="shared" si="11"/>
        <v>0</v>
      </c>
      <c r="R97" s="8">
        <f t="shared" si="12"/>
        <v>24</v>
      </c>
      <c r="S97" s="8">
        <f t="shared" ca="1" si="13"/>
        <v>24</v>
      </c>
      <c r="T97">
        <f t="shared" ca="1" si="14"/>
        <v>7.4789224816680129</v>
      </c>
      <c r="U97" s="8">
        <f t="shared" ca="1" si="15"/>
        <v>1</v>
      </c>
      <c r="V97" s="8">
        <f ca="1">RawData[[#This Row],[Z (smoothed demand size)]]/RawData[[#This Row],[X (smoothed interval)]]</f>
        <v>7.4789224816680129</v>
      </c>
    </row>
    <row r="98" spans="1:22">
      <c r="A98" t="s">
        <v>17</v>
      </c>
      <c r="B98" t="s">
        <v>14</v>
      </c>
      <c r="C98">
        <v>27</v>
      </c>
      <c r="D98" t="s">
        <v>18</v>
      </c>
      <c r="E98" t="s">
        <v>16</v>
      </c>
      <c r="F98" s="1">
        <v>43831</v>
      </c>
      <c r="G98">
        <v>11</v>
      </c>
      <c r="H98">
        <v>3</v>
      </c>
      <c r="I98">
        <v>3</v>
      </c>
      <c r="J98">
        <v>0</v>
      </c>
      <c r="K98">
        <v>1</v>
      </c>
      <c r="L98">
        <v>665</v>
      </c>
      <c r="M98">
        <v>15</v>
      </c>
      <c r="N98" s="1">
        <f t="shared" si="8"/>
        <v>44938</v>
      </c>
      <c r="O98" s="1">
        <f t="shared" si="9"/>
        <v>43101</v>
      </c>
      <c r="P98" s="1">
        <f t="shared" si="10"/>
        <v>43831</v>
      </c>
      <c r="Q98" s="8">
        <f t="shared" si="11"/>
        <v>0</v>
      </c>
      <c r="R98" s="8">
        <f t="shared" si="12"/>
        <v>25</v>
      </c>
      <c r="S98" s="8">
        <f t="shared" ca="1" si="13"/>
        <v>25</v>
      </c>
      <c r="T98">
        <f t="shared" ca="1" si="14"/>
        <v>8.1831379853344117</v>
      </c>
      <c r="U98" s="8">
        <f t="shared" ca="1" si="15"/>
        <v>1</v>
      </c>
      <c r="V98" s="8">
        <f ca="1">RawData[[#This Row],[Z (smoothed demand size)]]/RawData[[#This Row],[X (smoothed interval)]]</f>
        <v>8.1831379853344117</v>
      </c>
    </row>
    <row r="99" spans="1:22">
      <c r="A99" t="s">
        <v>17</v>
      </c>
      <c r="B99" t="s">
        <v>14</v>
      </c>
      <c r="C99">
        <v>27</v>
      </c>
      <c r="D99" t="s">
        <v>18</v>
      </c>
      <c r="E99" t="s">
        <v>16</v>
      </c>
      <c r="F99" s="1">
        <v>43832</v>
      </c>
      <c r="G99">
        <v>8</v>
      </c>
      <c r="H99">
        <v>8</v>
      </c>
      <c r="I99">
        <v>12</v>
      </c>
      <c r="J99">
        <v>4</v>
      </c>
      <c r="K99">
        <v>0</v>
      </c>
      <c r="L99">
        <v>666</v>
      </c>
      <c r="M99">
        <v>60</v>
      </c>
      <c r="N99" s="1">
        <f t="shared" si="8"/>
        <v>44938</v>
      </c>
      <c r="O99" s="1">
        <f t="shared" si="9"/>
        <v>43101</v>
      </c>
      <c r="P99" s="1">
        <f t="shared" si="10"/>
        <v>43862</v>
      </c>
      <c r="Q99" s="8">
        <f t="shared" si="11"/>
        <v>0</v>
      </c>
      <c r="R99" s="8">
        <f t="shared" si="12"/>
        <v>26</v>
      </c>
      <c r="S99" s="8">
        <f t="shared" ca="1" si="13"/>
        <v>26</v>
      </c>
      <c r="T99">
        <f t="shared" ca="1" si="14"/>
        <v>8.1465103882675294</v>
      </c>
      <c r="U99" s="8">
        <f t="shared" ca="1" si="15"/>
        <v>1</v>
      </c>
      <c r="V99" s="8">
        <f ca="1">RawData[[#This Row],[Z (smoothed demand size)]]/RawData[[#This Row],[X (smoothed interval)]]</f>
        <v>8.1465103882675294</v>
      </c>
    </row>
    <row r="100" spans="1:22">
      <c r="A100" t="s">
        <v>17</v>
      </c>
      <c r="B100" t="s">
        <v>14</v>
      </c>
      <c r="C100">
        <v>27</v>
      </c>
      <c r="D100" t="s">
        <v>18</v>
      </c>
      <c r="E100" t="s">
        <v>16</v>
      </c>
      <c r="F100" s="1">
        <v>43833</v>
      </c>
      <c r="G100">
        <v>10</v>
      </c>
      <c r="H100">
        <v>4</v>
      </c>
      <c r="I100">
        <v>4</v>
      </c>
      <c r="J100">
        <v>0</v>
      </c>
      <c r="K100">
        <v>1</v>
      </c>
      <c r="L100">
        <v>674</v>
      </c>
      <c r="M100">
        <v>15</v>
      </c>
      <c r="N100" s="1">
        <f t="shared" si="8"/>
        <v>44938</v>
      </c>
      <c r="O100" s="1">
        <f t="shared" si="9"/>
        <v>43101</v>
      </c>
      <c r="P100" s="1">
        <f t="shared" si="10"/>
        <v>43891</v>
      </c>
      <c r="Q100" s="8">
        <f t="shared" si="11"/>
        <v>0</v>
      </c>
      <c r="R100" s="8">
        <f t="shared" si="12"/>
        <v>27</v>
      </c>
      <c r="S100" s="8">
        <f t="shared" ca="1" si="13"/>
        <v>27</v>
      </c>
      <c r="T100">
        <f t="shared" ca="1" si="14"/>
        <v>8.5172083106140235</v>
      </c>
      <c r="U100" s="8">
        <f t="shared" ca="1" si="15"/>
        <v>1</v>
      </c>
      <c r="V100" s="8">
        <f ca="1">RawData[[#This Row],[Z (smoothed demand size)]]/RawData[[#This Row],[X (smoothed interval)]]</f>
        <v>8.5172083106140235</v>
      </c>
    </row>
    <row r="101" spans="1:22">
      <c r="A101" t="s">
        <v>17</v>
      </c>
      <c r="B101" t="s">
        <v>14</v>
      </c>
      <c r="C101">
        <v>27</v>
      </c>
      <c r="D101" t="s">
        <v>18</v>
      </c>
      <c r="E101" t="s">
        <v>16</v>
      </c>
      <c r="F101" s="1">
        <v>43834</v>
      </c>
      <c r="G101">
        <v>7</v>
      </c>
      <c r="H101">
        <v>7</v>
      </c>
      <c r="I101">
        <v>8</v>
      </c>
      <c r="J101">
        <v>1</v>
      </c>
      <c r="K101">
        <v>0</v>
      </c>
      <c r="L101">
        <v>654</v>
      </c>
      <c r="M101">
        <v>45</v>
      </c>
      <c r="N101" s="1">
        <f t="shared" si="8"/>
        <v>44938</v>
      </c>
      <c r="O101" s="1">
        <f t="shared" si="9"/>
        <v>43101</v>
      </c>
      <c r="P101" s="1">
        <f t="shared" si="10"/>
        <v>43922</v>
      </c>
      <c r="Q101" s="8">
        <f t="shared" si="11"/>
        <v>0</v>
      </c>
      <c r="R101" s="8">
        <f t="shared" si="12"/>
        <v>28</v>
      </c>
      <c r="S101" s="8">
        <f t="shared" ca="1" si="13"/>
        <v>28</v>
      </c>
      <c r="T101">
        <f t="shared" ca="1" si="14"/>
        <v>8.2137666484912195</v>
      </c>
      <c r="U101" s="8">
        <f t="shared" ca="1" si="15"/>
        <v>1</v>
      </c>
      <c r="V101" s="8">
        <f ca="1">RawData[[#This Row],[Z (smoothed demand size)]]/RawData[[#This Row],[X (smoothed interval)]]</f>
        <v>8.2137666484912195</v>
      </c>
    </row>
    <row r="102" spans="1:22">
      <c r="A102" t="s">
        <v>17</v>
      </c>
      <c r="B102" t="s">
        <v>14</v>
      </c>
      <c r="C102">
        <v>27</v>
      </c>
      <c r="D102" t="s">
        <v>18</v>
      </c>
      <c r="E102" t="s">
        <v>16</v>
      </c>
      <c r="F102" s="1">
        <v>43835</v>
      </c>
      <c r="G102">
        <v>0</v>
      </c>
      <c r="H102">
        <v>0</v>
      </c>
      <c r="I102">
        <v>1</v>
      </c>
      <c r="J102">
        <v>1</v>
      </c>
      <c r="K102">
        <v>0</v>
      </c>
      <c r="L102">
        <v>657</v>
      </c>
      <c r="M102">
        <v>30</v>
      </c>
      <c r="N102" s="1">
        <f t="shared" si="8"/>
        <v>44938</v>
      </c>
      <c r="O102" s="1">
        <f t="shared" si="9"/>
        <v>43101</v>
      </c>
      <c r="P102" s="1">
        <f t="shared" si="10"/>
        <v>43952</v>
      </c>
      <c r="Q102" s="8">
        <f t="shared" si="11"/>
        <v>0</v>
      </c>
      <c r="R102" s="8">
        <f t="shared" si="12"/>
        <v>29</v>
      </c>
      <c r="S102" s="8">
        <f t="shared" ca="1" si="13"/>
        <v>28</v>
      </c>
      <c r="T102">
        <f t="shared" ca="1" si="14"/>
        <v>8.2137666484912195</v>
      </c>
      <c r="U102" s="8">
        <f t="shared" ca="1" si="15"/>
        <v>1</v>
      </c>
      <c r="V102" s="8">
        <f ca="1">RawData[[#This Row],[Z (smoothed demand size)]]/RawData[[#This Row],[X (smoothed interval)]]</f>
        <v>8.2137666484912195</v>
      </c>
    </row>
    <row r="103" spans="1:22">
      <c r="A103" t="s">
        <v>17</v>
      </c>
      <c r="B103" t="s">
        <v>14</v>
      </c>
      <c r="C103">
        <v>27</v>
      </c>
      <c r="D103" t="s">
        <v>18</v>
      </c>
      <c r="E103" t="s">
        <v>16</v>
      </c>
      <c r="F103" s="1">
        <v>43836</v>
      </c>
      <c r="G103">
        <v>0</v>
      </c>
      <c r="H103">
        <v>0</v>
      </c>
      <c r="I103">
        <v>8</v>
      </c>
      <c r="J103">
        <v>8</v>
      </c>
      <c r="K103">
        <v>0</v>
      </c>
      <c r="L103">
        <v>768</v>
      </c>
      <c r="M103">
        <v>15</v>
      </c>
      <c r="N103" s="1">
        <f t="shared" si="8"/>
        <v>44938</v>
      </c>
      <c r="O103" s="1">
        <f t="shared" si="9"/>
        <v>43101</v>
      </c>
      <c r="P103" s="1">
        <f t="shared" si="10"/>
        <v>43983</v>
      </c>
      <c r="Q103" s="8">
        <f t="shared" si="11"/>
        <v>0</v>
      </c>
      <c r="R103" s="8">
        <f t="shared" si="12"/>
        <v>30</v>
      </c>
      <c r="S103" s="8">
        <f t="shared" ca="1" si="13"/>
        <v>28</v>
      </c>
      <c r="T103">
        <f t="shared" ca="1" si="14"/>
        <v>8.2137666484912195</v>
      </c>
      <c r="U103" s="8">
        <f t="shared" ca="1" si="15"/>
        <v>1</v>
      </c>
      <c r="V103" s="8">
        <f ca="1">RawData[[#This Row],[Z (smoothed demand size)]]/RawData[[#This Row],[X (smoothed interval)]]</f>
        <v>8.2137666484912195</v>
      </c>
    </row>
    <row r="104" spans="1:22">
      <c r="A104" t="s">
        <v>17</v>
      </c>
      <c r="B104" t="s">
        <v>14</v>
      </c>
      <c r="C104">
        <v>27</v>
      </c>
      <c r="D104" t="s">
        <v>18</v>
      </c>
      <c r="E104" t="s">
        <v>16</v>
      </c>
      <c r="F104" s="1">
        <v>43837</v>
      </c>
      <c r="G104">
        <v>11</v>
      </c>
      <c r="H104">
        <v>11</v>
      </c>
      <c r="I104">
        <v>17</v>
      </c>
      <c r="J104">
        <v>6</v>
      </c>
      <c r="K104">
        <v>0</v>
      </c>
      <c r="L104">
        <v>782</v>
      </c>
      <c r="M104">
        <v>60</v>
      </c>
      <c r="N104" s="1">
        <f t="shared" si="8"/>
        <v>44938</v>
      </c>
      <c r="O104" s="1">
        <f t="shared" si="9"/>
        <v>43101</v>
      </c>
      <c r="P104" s="1">
        <f t="shared" si="10"/>
        <v>44013</v>
      </c>
      <c r="Q104" s="8">
        <f t="shared" si="11"/>
        <v>0</v>
      </c>
      <c r="R104" s="8">
        <f t="shared" si="12"/>
        <v>31</v>
      </c>
      <c r="S104" s="8">
        <f t="shared" ca="1" si="13"/>
        <v>31</v>
      </c>
      <c r="T104">
        <f t="shared" ca="1" si="14"/>
        <v>8.771013318792976</v>
      </c>
      <c r="U104" s="8">
        <f t="shared" ca="1" si="15"/>
        <v>1.4000000000000001</v>
      </c>
      <c r="V104" s="8">
        <f ca="1">RawData[[#This Row],[Z (smoothed demand size)]]/RawData[[#This Row],[X (smoothed interval)]]</f>
        <v>6.2650095134235535</v>
      </c>
    </row>
    <row r="105" spans="1:22">
      <c r="A105" t="s">
        <v>17</v>
      </c>
      <c r="B105" t="s">
        <v>14</v>
      </c>
      <c r="C105">
        <v>27</v>
      </c>
      <c r="D105" t="s">
        <v>18</v>
      </c>
      <c r="E105" t="s">
        <v>16</v>
      </c>
      <c r="F105" s="1">
        <v>43838</v>
      </c>
      <c r="G105">
        <v>12</v>
      </c>
      <c r="H105">
        <v>6</v>
      </c>
      <c r="I105">
        <v>6</v>
      </c>
      <c r="J105">
        <v>0</v>
      </c>
      <c r="K105">
        <v>1</v>
      </c>
      <c r="L105">
        <v>767</v>
      </c>
      <c r="M105">
        <v>15</v>
      </c>
      <c r="N105" s="1">
        <f t="shared" si="8"/>
        <v>44938</v>
      </c>
      <c r="O105" s="1">
        <f t="shared" si="9"/>
        <v>43101</v>
      </c>
      <c r="P105" s="1">
        <f t="shared" si="10"/>
        <v>44044</v>
      </c>
      <c r="Q105" s="8">
        <f t="shared" si="11"/>
        <v>0</v>
      </c>
      <c r="R105" s="8">
        <f t="shared" si="12"/>
        <v>32</v>
      </c>
      <c r="S105" s="8">
        <f t="shared" ca="1" si="13"/>
        <v>32</v>
      </c>
      <c r="T105">
        <f t="shared" ca="1" si="14"/>
        <v>9.4168106550343822</v>
      </c>
      <c r="U105" s="8">
        <f t="shared" ca="1" si="15"/>
        <v>1.32</v>
      </c>
      <c r="V105" s="8">
        <f ca="1">RawData[[#This Row],[Z (smoothed demand size)]]/RawData[[#This Row],[X (smoothed interval)]]</f>
        <v>7.1339474659351376</v>
      </c>
    </row>
    <row r="106" spans="1:22">
      <c r="A106" t="s">
        <v>17</v>
      </c>
      <c r="B106" t="s">
        <v>14</v>
      </c>
      <c r="C106">
        <v>27</v>
      </c>
      <c r="D106" t="s">
        <v>18</v>
      </c>
      <c r="E106" t="s">
        <v>16</v>
      </c>
      <c r="F106" s="1">
        <v>43839</v>
      </c>
      <c r="G106">
        <v>6</v>
      </c>
      <c r="H106">
        <v>6</v>
      </c>
      <c r="I106">
        <v>12</v>
      </c>
      <c r="J106">
        <v>6</v>
      </c>
      <c r="K106">
        <v>0</v>
      </c>
      <c r="L106">
        <v>671</v>
      </c>
      <c r="M106">
        <v>45</v>
      </c>
      <c r="N106" s="1">
        <f t="shared" si="8"/>
        <v>44938</v>
      </c>
      <c r="O106" s="1">
        <f t="shared" si="9"/>
        <v>43101</v>
      </c>
      <c r="P106" s="1">
        <f t="shared" si="10"/>
        <v>44075</v>
      </c>
      <c r="Q106" s="8">
        <f t="shared" si="11"/>
        <v>0</v>
      </c>
      <c r="R106" s="8">
        <f t="shared" si="12"/>
        <v>33</v>
      </c>
      <c r="S106" s="8">
        <f t="shared" ca="1" si="13"/>
        <v>33</v>
      </c>
      <c r="T106">
        <f t="shared" ca="1" si="14"/>
        <v>8.733448524027505</v>
      </c>
      <c r="U106" s="8">
        <f t="shared" ca="1" si="15"/>
        <v>1.256</v>
      </c>
      <c r="V106" s="8">
        <f ca="1">RawData[[#This Row],[Z (smoothed demand size)]]/RawData[[#This Row],[X (smoothed interval)]]</f>
        <v>6.9533825828244469</v>
      </c>
    </row>
    <row r="107" spans="1:22">
      <c r="A107" t="s">
        <v>17</v>
      </c>
      <c r="B107" t="s">
        <v>14</v>
      </c>
      <c r="C107">
        <v>27</v>
      </c>
      <c r="D107" t="s">
        <v>18</v>
      </c>
      <c r="E107" t="s">
        <v>16</v>
      </c>
      <c r="F107" s="1">
        <v>43840</v>
      </c>
      <c r="G107">
        <v>5</v>
      </c>
      <c r="H107">
        <v>5</v>
      </c>
      <c r="I107">
        <v>6</v>
      </c>
      <c r="J107">
        <v>1</v>
      </c>
      <c r="K107">
        <v>0</v>
      </c>
      <c r="L107">
        <v>678</v>
      </c>
      <c r="M107">
        <v>30</v>
      </c>
      <c r="N107" s="1">
        <f t="shared" si="8"/>
        <v>44938</v>
      </c>
      <c r="O107" s="1">
        <f t="shared" si="9"/>
        <v>43101</v>
      </c>
      <c r="P107" s="1">
        <f t="shared" si="10"/>
        <v>44105</v>
      </c>
      <c r="Q107" s="8">
        <f t="shared" si="11"/>
        <v>0</v>
      </c>
      <c r="R107" s="8">
        <f t="shared" si="12"/>
        <v>34</v>
      </c>
      <c r="S107" s="8">
        <f t="shared" ca="1" si="13"/>
        <v>34</v>
      </c>
      <c r="T107">
        <f t="shared" ca="1" si="14"/>
        <v>7.986758819222004</v>
      </c>
      <c r="U107" s="8">
        <f t="shared" ca="1" si="15"/>
        <v>1.2048000000000001</v>
      </c>
      <c r="V107" s="8">
        <f ca="1">RawData[[#This Row],[Z (smoothed demand size)]]/RawData[[#This Row],[X (smoothed interval)]]</f>
        <v>6.629115885808436</v>
      </c>
    </row>
    <row r="108" spans="1:22">
      <c r="A108" t="s">
        <v>17</v>
      </c>
      <c r="B108" t="s">
        <v>14</v>
      </c>
      <c r="C108">
        <v>27</v>
      </c>
      <c r="D108" t="s">
        <v>18</v>
      </c>
      <c r="E108" t="s">
        <v>16</v>
      </c>
      <c r="F108" s="1">
        <v>43841</v>
      </c>
      <c r="G108">
        <v>9</v>
      </c>
      <c r="H108">
        <v>9</v>
      </c>
      <c r="I108">
        <v>10</v>
      </c>
      <c r="J108">
        <v>1</v>
      </c>
      <c r="K108">
        <v>0</v>
      </c>
      <c r="L108">
        <v>684</v>
      </c>
      <c r="M108">
        <v>45</v>
      </c>
      <c r="N108" s="1">
        <f t="shared" si="8"/>
        <v>44938</v>
      </c>
      <c r="O108" s="1">
        <f t="shared" si="9"/>
        <v>43101</v>
      </c>
      <c r="P108" s="1">
        <f t="shared" si="10"/>
        <v>44136</v>
      </c>
      <c r="Q108" s="8">
        <f t="shared" si="11"/>
        <v>0</v>
      </c>
      <c r="R108" s="8">
        <f t="shared" si="12"/>
        <v>35</v>
      </c>
      <c r="S108" s="8">
        <f t="shared" ca="1" si="13"/>
        <v>35</v>
      </c>
      <c r="T108">
        <f t="shared" ca="1" si="14"/>
        <v>8.1894070553776039</v>
      </c>
      <c r="U108" s="8">
        <f t="shared" ca="1" si="15"/>
        <v>1.1638400000000002</v>
      </c>
      <c r="V108" s="8">
        <f ca="1">RawData[[#This Row],[Z (smoothed demand size)]]/RawData[[#This Row],[X (smoothed interval)]]</f>
        <v>7.0365402936637356</v>
      </c>
    </row>
    <row r="109" spans="1:22">
      <c r="A109" t="s">
        <v>17</v>
      </c>
      <c r="B109" t="s">
        <v>14</v>
      </c>
      <c r="C109">
        <v>27</v>
      </c>
      <c r="D109" t="s">
        <v>18</v>
      </c>
      <c r="E109" t="s">
        <v>16</v>
      </c>
      <c r="F109" s="1">
        <v>43842</v>
      </c>
      <c r="G109">
        <v>10</v>
      </c>
      <c r="H109">
        <v>1</v>
      </c>
      <c r="I109">
        <v>1</v>
      </c>
      <c r="J109">
        <v>0</v>
      </c>
      <c r="K109">
        <v>1</v>
      </c>
      <c r="L109">
        <v>766</v>
      </c>
      <c r="M109">
        <v>30</v>
      </c>
      <c r="N109" s="1">
        <f t="shared" si="8"/>
        <v>44938</v>
      </c>
      <c r="O109" s="1">
        <f t="shared" si="9"/>
        <v>43101</v>
      </c>
      <c r="P109" s="1">
        <f t="shared" si="10"/>
        <v>44166</v>
      </c>
      <c r="Q109" s="8">
        <f t="shared" si="11"/>
        <v>0</v>
      </c>
      <c r="R109" s="8">
        <f t="shared" si="12"/>
        <v>36</v>
      </c>
      <c r="S109" s="8">
        <f t="shared" ca="1" si="13"/>
        <v>36</v>
      </c>
      <c r="T109">
        <f t="shared" ca="1" si="14"/>
        <v>8.5515256443020835</v>
      </c>
      <c r="U109" s="8">
        <f t="shared" ca="1" si="15"/>
        <v>1.1310720000000003</v>
      </c>
      <c r="V109" s="8">
        <f ca="1">RawData[[#This Row],[Z (smoothed demand size)]]/RawData[[#This Row],[X (smoothed interval)]]</f>
        <v>7.5605493233870886</v>
      </c>
    </row>
    <row r="110" spans="1:22">
      <c r="A110" t="s">
        <v>17</v>
      </c>
      <c r="B110" t="s">
        <v>14</v>
      </c>
      <c r="C110">
        <v>27</v>
      </c>
      <c r="D110" t="s">
        <v>18</v>
      </c>
      <c r="E110" t="s">
        <v>16</v>
      </c>
      <c r="F110" s="1">
        <v>44197</v>
      </c>
      <c r="G110">
        <v>7</v>
      </c>
      <c r="H110">
        <v>7</v>
      </c>
      <c r="I110">
        <v>12</v>
      </c>
      <c r="J110">
        <v>5</v>
      </c>
      <c r="K110">
        <v>0</v>
      </c>
      <c r="L110">
        <v>668</v>
      </c>
      <c r="M110">
        <v>15</v>
      </c>
      <c r="N110" s="1">
        <f t="shared" si="8"/>
        <v>44938</v>
      </c>
      <c r="O110" s="1">
        <f t="shared" si="9"/>
        <v>43101</v>
      </c>
      <c r="P110" s="1">
        <f t="shared" si="10"/>
        <v>44197</v>
      </c>
      <c r="Q110" s="8">
        <f t="shared" si="11"/>
        <v>0</v>
      </c>
      <c r="R110" s="8">
        <f t="shared" si="12"/>
        <v>37</v>
      </c>
      <c r="S110" s="8">
        <f t="shared" ca="1" si="13"/>
        <v>37</v>
      </c>
      <c r="T110">
        <f t="shared" ca="1" si="14"/>
        <v>8.2412205154416664</v>
      </c>
      <c r="U110" s="8">
        <f t="shared" ca="1" si="15"/>
        <v>1.1048576000000003</v>
      </c>
      <c r="V110" s="8">
        <f ca="1">RawData[[#This Row],[Z (smoothed demand size)]]/RawData[[#This Row],[X (smoothed interval)]]</f>
        <v>7.459079355965569</v>
      </c>
    </row>
    <row r="111" spans="1:22">
      <c r="A111" t="s">
        <v>17</v>
      </c>
      <c r="B111" t="s">
        <v>14</v>
      </c>
      <c r="C111">
        <v>27</v>
      </c>
      <c r="D111" t="s">
        <v>18</v>
      </c>
      <c r="E111" t="s">
        <v>16</v>
      </c>
      <c r="F111" s="1">
        <v>44198</v>
      </c>
      <c r="G111">
        <v>4</v>
      </c>
      <c r="H111">
        <v>4</v>
      </c>
      <c r="I111">
        <v>17</v>
      </c>
      <c r="J111">
        <v>13</v>
      </c>
      <c r="K111">
        <v>0</v>
      </c>
      <c r="L111">
        <v>680</v>
      </c>
      <c r="M111">
        <v>60</v>
      </c>
      <c r="N111" s="1">
        <f t="shared" si="8"/>
        <v>44938</v>
      </c>
      <c r="O111" s="1">
        <f t="shared" si="9"/>
        <v>43101</v>
      </c>
      <c r="P111" s="1">
        <f t="shared" si="10"/>
        <v>44228</v>
      </c>
      <c r="Q111" s="8">
        <f t="shared" si="11"/>
        <v>0</v>
      </c>
      <c r="R111" s="8">
        <f t="shared" si="12"/>
        <v>38</v>
      </c>
      <c r="S111" s="8">
        <f t="shared" ca="1" si="13"/>
        <v>38</v>
      </c>
      <c r="T111">
        <f t="shared" ca="1" si="14"/>
        <v>7.3929764123533337</v>
      </c>
      <c r="U111" s="8">
        <f t="shared" ca="1" si="15"/>
        <v>1.0838860800000003</v>
      </c>
      <c r="V111" s="8">
        <f ca="1">RawData[[#This Row],[Z (smoothed demand size)]]/RawData[[#This Row],[X (smoothed interval)]]</f>
        <v>6.8208057551152717</v>
      </c>
    </row>
    <row r="112" spans="1:22">
      <c r="A112" t="s">
        <v>17</v>
      </c>
      <c r="B112" t="s">
        <v>14</v>
      </c>
      <c r="C112">
        <v>27</v>
      </c>
      <c r="D112" t="s">
        <v>18</v>
      </c>
      <c r="E112" t="s">
        <v>16</v>
      </c>
      <c r="F112" s="1">
        <v>44199</v>
      </c>
      <c r="G112">
        <v>0</v>
      </c>
      <c r="H112">
        <v>0</v>
      </c>
      <c r="I112">
        <v>13</v>
      </c>
      <c r="J112">
        <v>13</v>
      </c>
      <c r="K112">
        <v>0</v>
      </c>
      <c r="L112">
        <v>658</v>
      </c>
      <c r="M112">
        <v>30</v>
      </c>
      <c r="N112" s="1">
        <f t="shared" si="8"/>
        <v>44938</v>
      </c>
      <c r="O112" s="1">
        <f t="shared" si="9"/>
        <v>43101</v>
      </c>
      <c r="P112" s="1">
        <f t="shared" si="10"/>
        <v>44256</v>
      </c>
      <c r="Q112" s="8">
        <f t="shared" si="11"/>
        <v>0</v>
      </c>
      <c r="R112" s="8">
        <f t="shared" si="12"/>
        <v>39</v>
      </c>
      <c r="S112" s="8">
        <f t="shared" ca="1" si="13"/>
        <v>38</v>
      </c>
      <c r="T112">
        <f t="shared" ca="1" si="14"/>
        <v>7.3929764123533337</v>
      </c>
      <c r="U112" s="8">
        <f t="shared" ca="1" si="15"/>
        <v>1.0838860800000003</v>
      </c>
      <c r="V112" s="8">
        <f ca="1">RawData[[#This Row],[Z (smoothed demand size)]]/RawData[[#This Row],[X (smoothed interval)]]</f>
        <v>6.8208057551152717</v>
      </c>
    </row>
    <row r="113" spans="1:22">
      <c r="A113" t="s">
        <v>17</v>
      </c>
      <c r="B113" t="s">
        <v>14</v>
      </c>
      <c r="C113">
        <v>27</v>
      </c>
      <c r="D113" t="s">
        <v>18</v>
      </c>
      <c r="E113" t="s">
        <v>16</v>
      </c>
      <c r="F113" s="1">
        <v>44200</v>
      </c>
      <c r="G113">
        <v>6</v>
      </c>
      <c r="H113">
        <v>6</v>
      </c>
      <c r="I113">
        <v>13</v>
      </c>
      <c r="J113">
        <v>7</v>
      </c>
      <c r="K113">
        <v>0</v>
      </c>
      <c r="L113">
        <v>675</v>
      </c>
      <c r="M113">
        <v>45</v>
      </c>
      <c r="N113" s="1">
        <f t="shared" si="8"/>
        <v>44938</v>
      </c>
      <c r="O113" s="1">
        <f t="shared" si="9"/>
        <v>43101</v>
      </c>
      <c r="P113" s="1">
        <f t="shared" si="10"/>
        <v>44287</v>
      </c>
      <c r="Q113" s="8">
        <f t="shared" si="11"/>
        <v>0</v>
      </c>
      <c r="R113" s="8">
        <f t="shared" si="12"/>
        <v>40</v>
      </c>
      <c r="S113" s="8">
        <f t="shared" ca="1" si="13"/>
        <v>40</v>
      </c>
      <c r="T113">
        <f t="shared" ca="1" si="14"/>
        <v>7.1143811298826671</v>
      </c>
      <c r="U113" s="8">
        <f t="shared" ca="1" si="15"/>
        <v>1.2671088640000003</v>
      </c>
      <c r="V113" s="8">
        <f ca="1">RawData[[#This Row],[Z (smoothed demand size)]]/RawData[[#This Row],[X (smoothed interval)]]</f>
        <v>5.6146565871412495</v>
      </c>
    </row>
    <row r="114" spans="1:22">
      <c r="A114" t="s">
        <v>17</v>
      </c>
      <c r="B114" t="s">
        <v>14</v>
      </c>
      <c r="C114">
        <v>27</v>
      </c>
      <c r="D114" t="s">
        <v>18</v>
      </c>
      <c r="E114" t="s">
        <v>16</v>
      </c>
      <c r="F114" s="1">
        <v>44201</v>
      </c>
      <c r="G114">
        <v>6</v>
      </c>
      <c r="H114">
        <v>6</v>
      </c>
      <c r="I114">
        <v>7</v>
      </c>
      <c r="J114">
        <v>1</v>
      </c>
      <c r="K114">
        <v>0</v>
      </c>
      <c r="L114">
        <v>661</v>
      </c>
      <c r="M114">
        <v>45</v>
      </c>
      <c r="N114" s="1">
        <f t="shared" si="8"/>
        <v>44938</v>
      </c>
      <c r="O114" s="1">
        <f t="shared" si="9"/>
        <v>43101</v>
      </c>
      <c r="P114" s="1">
        <f t="shared" si="10"/>
        <v>44317</v>
      </c>
      <c r="Q114" s="8">
        <f t="shared" si="11"/>
        <v>0</v>
      </c>
      <c r="R114" s="8">
        <f t="shared" si="12"/>
        <v>41</v>
      </c>
      <c r="S114" s="8">
        <f t="shared" ca="1" si="13"/>
        <v>41</v>
      </c>
      <c r="T114">
        <f t="shared" ca="1" si="14"/>
        <v>6.8915049039061342</v>
      </c>
      <c r="U114" s="8">
        <f t="shared" ca="1" si="15"/>
        <v>1.2136870912000002</v>
      </c>
      <c r="V114" s="8">
        <f ca="1">RawData[[#This Row],[Z (smoothed demand size)]]/RawData[[#This Row],[X (smoothed interval)]]</f>
        <v>5.6781562182492573</v>
      </c>
    </row>
    <row r="115" spans="1:22">
      <c r="A115" t="s">
        <v>17</v>
      </c>
      <c r="B115" t="s">
        <v>14</v>
      </c>
      <c r="C115">
        <v>27</v>
      </c>
      <c r="D115" t="s">
        <v>18</v>
      </c>
      <c r="E115" t="s">
        <v>16</v>
      </c>
      <c r="F115" s="1">
        <v>44202</v>
      </c>
      <c r="G115">
        <v>8</v>
      </c>
      <c r="H115">
        <v>8</v>
      </c>
      <c r="I115">
        <v>13</v>
      </c>
      <c r="J115">
        <v>5</v>
      </c>
      <c r="K115">
        <v>0</v>
      </c>
      <c r="L115">
        <v>769</v>
      </c>
      <c r="M115">
        <v>30</v>
      </c>
      <c r="N115" s="1">
        <f t="shared" si="8"/>
        <v>44938</v>
      </c>
      <c r="O115" s="1">
        <f t="shared" si="9"/>
        <v>43101</v>
      </c>
      <c r="P115" s="1">
        <f t="shared" si="10"/>
        <v>44348</v>
      </c>
      <c r="Q115" s="8">
        <f t="shared" si="11"/>
        <v>0</v>
      </c>
      <c r="R115" s="8">
        <f t="shared" si="12"/>
        <v>42</v>
      </c>
      <c r="S115" s="8">
        <f t="shared" ca="1" si="13"/>
        <v>42</v>
      </c>
      <c r="T115">
        <f t="shared" ca="1" si="14"/>
        <v>7.1132039231249085</v>
      </c>
      <c r="U115" s="8">
        <f t="shared" ca="1" si="15"/>
        <v>1.1709496729600002</v>
      </c>
      <c r="V115" s="8">
        <f ca="1">RawData[[#This Row],[Z (smoothed demand size)]]/RawData[[#This Row],[X (smoothed interval)]]</f>
        <v>6.074730697130394</v>
      </c>
    </row>
    <row r="116" spans="1:22">
      <c r="A116" t="s">
        <v>17</v>
      </c>
      <c r="B116" t="s">
        <v>14</v>
      </c>
      <c r="C116">
        <v>27</v>
      </c>
      <c r="D116" t="s">
        <v>18</v>
      </c>
      <c r="E116" t="s">
        <v>16</v>
      </c>
      <c r="F116" s="1">
        <v>44203</v>
      </c>
      <c r="G116">
        <v>9</v>
      </c>
      <c r="H116">
        <v>9</v>
      </c>
      <c r="I116">
        <v>17</v>
      </c>
      <c r="J116">
        <v>8</v>
      </c>
      <c r="K116">
        <v>0</v>
      </c>
      <c r="L116">
        <v>766</v>
      </c>
      <c r="M116">
        <v>60</v>
      </c>
      <c r="N116" s="1">
        <f t="shared" si="8"/>
        <v>44938</v>
      </c>
      <c r="O116" s="1">
        <f t="shared" si="9"/>
        <v>43101</v>
      </c>
      <c r="P116" s="1">
        <f t="shared" si="10"/>
        <v>44378</v>
      </c>
      <c r="Q116" s="8">
        <f t="shared" si="11"/>
        <v>0</v>
      </c>
      <c r="R116" s="8">
        <f t="shared" si="12"/>
        <v>43</v>
      </c>
      <c r="S116" s="8">
        <f t="shared" ca="1" si="13"/>
        <v>43</v>
      </c>
      <c r="T116">
        <f t="shared" ca="1" si="14"/>
        <v>7.4905631384999269</v>
      </c>
      <c r="U116" s="8">
        <f t="shared" ca="1" si="15"/>
        <v>1.1367597383680001</v>
      </c>
      <c r="V116" s="8">
        <f ca="1">RawData[[#This Row],[Z (smoothed demand size)]]/RawData[[#This Row],[X (smoothed interval)]]</f>
        <v>6.589398696732367</v>
      </c>
    </row>
    <row r="117" spans="1:22">
      <c r="A117" t="s">
        <v>17</v>
      </c>
      <c r="B117" t="s">
        <v>14</v>
      </c>
      <c r="C117">
        <v>27</v>
      </c>
      <c r="D117" t="s">
        <v>18</v>
      </c>
      <c r="E117" t="s">
        <v>16</v>
      </c>
      <c r="F117" s="1">
        <v>44204</v>
      </c>
      <c r="G117">
        <v>8</v>
      </c>
      <c r="H117">
        <v>8</v>
      </c>
      <c r="I117">
        <v>8</v>
      </c>
      <c r="J117">
        <v>0</v>
      </c>
      <c r="K117">
        <v>0</v>
      </c>
      <c r="L117">
        <v>761</v>
      </c>
      <c r="M117">
        <v>15</v>
      </c>
      <c r="N117" s="1">
        <f t="shared" si="8"/>
        <v>44938</v>
      </c>
      <c r="O117" s="1">
        <f t="shared" si="9"/>
        <v>43101</v>
      </c>
      <c r="P117" s="1">
        <f t="shared" si="10"/>
        <v>44409</v>
      </c>
      <c r="Q117" s="8">
        <f t="shared" si="11"/>
        <v>0</v>
      </c>
      <c r="R117" s="8">
        <f t="shared" si="12"/>
        <v>44</v>
      </c>
      <c r="S117" s="8">
        <f t="shared" ca="1" si="13"/>
        <v>44</v>
      </c>
      <c r="T117">
        <f t="shared" ca="1" si="14"/>
        <v>7.5924505107999423</v>
      </c>
      <c r="U117" s="8">
        <f t="shared" ca="1" si="15"/>
        <v>1.1094077906944002</v>
      </c>
      <c r="V117" s="8">
        <f ca="1">RawData[[#This Row],[Z (smoothed demand size)]]/RawData[[#This Row],[X (smoothed interval)]]</f>
        <v>6.8436967673065263</v>
      </c>
    </row>
    <row r="118" spans="1:22">
      <c r="A118" t="s">
        <v>17</v>
      </c>
      <c r="B118" t="s">
        <v>14</v>
      </c>
      <c r="C118">
        <v>27</v>
      </c>
      <c r="D118" t="s">
        <v>18</v>
      </c>
      <c r="E118" t="s">
        <v>16</v>
      </c>
      <c r="F118" s="1">
        <v>44205</v>
      </c>
      <c r="G118">
        <v>7</v>
      </c>
      <c r="H118">
        <v>7</v>
      </c>
      <c r="I118">
        <v>10</v>
      </c>
      <c r="J118">
        <v>3</v>
      </c>
      <c r="K118">
        <v>0</v>
      </c>
      <c r="L118">
        <v>661</v>
      </c>
      <c r="M118">
        <v>30</v>
      </c>
      <c r="N118" s="1">
        <f t="shared" si="8"/>
        <v>44938</v>
      </c>
      <c r="O118" s="1">
        <f t="shared" si="9"/>
        <v>43101</v>
      </c>
      <c r="P118" s="1">
        <f t="shared" si="10"/>
        <v>44440</v>
      </c>
      <c r="Q118" s="8">
        <f t="shared" si="11"/>
        <v>0</v>
      </c>
      <c r="R118" s="8">
        <f t="shared" si="12"/>
        <v>45</v>
      </c>
      <c r="S118" s="8">
        <f t="shared" ca="1" si="13"/>
        <v>45</v>
      </c>
      <c r="T118">
        <f t="shared" ca="1" si="14"/>
        <v>7.4739604086399547</v>
      </c>
      <c r="U118" s="8">
        <f t="shared" ca="1" si="15"/>
        <v>1.0875262325555202</v>
      </c>
      <c r="V118" s="8">
        <f ca="1">RawData[[#This Row],[Z (smoothed demand size)]]/RawData[[#This Row],[X (smoothed interval)]]</f>
        <v>6.8724414960338862</v>
      </c>
    </row>
    <row r="119" spans="1:22">
      <c r="A119" t="s">
        <v>17</v>
      </c>
      <c r="B119" t="s">
        <v>14</v>
      </c>
      <c r="C119">
        <v>27</v>
      </c>
      <c r="D119" t="s">
        <v>18</v>
      </c>
      <c r="E119" t="s">
        <v>16</v>
      </c>
      <c r="F119" s="1">
        <v>44206</v>
      </c>
      <c r="G119">
        <v>11</v>
      </c>
      <c r="H119">
        <v>11</v>
      </c>
      <c r="I119">
        <v>14</v>
      </c>
      <c r="J119">
        <v>3</v>
      </c>
      <c r="K119">
        <v>0</v>
      </c>
      <c r="L119">
        <v>670</v>
      </c>
      <c r="M119">
        <v>30</v>
      </c>
      <c r="N119" s="1">
        <f t="shared" si="8"/>
        <v>44938</v>
      </c>
      <c r="O119" s="1">
        <f t="shared" si="9"/>
        <v>43101</v>
      </c>
      <c r="P119" s="1">
        <f t="shared" si="10"/>
        <v>44470</v>
      </c>
      <c r="Q119" s="8">
        <f t="shared" si="11"/>
        <v>0</v>
      </c>
      <c r="R119" s="8">
        <f t="shared" si="12"/>
        <v>46</v>
      </c>
      <c r="S119" s="8">
        <f t="shared" ca="1" si="13"/>
        <v>46</v>
      </c>
      <c r="T119">
        <f t="shared" ca="1" si="14"/>
        <v>8.179168326911963</v>
      </c>
      <c r="U119" s="8">
        <f t="shared" ca="1" si="15"/>
        <v>1.0700209860444161</v>
      </c>
      <c r="V119" s="8">
        <f ca="1">RawData[[#This Row],[Z (smoothed demand size)]]/RawData[[#This Row],[X (smoothed interval)]]</f>
        <v>7.6439326271049879</v>
      </c>
    </row>
    <row r="120" spans="1:22">
      <c r="A120" t="s">
        <v>17</v>
      </c>
      <c r="B120" t="s">
        <v>14</v>
      </c>
      <c r="C120">
        <v>27</v>
      </c>
      <c r="D120" t="s">
        <v>18</v>
      </c>
      <c r="E120" t="s">
        <v>16</v>
      </c>
      <c r="F120" s="1">
        <v>44207</v>
      </c>
      <c r="G120">
        <v>10</v>
      </c>
      <c r="H120">
        <v>10</v>
      </c>
      <c r="I120">
        <v>13</v>
      </c>
      <c r="J120">
        <v>3</v>
      </c>
      <c r="K120">
        <v>0</v>
      </c>
      <c r="L120">
        <v>675</v>
      </c>
      <c r="M120">
        <v>45</v>
      </c>
      <c r="N120" s="1">
        <f t="shared" si="8"/>
        <v>44938</v>
      </c>
      <c r="O120" s="1">
        <f t="shared" si="9"/>
        <v>43101</v>
      </c>
      <c r="P120" s="1">
        <f t="shared" si="10"/>
        <v>44501</v>
      </c>
      <c r="Q120" s="8">
        <f t="shared" si="11"/>
        <v>0</v>
      </c>
      <c r="R120" s="8">
        <f t="shared" si="12"/>
        <v>47</v>
      </c>
      <c r="S120" s="8">
        <f t="shared" ca="1" si="13"/>
        <v>47</v>
      </c>
      <c r="T120">
        <f t="shared" ca="1" si="14"/>
        <v>8.5433346615295704</v>
      </c>
      <c r="U120" s="8">
        <f t="shared" ca="1" si="15"/>
        <v>1.056016788835533</v>
      </c>
      <c r="V120" s="8">
        <f ca="1">RawData[[#This Row],[Z (smoothed demand size)]]/RawData[[#This Row],[X (smoothed interval)]]</f>
        <v>8.0901504141333618</v>
      </c>
    </row>
    <row r="121" spans="1:22">
      <c r="A121" t="s">
        <v>17</v>
      </c>
      <c r="B121" t="s">
        <v>14</v>
      </c>
      <c r="C121">
        <v>27</v>
      </c>
      <c r="D121" t="s">
        <v>18</v>
      </c>
      <c r="E121" t="s">
        <v>16</v>
      </c>
      <c r="F121" s="1">
        <v>44208</v>
      </c>
      <c r="G121">
        <v>0</v>
      </c>
      <c r="H121">
        <v>0</v>
      </c>
      <c r="I121">
        <v>3</v>
      </c>
      <c r="J121">
        <v>3</v>
      </c>
      <c r="K121">
        <v>0</v>
      </c>
      <c r="L121">
        <v>767</v>
      </c>
      <c r="M121">
        <v>45</v>
      </c>
      <c r="N121" s="1">
        <f t="shared" si="8"/>
        <v>44938</v>
      </c>
      <c r="O121" s="1">
        <f t="shared" si="9"/>
        <v>43101</v>
      </c>
      <c r="P121" s="1">
        <f t="shared" si="10"/>
        <v>44531</v>
      </c>
      <c r="Q121" s="8">
        <f t="shared" si="11"/>
        <v>0</v>
      </c>
      <c r="R121" s="8">
        <f t="shared" si="12"/>
        <v>48</v>
      </c>
      <c r="S121" s="8">
        <f t="shared" ca="1" si="13"/>
        <v>47</v>
      </c>
      <c r="T121">
        <f t="shared" ca="1" si="14"/>
        <v>8.5433346615295704</v>
      </c>
      <c r="U121" s="8">
        <f t="shared" ca="1" si="15"/>
        <v>1.056016788835533</v>
      </c>
      <c r="V121" s="8">
        <f ca="1">RawData[[#This Row],[Z (smoothed demand size)]]/RawData[[#This Row],[X (smoothed interval)]]</f>
        <v>8.0901504141333618</v>
      </c>
    </row>
    <row r="122" spans="1:22">
      <c r="A122" t="s">
        <v>17</v>
      </c>
      <c r="B122" t="s">
        <v>14</v>
      </c>
      <c r="C122">
        <v>27</v>
      </c>
      <c r="D122" t="s">
        <v>18</v>
      </c>
      <c r="E122" t="s">
        <v>16</v>
      </c>
      <c r="F122" s="1">
        <v>44562</v>
      </c>
      <c r="G122">
        <v>7</v>
      </c>
      <c r="H122">
        <v>7</v>
      </c>
      <c r="I122">
        <v>10</v>
      </c>
      <c r="J122">
        <v>3</v>
      </c>
      <c r="K122">
        <v>0</v>
      </c>
      <c r="L122">
        <v>666</v>
      </c>
      <c r="M122">
        <v>45</v>
      </c>
      <c r="N122" s="1">
        <f t="shared" si="8"/>
        <v>44938</v>
      </c>
      <c r="O122" s="1">
        <f t="shared" si="9"/>
        <v>43101</v>
      </c>
      <c r="P122" s="1">
        <f t="shared" si="10"/>
        <v>44562</v>
      </c>
      <c r="Q122" s="8">
        <f t="shared" si="11"/>
        <v>0</v>
      </c>
      <c r="R122" s="8">
        <f t="shared" si="12"/>
        <v>49</v>
      </c>
      <c r="S122" s="8">
        <f t="shared" ca="1" si="13"/>
        <v>49</v>
      </c>
      <c r="T122">
        <f t="shared" ca="1" si="14"/>
        <v>8.2346677292236574</v>
      </c>
      <c r="U122" s="8">
        <f t="shared" ca="1" si="15"/>
        <v>1.2448134310684265</v>
      </c>
      <c r="V122" s="8">
        <f ca="1">RawData[[#This Row],[Z (smoothed demand size)]]/RawData[[#This Row],[X (smoothed interval)]]</f>
        <v>6.6151822624180889</v>
      </c>
    </row>
    <row r="123" spans="1:22">
      <c r="A123" t="s">
        <v>17</v>
      </c>
      <c r="B123" t="s">
        <v>14</v>
      </c>
      <c r="C123">
        <v>27</v>
      </c>
      <c r="D123" t="s">
        <v>18</v>
      </c>
      <c r="E123" t="s">
        <v>16</v>
      </c>
      <c r="F123" s="1">
        <v>44563</v>
      </c>
      <c r="G123">
        <v>6</v>
      </c>
      <c r="H123">
        <v>3</v>
      </c>
      <c r="I123">
        <v>3</v>
      </c>
      <c r="J123">
        <v>0</v>
      </c>
      <c r="K123">
        <v>1</v>
      </c>
      <c r="L123">
        <v>670</v>
      </c>
      <c r="M123">
        <v>45</v>
      </c>
      <c r="N123" s="1">
        <f t="shared" si="8"/>
        <v>44938</v>
      </c>
      <c r="O123" s="1">
        <f t="shared" si="9"/>
        <v>43101</v>
      </c>
      <c r="P123" s="1">
        <f t="shared" si="10"/>
        <v>44593</v>
      </c>
      <c r="Q123" s="8">
        <f t="shared" si="11"/>
        <v>0</v>
      </c>
      <c r="R123" s="8">
        <f t="shared" si="12"/>
        <v>50</v>
      </c>
      <c r="S123" s="8">
        <f t="shared" ca="1" si="13"/>
        <v>50</v>
      </c>
      <c r="T123">
        <f t="shared" ca="1" si="14"/>
        <v>7.7877341833789266</v>
      </c>
      <c r="U123" s="8">
        <f t="shared" ca="1" si="15"/>
        <v>1.1958507448547413</v>
      </c>
      <c r="V123" s="8">
        <f ca="1">RawData[[#This Row],[Z (smoothed demand size)]]/RawData[[#This Row],[X (smoothed interval)]]</f>
        <v>6.5122961346860171</v>
      </c>
    </row>
    <row r="124" spans="1:22">
      <c r="A124" t="s">
        <v>17</v>
      </c>
      <c r="B124" t="s">
        <v>14</v>
      </c>
      <c r="C124">
        <v>27</v>
      </c>
      <c r="D124" t="s">
        <v>18</v>
      </c>
      <c r="E124" t="s">
        <v>16</v>
      </c>
      <c r="F124" s="1">
        <v>44564</v>
      </c>
      <c r="G124">
        <v>9</v>
      </c>
      <c r="H124">
        <v>8</v>
      </c>
      <c r="I124">
        <v>8</v>
      </c>
      <c r="J124">
        <v>0</v>
      </c>
      <c r="K124">
        <v>1</v>
      </c>
      <c r="L124">
        <v>659</v>
      </c>
      <c r="M124">
        <v>45</v>
      </c>
      <c r="N124" s="1">
        <f t="shared" si="8"/>
        <v>44938</v>
      </c>
      <c r="O124" s="1">
        <f t="shared" si="9"/>
        <v>43101</v>
      </c>
      <c r="P124" s="1">
        <f t="shared" si="10"/>
        <v>44621</v>
      </c>
      <c r="Q124" s="8">
        <f t="shared" si="11"/>
        <v>0</v>
      </c>
      <c r="R124" s="8">
        <f t="shared" si="12"/>
        <v>51</v>
      </c>
      <c r="S124" s="8">
        <f t="shared" ca="1" si="13"/>
        <v>51</v>
      </c>
      <c r="T124">
        <f t="shared" ca="1" si="14"/>
        <v>8.0301873467031424</v>
      </c>
      <c r="U124" s="8">
        <f t="shared" ca="1" si="15"/>
        <v>1.1566805958837931</v>
      </c>
      <c r="V124" s="8">
        <f ca="1">RawData[[#This Row],[Z (smoothed demand size)]]/RawData[[#This Row],[X (smoothed interval)]]</f>
        <v>6.9424414789006299</v>
      </c>
    </row>
    <row r="125" spans="1:22">
      <c r="A125" t="s">
        <v>17</v>
      </c>
      <c r="B125" t="s">
        <v>14</v>
      </c>
      <c r="C125">
        <v>27</v>
      </c>
      <c r="D125" t="s">
        <v>18</v>
      </c>
      <c r="E125" t="s">
        <v>16</v>
      </c>
      <c r="F125" s="1">
        <v>44565</v>
      </c>
      <c r="G125">
        <v>8</v>
      </c>
      <c r="H125">
        <v>0</v>
      </c>
      <c r="I125">
        <v>0</v>
      </c>
      <c r="J125">
        <v>0</v>
      </c>
      <c r="K125">
        <v>1</v>
      </c>
      <c r="L125">
        <v>671</v>
      </c>
      <c r="M125">
        <v>45</v>
      </c>
      <c r="N125" s="1">
        <f t="shared" si="8"/>
        <v>44938</v>
      </c>
      <c r="O125" s="1">
        <f t="shared" si="9"/>
        <v>43101</v>
      </c>
      <c r="P125" s="1">
        <f t="shared" si="10"/>
        <v>44652</v>
      </c>
      <c r="Q125" s="8">
        <f t="shared" si="11"/>
        <v>0</v>
      </c>
      <c r="R125" s="8">
        <f t="shared" si="12"/>
        <v>52</v>
      </c>
      <c r="S125" s="8">
        <f t="shared" ca="1" si="13"/>
        <v>52</v>
      </c>
      <c r="T125">
        <f t="shared" ca="1" si="14"/>
        <v>8.0241498773625146</v>
      </c>
      <c r="U125" s="8">
        <f t="shared" ca="1" si="15"/>
        <v>1.1253444767070346</v>
      </c>
      <c r="V125" s="8">
        <f ca="1">RawData[[#This Row],[Z (smoothed demand size)]]/RawData[[#This Row],[X (smoothed interval)]]</f>
        <v>7.1303943312030604</v>
      </c>
    </row>
    <row r="126" spans="1:22">
      <c r="A126" t="s">
        <v>17</v>
      </c>
      <c r="B126" t="s">
        <v>14</v>
      </c>
      <c r="C126">
        <v>27</v>
      </c>
      <c r="D126" t="s">
        <v>18</v>
      </c>
      <c r="E126" t="s">
        <v>16</v>
      </c>
      <c r="F126" s="1">
        <v>44566</v>
      </c>
      <c r="G126">
        <v>4</v>
      </c>
      <c r="H126">
        <v>4</v>
      </c>
      <c r="I126">
        <v>7</v>
      </c>
      <c r="J126">
        <v>3</v>
      </c>
      <c r="K126">
        <v>0</v>
      </c>
      <c r="L126">
        <v>671</v>
      </c>
      <c r="M126">
        <v>30</v>
      </c>
      <c r="N126" s="1">
        <f t="shared" si="8"/>
        <v>44938</v>
      </c>
      <c r="O126" s="1">
        <f t="shared" si="9"/>
        <v>43101</v>
      </c>
      <c r="P126" s="1">
        <f t="shared" si="10"/>
        <v>44682</v>
      </c>
      <c r="Q126" s="8">
        <f t="shared" si="11"/>
        <v>0</v>
      </c>
      <c r="R126" s="8">
        <f t="shared" si="12"/>
        <v>53</v>
      </c>
      <c r="S126" s="8">
        <f t="shared" ca="1" si="13"/>
        <v>53</v>
      </c>
      <c r="T126">
        <f t="shared" ca="1" si="14"/>
        <v>7.219319901890012</v>
      </c>
      <c r="U126" s="8">
        <f t="shared" ca="1" si="15"/>
        <v>1.1002755813656278</v>
      </c>
      <c r="V126" s="8">
        <f ca="1">RawData[[#This Row],[Z (smoothed demand size)]]/RawData[[#This Row],[X (smoothed interval)]]</f>
        <v>6.5613742812774385</v>
      </c>
    </row>
    <row r="127" spans="1:22">
      <c r="A127" t="s">
        <v>17</v>
      </c>
      <c r="B127" t="s">
        <v>14</v>
      </c>
      <c r="C127">
        <v>27</v>
      </c>
      <c r="D127" t="s">
        <v>18</v>
      </c>
      <c r="E127" t="s">
        <v>16</v>
      </c>
      <c r="F127" s="1">
        <v>44567</v>
      </c>
      <c r="G127">
        <v>6</v>
      </c>
      <c r="H127">
        <v>6</v>
      </c>
      <c r="I127">
        <v>12</v>
      </c>
      <c r="J127">
        <v>6</v>
      </c>
      <c r="K127">
        <v>0</v>
      </c>
      <c r="L127">
        <v>786</v>
      </c>
      <c r="M127">
        <v>45</v>
      </c>
      <c r="N127" s="1">
        <f t="shared" si="8"/>
        <v>44938</v>
      </c>
      <c r="O127" s="1">
        <f t="shared" si="9"/>
        <v>43101</v>
      </c>
      <c r="P127" s="1">
        <f t="shared" si="10"/>
        <v>44713</v>
      </c>
      <c r="Q127" s="8">
        <f t="shared" si="11"/>
        <v>0</v>
      </c>
      <c r="R127" s="8">
        <f t="shared" si="12"/>
        <v>54</v>
      </c>
      <c r="S127" s="8">
        <f t="shared" ca="1" si="13"/>
        <v>54</v>
      </c>
      <c r="T127">
        <f t="shared" ca="1" si="14"/>
        <v>6.97545592151201</v>
      </c>
      <c r="U127" s="8">
        <f t="shared" ca="1" si="15"/>
        <v>1.0802204650925022</v>
      </c>
      <c r="V127" s="8">
        <f ca="1">RawData[[#This Row],[Z (smoothed demand size)]]/RawData[[#This Row],[X (smoothed interval)]]</f>
        <v>6.4574372981488386</v>
      </c>
    </row>
    <row r="128" spans="1:22">
      <c r="A128" t="s">
        <v>17</v>
      </c>
      <c r="B128" t="s">
        <v>14</v>
      </c>
      <c r="C128">
        <v>27</v>
      </c>
      <c r="D128" t="s">
        <v>18</v>
      </c>
      <c r="E128" t="s">
        <v>16</v>
      </c>
      <c r="F128" s="1">
        <v>44568</v>
      </c>
      <c r="G128">
        <v>8</v>
      </c>
      <c r="H128">
        <v>6</v>
      </c>
      <c r="I128">
        <v>6</v>
      </c>
      <c r="J128">
        <v>0</v>
      </c>
      <c r="K128">
        <v>1</v>
      </c>
      <c r="L128">
        <v>763</v>
      </c>
      <c r="M128">
        <v>15</v>
      </c>
      <c r="N128" s="1">
        <f t="shared" si="8"/>
        <v>44938</v>
      </c>
      <c r="O128" s="1">
        <f t="shared" si="9"/>
        <v>43101</v>
      </c>
      <c r="P128" s="1">
        <f t="shared" si="10"/>
        <v>44743</v>
      </c>
      <c r="Q128" s="8">
        <f t="shared" si="11"/>
        <v>0</v>
      </c>
      <c r="R128" s="8">
        <f t="shared" si="12"/>
        <v>55</v>
      </c>
      <c r="S128" s="8">
        <f t="shared" ca="1" si="13"/>
        <v>55</v>
      </c>
      <c r="T128">
        <f t="shared" ca="1" si="14"/>
        <v>7.180364737209608</v>
      </c>
      <c r="U128" s="8">
        <f t="shared" ca="1" si="15"/>
        <v>1.0641763720740018</v>
      </c>
      <c r="V128" s="8">
        <f ca="1">RawData[[#This Row],[Z (smoothed demand size)]]/RawData[[#This Row],[X (smoothed interval)]]</f>
        <v>6.747344637257453</v>
      </c>
    </row>
    <row r="129" spans="1:22">
      <c r="A129" t="s">
        <v>17</v>
      </c>
      <c r="B129" t="s">
        <v>14</v>
      </c>
      <c r="C129">
        <v>27</v>
      </c>
      <c r="D129" t="s">
        <v>18</v>
      </c>
      <c r="E129" t="s">
        <v>16</v>
      </c>
      <c r="F129" s="1">
        <v>44569</v>
      </c>
      <c r="G129">
        <v>8</v>
      </c>
      <c r="H129">
        <v>7</v>
      </c>
      <c r="I129">
        <v>7</v>
      </c>
      <c r="J129">
        <v>0</v>
      </c>
      <c r="K129">
        <v>1</v>
      </c>
      <c r="L129">
        <v>762</v>
      </c>
      <c r="M129">
        <v>30</v>
      </c>
      <c r="N129" s="1">
        <f t="shared" si="8"/>
        <v>44938</v>
      </c>
      <c r="O129" s="1">
        <f t="shared" si="9"/>
        <v>43101</v>
      </c>
      <c r="P129" s="1">
        <f t="shared" si="10"/>
        <v>44774</v>
      </c>
      <c r="Q129" s="8">
        <f t="shared" si="11"/>
        <v>0</v>
      </c>
      <c r="R129" s="8">
        <f t="shared" si="12"/>
        <v>56</v>
      </c>
      <c r="S129" s="8">
        <f t="shared" ca="1" si="13"/>
        <v>56</v>
      </c>
      <c r="T129">
        <f t="shared" ca="1" si="14"/>
        <v>7.344291789767686</v>
      </c>
      <c r="U129" s="8">
        <f t="shared" ca="1" si="15"/>
        <v>1.0513410976592015</v>
      </c>
      <c r="V129" s="8">
        <f ca="1">RawData[[#This Row],[Z (smoothed demand size)]]/RawData[[#This Row],[X (smoothed interval)]]</f>
        <v>6.9856412976907922</v>
      </c>
    </row>
    <row r="130" spans="1:22">
      <c r="A130" t="s">
        <v>17</v>
      </c>
      <c r="B130" t="s">
        <v>14</v>
      </c>
      <c r="C130">
        <v>27</v>
      </c>
      <c r="D130" t="s">
        <v>18</v>
      </c>
      <c r="E130" t="s">
        <v>16</v>
      </c>
      <c r="F130" s="1">
        <v>44570</v>
      </c>
      <c r="G130">
        <v>5</v>
      </c>
      <c r="H130">
        <v>5</v>
      </c>
      <c r="I130">
        <v>12</v>
      </c>
      <c r="J130">
        <v>7</v>
      </c>
      <c r="K130">
        <v>0</v>
      </c>
      <c r="L130">
        <v>671</v>
      </c>
      <c r="M130">
        <v>15</v>
      </c>
      <c r="N130" s="1">
        <f t="shared" ref="N130:N193" si="16">MAX(F:F)</f>
        <v>44938</v>
      </c>
      <c r="O130" s="1">
        <f t="shared" ref="O130:O193" si="17">MIN(F:F)</f>
        <v>43101</v>
      </c>
      <c r="P130" s="1">
        <f t="shared" ref="P130:P193" si="18">DATE(YEAR(F130), DAY(F130), 1)</f>
        <v>44805</v>
      </c>
      <c r="Q130" s="8">
        <f t="shared" ref="Q130:Q193" si="19" xml:space="preserve"> IF(A130&lt;&gt;A129, 1, 0)</f>
        <v>0</v>
      </c>
      <c r="R130" s="8">
        <f t="shared" ref="R130:R193" si="20">IF(Q130=1,1,R129+1)</f>
        <v>57</v>
      </c>
      <c r="S130" s="8">
        <f t="shared" ref="S130:S193" ca="1" si="21" xml:space="preserve"> IF(Q130=1, IF(G130&gt;0, R130, 0), IF(G130&gt;0, R130, OFFSET(S130,-1,0)))</f>
        <v>57</v>
      </c>
      <c r="T130">
        <f t="shared" ref="T130:T193" ca="1" si="22" xml:space="preserve"> IF(Q130=1, IF(G130&gt;0, G130, 0), IF(G130&gt;0, $X$1*G130+(1-$X$1)*OFFSET(T130,-1,0), OFFSET(T130,-1,0)))</f>
        <v>6.875433431814149</v>
      </c>
      <c r="U130" s="8">
        <f t="shared" ref="U130:U193" ca="1" si="23" xml:space="preserve"> IF(Q130=1, 1, IF(G130&gt;0, $X$1*(R130-OFFSET(S130,-1,0))+(1-$X$1)*OFFSET(U130,-1,0), OFFSET(U130,-1,0)))</f>
        <v>1.0410728781273613</v>
      </c>
      <c r="V130" s="8">
        <f ca="1">RawData[[#This Row],[Z (smoothed demand size)]]/RawData[[#This Row],[X (smoothed interval)]]</f>
        <v>6.6041807218927779</v>
      </c>
    </row>
    <row r="131" spans="1:22">
      <c r="A131" t="s">
        <v>17</v>
      </c>
      <c r="B131" t="s">
        <v>14</v>
      </c>
      <c r="C131">
        <v>27</v>
      </c>
      <c r="D131" t="s">
        <v>18</v>
      </c>
      <c r="E131" t="s">
        <v>16</v>
      </c>
      <c r="F131" s="1">
        <v>44571</v>
      </c>
      <c r="G131">
        <v>13</v>
      </c>
      <c r="H131">
        <v>13</v>
      </c>
      <c r="I131">
        <v>18</v>
      </c>
      <c r="J131">
        <v>5</v>
      </c>
      <c r="K131">
        <v>0</v>
      </c>
      <c r="L131">
        <v>671</v>
      </c>
      <c r="M131">
        <v>15</v>
      </c>
      <c r="N131" s="1">
        <f t="shared" si="16"/>
        <v>44938</v>
      </c>
      <c r="O131" s="1">
        <f t="shared" si="17"/>
        <v>43101</v>
      </c>
      <c r="P131" s="1">
        <f t="shared" si="18"/>
        <v>44835</v>
      </c>
      <c r="Q131" s="8">
        <f t="shared" si="19"/>
        <v>0</v>
      </c>
      <c r="R131" s="8">
        <f t="shared" si="20"/>
        <v>58</v>
      </c>
      <c r="S131" s="8">
        <f t="shared" ca="1" si="21"/>
        <v>58</v>
      </c>
      <c r="T131">
        <f t="shared" ca="1" si="22"/>
        <v>8.1003467454513203</v>
      </c>
      <c r="U131" s="8">
        <f t="shared" ca="1" si="23"/>
        <v>1.0328583025018891</v>
      </c>
      <c r="V131" s="8">
        <f ca="1">RawData[[#This Row],[Z (smoothed demand size)]]/RawData[[#This Row],[X (smoothed interval)]]</f>
        <v>7.8426505609045094</v>
      </c>
    </row>
    <row r="132" spans="1:22">
      <c r="A132" t="s">
        <v>17</v>
      </c>
      <c r="B132" t="s">
        <v>14</v>
      </c>
      <c r="C132">
        <v>27</v>
      </c>
      <c r="D132" t="s">
        <v>18</v>
      </c>
      <c r="E132" t="s">
        <v>16</v>
      </c>
      <c r="F132" s="1">
        <v>44572</v>
      </c>
      <c r="G132">
        <v>11</v>
      </c>
      <c r="H132">
        <v>11</v>
      </c>
      <c r="I132">
        <v>14</v>
      </c>
      <c r="J132">
        <v>3</v>
      </c>
      <c r="K132">
        <v>0</v>
      </c>
      <c r="L132">
        <v>662</v>
      </c>
      <c r="M132">
        <v>30</v>
      </c>
      <c r="N132" s="1">
        <f t="shared" si="16"/>
        <v>44938</v>
      </c>
      <c r="O132" s="1">
        <f t="shared" si="17"/>
        <v>43101</v>
      </c>
      <c r="P132" s="1">
        <f t="shared" si="18"/>
        <v>44866</v>
      </c>
      <c r="Q132" s="8">
        <f t="shared" si="19"/>
        <v>0</v>
      </c>
      <c r="R132" s="8">
        <f t="shared" si="20"/>
        <v>59</v>
      </c>
      <c r="S132" s="8">
        <f t="shared" ca="1" si="21"/>
        <v>59</v>
      </c>
      <c r="T132">
        <f t="shared" ca="1" si="22"/>
        <v>8.6802773963610562</v>
      </c>
      <c r="U132" s="8">
        <f t="shared" ca="1" si="23"/>
        <v>1.0262866420015113</v>
      </c>
      <c r="V132" s="8">
        <f ca="1">RawData[[#This Row],[Z (smoothed demand size)]]/RawData[[#This Row],[X (smoothed interval)]]</f>
        <v>8.4579463876021812</v>
      </c>
    </row>
    <row r="133" spans="1:22">
      <c r="A133" t="s">
        <v>17</v>
      </c>
      <c r="B133" t="s">
        <v>14</v>
      </c>
      <c r="C133">
        <v>27</v>
      </c>
      <c r="D133" t="s">
        <v>18</v>
      </c>
      <c r="E133" t="s">
        <v>16</v>
      </c>
      <c r="F133" s="1">
        <v>44573</v>
      </c>
      <c r="G133">
        <v>10</v>
      </c>
      <c r="H133">
        <v>10</v>
      </c>
      <c r="I133">
        <v>12</v>
      </c>
      <c r="J133">
        <v>2</v>
      </c>
      <c r="K133">
        <v>0</v>
      </c>
      <c r="L133">
        <v>763</v>
      </c>
      <c r="M133">
        <v>15</v>
      </c>
      <c r="N133" s="1">
        <f t="shared" si="16"/>
        <v>44938</v>
      </c>
      <c r="O133" s="1">
        <f t="shared" si="17"/>
        <v>43101</v>
      </c>
      <c r="P133" s="1">
        <f t="shared" si="18"/>
        <v>44896</v>
      </c>
      <c r="Q133" s="8">
        <f t="shared" si="19"/>
        <v>0</v>
      </c>
      <c r="R133" s="8">
        <f t="shared" si="20"/>
        <v>60</v>
      </c>
      <c r="S133" s="8">
        <f t="shared" ca="1" si="21"/>
        <v>60</v>
      </c>
      <c r="T133">
        <f t="shared" ca="1" si="22"/>
        <v>8.9442219170888464</v>
      </c>
      <c r="U133" s="8">
        <f t="shared" ca="1" si="23"/>
        <v>1.0210293136012092</v>
      </c>
      <c r="V133" s="8">
        <f ca="1">RawData[[#This Row],[Z (smoothed demand size)]]/RawData[[#This Row],[X (smoothed interval)]]</f>
        <v>8.7600050242849896</v>
      </c>
    </row>
    <row r="134" spans="1:22">
      <c r="A134" t="s">
        <v>17</v>
      </c>
      <c r="B134" t="s">
        <v>14</v>
      </c>
      <c r="C134">
        <v>27</v>
      </c>
      <c r="D134" t="s">
        <v>18</v>
      </c>
      <c r="E134" t="s">
        <v>16</v>
      </c>
      <c r="F134" s="1">
        <v>44927</v>
      </c>
      <c r="G134">
        <v>9</v>
      </c>
      <c r="H134">
        <v>9</v>
      </c>
      <c r="I134">
        <v>13</v>
      </c>
      <c r="J134">
        <v>4</v>
      </c>
      <c r="K134">
        <v>0</v>
      </c>
      <c r="L134">
        <v>667</v>
      </c>
      <c r="M134">
        <v>30</v>
      </c>
      <c r="N134" s="1">
        <f t="shared" si="16"/>
        <v>44938</v>
      </c>
      <c r="O134" s="1">
        <f t="shared" si="17"/>
        <v>43101</v>
      </c>
      <c r="P134" s="1">
        <f t="shared" si="18"/>
        <v>44927</v>
      </c>
      <c r="Q134" s="8">
        <f t="shared" si="19"/>
        <v>0</v>
      </c>
      <c r="R134" s="8">
        <f t="shared" si="20"/>
        <v>61</v>
      </c>
      <c r="S134" s="8">
        <f t="shared" ca="1" si="21"/>
        <v>61</v>
      </c>
      <c r="T134">
        <f t="shared" ca="1" si="22"/>
        <v>8.9553775336710775</v>
      </c>
      <c r="U134" s="8">
        <f t="shared" ca="1" si="23"/>
        <v>1.0168234508809675</v>
      </c>
      <c r="V134" s="8">
        <f ca="1">RawData[[#This Row],[Z (smoothed demand size)]]/RawData[[#This Row],[X (smoothed interval)]]</f>
        <v>8.8072098710078048</v>
      </c>
    </row>
    <row r="135" spans="1:22">
      <c r="A135" t="s">
        <v>17</v>
      </c>
      <c r="B135" t="s">
        <v>14</v>
      </c>
      <c r="C135">
        <v>27</v>
      </c>
      <c r="D135" t="s">
        <v>18</v>
      </c>
      <c r="E135" t="s">
        <v>16</v>
      </c>
      <c r="F135" s="1">
        <v>44928</v>
      </c>
      <c r="G135">
        <v>6</v>
      </c>
      <c r="H135">
        <v>6</v>
      </c>
      <c r="I135">
        <v>15</v>
      </c>
      <c r="J135">
        <v>9</v>
      </c>
      <c r="K135">
        <v>0</v>
      </c>
      <c r="L135">
        <v>658</v>
      </c>
      <c r="M135">
        <v>45</v>
      </c>
      <c r="N135" s="1">
        <f t="shared" si="16"/>
        <v>44938</v>
      </c>
      <c r="O135" s="1">
        <f t="shared" si="17"/>
        <v>43101</v>
      </c>
      <c r="P135" s="1">
        <f t="shared" si="18"/>
        <v>44958</v>
      </c>
      <c r="Q135" s="8">
        <f t="shared" si="19"/>
        <v>0</v>
      </c>
      <c r="R135" s="8">
        <f t="shared" si="20"/>
        <v>62</v>
      </c>
      <c r="S135" s="8">
        <f t="shared" ca="1" si="21"/>
        <v>62</v>
      </c>
      <c r="T135">
        <f t="shared" ca="1" si="22"/>
        <v>8.364302026936862</v>
      </c>
      <c r="U135" s="8">
        <f t="shared" ca="1" si="23"/>
        <v>1.013458760704774</v>
      </c>
      <c r="V135" s="8">
        <f ca="1">RawData[[#This Row],[Z (smoothed demand size)]]/RawData[[#This Row],[X (smoothed interval)]]</f>
        <v>8.2532238619361333</v>
      </c>
    </row>
    <row r="136" spans="1:22">
      <c r="A136" t="s">
        <v>17</v>
      </c>
      <c r="B136" t="s">
        <v>14</v>
      </c>
      <c r="C136">
        <v>27</v>
      </c>
      <c r="D136" t="s">
        <v>18</v>
      </c>
      <c r="E136" t="s">
        <v>16</v>
      </c>
      <c r="F136" s="1">
        <v>44929</v>
      </c>
      <c r="G136">
        <v>1</v>
      </c>
      <c r="H136">
        <v>1</v>
      </c>
      <c r="I136">
        <v>9</v>
      </c>
      <c r="J136">
        <v>8</v>
      </c>
      <c r="K136">
        <v>0</v>
      </c>
      <c r="L136">
        <v>661</v>
      </c>
      <c r="M136">
        <v>45</v>
      </c>
      <c r="N136" s="1">
        <f t="shared" si="16"/>
        <v>44938</v>
      </c>
      <c r="O136" s="1">
        <f t="shared" si="17"/>
        <v>43101</v>
      </c>
      <c r="P136" s="1">
        <f t="shared" si="18"/>
        <v>44986</v>
      </c>
      <c r="Q136" s="8">
        <f t="shared" si="19"/>
        <v>0</v>
      </c>
      <c r="R136" s="8">
        <f t="shared" si="20"/>
        <v>63</v>
      </c>
      <c r="S136" s="8">
        <f t="shared" ca="1" si="21"/>
        <v>63</v>
      </c>
      <c r="T136">
        <f t="shared" ca="1" si="22"/>
        <v>6.8914416215494905</v>
      </c>
      <c r="U136" s="8">
        <f t="shared" ca="1" si="23"/>
        <v>1.0107670085638192</v>
      </c>
      <c r="V136" s="8">
        <f ca="1">RawData[[#This Row],[Z (smoothed demand size)]]/RawData[[#This Row],[X (smoothed interval)]]</f>
        <v>6.8180318146131587</v>
      </c>
    </row>
    <row r="137" spans="1:22">
      <c r="A137" t="s">
        <v>17</v>
      </c>
      <c r="B137" t="s">
        <v>14</v>
      </c>
      <c r="C137">
        <v>27</v>
      </c>
      <c r="D137" t="s">
        <v>18</v>
      </c>
      <c r="E137" t="s">
        <v>16</v>
      </c>
      <c r="F137" s="1">
        <v>44930</v>
      </c>
      <c r="G137">
        <v>6</v>
      </c>
      <c r="H137">
        <v>6</v>
      </c>
      <c r="I137">
        <v>8</v>
      </c>
      <c r="J137">
        <v>2</v>
      </c>
      <c r="K137">
        <v>0</v>
      </c>
      <c r="L137">
        <v>664</v>
      </c>
      <c r="M137">
        <v>45</v>
      </c>
      <c r="N137" s="1">
        <f t="shared" si="16"/>
        <v>44938</v>
      </c>
      <c r="O137" s="1">
        <f t="shared" si="17"/>
        <v>43101</v>
      </c>
      <c r="P137" s="1">
        <f t="shared" si="18"/>
        <v>45017</v>
      </c>
      <c r="Q137" s="8">
        <f t="shared" si="19"/>
        <v>0</v>
      </c>
      <c r="R137" s="8">
        <f t="shared" si="20"/>
        <v>64</v>
      </c>
      <c r="S137" s="8">
        <f t="shared" ca="1" si="21"/>
        <v>64</v>
      </c>
      <c r="T137">
        <f t="shared" ca="1" si="22"/>
        <v>6.7131532972395931</v>
      </c>
      <c r="U137" s="8">
        <f t="shared" ca="1" si="23"/>
        <v>1.0086136068510554</v>
      </c>
      <c r="V137" s="8">
        <f ca="1">RawData[[#This Row],[Z (smoothed demand size)]]/RawData[[#This Row],[X (smoothed interval)]]</f>
        <v>6.6558226575967083</v>
      </c>
    </row>
    <row r="138" spans="1:22">
      <c r="A138" t="s">
        <v>17</v>
      </c>
      <c r="B138" t="s">
        <v>14</v>
      </c>
      <c r="C138">
        <v>27</v>
      </c>
      <c r="D138" t="s">
        <v>18</v>
      </c>
      <c r="E138" t="s">
        <v>16</v>
      </c>
      <c r="F138" s="1">
        <v>44931</v>
      </c>
      <c r="G138">
        <v>6</v>
      </c>
      <c r="H138">
        <v>6</v>
      </c>
      <c r="I138">
        <v>10</v>
      </c>
      <c r="J138">
        <v>4</v>
      </c>
      <c r="K138">
        <v>0</v>
      </c>
      <c r="L138">
        <v>671</v>
      </c>
      <c r="M138">
        <v>60</v>
      </c>
      <c r="N138" s="1">
        <f t="shared" si="16"/>
        <v>44938</v>
      </c>
      <c r="O138" s="1">
        <f t="shared" si="17"/>
        <v>43101</v>
      </c>
      <c r="P138" s="1">
        <f t="shared" si="18"/>
        <v>45047</v>
      </c>
      <c r="Q138" s="8">
        <f t="shared" si="19"/>
        <v>0</v>
      </c>
      <c r="R138" s="8">
        <f t="shared" si="20"/>
        <v>65</v>
      </c>
      <c r="S138" s="8">
        <f t="shared" ca="1" si="21"/>
        <v>65</v>
      </c>
      <c r="T138">
        <f t="shared" ca="1" si="22"/>
        <v>6.570522637791675</v>
      </c>
      <c r="U138" s="8">
        <f t="shared" ca="1" si="23"/>
        <v>1.0068908854808443</v>
      </c>
      <c r="V138" s="8">
        <f ca="1">RawData[[#This Row],[Z (smoothed demand size)]]/RawData[[#This Row],[X (smoothed interval)]]</f>
        <v>6.5255557802113771</v>
      </c>
    </row>
    <row r="139" spans="1:22">
      <c r="A139" t="s">
        <v>17</v>
      </c>
      <c r="B139" t="s">
        <v>14</v>
      </c>
      <c r="C139">
        <v>27</v>
      </c>
      <c r="D139" t="s">
        <v>18</v>
      </c>
      <c r="E139" t="s">
        <v>16</v>
      </c>
      <c r="F139" s="1">
        <v>44932</v>
      </c>
      <c r="G139">
        <v>10</v>
      </c>
      <c r="H139">
        <v>4</v>
      </c>
      <c r="I139">
        <v>4</v>
      </c>
      <c r="J139">
        <v>0</v>
      </c>
      <c r="K139">
        <v>1</v>
      </c>
      <c r="L139">
        <v>759</v>
      </c>
      <c r="M139">
        <v>60</v>
      </c>
      <c r="N139" s="1">
        <f t="shared" si="16"/>
        <v>44938</v>
      </c>
      <c r="O139" s="1">
        <f t="shared" si="17"/>
        <v>43101</v>
      </c>
      <c r="P139" s="1">
        <f t="shared" si="18"/>
        <v>45078</v>
      </c>
      <c r="Q139" s="8">
        <f t="shared" si="19"/>
        <v>0</v>
      </c>
      <c r="R139" s="8">
        <f t="shared" si="20"/>
        <v>66</v>
      </c>
      <c r="S139" s="8">
        <f t="shared" ca="1" si="21"/>
        <v>66</v>
      </c>
      <c r="T139">
        <f t="shared" ca="1" si="22"/>
        <v>7.2564181102333407</v>
      </c>
      <c r="U139" s="8">
        <f t="shared" ca="1" si="23"/>
        <v>1.0055127083846755</v>
      </c>
      <c r="V139" s="8">
        <f ca="1">RawData[[#This Row],[Z (smoothed demand size)]]/RawData[[#This Row],[X (smoothed interval)]]</f>
        <v>7.2166349064752726</v>
      </c>
    </row>
    <row r="140" spans="1:22">
      <c r="A140" t="s">
        <v>17</v>
      </c>
      <c r="B140" t="s">
        <v>14</v>
      </c>
      <c r="C140">
        <v>27</v>
      </c>
      <c r="D140" t="s">
        <v>18</v>
      </c>
      <c r="E140" t="s">
        <v>16</v>
      </c>
      <c r="F140" s="1">
        <v>44933</v>
      </c>
      <c r="G140">
        <v>5</v>
      </c>
      <c r="H140">
        <v>5</v>
      </c>
      <c r="I140">
        <v>12</v>
      </c>
      <c r="J140">
        <v>7</v>
      </c>
      <c r="K140">
        <v>0</v>
      </c>
      <c r="L140">
        <v>749</v>
      </c>
      <c r="M140">
        <v>15</v>
      </c>
      <c r="N140" s="1">
        <f t="shared" si="16"/>
        <v>44938</v>
      </c>
      <c r="O140" s="1">
        <f t="shared" si="17"/>
        <v>43101</v>
      </c>
      <c r="P140" s="1">
        <f t="shared" si="18"/>
        <v>45108</v>
      </c>
      <c r="Q140" s="8">
        <f t="shared" si="19"/>
        <v>0</v>
      </c>
      <c r="R140" s="8">
        <f t="shared" si="20"/>
        <v>67</v>
      </c>
      <c r="S140" s="8">
        <f t="shared" ca="1" si="21"/>
        <v>67</v>
      </c>
      <c r="T140">
        <f t="shared" ca="1" si="22"/>
        <v>6.8051344881866731</v>
      </c>
      <c r="U140" s="8">
        <f t="shared" ca="1" si="23"/>
        <v>1.0044101667077405</v>
      </c>
      <c r="V140" s="8">
        <f ca="1">RawData[[#This Row],[Z (smoothed demand size)]]/RawData[[#This Row],[X (smoothed interval)]]</f>
        <v>6.7752544864142195</v>
      </c>
    </row>
    <row r="141" spans="1:22">
      <c r="A141" t="s">
        <v>17</v>
      </c>
      <c r="B141" t="s">
        <v>14</v>
      </c>
      <c r="C141">
        <v>27</v>
      </c>
      <c r="D141" t="s">
        <v>18</v>
      </c>
      <c r="E141" t="s">
        <v>16</v>
      </c>
      <c r="F141" s="1">
        <v>44934</v>
      </c>
      <c r="G141">
        <v>8</v>
      </c>
      <c r="H141">
        <v>8</v>
      </c>
      <c r="I141">
        <v>17</v>
      </c>
      <c r="J141">
        <v>9</v>
      </c>
      <c r="K141">
        <v>0</v>
      </c>
      <c r="L141">
        <v>749</v>
      </c>
      <c r="M141">
        <v>30</v>
      </c>
      <c r="N141" s="1">
        <f t="shared" si="16"/>
        <v>44938</v>
      </c>
      <c r="O141" s="1">
        <f t="shared" si="17"/>
        <v>43101</v>
      </c>
      <c r="P141" s="1">
        <f t="shared" si="18"/>
        <v>45139</v>
      </c>
      <c r="Q141" s="8">
        <f t="shared" si="19"/>
        <v>0</v>
      </c>
      <c r="R141" s="8">
        <f t="shared" si="20"/>
        <v>68</v>
      </c>
      <c r="S141" s="8">
        <f t="shared" ca="1" si="21"/>
        <v>68</v>
      </c>
      <c r="T141">
        <f t="shared" ca="1" si="22"/>
        <v>7.0441075905493395</v>
      </c>
      <c r="U141" s="8">
        <f t="shared" ca="1" si="23"/>
        <v>1.0035281333661925</v>
      </c>
      <c r="V141" s="8">
        <f ca="1">RawData[[#This Row],[Z (smoothed demand size)]]/RawData[[#This Row],[X (smoothed interval)]]</f>
        <v>7.0193424143684755</v>
      </c>
    </row>
    <row r="142" spans="1:22">
      <c r="A142" t="s">
        <v>17</v>
      </c>
      <c r="B142" t="s">
        <v>14</v>
      </c>
      <c r="C142">
        <v>27</v>
      </c>
      <c r="D142" t="s">
        <v>18</v>
      </c>
      <c r="E142" t="s">
        <v>16</v>
      </c>
      <c r="F142" s="1">
        <v>44935</v>
      </c>
      <c r="G142">
        <v>13</v>
      </c>
      <c r="H142">
        <v>9</v>
      </c>
      <c r="I142">
        <v>9</v>
      </c>
      <c r="J142">
        <v>0</v>
      </c>
      <c r="K142">
        <v>1</v>
      </c>
      <c r="L142">
        <v>656</v>
      </c>
      <c r="M142">
        <v>60</v>
      </c>
      <c r="N142" s="1">
        <f t="shared" si="16"/>
        <v>44938</v>
      </c>
      <c r="O142" s="1">
        <f t="shared" si="17"/>
        <v>43101</v>
      </c>
      <c r="P142" s="1">
        <f t="shared" si="18"/>
        <v>45170</v>
      </c>
      <c r="Q142" s="8">
        <f t="shared" si="19"/>
        <v>0</v>
      </c>
      <c r="R142" s="8">
        <f t="shared" si="20"/>
        <v>69</v>
      </c>
      <c r="S142" s="8">
        <f t="shared" ca="1" si="21"/>
        <v>69</v>
      </c>
      <c r="T142">
        <f t="shared" ca="1" si="22"/>
        <v>8.2352860724394716</v>
      </c>
      <c r="U142" s="8">
        <f t="shared" ca="1" si="23"/>
        <v>1.0028225066929541</v>
      </c>
      <c r="V142" s="8">
        <f ca="1">RawData[[#This Row],[Z (smoothed demand size)]]/RawData[[#This Row],[X (smoothed interval)]]</f>
        <v>8.2121073444963724</v>
      </c>
    </row>
    <row r="143" spans="1:22">
      <c r="A143" t="s">
        <v>17</v>
      </c>
      <c r="B143" t="s">
        <v>14</v>
      </c>
      <c r="C143">
        <v>27</v>
      </c>
      <c r="D143" t="s">
        <v>18</v>
      </c>
      <c r="E143" t="s">
        <v>16</v>
      </c>
      <c r="F143" s="1">
        <v>44936</v>
      </c>
      <c r="G143">
        <v>4</v>
      </c>
      <c r="H143">
        <v>0</v>
      </c>
      <c r="I143">
        <v>0</v>
      </c>
      <c r="J143">
        <v>0</v>
      </c>
      <c r="K143">
        <v>1</v>
      </c>
      <c r="L143">
        <v>655</v>
      </c>
      <c r="M143">
        <v>60</v>
      </c>
      <c r="N143" s="1">
        <f t="shared" si="16"/>
        <v>44938</v>
      </c>
      <c r="O143" s="1">
        <f t="shared" si="17"/>
        <v>43101</v>
      </c>
      <c r="P143" s="1">
        <f t="shared" si="18"/>
        <v>45200</v>
      </c>
      <c r="Q143" s="8">
        <f t="shared" si="19"/>
        <v>0</v>
      </c>
      <c r="R143" s="8">
        <f t="shared" si="20"/>
        <v>70</v>
      </c>
      <c r="S143" s="8">
        <f t="shared" ca="1" si="21"/>
        <v>70</v>
      </c>
      <c r="T143">
        <f t="shared" ca="1" si="22"/>
        <v>7.3882288579515771</v>
      </c>
      <c r="U143" s="8">
        <f t="shared" ca="1" si="23"/>
        <v>1.0022580053543633</v>
      </c>
      <c r="V143" s="8">
        <f ca="1">RawData[[#This Row],[Z (smoothed demand size)]]/RawData[[#This Row],[X (smoothed interval)]]</f>
        <v>7.3715837823010038</v>
      </c>
    </row>
    <row r="144" spans="1:22">
      <c r="A144" t="s">
        <v>17</v>
      </c>
      <c r="B144" t="s">
        <v>14</v>
      </c>
      <c r="C144">
        <v>27</v>
      </c>
      <c r="D144" t="s">
        <v>18</v>
      </c>
      <c r="E144" t="s">
        <v>16</v>
      </c>
      <c r="F144" s="1">
        <v>44937</v>
      </c>
      <c r="G144">
        <v>9</v>
      </c>
      <c r="H144">
        <v>9</v>
      </c>
      <c r="I144">
        <v>12</v>
      </c>
      <c r="J144">
        <v>3</v>
      </c>
      <c r="K144">
        <v>0</v>
      </c>
      <c r="L144">
        <v>663</v>
      </c>
      <c r="M144">
        <v>15</v>
      </c>
      <c r="N144" s="1">
        <f t="shared" si="16"/>
        <v>44938</v>
      </c>
      <c r="O144" s="1">
        <f t="shared" si="17"/>
        <v>43101</v>
      </c>
      <c r="P144" s="1">
        <f t="shared" si="18"/>
        <v>45231</v>
      </c>
      <c r="Q144" s="8">
        <f t="shared" si="19"/>
        <v>0</v>
      </c>
      <c r="R144" s="8">
        <f t="shared" si="20"/>
        <v>71</v>
      </c>
      <c r="S144" s="8">
        <f t="shared" ca="1" si="21"/>
        <v>71</v>
      </c>
      <c r="T144">
        <f t="shared" ca="1" si="22"/>
        <v>7.7105830863612619</v>
      </c>
      <c r="U144" s="8">
        <f t="shared" ca="1" si="23"/>
        <v>1.0018064042834907</v>
      </c>
      <c r="V144" s="8">
        <f ca="1">RawData[[#This Row],[Z (smoothed demand size)]]/RawData[[#This Row],[X (smoothed interval)]]</f>
        <v>7.6966797710541739</v>
      </c>
    </row>
    <row r="145" spans="1:22">
      <c r="A145" t="s">
        <v>17</v>
      </c>
      <c r="B145" t="s">
        <v>14</v>
      </c>
      <c r="C145">
        <v>27</v>
      </c>
      <c r="D145" t="s">
        <v>18</v>
      </c>
      <c r="E145" t="s">
        <v>16</v>
      </c>
      <c r="F145" s="1">
        <v>44938</v>
      </c>
      <c r="G145">
        <v>8</v>
      </c>
      <c r="H145">
        <v>8</v>
      </c>
      <c r="I145">
        <v>11</v>
      </c>
      <c r="J145">
        <v>3</v>
      </c>
      <c r="K145">
        <v>0</v>
      </c>
      <c r="L145">
        <v>754</v>
      </c>
      <c r="M145">
        <v>45</v>
      </c>
      <c r="N145" s="1">
        <f t="shared" si="16"/>
        <v>44938</v>
      </c>
      <c r="O145" s="1">
        <f t="shared" si="17"/>
        <v>43101</v>
      </c>
      <c r="P145" s="1">
        <f t="shared" si="18"/>
        <v>45261</v>
      </c>
      <c r="Q145" s="8">
        <f t="shared" si="19"/>
        <v>0</v>
      </c>
      <c r="R145" s="8">
        <f t="shared" si="20"/>
        <v>72</v>
      </c>
      <c r="S145" s="8">
        <f t="shared" ca="1" si="21"/>
        <v>72</v>
      </c>
      <c r="T145">
        <f t="shared" ca="1" si="22"/>
        <v>7.7684664690890095</v>
      </c>
      <c r="U145" s="8">
        <f t="shared" ca="1" si="23"/>
        <v>1.0014451234267925</v>
      </c>
      <c r="V145" s="8">
        <f ca="1">RawData[[#This Row],[Z (smoothed demand size)]]/RawData[[#This Row],[X (smoothed interval)]]</f>
        <v>7.7572562763164719</v>
      </c>
    </row>
    <row r="146" spans="1:22">
      <c r="A146" t="s">
        <v>19</v>
      </c>
      <c r="B146" t="s">
        <v>14</v>
      </c>
      <c r="C146">
        <v>32</v>
      </c>
      <c r="D146" t="s">
        <v>15</v>
      </c>
      <c r="E146" t="s">
        <v>16</v>
      </c>
      <c r="F146" s="1">
        <v>43101</v>
      </c>
      <c r="G146">
        <v>11</v>
      </c>
      <c r="H146">
        <v>11</v>
      </c>
      <c r="I146">
        <v>27</v>
      </c>
      <c r="J146">
        <v>16</v>
      </c>
      <c r="K146">
        <v>0</v>
      </c>
      <c r="L146">
        <v>456</v>
      </c>
      <c r="M146">
        <v>60</v>
      </c>
      <c r="N146" s="1">
        <f t="shared" si="16"/>
        <v>44938</v>
      </c>
      <c r="O146" s="1">
        <f t="shared" si="17"/>
        <v>43101</v>
      </c>
      <c r="P146" s="1">
        <f t="shared" si="18"/>
        <v>43101</v>
      </c>
      <c r="Q146" s="8">
        <f t="shared" si="19"/>
        <v>1</v>
      </c>
      <c r="R146" s="8">
        <f t="shared" si="20"/>
        <v>1</v>
      </c>
      <c r="S146" s="8">
        <f t="shared" ca="1" si="21"/>
        <v>1</v>
      </c>
      <c r="T146">
        <f t="shared" ca="1" si="22"/>
        <v>11</v>
      </c>
      <c r="U146" s="8">
        <f t="shared" ca="1" si="23"/>
        <v>1</v>
      </c>
      <c r="V146" s="8">
        <f ca="1">RawData[[#This Row],[Z (smoothed demand size)]]/RawData[[#This Row],[X (smoothed interval)]]</f>
        <v>11</v>
      </c>
    </row>
    <row r="147" spans="1:22">
      <c r="A147" t="s">
        <v>19</v>
      </c>
      <c r="B147" t="s">
        <v>14</v>
      </c>
      <c r="C147">
        <v>32</v>
      </c>
      <c r="D147" t="s">
        <v>15</v>
      </c>
      <c r="E147" t="s">
        <v>16</v>
      </c>
      <c r="F147" s="1">
        <v>43102</v>
      </c>
      <c r="G147">
        <v>7</v>
      </c>
      <c r="H147">
        <v>7</v>
      </c>
      <c r="I147">
        <v>16</v>
      </c>
      <c r="J147">
        <v>9</v>
      </c>
      <c r="K147">
        <v>0</v>
      </c>
      <c r="L147">
        <v>454</v>
      </c>
      <c r="M147">
        <v>45</v>
      </c>
      <c r="N147" s="1">
        <f t="shared" si="16"/>
        <v>44938</v>
      </c>
      <c r="O147" s="1">
        <f t="shared" si="17"/>
        <v>43101</v>
      </c>
      <c r="P147" s="1">
        <f t="shared" si="18"/>
        <v>43132</v>
      </c>
      <c r="Q147" s="8">
        <f t="shared" si="19"/>
        <v>0</v>
      </c>
      <c r="R147" s="8">
        <f t="shared" si="20"/>
        <v>2</v>
      </c>
      <c r="S147" s="8">
        <f t="shared" ca="1" si="21"/>
        <v>2</v>
      </c>
      <c r="T147">
        <f t="shared" ca="1" si="22"/>
        <v>10.200000000000001</v>
      </c>
      <c r="U147" s="8">
        <f t="shared" ca="1" si="23"/>
        <v>1</v>
      </c>
      <c r="V147" s="8">
        <f ca="1">RawData[[#This Row],[Z (smoothed demand size)]]/RawData[[#This Row],[X (smoothed interval)]]</f>
        <v>10.200000000000001</v>
      </c>
    </row>
    <row r="148" spans="1:22">
      <c r="A148" t="s">
        <v>19</v>
      </c>
      <c r="B148" t="s">
        <v>14</v>
      </c>
      <c r="C148">
        <v>32</v>
      </c>
      <c r="D148" t="s">
        <v>15</v>
      </c>
      <c r="E148" t="s">
        <v>16</v>
      </c>
      <c r="F148" s="1">
        <v>43103</v>
      </c>
      <c r="G148">
        <v>9</v>
      </c>
      <c r="H148">
        <v>9</v>
      </c>
      <c r="I148">
        <v>9</v>
      </c>
      <c r="J148">
        <v>0</v>
      </c>
      <c r="K148">
        <v>0</v>
      </c>
      <c r="L148">
        <v>459</v>
      </c>
      <c r="M148">
        <v>30</v>
      </c>
      <c r="N148" s="1">
        <f t="shared" si="16"/>
        <v>44938</v>
      </c>
      <c r="O148" s="1">
        <f t="shared" si="17"/>
        <v>43101</v>
      </c>
      <c r="P148" s="1">
        <f t="shared" si="18"/>
        <v>43160</v>
      </c>
      <c r="Q148" s="8">
        <f t="shared" si="19"/>
        <v>0</v>
      </c>
      <c r="R148" s="8">
        <f t="shared" si="20"/>
        <v>3</v>
      </c>
      <c r="S148" s="8">
        <f t="shared" ca="1" si="21"/>
        <v>3</v>
      </c>
      <c r="T148">
        <f t="shared" ca="1" si="22"/>
        <v>9.9600000000000026</v>
      </c>
      <c r="U148" s="8">
        <f t="shared" ca="1" si="23"/>
        <v>1</v>
      </c>
      <c r="V148" s="8">
        <f ca="1">RawData[[#This Row],[Z (smoothed demand size)]]/RawData[[#This Row],[X (smoothed interval)]]</f>
        <v>9.9600000000000026</v>
      </c>
    </row>
    <row r="149" spans="1:22">
      <c r="A149" t="s">
        <v>19</v>
      </c>
      <c r="B149" t="s">
        <v>14</v>
      </c>
      <c r="C149">
        <v>32</v>
      </c>
      <c r="D149" t="s">
        <v>15</v>
      </c>
      <c r="E149" t="s">
        <v>16</v>
      </c>
      <c r="F149" s="1">
        <v>43104</v>
      </c>
      <c r="G149">
        <v>16</v>
      </c>
      <c r="H149">
        <v>10</v>
      </c>
      <c r="I149">
        <v>10</v>
      </c>
      <c r="J149">
        <v>0</v>
      </c>
      <c r="K149">
        <v>1</v>
      </c>
      <c r="L149">
        <v>457</v>
      </c>
      <c r="M149">
        <v>15</v>
      </c>
      <c r="N149" s="1">
        <f t="shared" si="16"/>
        <v>44938</v>
      </c>
      <c r="O149" s="1">
        <f t="shared" si="17"/>
        <v>43101</v>
      </c>
      <c r="P149" s="1">
        <f t="shared" si="18"/>
        <v>43191</v>
      </c>
      <c r="Q149" s="8">
        <f t="shared" si="19"/>
        <v>0</v>
      </c>
      <c r="R149" s="8">
        <f t="shared" si="20"/>
        <v>4</v>
      </c>
      <c r="S149" s="8">
        <f t="shared" ca="1" si="21"/>
        <v>4</v>
      </c>
      <c r="T149">
        <f t="shared" ca="1" si="22"/>
        <v>11.168000000000003</v>
      </c>
      <c r="U149" s="8">
        <f t="shared" ca="1" si="23"/>
        <v>1</v>
      </c>
      <c r="V149" s="8">
        <f ca="1">RawData[[#This Row],[Z (smoothed demand size)]]/RawData[[#This Row],[X (smoothed interval)]]</f>
        <v>11.168000000000003</v>
      </c>
    </row>
    <row r="150" spans="1:22">
      <c r="A150" t="s">
        <v>19</v>
      </c>
      <c r="B150" t="s">
        <v>14</v>
      </c>
      <c r="C150">
        <v>32</v>
      </c>
      <c r="D150" t="s">
        <v>15</v>
      </c>
      <c r="E150" t="s">
        <v>16</v>
      </c>
      <c r="F150" s="1">
        <v>43105</v>
      </c>
      <c r="G150">
        <v>10</v>
      </c>
      <c r="H150">
        <v>10</v>
      </c>
      <c r="I150">
        <v>10</v>
      </c>
      <c r="J150">
        <v>0</v>
      </c>
      <c r="K150">
        <v>0</v>
      </c>
      <c r="L150">
        <v>457</v>
      </c>
      <c r="M150">
        <v>15</v>
      </c>
      <c r="N150" s="1">
        <f t="shared" si="16"/>
        <v>44938</v>
      </c>
      <c r="O150" s="1">
        <f t="shared" si="17"/>
        <v>43101</v>
      </c>
      <c r="P150" s="1">
        <f t="shared" si="18"/>
        <v>43221</v>
      </c>
      <c r="Q150" s="8">
        <f t="shared" si="19"/>
        <v>0</v>
      </c>
      <c r="R150" s="8">
        <f t="shared" si="20"/>
        <v>5</v>
      </c>
      <c r="S150" s="8">
        <f t="shared" ca="1" si="21"/>
        <v>5</v>
      </c>
      <c r="T150">
        <f t="shared" ca="1" si="22"/>
        <v>10.934400000000002</v>
      </c>
      <c r="U150" s="8">
        <f t="shared" ca="1" si="23"/>
        <v>1</v>
      </c>
      <c r="V150" s="8">
        <f ca="1">RawData[[#This Row],[Z (smoothed demand size)]]/RawData[[#This Row],[X (smoothed interval)]]</f>
        <v>10.934400000000002</v>
      </c>
    </row>
    <row r="151" spans="1:22">
      <c r="A151" t="s">
        <v>19</v>
      </c>
      <c r="B151" t="s">
        <v>14</v>
      </c>
      <c r="C151">
        <v>32</v>
      </c>
      <c r="D151" t="s">
        <v>15</v>
      </c>
      <c r="E151" t="s">
        <v>16</v>
      </c>
      <c r="F151" s="1">
        <v>43106</v>
      </c>
      <c r="G151">
        <v>9</v>
      </c>
      <c r="H151">
        <v>7</v>
      </c>
      <c r="I151">
        <v>7</v>
      </c>
      <c r="J151">
        <v>0</v>
      </c>
      <c r="K151">
        <v>1</v>
      </c>
      <c r="L151">
        <v>531</v>
      </c>
      <c r="M151">
        <v>45</v>
      </c>
      <c r="N151" s="1">
        <f t="shared" si="16"/>
        <v>44938</v>
      </c>
      <c r="O151" s="1">
        <f t="shared" si="17"/>
        <v>43101</v>
      </c>
      <c r="P151" s="1">
        <f t="shared" si="18"/>
        <v>43252</v>
      </c>
      <c r="Q151" s="8">
        <f t="shared" si="19"/>
        <v>0</v>
      </c>
      <c r="R151" s="8">
        <f t="shared" si="20"/>
        <v>6</v>
      </c>
      <c r="S151" s="8">
        <f t="shared" ca="1" si="21"/>
        <v>6</v>
      </c>
      <c r="T151">
        <f t="shared" ca="1" si="22"/>
        <v>10.547520000000002</v>
      </c>
      <c r="U151" s="8">
        <f t="shared" ca="1" si="23"/>
        <v>1</v>
      </c>
      <c r="V151" s="8">
        <f ca="1">RawData[[#This Row],[Z (smoothed demand size)]]/RawData[[#This Row],[X (smoothed interval)]]</f>
        <v>10.547520000000002</v>
      </c>
    </row>
    <row r="152" spans="1:22">
      <c r="A152" t="s">
        <v>19</v>
      </c>
      <c r="B152" t="s">
        <v>14</v>
      </c>
      <c r="C152">
        <v>32</v>
      </c>
      <c r="D152" t="s">
        <v>15</v>
      </c>
      <c r="E152" t="s">
        <v>16</v>
      </c>
      <c r="F152" s="1">
        <v>43107</v>
      </c>
      <c r="G152">
        <v>10</v>
      </c>
      <c r="H152">
        <v>0</v>
      </c>
      <c r="I152">
        <v>0</v>
      </c>
      <c r="J152">
        <v>0</v>
      </c>
      <c r="K152">
        <v>1</v>
      </c>
      <c r="L152">
        <v>526</v>
      </c>
      <c r="M152">
        <v>60</v>
      </c>
      <c r="N152" s="1">
        <f t="shared" si="16"/>
        <v>44938</v>
      </c>
      <c r="O152" s="1">
        <f t="shared" si="17"/>
        <v>43101</v>
      </c>
      <c r="P152" s="1">
        <f t="shared" si="18"/>
        <v>43282</v>
      </c>
      <c r="Q152" s="8">
        <f t="shared" si="19"/>
        <v>0</v>
      </c>
      <c r="R152" s="8">
        <f t="shared" si="20"/>
        <v>7</v>
      </c>
      <c r="S152" s="8">
        <f t="shared" ca="1" si="21"/>
        <v>7</v>
      </c>
      <c r="T152">
        <f t="shared" ca="1" si="22"/>
        <v>10.438016000000003</v>
      </c>
      <c r="U152" s="8">
        <f t="shared" ca="1" si="23"/>
        <v>1</v>
      </c>
      <c r="V152" s="8">
        <f ca="1">RawData[[#This Row],[Z (smoothed demand size)]]/RawData[[#This Row],[X (smoothed interval)]]</f>
        <v>10.438016000000003</v>
      </c>
    </row>
    <row r="153" spans="1:22">
      <c r="A153" t="s">
        <v>19</v>
      </c>
      <c r="B153" t="s">
        <v>14</v>
      </c>
      <c r="C153">
        <v>32</v>
      </c>
      <c r="D153" t="s">
        <v>15</v>
      </c>
      <c r="E153" t="s">
        <v>16</v>
      </c>
      <c r="F153" s="1">
        <v>43108</v>
      </c>
      <c r="G153">
        <v>9</v>
      </c>
      <c r="H153">
        <v>9</v>
      </c>
      <c r="I153">
        <v>10</v>
      </c>
      <c r="J153">
        <v>1</v>
      </c>
      <c r="K153">
        <v>0</v>
      </c>
      <c r="L153">
        <v>529</v>
      </c>
      <c r="M153">
        <v>45</v>
      </c>
      <c r="N153" s="1">
        <f t="shared" si="16"/>
        <v>44938</v>
      </c>
      <c r="O153" s="1">
        <f t="shared" si="17"/>
        <v>43101</v>
      </c>
      <c r="P153" s="1">
        <f t="shared" si="18"/>
        <v>43313</v>
      </c>
      <c r="Q153" s="8">
        <f t="shared" si="19"/>
        <v>0</v>
      </c>
      <c r="R153" s="8">
        <f t="shared" si="20"/>
        <v>8</v>
      </c>
      <c r="S153" s="8">
        <f t="shared" ca="1" si="21"/>
        <v>8</v>
      </c>
      <c r="T153">
        <f t="shared" ca="1" si="22"/>
        <v>10.150412800000003</v>
      </c>
      <c r="U153" s="8">
        <f t="shared" ca="1" si="23"/>
        <v>1</v>
      </c>
      <c r="V153" s="8">
        <f ca="1">RawData[[#This Row],[Z (smoothed demand size)]]/RawData[[#This Row],[X (smoothed interval)]]</f>
        <v>10.150412800000003</v>
      </c>
    </row>
    <row r="154" spans="1:22">
      <c r="A154" t="s">
        <v>19</v>
      </c>
      <c r="B154" t="s">
        <v>14</v>
      </c>
      <c r="C154">
        <v>32</v>
      </c>
      <c r="D154" t="s">
        <v>15</v>
      </c>
      <c r="E154" t="s">
        <v>16</v>
      </c>
      <c r="F154" s="1">
        <v>43109</v>
      </c>
      <c r="G154">
        <v>0</v>
      </c>
      <c r="H154">
        <v>0</v>
      </c>
      <c r="I154">
        <v>1</v>
      </c>
      <c r="J154">
        <v>1</v>
      </c>
      <c r="K154">
        <v>0</v>
      </c>
      <c r="L154">
        <v>452</v>
      </c>
      <c r="M154">
        <v>60</v>
      </c>
      <c r="N154" s="1">
        <f t="shared" si="16"/>
        <v>44938</v>
      </c>
      <c r="O154" s="1">
        <f t="shared" si="17"/>
        <v>43101</v>
      </c>
      <c r="P154" s="1">
        <f t="shared" si="18"/>
        <v>43344</v>
      </c>
      <c r="Q154" s="8">
        <f t="shared" si="19"/>
        <v>0</v>
      </c>
      <c r="R154" s="8">
        <f t="shared" si="20"/>
        <v>9</v>
      </c>
      <c r="S154" s="8">
        <f t="shared" ca="1" si="21"/>
        <v>8</v>
      </c>
      <c r="T154">
        <f t="shared" ca="1" si="22"/>
        <v>10.150412800000003</v>
      </c>
      <c r="U154" s="8">
        <f t="shared" ca="1" si="23"/>
        <v>1</v>
      </c>
      <c r="V154" s="8">
        <f ca="1">RawData[[#This Row],[Z (smoothed demand size)]]/RawData[[#This Row],[X (smoothed interval)]]</f>
        <v>10.150412800000003</v>
      </c>
    </row>
    <row r="155" spans="1:22">
      <c r="A155" t="s">
        <v>19</v>
      </c>
      <c r="B155" t="s">
        <v>14</v>
      </c>
      <c r="C155">
        <v>32</v>
      </c>
      <c r="D155" t="s">
        <v>15</v>
      </c>
      <c r="E155" t="s">
        <v>16</v>
      </c>
      <c r="F155" s="1">
        <v>43110</v>
      </c>
      <c r="G155">
        <v>6</v>
      </c>
      <c r="H155">
        <v>6</v>
      </c>
      <c r="I155">
        <v>13</v>
      </c>
      <c r="J155">
        <v>7</v>
      </c>
      <c r="K155">
        <v>0</v>
      </c>
      <c r="L155">
        <v>451</v>
      </c>
      <c r="M155">
        <v>30</v>
      </c>
      <c r="N155" s="1">
        <f t="shared" si="16"/>
        <v>44938</v>
      </c>
      <c r="O155" s="1">
        <f t="shared" si="17"/>
        <v>43101</v>
      </c>
      <c r="P155" s="1">
        <f t="shared" si="18"/>
        <v>43374</v>
      </c>
      <c r="Q155" s="8">
        <f t="shared" si="19"/>
        <v>0</v>
      </c>
      <c r="R155" s="8">
        <f t="shared" si="20"/>
        <v>10</v>
      </c>
      <c r="S155" s="8">
        <f t="shared" ca="1" si="21"/>
        <v>10</v>
      </c>
      <c r="T155">
        <f t="shared" ca="1" si="22"/>
        <v>9.3203302400000041</v>
      </c>
      <c r="U155" s="8">
        <f t="shared" ca="1" si="23"/>
        <v>1.2000000000000002</v>
      </c>
      <c r="V155" s="8">
        <f ca="1">RawData[[#This Row],[Z (smoothed demand size)]]/RawData[[#This Row],[X (smoothed interval)]]</f>
        <v>7.7669418666666692</v>
      </c>
    </row>
    <row r="156" spans="1:22">
      <c r="A156" t="s">
        <v>19</v>
      </c>
      <c r="B156" t="s">
        <v>14</v>
      </c>
      <c r="C156">
        <v>32</v>
      </c>
      <c r="D156" t="s">
        <v>15</v>
      </c>
      <c r="E156" t="s">
        <v>16</v>
      </c>
      <c r="F156" s="1">
        <v>43111</v>
      </c>
      <c r="G156">
        <v>9</v>
      </c>
      <c r="H156">
        <v>9</v>
      </c>
      <c r="I156">
        <v>19</v>
      </c>
      <c r="J156">
        <v>10</v>
      </c>
      <c r="K156">
        <v>0</v>
      </c>
      <c r="L156">
        <v>463</v>
      </c>
      <c r="M156">
        <v>30</v>
      </c>
      <c r="N156" s="1">
        <f t="shared" si="16"/>
        <v>44938</v>
      </c>
      <c r="O156" s="1">
        <f t="shared" si="17"/>
        <v>43101</v>
      </c>
      <c r="P156" s="1">
        <f t="shared" si="18"/>
        <v>43405</v>
      </c>
      <c r="Q156" s="8">
        <f t="shared" si="19"/>
        <v>0</v>
      </c>
      <c r="R156" s="8">
        <f t="shared" si="20"/>
        <v>11</v>
      </c>
      <c r="S156" s="8">
        <f t="shared" ca="1" si="21"/>
        <v>11</v>
      </c>
      <c r="T156">
        <f t="shared" ca="1" si="22"/>
        <v>9.2562641920000033</v>
      </c>
      <c r="U156" s="8">
        <f t="shared" ca="1" si="23"/>
        <v>1.1600000000000001</v>
      </c>
      <c r="V156" s="8">
        <f ca="1">RawData[[#This Row],[Z (smoothed demand size)]]/RawData[[#This Row],[X (smoothed interval)]]</f>
        <v>7.9795380965517264</v>
      </c>
    </row>
    <row r="157" spans="1:22">
      <c r="A157" t="s">
        <v>19</v>
      </c>
      <c r="B157" t="s">
        <v>14</v>
      </c>
      <c r="C157">
        <v>32</v>
      </c>
      <c r="D157" t="s">
        <v>15</v>
      </c>
      <c r="E157" t="s">
        <v>16</v>
      </c>
      <c r="F157" s="1">
        <v>43112</v>
      </c>
      <c r="G157">
        <v>4</v>
      </c>
      <c r="H157">
        <v>4</v>
      </c>
      <c r="I157">
        <v>10</v>
      </c>
      <c r="J157">
        <v>6</v>
      </c>
      <c r="K157">
        <v>0</v>
      </c>
      <c r="L157">
        <v>525</v>
      </c>
      <c r="M157">
        <v>45</v>
      </c>
      <c r="N157" s="1">
        <f t="shared" si="16"/>
        <v>44938</v>
      </c>
      <c r="O157" s="1">
        <f t="shared" si="17"/>
        <v>43101</v>
      </c>
      <c r="P157" s="1">
        <f t="shared" si="18"/>
        <v>43435</v>
      </c>
      <c r="Q157" s="8">
        <f t="shared" si="19"/>
        <v>0</v>
      </c>
      <c r="R157" s="8">
        <f t="shared" si="20"/>
        <v>12</v>
      </c>
      <c r="S157" s="8">
        <f t="shared" ca="1" si="21"/>
        <v>12</v>
      </c>
      <c r="T157">
        <f t="shared" ca="1" si="22"/>
        <v>8.2050113536000033</v>
      </c>
      <c r="U157" s="8">
        <f t="shared" ca="1" si="23"/>
        <v>1.1280000000000001</v>
      </c>
      <c r="V157" s="8">
        <f ca="1">RawData[[#This Row],[Z (smoothed demand size)]]/RawData[[#This Row],[X (smoothed interval)]]</f>
        <v>7.2739462354609952</v>
      </c>
    </row>
    <row r="158" spans="1:22">
      <c r="A158" t="s">
        <v>19</v>
      </c>
      <c r="B158" t="s">
        <v>14</v>
      </c>
      <c r="C158">
        <v>32</v>
      </c>
      <c r="D158" t="s">
        <v>15</v>
      </c>
      <c r="E158" t="s">
        <v>16</v>
      </c>
      <c r="F158" s="1">
        <v>43466</v>
      </c>
      <c r="G158">
        <v>7</v>
      </c>
      <c r="H158">
        <v>6</v>
      </c>
      <c r="I158">
        <v>6</v>
      </c>
      <c r="J158">
        <v>0</v>
      </c>
      <c r="K158">
        <v>1</v>
      </c>
      <c r="L158">
        <v>452</v>
      </c>
      <c r="M158">
        <v>15</v>
      </c>
      <c r="N158" s="1">
        <f t="shared" si="16"/>
        <v>44938</v>
      </c>
      <c r="O158" s="1">
        <f t="shared" si="17"/>
        <v>43101</v>
      </c>
      <c r="P158" s="1">
        <f t="shared" si="18"/>
        <v>43466</v>
      </c>
      <c r="Q158" s="8">
        <f t="shared" si="19"/>
        <v>0</v>
      </c>
      <c r="R158" s="8">
        <f t="shared" si="20"/>
        <v>13</v>
      </c>
      <c r="S158" s="8">
        <f t="shared" ca="1" si="21"/>
        <v>13</v>
      </c>
      <c r="T158">
        <f t="shared" ca="1" si="22"/>
        <v>7.9640090828800032</v>
      </c>
      <c r="U158" s="8">
        <f t="shared" ca="1" si="23"/>
        <v>1.1024</v>
      </c>
      <c r="V158" s="8">
        <f ca="1">RawData[[#This Row],[Z (smoothed demand size)]]/RawData[[#This Row],[X (smoothed interval)]]</f>
        <v>7.2242462653120487</v>
      </c>
    </row>
    <row r="159" spans="1:22">
      <c r="A159" t="s">
        <v>19</v>
      </c>
      <c r="B159" t="s">
        <v>14</v>
      </c>
      <c r="C159">
        <v>32</v>
      </c>
      <c r="D159" t="s">
        <v>15</v>
      </c>
      <c r="E159" t="s">
        <v>16</v>
      </c>
      <c r="F159" s="1">
        <v>43467</v>
      </c>
      <c r="G159">
        <v>12</v>
      </c>
      <c r="H159">
        <v>7</v>
      </c>
      <c r="I159">
        <v>7</v>
      </c>
      <c r="J159">
        <v>0</v>
      </c>
      <c r="K159">
        <v>1</v>
      </c>
      <c r="L159">
        <v>452</v>
      </c>
      <c r="M159">
        <v>45</v>
      </c>
      <c r="N159" s="1">
        <f t="shared" si="16"/>
        <v>44938</v>
      </c>
      <c r="O159" s="1">
        <f t="shared" si="17"/>
        <v>43101</v>
      </c>
      <c r="P159" s="1">
        <f t="shared" si="18"/>
        <v>43497</v>
      </c>
      <c r="Q159" s="8">
        <f t="shared" si="19"/>
        <v>0</v>
      </c>
      <c r="R159" s="8">
        <f t="shared" si="20"/>
        <v>14</v>
      </c>
      <c r="S159" s="8">
        <f t="shared" ca="1" si="21"/>
        <v>14</v>
      </c>
      <c r="T159">
        <f t="shared" ca="1" si="22"/>
        <v>8.7712072663040033</v>
      </c>
      <c r="U159" s="8">
        <f t="shared" ca="1" si="23"/>
        <v>1.08192</v>
      </c>
      <c r="V159" s="8">
        <f ca="1">RawData[[#This Row],[Z (smoothed demand size)]]/RawData[[#This Row],[X (smoothed interval)]]</f>
        <v>8.107075630641825</v>
      </c>
    </row>
    <row r="160" spans="1:22">
      <c r="A160" t="s">
        <v>19</v>
      </c>
      <c r="B160" t="s">
        <v>14</v>
      </c>
      <c r="C160">
        <v>32</v>
      </c>
      <c r="D160" t="s">
        <v>15</v>
      </c>
      <c r="E160" t="s">
        <v>16</v>
      </c>
      <c r="F160" s="1">
        <v>43468</v>
      </c>
      <c r="G160">
        <v>11</v>
      </c>
      <c r="H160">
        <v>0</v>
      </c>
      <c r="I160">
        <v>0</v>
      </c>
      <c r="J160">
        <v>0</v>
      </c>
      <c r="K160">
        <v>1</v>
      </c>
      <c r="L160">
        <v>452</v>
      </c>
      <c r="M160">
        <v>45</v>
      </c>
      <c r="N160" s="1">
        <f t="shared" si="16"/>
        <v>44938</v>
      </c>
      <c r="O160" s="1">
        <f t="shared" si="17"/>
        <v>43101</v>
      </c>
      <c r="P160" s="1">
        <f t="shared" si="18"/>
        <v>43525</v>
      </c>
      <c r="Q160" s="8">
        <f t="shared" si="19"/>
        <v>0</v>
      </c>
      <c r="R160" s="8">
        <f t="shared" si="20"/>
        <v>15</v>
      </c>
      <c r="S160" s="8">
        <f t="shared" ca="1" si="21"/>
        <v>15</v>
      </c>
      <c r="T160">
        <f t="shared" ca="1" si="22"/>
        <v>9.2169658130432026</v>
      </c>
      <c r="U160" s="8">
        <f t="shared" ca="1" si="23"/>
        <v>1.065536</v>
      </c>
      <c r="V160" s="8">
        <f ca="1">RawData[[#This Row],[Z (smoothed demand size)]]/RawData[[#This Row],[X (smoothed interval)]]</f>
        <v>8.6500745287284548</v>
      </c>
    </row>
    <row r="161" spans="1:22">
      <c r="A161" t="s">
        <v>19</v>
      </c>
      <c r="B161" t="s">
        <v>14</v>
      </c>
      <c r="C161">
        <v>32</v>
      </c>
      <c r="D161" t="s">
        <v>15</v>
      </c>
      <c r="E161" t="s">
        <v>16</v>
      </c>
      <c r="F161" s="1">
        <v>43469</v>
      </c>
      <c r="G161">
        <v>10</v>
      </c>
      <c r="H161">
        <v>8</v>
      </c>
      <c r="I161">
        <v>8</v>
      </c>
      <c r="J161">
        <v>0</v>
      </c>
      <c r="K161">
        <v>1</v>
      </c>
      <c r="L161">
        <v>451</v>
      </c>
      <c r="M161">
        <v>15</v>
      </c>
      <c r="N161" s="1">
        <f t="shared" si="16"/>
        <v>44938</v>
      </c>
      <c r="O161" s="1">
        <f t="shared" si="17"/>
        <v>43101</v>
      </c>
      <c r="P161" s="1">
        <f t="shared" si="18"/>
        <v>43556</v>
      </c>
      <c r="Q161" s="8">
        <f t="shared" si="19"/>
        <v>0</v>
      </c>
      <c r="R161" s="8">
        <f t="shared" si="20"/>
        <v>16</v>
      </c>
      <c r="S161" s="8">
        <f t="shared" ca="1" si="21"/>
        <v>16</v>
      </c>
      <c r="T161">
        <f t="shared" ca="1" si="22"/>
        <v>9.3735726504345624</v>
      </c>
      <c r="U161" s="8">
        <f t="shared" ca="1" si="23"/>
        <v>1.0524288000000002</v>
      </c>
      <c r="V161" s="8">
        <f ca="1">RawData[[#This Row],[Z (smoothed demand size)]]/RawData[[#This Row],[X (smoothed interval)]]</f>
        <v>8.9066097872222443</v>
      </c>
    </row>
    <row r="162" spans="1:22">
      <c r="A162" t="s">
        <v>19</v>
      </c>
      <c r="B162" t="s">
        <v>14</v>
      </c>
      <c r="C162">
        <v>32</v>
      </c>
      <c r="D162" t="s">
        <v>15</v>
      </c>
      <c r="E162" t="s">
        <v>16</v>
      </c>
      <c r="F162" s="1">
        <v>43470</v>
      </c>
      <c r="G162">
        <v>11</v>
      </c>
      <c r="H162">
        <v>8</v>
      </c>
      <c r="I162">
        <v>8</v>
      </c>
      <c r="J162">
        <v>0</v>
      </c>
      <c r="K162">
        <v>1</v>
      </c>
      <c r="L162">
        <v>449</v>
      </c>
      <c r="M162">
        <v>45</v>
      </c>
      <c r="N162" s="1">
        <f t="shared" si="16"/>
        <v>44938</v>
      </c>
      <c r="O162" s="1">
        <f t="shared" si="17"/>
        <v>43101</v>
      </c>
      <c r="P162" s="1">
        <f t="shared" si="18"/>
        <v>43586</v>
      </c>
      <c r="Q162" s="8">
        <f t="shared" si="19"/>
        <v>0</v>
      </c>
      <c r="R162" s="8">
        <f t="shared" si="20"/>
        <v>17</v>
      </c>
      <c r="S162" s="8">
        <f t="shared" ca="1" si="21"/>
        <v>17</v>
      </c>
      <c r="T162">
        <f t="shared" ca="1" si="22"/>
        <v>9.6988581203476514</v>
      </c>
      <c r="U162" s="8">
        <f t="shared" ca="1" si="23"/>
        <v>1.0419430400000003</v>
      </c>
      <c r="V162" s="8">
        <f ca="1">RawData[[#This Row],[Z (smoothed demand size)]]/RawData[[#This Row],[X (smoothed interval)]]</f>
        <v>9.3084340966927037</v>
      </c>
    </row>
    <row r="163" spans="1:22">
      <c r="A163" t="s">
        <v>19</v>
      </c>
      <c r="B163" t="s">
        <v>14</v>
      </c>
      <c r="C163">
        <v>32</v>
      </c>
      <c r="D163" t="s">
        <v>15</v>
      </c>
      <c r="E163" t="s">
        <v>16</v>
      </c>
      <c r="F163" s="1">
        <v>43471</v>
      </c>
      <c r="G163">
        <v>6</v>
      </c>
      <c r="H163">
        <v>0</v>
      </c>
      <c r="I163">
        <v>0</v>
      </c>
      <c r="J163">
        <v>0</v>
      </c>
      <c r="K163">
        <v>1</v>
      </c>
      <c r="L163">
        <v>515</v>
      </c>
      <c r="M163">
        <v>60</v>
      </c>
      <c r="N163" s="1">
        <f t="shared" si="16"/>
        <v>44938</v>
      </c>
      <c r="O163" s="1">
        <f t="shared" si="17"/>
        <v>43101</v>
      </c>
      <c r="P163" s="1">
        <f t="shared" si="18"/>
        <v>43617</v>
      </c>
      <c r="Q163" s="8">
        <f t="shared" si="19"/>
        <v>0</v>
      </c>
      <c r="R163" s="8">
        <f t="shared" si="20"/>
        <v>18</v>
      </c>
      <c r="S163" s="8">
        <f t="shared" ca="1" si="21"/>
        <v>18</v>
      </c>
      <c r="T163">
        <f t="shared" ca="1" si="22"/>
        <v>8.9590864962781218</v>
      </c>
      <c r="U163" s="8">
        <f t="shared" ca="1" si="23"/>
        <v>1.0335544320000003</v>
      </c>
      <c r="V163" s="8">
        <f ca="1">RawData[[#This Row],[Z (smoothed demand size)]]/RawData[[#This Row],[X (smoothed interval)]]</f>
        <v>8.6682289958755838</v>
      </c>
    </row>
    <row r="164" spans="1:22">
      <c r="A164" t="s">
        <v>19</v>
      </c>
      <c r="B164" t="s">
        <v>14</v>
      </c>
      <c r="C164">
        <v>32</v>
      </c>
      <c r="D164" t="s">
        <v>15</v>
      </c>
      <c r="E164" t="s">
        <v>16</v>
      </c>
      <c r="F164" s="1">
        <v>43472</v>
      </c>
      <c r="G164">
        <v>9</v>
      </c>
      <c r="H164">
        <v>9</v>
      </c>
      <c r="I164">
        <v>10</v>
      </c>
      <c r="J164">
        <v>1</v>
      </c>
      <c r="K164">
        <v>0</v>
      </c>
      <c r="L164">
        <v>522</v>
      </c>
      <c r="M164">
        <v>60</v>
      </c>
      <c r="N164" s="1">
        <f t="shared" si="16"/>
        <v>44938</v>
      </c>
      <c r="O164" s="1">
        <f t="shared" si="17"/>
        <v>43101</v>
      </c>
      <c r="P164" s="1">
        <f t="shared" si="18"/>
        <v>43647</v>
      </c>
      <c r="Q164" s="8">
        <f t="shared" si="19"/>
        <v>0</v>
      </c>
      <c r="R164" s="8">
        <f t="shared" si="20"/>
        <v>19</v>
      </c>
      <c r="S164" s="8">
        <f t="shared" ca="1" si="21"/>
        <v>19</v>
      </c>
      <c r="T164">
        <f t="shared" ca="1" si="22"/>
        <v>8.9672691970224978</v>
      </c>
      <c r="U164" s="8">
        <f t="shared" ca="1" si="23"/>
        <v>1.0268435456000002</v>
      </c>
      <c r="V164" s="8">
        <f ca="1">RawData[[#This Row],[Z (smoothed demand size)]]/RawData[[#This Row],[X (smoothed interval)]]</f>
        <v>8.7328485780010308</v>
      </c>
    </row>
    <row r="165" spans="1:22">
      <c r="A165" t="s">
        <v>19</v>
      </c>
      <c r="B165" t="s">
        <v>14</v>
      </c>
      <c r="C165">
        <v>32</v>
      </c>
      <c r="D165" t="s">
        <v>15</v>
      </c>
      <c r="E165" t="s">
        <v>16</v>
      </c>
      <c r="F165" s="1">
        <v>43473</v>
      </c>
      <c r="G165">
        <v>9</v>
      </c>
      <c r="H165">
        <v>1</v>
      </c>
      <c r="I165">
        <v>1</v>
      </c>
      <c r="J165">
        <v>0</v>
      </c>
      <c r="K165">
        <v>1</v>
      </c>
      <c r="L165">
        <v>520</v>
      </c>
      <c r="M165">
        <v>15</v>
      </c>
      <c r="N165" s="1">
        <f t="shared" si="16"/>
        <v>44938</v>
      </c>
      <c r="O165" s="1">
        <f t="shared" si="17"/>
        <v>43101</v>
      </c>
      <c r="P165" s="1">
        <f t="shared" si="18"/>
        <v>43678</v>
      </c>
      <c r="Q165" s="8">
        <f t="shared" si="19"/>
        <v>0</v>
      </c>
      <c r="R165" s="8">
        <f t="shared" si="20"/>
        <v>20</v>
      </c>
      <c r="S165" s="8">
        <f t="shared" ca="1" si="21"/>
        <v>20</v>
      </c>
      <c r="T165">
        <f t="shared" ca="1" si="22"/>
        <v>8.9738153576179993</v>
      </c>
      <c r="U165" s="8">
        <f t="shared" ca="1" si="23"/>
        <v>1.0214748364800001</v>
      </c>
      <c r="V165" s="8">
        <f ca="1">RawData[[#This Row],[Z (smoothed demand size)]]/RawData[[#This Row],[X (smoothed interval)]]</f>
        <v>8.7851555781263748</v>
      </c>
    </row>
    <row r="166" spans="1:22">
      <c r="A166" t="s">
        <v>19</v>
      </c>
      <c r="B166" t="s">
        <v>14</v>
      </c>
      <c r="C166">
        <v>32</v>
      </c>
      <c r="D166" t="s">
        <v>15</v>
      </c>
      <c r="E166" t="s">
        <v>16</v>
      </c>
      <c r="F166" s="1">
        <v>43474</v>
      </c>
      <c r="G166">
        <v>7</v>
      </c>
      <c r="H166">
        <v>7</v>
      </c>
      <c r="I166">
        <v>11</v>
      </c>
      <c r="J166">
        <v>4</v>
      </c>
      <c r="K166">
        <v>0</v>
      </c>
      <c r="L166">
        <v>460</v>
      </c>
      <c r="M166">
        <v>45</v>
      </c>
      <c r="N166" s="1">
        <f t="shared" si="16"/>
        <v>44938</v>
      </c>
      <c r="O166" s="1">
        <f t="shared" si="17"/>
        <v>43101</v>
      </c>
      <c r="P166" s="1">
        <f t="shared" si="18"/>
        <v>43709</v>
      </c>
      <c r="Q166" s="8">
        <f t="shared" si="19"/>
        <v>0</v>
      </c>
      <c r="R166" s="8">
        <f t="shared" si="20"/>
        <v>21</v>
      </c>
      <c r="S166" s="8">
        <f t="shared" ca="1" si="21"/>
        <v>21</v>
      </c>
      <c r="T166">
        <f t="shared" ca="1" si="22"/>
        <v>8.5790522860944005</v>
      </c>
      <c r="U166" s="8">
        <f t="shared" ca="1" si="23"/>
        <v>1.0171798691840002</v>
      </c>
      <c r="V166" s="8">
        <f ca="1">RawData[[#This Row],[Z (smoothed demand size)]]/RawData[[#This Row],[X (smoothed interval)]]</f>
        <v>8.4341546131626348</v>
      </c>
    </row>
    <row r="167" spans="1:22">
      <c r="A167" t="s">
        <v>19</v>
      </c>
      <c r="B167" t="s">
        <v>14</v>
      </c>
      <c r="C167">
        <v>32</v>
      </c>
      <c r="D167" t="s">
        <v>15</v>
      </c>
      <c r="E167" t="s">
        <v>16</v>
      </c>
      <c r="F167" s="1">
        <v>43475</v>
      </c>
      <c r="G167">
        <v>5</v>
      </c>
      <c r="H167">
        <v>4</v>
      </c>
      <c r="I167">
        <v>4</v>
      </c>
      <c r="J167">
        <v>0</v>
      </c>
      <c r="K167">
        <v>1</v>
      </c>
      <c r="L167">
        <v>456</v>
      </c>
      <c r="M167">
        <v>30</v>
      </c>
      <c r="N167" s="1">
        <f t="shared" si="16"/>
        <v>44938</v>
      </c>
      <c r="O167" s="1">
        <f t="shared" si="17"/>
        <v>43101</v>
      </c>
      <c r="P167" s="1">
        <f t="shared" si="18"/>
        <v>43739</v>
      </c>
      <c r="Q167" s="8">
        <f t="shared" si="19"/>
        <v>0</v>
      </c>
      <c r="R167" s="8">
        <f t="shared" si="20"/>
        <v>22</v>
      </c>
      <c r="S167" s="8">
        <f t="shared" ca="1" si="21"/>
        <v>22</v>
      </c>
      <c r="T167">
        <f t="shared" ca="1" si="22"/>
        <v>7.8632418288755206</v>
      </c>
      <c r="U167" s="8">
        <f t="shared" ca="1" si="23"/>
        <v>1.0137438953472002</v>
      </c>
      <c r="V167" s="8">
        <f ca="1">RawData[[#This Row],[Z (smoothed demand size)]]/RawData[[#This Row],[X (smoothed interval)]]</f>
        <v>7.7566354430991815</v>
      </c>
    </row>
    <row r="168" spans="1:22">
      <c r="A168" t="s">
        <v>19</v>
      </c>
      <c r="B168" t="s">
        <v>14</v>
      </c>
      <c r="C168">
        <v>32</v>
      </c>
      <c r="D168" t="s">
        <v>15</v>
      </c>
      <c r="E168" t="s">
        <v>16</v>
      </c>
      <c r="F168" s="1">
        <v>43476</v>
      </c>
      <c r="G168">
        <v>10</v>
      </c>
      <c r="H168">
        <v>8</v>
      </c>
      <c r="I168">
        <v>8</v>
      </c>
      <c r="J168">
        <v>0</v>
      </c>
      <c r="K168">
        <v>1</v>
      </c>
      <c r="L168">
        <v>456</v>
      </c>
      <c r="M168">
        <v>15</v>
      </c>
      <c r="N168" s="1">
        <f t="shared" si="16"/>
        <v>44938</v>
      </c>
      <c r="O168" s="1">
        <f t="shared" si="17"/>
        <v>43101</v>
      </c>
      <c r="P168" s="1">
        <f t="shared" si="18"/>
        <v>43770</v>
      </c>
      <c r="Q168" s="8">
        <f t="shared" si="19"/>
        <v>0</v>
      </c>
      <c r="R168" s="8">
        <f t="shared" si="20"/>
        <v>23</v>
      </c>
      <c r="S168" s="8">
        <f t="shared" ca="1" si="21"/>
        <v>23</v>
      </c>
      <c r="T168">
        <f t="shared" ca="1" si="22"/>
        <v>8.2905934631004179</v>
      </c>
      <c r="U168" s="8">
        <f t="shared" ca="1" si="23"/>
        <v>1.0109951162777602</v>
      </c>
      <c r="V168" s="8">
        <f ca="1">RawData[[#This Row],[Z (smoothed demand size)]]/RawData[[#This Row],[X (smoothed interval)]]</f>
        <v>8.2004287949722059</v>
      </c>
    </row>
    <row r="169" spans="1:22">
      <c r="A169" t="s">
        <v>19</v>
      </c>
      <c r="B169" t="s">
        <v>14</v>
      </c>
      <c r="C169">
        <v>32</v>
      </c>
      <c r="D169" t="s">
        <v>15</v>
      </c>
      <c r="E169" t="s">
        <v>16</v>
      </c>
      <c r="F169" s="1">
        <v>43477</v>
      </c>
      <c r="G169">
        <v>8</v>
      </c>
      <c r="H169">
        <v>8</v>
      </c>
      <c r="I169">
        <v>9</v>
      </c>
      <c r="J169">
        <v>1</v>
      </c>
      <c r="K169">
        <v>0</v>
      </c>
      <c r="L169">
        <v>519</v>
      </c>
      <c r="M169">
        <v>15</v>
      </c>
      <c r="N169" s="1">
        <f t="shared" si="16"/>
        <v>44938</v>
      </c>
      <c r="O169" s="1">
        <f t="shared" si="17"/>
        <v>43101</v>
      </c>
      <c r="P169" s="1">
        <f t="shared" si="18"/>
        <v>43800</v>
      </c>
      <c r="Q169" s="8">
        <f t="shared" si="19"/>
        <v>0</v>
      </c>
      <c r="R169" s="8">
        <f t="shared" si="20"/>
        <v>24</v>
      </c>
      <c r="S169" s="8">
        <f t="shared" ca="1" si="21"/>
        <v>24</v>
      </c>
      <c r="T169">
        <f t="shared" ca="1" si="22"/>
        <v>8.2324747704803354</v>
      </c>
      <c r="U169" s="8">
        <f t="shared" ca="1" si="23"/>
        <v>1.0087960930222082</v>
      </c>
      <c r="V169" s="8">
        <f ca="1">RawData[[#This Row],[Z (smoothed demand size)]]/RawData[[#This Row],[X (smoothed interval)]]</f>
        <v>8.1606925596004469</v>
      </c>
    </row>
    <row r="170" spans="1:22">
      <c r="A170" t="s">
        <v>19</v>
      </c>
      <c r="B170" t="s">
        <v>14</v>
      </c>
      <c r="C170">
        <v>32</v>
      </c>
      <c r="D170" t="s">
        <v>15</v>
      </c>
      <c r="E170" t="s">
        <v>16</v>
      </c>
      <c r="F170" s="1">
        <v>43831</v>
      </c>
      <c r="G170">
        <v>9</v>
      </c>
      <c r="H170">
        <v>9</v>
      </c>
      <c r="I170">
        <v>11</v>
      </c>
      <c r="J170">
        <v>2</v>
      </c>
      <c r="K170">
        <v>0</v>
      </c>
      <c r="L170">
        <v>453</v>
      </c>
      <c r="M170">
        <v>15</v>
      </c>
      <c r="N170" s="1">
        <f t="shared" si="16"/>
        <v>44938</v>
      </c>
      <c r="O170" s="1">
        <f t="shared" si="17"/>
        <v>43101</v>
      </c>
      <c r="P170" s="1">
        <f t="shared" si="18"/>
        <v>43831</v>
      </c>
      <c r="Q170" s="8">
        <f t="shared" si="19"/>
        <v>0</v>
      </c>
      <c r="R170" s="8">
        <f t="shared" si="20"/>
        <v>25</v>
      </c>
      <c r="S170" s="8">
        <f t="shared" ca="1" si="21"/>
        <v>25</v>
      </c>
      <c r="T170">
        <f t="shared" ca="1" si="22"/>
        <v>8.3859798163842694</v>
      </c>
      <c r="U170" s="8">
        <f t="shared" ca="1" si="23"/>
        <v>1.0070368744177667</v>
      </c>
      <c r="V170" s="8">
        <f ca="1">RawData[[#This Row],[Z (smoothed demand size)]]/RawData[[#This Row],[X (smoothed interval)]]</f>
        <v>8.3273810814849742</v>
      </c>
    </row>
    <row r="171" spans="1:22">
      <c r="A171" t="s">
        <v>19</v>
      </c>
      <c r="B171" t="s">
        <v>14</v>
      </c>
      <c r="C171">
        <v>32</v>
      </c>
      <c r="D171" t="s">
        <v>15</v>
      </c>
      <c r="E171" t="s">
        <v>16</v>
      </c>
      <c r="F171" s="1">
        <v>43832</v>
      </c>
      <c r="G171">
        <v>15</v>
      </c>
      <c r="H171">
        <v>12</v>
      </c>
      <c r="I171">
        <v>12</v>
      </c>
      <c r="J171">
        <v>0</v>
      </c>
      <c r="K171">
        <v>1</v>
      </c>
      <c r="L171">
        <v>455</v>
      </c>
      <c r="M171">
        <v>45</v>
      </c>
      <c r="N171" s="1">
        <f t="shared" si="16"/>
        <v>44938</v>
      </c>
      <c r="O171" s="1">
        <f t="shared" si="17"/>
        <v>43101</v>
      </c>
      <c r="P171" s="1">
        <f t="shared" si="18"/>
        <v>43862</v>
      </c>
      <c r="Q171" s="8">
        <f t="shared" si="19"/>
        <v>0</v>
      </c>
      <c r="R171" s="8">
        <f t="shared" si="20"/>
        <v>26</v>
      </c>
      <c r="S171" s="8">
        <f t="shared" ca="1" si="21"/>
        <v>26</v>
      </c>
      <c r="T171">
        <f t="shared" ca="1" si="22"/>
        <v>9.7087838531074162</v>
      </c>
      <c r="U171" s="8">
        <f t="shared" ca="1" si="23"/>
        <v>1.0056294995342134</v>
      </c>
      <c r="V171" s="8">
        <f ca="1">RawData[[#This Row],[Z (smoothed demand size)]]/RawData[[#This Row],[X (smoothed interval)]]</f>
        <v>9.6544342201619209</v>
      </c>
    </row>
    <row r="172" spans="1:22">
      <c r="A172" t="s">
        <v>19</v>
      </c>
      <c r="B172" t="s">
        <v>14</v>
      </c>
      <c r="C172">
        <v>32</v>
      </c>
      <c r="D172" t="s">
        <v>15</v>
      </c>
      <c r="E172" t="s">
        <v>16</v>
      </c>
      <c r="F172" s="1">
        <v>43833</v>
      </c>
      <c r="G172">
        <v>4</v>
      </c>
      <c r="H172">
        <v>0</v>
      </c>
      <c r="I172">
        <v>0</v>
      </c>
      <c r="J172">
        <v>0</v>
      </c>
      <c r="K172">
        <v>1</v>
      </c>
      <c r="L172">
        <v>457</v>
      </c>
      <c r="M172">
        <v>15</v>
      </c>
      <c r="N172" s="1">
        <f t="shared" si="16"/>
        <v>44938</v>
      </c>
      <c r="O172" s="1">
        <f t="shared" si="17"/>
        <v>43101</v>
      </c>
      <c r="P172" s="1">
        <f t="shared" si="18"/>
        <v>43891</v>
      </c>
      <c r="Q172" s="8">
        <f t="shared" si="19"/>
        <v>0</v>
      </c>
      <c r="R172" s="8">
        <f t="shared" si="20"/>
        <v>27</v>
      </c>
      <c r="S172" s="8">
        <f t="shared" ca="1" si="21"/>
        <v>27</v>
      </c>
      <c r="T172">
        <f t="shared" ca="1" si="22"/>
        <v>8.567027082485934</v>
      </c>
      <c r="U172" s="8">
        <f t="shared" ca="1" si="23"/>
        <v>1.0045035996273708</v>
      </c>
      <c r="V172" s="8">
        <f ca="1">RawData[[#This Row],[Z (smoothed demand size)]]/RawData[[#This Row],[X (smoothed interval)]]</f>
        <v>8.5286176034251611</v>
      </c>
    </row>
    <row r="173" spans="1:22">
      <c r="A173" t="s">
        <v>19</v>
      </c>
      <c r="B173" t="s">
        <v>14</v>
      </c>
      <c r="C173">
        <v>32</v>
      </c>
      <c r="D173" t="s">
        <v>15</v>
      </c>
      <c r="E173" t="s">
        <v>16</v>
      </c>
      <c r="F173" s="1">
        <v>43834</v>
      </c>
      <c r="G173">
        <v>7</v>
      </c>
      <c r="H173">
        <v>7</v>
      </c>
      <c r="I173">
        <v>8</v>
      </c>
      <c r="J173">
        <v>1</v>
      </c>
      <c r="K173">
        <v>0</v>
      </c>
      <c r="L173">
        <v>453</v>
      </c>
      <c r="M173">
        <v>60</v>
      </c>
      <c r="N173" s="1">
        <f t="shared" si="16"/>
        <v>44938</v>
      </c>
      <c r="O173" s="1">
        <f t="shared" si="17"/>
        <v>43101</v>
      </c>
      <c r="P173" s="1">
        <f t="shared" si="18"/>
        <v>43922</v>
      </c>
      <c r="Q173" s="8">
        <f t="shared" si="19"/>
        <v>0</v>
      </c>
      <c r="R173" s="8">
        <f t="shared" si="20"/>
        <v>28</v>
      </c>
      <c r="S173" s="8">
        <f t="shared" ca="1" si="21"/>
        <v>28</v>
      </c>
      <c r="T173">
        <f t="shared" ca="1" si="22"/>
        <v>8.2536216659887476</v>
      </c>
      <c r="U173" s="8">
        <f t="shared" ca="1" si="23"/>
        <v>1.0036028797018968</v>
      </c>
      <c r="V173" s="8">
        <f ca="1">RawData[[#This Row],[Z (smoothed demand size)]]/RawData[[#This Row],[X (smoothed interval)]]</f>
        <v>8.2239916135357696</v>
      </c>
    </row>
    <row r="174" spans="1:22">
      <c r="A174" t="s">
        <v>19</v>
      </c>
      <c r="B174" t="s">
        <v>14</v>
      </c>
      <c r="C174">
        <v>32</v>
      </c>
      <c r="D174" t="s">
        <v>15</v>
      </c>
      <c r="E174" t="s">
        <v>16</v>
      </c>
      <c r="F174" s="1">
        <v>43835</v>
      </c>
      <c r="G174">
        <v>0</v>
      </c>
      <c r="H174">
        <v>0</v>
      </c>
      <c r="I174">
        <v>1</v>
      </c>
      <c r="J174">
        <v>1</v>
      </c>
      <c r="K174">
        <v>0</v>
      </c>
      <c r="L174">
        <v>458</v>
      </c>
      <c r="M174">
        <v>30</v>
      </c>
      <c r="N174" s="1">
        <f t="shared" si="16"/>
        <v>44938</v>
      </c>
      <c r="O174" s="1">
        <f t="shared" si="17"/>
        <v>43101</v>
      </c>
      <c r="P174" s="1">
        <f t="shared" si="18"/>
        <v>43952</v>
      </c>
      <c r="Q174" s="8">
        <f t="shared" si="19"/>
        <v>0</v>
      </c>
      <c r="R174" s="8">
        <f t="shared" si="20"/>
        <v>29</v>
      </c>
      <c r="S174" s="8">
        <f t="shared" ca="1" si="21"/>
        <v>28</v>
      </c>
      <c r="T174">
        <f t="shared" ca="1" si="22"/>
        <v>8.2536216659887476</v>
      </c>
      <c r="U174" s="8">
        <f t="shared" ca="1" si="23"/>
        <v>1.0036028797018968</v>
      </c>
      <c r="V174" s="8">
        <f ca="1">RawData[[#This Row],[Z (smoothed demand size)]]/RawData[[#This Row],[X (smoothed interval)]]</f>
        <v>8.2239916135357696</v>
      </c>
    </row>
    <row r="175" spans="1:22">
      <c r="A175" t="s">
        <v>19</v>
      </c>
      <c r="B175" t="s">
        <v>14</v>
      </c>
      <c r="C175">
        <v>32</v>
      </c>
      <c r="D175" t="s">
        <v>15</v>
      </c>
      <c r="E175" t="s">
        <v>16</v>
      </c>
      <c r="F175" s="1">
        <v>43836</v>
      </c>
      <c r="G175">
        <v>6</v>
      </c>
      <c r="H175">
        <v>6</v>
      </c>
      <c r="I175">
        <v>12</v>
      </c>
      <c r="J175">
        <v>6</v>
      </c>
      <c r="K175">
        <v>0</v>
      </c>
      <c r="L175">
        <v>521</v>
      </c>
      <c r="M175">
        <v>60</v>
      </c>
      <c r="N175" s="1">
        <f t="shared" si="16"/>
        <v>44938</v>
      </c>
      <c r="O175" s="1">
        <f t="shared" si="17"/>
        <v>43101</v>
      </c>
      <c r="P175" s="1">
        <f t="shared" si="18"/>
        <v>43983</v>
      </c>
      <c r="Q175" s="8">
        <f t="shared" si="19"/>
        <v>0</v>
      </c>
      <c r="R175" s="8">
        <f t="shared" si="20"/>
        <v>30</v>
      </c>
      <c r="S175" s="8">
        <f t="shared" ca="1" si="21"/>
        <v>30</v>
      </c>
      <c r="T175">
        <f t="shared" ca="1" si="22"/>
        <v>7.802897332790999</v>
      </c>
      <c r="U175" s="8">
        <f t="shared" ca="1" si="23"/>
        <v>1.2028823037615175</v>
      </c>
      <c r="V175" s="8">
        <f ca="1">RawData[[#This Row],[Z (smoothed demand size)]]/RawData[[#This Row],[X (smoothed interval)]]</f>
        <v>6.4868335899453013</v>
      </c>
    </row>
    <row r="176" spans="1:22">
      <c r="A176" t="s">
        <v>19</v>
      </c>
      <c r="B176" t="s">
        <v>14</v>
      </c>
      <c r="C176">
        <v>32</v>
      </c>
      <c r="D176" t="s">
        <v>15</v>
      </c>
      <c r="E176" t="s">
        <v>16</v>
      </c>
      <c r="F176" s="1">
        <v>43837</v>
      </c>
      <c r="G176">
        <v>0</v>
      </c>
      <c r="H176">
        <v>0</v>
      </c>
      <c r="I176">
        <v>6</v>
      </c>
      <c r="J176">
        <v>6</v>
      </c>
      <c r="K176">
        <v>0</v>
      </c>
      <c r="L176">
        <v>525</v>
      </c>
      <c r="M176">
        <v>60</v>
      </c>
      <c r="N176" s="1">
        <f t="shared" si="16"/>
        <v>44938</v>
      </c>
      <c r="O176" s="1">
        <f t="shared" si="17"/>
        <v>43101</v>
      </c>
      <c r="P176" s="1">
        <f t="shared" si="18"/>
        <v>44013</v>
      </c>
      <c r="Q176" s="8">
        <f t="shared" si="19"/>
        <v>0</v>
      </c>
      <c r="R176" s="8">
        <f t="shared" si="20"/>
        <v>31</v>
      </c>
      <c r="S176" s="8">
        <f t="shared" ca="1" si="21"/>
        <v>30</v>
      </c>
      <c r="T176">
        <f t="shared" ca="1" si="22"/>
        <v>7.802897332790999</v>
      </c>
      <c r="U176" s="8">
        <f t="shared" ca="1" si="23"/>
        <v>1.2028823037615175</v>
      </c>
      <c r="V176" s="8">
        <f ca="1">RawData[[#This Row],[Z (smoothed demand size)]]/RawData[[#This Row],[X (smoothed interval)]]</f>
        <v>6.4868335899453013</v>
      </c>
    </row>
    <row r="177" spans="1:22">
      <c r="A177" t="s">
        <v>19</v>
      </c>
      <c r="B177" t="s">
        <v>14</v>
      </c>
      <c r="C177">
        <v>32</v>
      </c>
      <c r="D177" t="s">
        <v>15</v>
      </c>
      <c r="E177" t="s">
        <v>16</v>
      </c>
      <c r="F177" s="1">
        <v>43838</v>
      </c>
      <c r="G177">
        <v>7</v>
      </c>
      <c r="H177">
        <v>7</v>
      </c>
      <c r="I177">
        <v>14</v>
      </c>
      <c r="J177">
        <v>7</v>
      </c>
      <c r="K177">
        <v>0</v>
      </c>
      <c r="L177">
        <v>519</v>
      </c>
      <c r="M177">
        <v>15</v>
      </c>
      <c r="N177" s="1">
        <f t="shared" si="16"/>
        <v>44938</v>
      </c>
      <c r="O177" s="1">
        <f t="shared" si="17"/>
        <v>43101</v>
      </c>
      <c r="P177" s="1">
        <f t="shared" si="18"/>
        <v>44044</v>
      </c>
      <c r="Q177" s="8">
        <f t="shared" si="19"/>
        <v>0</v>
      </c>
      <c r="R177" s="8">
        <f t="shared" si="20"/>
        <v>32</v>
      </c>
      <c r="S177" s="8">
        <f t="shared" ca="1" si="21"/>
        <v>32</v>
      </c>
      <c r="T177">
        <f t="shared" ca="1" si="22"/>
        <v>7.6423178662327995</v>
      </c>
      <c r="U177" s="8">
        <f t="shared" ca="1" si="23"/>
        <v>1.3623058430092141</v>
      </c>
      <c r="V177" s="8">
        <f ca="1">RawData[[#This Row],[Z (smoothed demand size)]]/RawData[[#This Row],[X (smoothed interval)]]</f>
        <v>5.6098400410230864</v>
      </c>
    </row>
    <row r="178" spans="1:22">
      <c r="A178" t="s">
        <v>19</v>
      </c>
      <c r="B178" t="s">
        <v>14</v>
      </c>
      <c r="C178">
        <v>32</v>
      </c>
      <c r="D178" t="s">
        <v>15</v>
      </c>
      <c r="E178" t="s">
        <v>16</v>
      </c>
      <c r="F178" s="1">
        <v>43839</v>
      </c>
      <c r="G178">
        <v>3</v>
      </c>
      <c r="H178">
        <v>3</v>
      </c>
      <c r="I178">
        <v>17</v>
      </c>
      <c r="J178">
        <v>14</v>
      </c>
      <c r="K178">
        <v>0</v>
      </c>
      <c r="L178">
        <v>445</v>
      </c>
      <c r="M178">
        <v>15</v>
      </c>
      <c r="N178" s="1">
        <f t="shared" si="16"/>
        <v>44938</v>
      </c>
      <c r="O178" s="1">
        <f t="shared" si="17"/>
        <v>43101</v>
      </c>
      <c r="P178" s="1">
        <f t="shared" si="18"/>
        <v>44075</v>
      </c>
      <c r="Q178" s="8">
        <f t="shared" si="19"/>
        <v>0</v>
      </c>
      <c r="R178" s="8">
        <f t="shared" si="20"/>
        <v>33</v>
      </c>
      <c r="S178" s="8">
        <f t="shared" ca="1" si="21"/>
        <v>33</v>
      </c>
      <c r="T178">
        <f t="shared" ca="1" si="22"/>
        <v>6.7138542929862393</v>
      </c>
      <c r="U178" s="8">
        <f t="shared" ca="1" si="23"/>
        <v>1.2898446744073713</v>
      </c>
      <c r="V178" s="8">
        <f ca="1">RawData[[#This Row],[Z (smoothed demand size)]]/RawData[[#This Row],[X (smoothed interval)]]</f>
        <v>5.2051649521838508</v>
      </c>
    </row>
    <row r="179" spans="1:22">
      <c r="A179" t="s">
        <v>19</v>
      </c>
      <c r="B179" t="s">
        <v>14</v>
      </c>
      <c r="C179">
        <v>32</v>
      </c>
      <c r="D179" t="s">
        <v>15</v>
      </c>
      <c r="E179" t="s">
        <v>16</v>
      </c>
      <c r="F179" s="1">
        <v>43840</v>
      </c>
      <c r="G179">
        <v>0</v>
      </c>
      <c r="H179">
        <v>0</v>
      </c>
      <c r="I179">
        <v>14</v>
      </c>
      <c r="J179">
        <v>14</v>
      </c>
      <c r="K179">
        <v>0</v>
      </c>
      <c r="L179">
        <v>454</v>
      </c>
      <c r="M179">
        <v>15</v>
      </c>
      <c r="N179" s="1">
        <f t="shared" si="16"/>
        <v>44938</v>
      </c>
      <c r="O179" s="1">
        <f t="shared" si="17"/>
        <v>43101</v>
      </c>
      <c r="P179" s="1">
        <f t="shared" si="18"/>
        <v>44105</v>
      </c>
      <c r="Q179" s="8">
        <f t="shared" si="19"/>
        <v>0</v>
      </c>
      <c r="R179" s="8">
        <f t="shared" si="20"/>
        <v>34</v>
      </c>
      <c r="S179" s="8">
        <f t="shared" ca="1" si="21"/>
        <v>33</v>
      </c>
      <c r="T179">
        <f t="shared" ca="1" si="22"/>
        <v>6.7138542929862393</v>
      </c>
      <c r="U179" s="8">
        <f t="shared" ca="1" si="23"/>
        <v>1.2898446744073713</v>
      </c>
      <c r="V179" s="8">
        <f ca="1">RawData[[#This Row],[Z (smoothed demand size)]]/RawData[[#This Row],[X (smoothed interval)]]</f>
        <v>5.2051649521838508</v>
      </c>
    </row>
    <row r="180" spans="1:22">
      <c r="A180" t="s">
        <v>19</v>
      </c>
      <c r="B180" t="s">
        <v>14</v>
      </c>
      <c r="C180">
        <v>32</v>
      </c>
      <c r="D180" t="s">
        <v>15</v>
      </c>
      <c r="E180" t="s">
        <v>16</v>
      </c>
      <c r="F180" s="1">
        <v>43841</v>
      </c>
      <c r="G180">
        <v>9</v>
      </c>
      <c r="H180">
        <v>9</v>
      </c>
      <c r="I180">
        <v>14</v>
      </c>
      <c r="J180">
        <v>5</v>
      </c>
      <c r="K180">
        <v>0</v>
      </c>
      <c r="L180">
        <v>457</v>
      </c>
      <c r="M180">
        <v>30</v>
      </c>
      <c r="N180" s="1">
        <f t="shared" si="16"/>
        <v>44938</v>
      </c>
      <c r="O180" s="1">
        <f t="shared" si="17"/>
        <v>43101</v>
      </c>
      <c r="P180" s="1">
        <f t="shared" si="18"/>
        <v>44136</v>
      </c>
      <c r="Q180" s="8">
        <f t="shared" si="19"/>
        <v>0</v>
      </c>
      <c r="R180" s="8">
        <f t="shared" si="20"/>
        <v>35</v>
      </c>
      <c r="S180" s="8">
        <f t="shared" ca="1" si="21"/>
        <v>35</v>
      </c>
      <c r="T180">
        <f t="shared" ca="1" si="22"/>
        <v>7.1710834343889918</v>
      </c>
      <c r="U180" s="8">
        <f t="shared" ca="1" si="23"/>
        <v>1.4318757395258972</v>
      </c>
      <c r="V180" s="8">
        <f ca="1">RawData[[#This Row],[Z (smoothed demand size)]]/RawData[[#This Row],[X (smoothed interval)]]</f>
        <v>5.0081744081811044</v>
      </c>
    </row>
    <row r="181" spans="1:22">
      <c r="A181" t="s">
        <v>19</v>
      </c>
      <c r="B181" t="s">
        <v>14</v>
      </c>
      <c r="C181">
        <v>32</v>
      </c>
      <c r="D181" t="s">
        <v>15</v>
      </c>
      <c r="E181" t="s">
        <v>16</v>
      </c>
      <c r="F181" s="1">
        <v>43842</v>
      </c>
      <c r="G181">
        <v>8</v>
      </c>
      <c r="H181">
        <v>8</v>
      </c>
      <c r="I181">
        <v>12</v>
      </c>
      <c r="J181">
        <v>4</v>
      </c>
      <c r="K181">
        <v>0</v>
      </c>
      <c r="L181">
        <v>524</v>
      </c>
      <c r="M181">
        <v>30</v>
      </c>
      <c r="N181" s="1">
        <f t="shared" si="16"/>
        <v>44938</v>
      </c>
      <c r="O181" s="1">
        <f t="shared" si="17"/>
        <v>43101</v>
      </c>
      <c r="P181" s="1">
        <f t="shared" si="18"/>
        <v>44166</v>
      </c>
      <c r="Q181" s="8">
        <f t="shared" si="19"/>
        <v>0</v>
      </c>
      <c r="R181" s="8">
        <f t="shared" si="20"/>
        <v>36</v>
      </c>
      <c r="S181" s="8">
        <f t="shared" ca="1" si="21"/>
        <v>36</v>
      </c>
      <c r="T181">
        <f t="shared" ca="1" si="22"/>
        <v>7.3368667475111931</v>
      </c>
      <c r="U181" s="8">
        <f t="shared" ca="1" si="23"/>
        <v>1.3455005916207177</v>
      </c>
      <c r="V181" s="8">
        <f ca="1">RawData[[#This Row],[Z (smoothed demand size)]]/RawData[[#This Row],[X (smoothed interval)]]</f>
        <v>5.4528900196718588</v>
      </c>
    </row>
    <row r="182" spans="1:22">
      <c r="A182" t="s">
        <v>19</v>
      </c>
      <c r="B182" t="s">
        <v>14</v>
      </c>
      <c r="C182">
        <v>32</v>
      </c>
      <c r="D182" t="s">
        <v>15</v>
      </c>
      <c r="E182" t="s">
        <v>16</v>
      </c>
      <c r="F182" s="1">
        <v>44197</v>
      </c>
      <c r="G182">
        <v>8</v>
      </c>
      <c r="H182">
        <v>8</v>
      </c>
      <c r="I182">
        <v>12</v>
      </c>
      <c r="J182">
        <v>4</v>
      </c>
      <c r="K182">
        <v>0</v>
      </c>
      <c r="L182">
        <v>454</v>
      </c>
      <c r="M182">
        <v>15</v>
      </c>
      <c r="N182" s="1">
        <f t="shared" si="16"/>
        <v>44938</v>
      </c>
      <c r="O182" s="1">
        <f t="shared" si="17"/>
        <v>43101</v>
      </c>
      <c r="P182" s="1">
        <f t="shared" si="18"/>
        <v>44197</v>
      </c>
      <c r="Q182" s="8">
        <f t="shared" si="19"/>
        <v>0</v>
      </c>
      <c r="R182" s="8">
        <f t="shared" si="20"/>
        <v>37</v>
      </c>
      <c r="S182" s="8">
        <f t="shared" ca="1" si="21"/>
        <v>37</v>
      </c>
      <c r="T182">
        <f t="shared" ca="1" si="22"/>
        <v>7.4694933980089555</v>
      </c>
      <c r="U182" s="8">
        <f t="shared" ca="1" si="23"/>
        <v>1.2764004732965741</v>
      </c>
      <c r="V182" s="8">
        <f ca="1">RawData[[#This Row],[Z (smoothed demand size)]]/RawData[[#This Row],[X (smoothed interval)]]</f>
        <v>5.8519982985570422</v>
      </c>
    </row>
    <row r="183" spans="1:22">
      <c r="A183" t="s">
        <v>19</v>
      </c>
      <c r="B183" t="s">
        <v>14</v>
      </c>
      <c r="C183">
        <v>32</v>
      </c>
      <c r="D183" t="s">
        <v>15</v>
      </c>
      <c r="E183" t="s">
        <v>16</v>
      </c>
      <c r="F183" s="1">
        <v>44198</v>
      </c>
      <c r="G183">
        <v>11</v>
      </c>
      <c r="H183">
        <v>11</v>
      </c>
      <c r="I183">
        <v>16</v>
      </c>
      <c r="J183">
        <v>5</v>
      </c>
      <c r="K183">
        <v>0</v>
      </c>
      <c r="L183">
        <v>450</v>
      </c>
      <c r="M183">
        <v>60</v>
      </c>
      <c r="N183" s="1">
        <f t="shared" si="16"/>
        <v>44938</v>
      </c>
      <c r="O183" s="1">
        <f t="shared" si="17"/>
        <v>43101</v>
      </c>
      <c r="P183" s="1">
        <f t="shared" si="18"/>
        <v>44228</v>
      </c>
      <c r="Q183" s="8">
        <f t="shared" si="19"/>
        <v>0</v>
      </c>
      <c r="R183" s="8">
        <f t="shared" si="20"/>
        <v>38</v>
      </c>
      <c r="S183" s="8">
        <f t="shared" ca="1" si="21"/>
        <v>38</v>
      </c>
      <c r="T183">
        <f t="shared" ca="1" si="22"/>
        <v>8.1755947184071651</v>
      </c>
      <c r="U183" s="8">
        <f t="shared" ca="1" si="23"/>
        <v>1.2211203786372593</v>
      </c>
      <c r="V183" s="8">
        <f ca="1">RawData[[#This Row],[Z (smoothed demand size)]]/RawData[[#This Row],[X (smoothed interval)]]</f>
        <v>6.6951586931428748</v>
      </c>
    </row>
    <row r="184" spans="1:22">
      <c r="A184" t="s">
        <v>19</v>
      </c>
      <c r="B184" t="s">
        <v>14</v>
      </c>
      <c r="C184">
        <v>32</v>
      </c>
      <c r="D184" t="s">
        <v>15</v>
      </c>
      <c r="E184" t="s">
        <v>16</v>
      </c>
      <c r="F184" s="1">
        <v>44199</v>
      </c>
      <c r="G184">
        <v>8</v>
      </c>
      <c r="H184">
        <v>5</v>
      </c>
      <c r="I184">
        <v>5</v>
      </c>
      <c r="J184">
        <v>0</v>
      </c>
      <c r="K184">
        <v>1</v>
      </c>
      <c r="L184">
        <v>448</v>
      </c>
      <c r="M184">
        <v>15</v>
      </c>
      <c r="N184" s="1">
        <f t="shared" si="16"/>
        <v>44938</v>
      </c>
      <c r="O184" s="1">
        <f t="shared" si="17"/>
        <v>43101</v>
      </c>
      <c r="P184" s="1">
        <f t="shared" si="18"/>
        <v>44256</v>
      </c>
      <c r="Q184" s="8">
        <f t="shared" si="19"/>
        <v>0</v>
      </c>
      <c r="R184" s="8">
        <f t="shared" si="20"/>
        <v>39</v>
      </c>
      <c r="S184" s="8">
        <f t="shared" ca="1" si="21"/>
        <v>39</v>
      </c>
      <c r="T184">
        <f t="shared" ca="1" si="22"/>
        <v>8.1404757747257328</v>
      </c>
      <c r="U184" s="8">
        <f t="shared" ca="1" si="23"/>
        <v>1.1768963029098074</v>
      </c>
      <c r="V184" s="8">
        <f ca="1">RawData[[#This Row],[Z (smoothed demand size)]]/RawData[[#This Row],[X (smoothed interval)]]</f>
        <v>6.9169014760254424</v>
      </c>
    </row>
    <row r="185" spans="1:22">
      <c r="A185" t="s">
        <v>19</v>
      </c>
      <c r="B185" t="s">
        <v>14</v>
      </c>
      <c r="C185">
        <v>32</v>
      </c>
      <c r="D185" t="s">
        <v>15</v>
      </c>
      <c r="E185" t="s">
        <v>16</v>
      </c>
      <c r="F185" s="1">
        <v>44200</v>
      </c>
      <c r="G185">
        <v>11</v>
      </c>
      <c r="H185">
        <v>11</v>
      </c>
      <c r="I185">
        <v>12</v>
      </c>
      <c r="J185">
        <v>1</v>
      </c>
      <c r="K185">
        <v>0</v>
      </c>
      <c r="L185">
        <v>454</v>
      </c>
      <c r="M185">
        <v>30</v>
      </c>
      <c r="N185" s="1">
        <f t="shared" si="16"/>
        <v>44938</v>
      </c>
      <c r="O185" s="1">
        <f t="shared" si="17"/>
        <v>43101</v>
      </c>
      <c r="P185" s="1">
        <f t="shared" si="18"/>
        <v>44287</v>
      </c>
      <c r="Q185" s="8">
        <f t="shared" si="19"/>
        <v>0</v>
      </c>
      <c r="R185" s="8">
        <f t="shared" si="20"/>
        <v>40</v>
      </c>
      <c r="S185" s="8">
        <f t="shared" ca="1" si="21"/>
        <v>40</v>
      </c>
      <c r="T185">
        <f t="shared" ca="1" si="22"/>
        <v>8.7123806197805855</v>
      </c>
      <c r="U185" s="8">
        <f t="shared" ca="1" si="23"/>
        <v>1.141517042327846</v>
      </c>
      <c r="V185" s="8">
        <f ca="1">RawData[[#This Row],[Z (smoothed demand size)]]/RawData[[#This Row],[X (smoothed interval)]]</f>
        <v>7.6322825649749451</v>
      </c>
    </row>
    <row r="186" spans="1:22">
      <c r="A186" t="s">
        <v>19</v>
      </c>
      <c r="B186" t="s">
        <v>14</v>
      </c>
      <c r="C186">
        <v>32</v>
      </c>
      <c r="D186" t="s">
        <v>15</v>
      </c>
      <c r="E186" t="s">
        <v>16</v>
      </c>
      <c r="F186" s="1">
        <v>44201</v>
      </c>
      <c r="G186">
        <v>7</v>
      </c>
      <c r="H186">
        <v>7</v>
      </c>
      <c r="I186">
        <v>9</v>
      </c>
      <c r="J186">
        <v>2</v>
      </c>
      <c r="K186">
        <v>0</v>
      </c>
      <c r="L186">
        <v>454</v>
      </c>
      <c r="M186">
        <v>30</v>
      </c>
      <c r="N186" s="1">
        <f t="shared" si="16"/>
        <v>44938</v>
      </c>
      <c r="O186" s="1">
        <f t="shared" si="17"/>
        <v>43101</v>
      </c>
      <c r="P186" s="1">
        <f t="shared" si="18"/>
        <v>44317</v>
      </c>
      <c r="Q186" s="8">
        <f t="shared" si="19"/>
        <v>0</v>
      </c>
      <c r="R186" s="8">
        <f t="shared" si="20"/>
        <v>41</v>
      </c>
      <c r="S186" s="8">
        <f t="shared" ca="1" si="21"/>
        <v>41</v>
      </c>
      <c r="T186">
        <f t="shared" ca="1" si="22"/>
        <v>8.3699044958244695</v>
      </c>
      <c r="U186" s="8">
        <f t="shared" ca="1" si="23"/>
        <v>1.1132136338622769</v>
      </c>
      <c r="V186" s="8">
        <f ca="1">RawData[[#This Row],[Z (smoothed demand size)]]/RawData[[#This Row],[X (smoothed interval)]]</f>
        <v>7.5186866574614433</v>
      </c>
    </row>
    <row r="187" spans="1:22">
      <c r="A187" t="s">
        <v>19</v>
      </c>
      <c r="B187" t="s">
        <v>14</v>
      </c>
      <c r="C187">
        <v>32</v>
      </c>
      <c r="D187" t="s">
        <v>15</v>
      </c>
      <c r="E187" t="s">
        <v>16</v>
      </c>
      <c r="F187" s="1">
        <v>44202</v>
      </c>
      <c r="G187">
        <v>8</v>
      </c>
      <c r="H187">
        <v>8</v>
      </c>
      <c r="I187">
        <v>11</v>
      </c>
      <c r="J187">
        <v>3</v>
      </c>
      <c r="K187">
        <v>0</v>
      </c>
      <c r="L187">
        <v>517</v>
      </c>
      <c r="M187">
        <v>45</v>
      </c>
      <c r="N187" s="1">
        <f t="shared" si="16"/>
        <v>44938</v>
      </c>
      <c r="O187" s="1">
        <f t="shared" si="17"/>
        <v>43101</v>
      </c>
      <c r="P187" s="1">
        <f t="shared" si="18"/>
        <v>44348</v>
      </c>
      <c r="Q187" s="8">
        <f t="shared" si="19"/>
        <v>0</v>
      </c>
      <c r="R187" s="8">
        <f t="shared" si="20"/>
        <v>42</v>
      </c>
      <c r="S187" s="8">
        <f t="shared" ca="1" si="21"/>
        <v>42</v>
      </c>
      <c r="T187">
        <f t="shared" ca="1" si="22"/>
        <v>8.2959235966595752</v>
      </c>
      <c r="U187" s="8">
        <f t="shared" ca="1" si="23"/>
        <v>1.0905709070898215</v>
      </c>
      <c r="V187" s="8">
        <f ca="1">RawData[[#This Row],[Z (smoothed demand size)]]/RawData[[#This Row],[X (smoothed interval)]]</f>
        <v>7.6069548002130105</v>
      </c>
    </row>
    <row r="188" spans="1:22">
      <c r="A188" t="s">
        <v>19</v>
      </c>
      <c r="B188" t="s">
        <v>14</v>
      </c>
      <c r="C188">
        <v>32</v>
      </c>
      <c r="D188" t="s">
        <v>15</v>
      </c>
      <c r="E188" t="s">
        <v>16</v>
      </c>
      <c r="F188" s="1">
        <v>44203</v>
      </c>
      <c r="G188">
        <v>12</v>
      </c>
      <c r="H188">
        <v>3</v>
      </c>
      <c r="I188">
        <v>3</v>
      </c>
      <c r="J188">
        <v>0</v>
      </c>
      <c r="K188">
        <v>1</v>
      </c>
      <c r="L188">
        <v>525</v>
      </c>
      <c r="M188">
        <v>30</v>
      </c>
      <c r="N188" s="1">
        <f t="shared" si="16"/>
        <v>44938</v>
      </c>
      <c r="O188" s="1">
        <f t="shared" si="17"/>
        <v>43101</v>
      </c>
      <c r="P188" s="1">
        <f t="shared" si="18"/>
        <v>44378</v>
      </c>
      <c r="Q188" s="8">
        <f t="shared" si="19"/>
        <v>0</v>
      </c>
      <c r="R188" s="8">
        <f t="shared" si="20"/>
        <v>43</v>
      </c>
      <c r="S188" s="8">
        <f t="shared" ca="1" si="21"/>
        <v>43</v>
      </c>
      <c r="T188">
        <f t="shared" ca="1" si="22"/>
        <v>9.0367388773276609</v>
      </c>
      <c r="U188" s="8">
        <f t="shared" ca="1" si="23"/>
        <v>1.0724567256718573</v>
      </c>
      <c r="V188" s="8">
        <f ca="1">RawData[[#This Row],[Z (smoothed demand size)]]/RawData[[#This Row],[X (smoothed interval)]]</f>
        <v>8.4262037441804036</v>
      </c>
    </row>
    <row r="189" spans="1:22">
      <c r="A189" t="s">
        <v>19</v>
      </c>
      <c r="B189" t="s">
        <v>14</v>
      </c>
      <c r="C189">
        <v>32</v>
      </c>
      <c r="D189" t="s">
        <v>15</v>
      </c>
      <c r="E189" t="s">
        <v>16</v>
      </c>
      <c r="F189" s="1">
        <v>44204</v>
      </c>
      <c r="G189">
        <v>8</v>
      </c>
      <c r="H189">
        <v>8</v>
      </c>
      <c r="I189">
        <v>9</v>
      </c>
      <c r="J189">
        <v>1</v>
      </c>
      <c r="K189">
        <v>0</v>
      </c>
      <c r="L189">
        <v>515</v>
      </c>
      <c r="M189">
        <v>60</v>
      </c>
      <c r="N189" s="1">
        <f t="shared" si="16"/>
        <v>44938</v>
      </c>
      <c r="O189" s="1">
        <f t="shared" si="17"/>
        <v>43101</v>
      </c>
      <c r="P189" s="1">
        <f t="shared" si="18"/>
        <v>44409</v>
      </c>
      <c r="Q189" s="8">
        <f t="shared" si="19"/>
        <v>0</v>
      </c>
      <c r="R189" s="8">
        <f t="shared" si="20"/>
        <v>44</v>
      </c>
      <c r="S189" s="8">
        <f t="shared" ca="1" si="21"/>
        <v>44</v>
      </c>
      <c r="T189">
        <f t="shared" ca="1" si="22"/>
        <v>8.8293911018621287</v>
      </c>
      <c r="U189" s="8">
        <f t="shared" ca="1" si="23"/>
        <v>1.057965380537486</v>
      </c>
      <c r="V189" s="8">
        <f ca="1">RawData[[#This Row],[Z (smoothed demand size)]]/RawData[[#This Row],[X (smoothed interval)]]</f>
        <v>8.3456332922505148</v>
      </c>
    </row>
    <row r="190" spans="1:22">
      <c r="A190" t="s">
        <v>19</v>
      </c>
      <c r="B190" t="s">
        <v>14</v>
      </c>
      <c r="C190">
        <v>32</v>
      </c>
      <c r="D190" t="s">
        <v>15</v>
      </c>
      <c r="E190" t="s">
        <v>16</v>
      </c>
      <c r="F190" s="1">
        <v>44205</v>
      </c>
      <c r="G190">
        <v>5</v>
      </c>
      <c r="H190">
        <v>1</v>
      </c>
      <c r="I190">
        <v>1</v>
      </c>
      <c r="J190">
        <v>0</v>
      </c>
      <c r="K190">
        <v>1</v>
      </c>
      <c r="L190">
        <v>449</v>
      </c>
      <c r="M190">
        <v>30</v>
      </c>
      <c r="N190" s="1">
        <f t="shared" si="16"/>
        <v>44938</v>
      </c>
      <c r="O190" s="1">
        <f t="shared" si="17"/>
        <v>43101</v>
      </c>
      <c r="P190" s="1">
        <f t="shared" si="18"/>
        <v>44440</v>
      </c>
      <c r="Q190" s="8">
        <f t="shared" si="19"/>
        <v>0</v>
      </c>
      <c r="R190" s="8">
        <f t="shared" si="20"/>
        <v>45</v>
      </c>
      <c r="S190" s="8">
        <f t="shared" ca="1" si="21"/>
        <v>45</v>
      </c>
      <c r="T190">
        <f t="shared" ca="1" si="22"/>
        <v>8.0635128814897037</v>
      </c>
      <c r="U190" s="8">
        <f t="shared" ca="1" si="23"/>
        <v>1.0463723044299889</v>
      </c>
      <c r="V190" s="8">
        <f ca="1">RawData[[#This Row],[Z (smoothed demand size)]]/RawData[[#This Row],[X (smoothed interval)]]</f>
        <v>7.7061604625347009</v>
      </c>
    </row>
    <row r="191" spans="1:22">
      <c r="A191" t="s">
        <v>19</v>
      </c>
      <c r="B191" t="s">
        <v>14</v>
      </c>
      <c r="C191">
        <v>32</v>
      </c>
      <c r="D191" t="s">
        <v>15</v>
      </c>
      <c r="E191" t="s">
        <v>16</v>
      </c>
      <c r="F191" s="1">
        <v>44206</v>
      </c>
      <c r="G191">
        <v>2</v>
      </c>
      <c r="H191">
        <v>2</v>
      </c>
      <c r="I191">
        <v>12</v>
      </c>
      <c r="J191">
        <v>10</v>
      </c>
      <c r="K191">
        <v>0</v>
      </c>
      <c r="L191">
        <v>459</v>
      </c>
      <c r="M191">
        <v>15</v>
      </c>
      <c r="N191" s="1">
        <f t="shared" si="16"/>
        <v>44938</v>
      </c>
      <c r="O191" s="1">
        <f t="shared" si="17"/>
        <v>43101</v>
      </c>
      <c r="P191" s="1">
        <f t="shared" si="18"/>
        <v>44470</v>
      </c>
      <c r="Q191" s="8">
        <f t="shared" si="19"/>
        <v>0</v>
      </c>
      <c r="R191" s="8">
        <f t="shared" si="20"/>
        <v>46</v>
      </c>
      <c r="S191" s="8">
        <f t="shared" ca="1" si="21"/>
        <v>46</v>
      </c>
      <c r="T191">
        <f t="shared" ca="1" si="22"/>
        <v>6.8508103051917635</v>
      </c>
      <c r="U191" s="8">
        <f t="shared" ca="1" si="23"/>
        <v>1.037097843543991</v>
      </c>
      <c r="V191" s="8">
        <f ca="1">RawData[[#This Row],[Z (smoothed demand size)]]/RawData[[#This Row],[X (smoothed interval)]]</f>
        <v>6.605751181374595</v>
      </c>
    </row>
    <row r="192" spans="1:22">
      <c r="A192" t="s">
        <v>19</v>
      </c>
      <c r="B192" t="s">
        <v>14</v>
      </c>
      <c r="C192">
        <v>32</v>
      </c>
      <c r="D192" t="s">
        <v>15</v>
      </c>
      <c r="E192" t="s">
        <v>16</v>
      </c>
      <c r="F192" s="1">
        <v>44207</v>
      </c>
      <c r="G192">
        <v>7</v>
      </c>
      <c r="H192">
        <v>7</v>
      </c>
      <c r="I192">
        <v>10</v>
      </c>
      <c r="J192">
        <v>3</v>
      </c>
      <c r="K192">
        <v>0</v>
      </c>
      <c r="L192">
        <v>456</v>
      </c>
      <c r="M192">
        <v>45</v>
      </c>
      <c r="N192" s="1">
        <f t="shared" si="16"/>
        <v>44938</v>
      </c>
      <c r="O192" s="1">
        <f t="shared" si="17"/>
        <v>43101</v>
      </c>
      <c r="P192" s="1">
        <f t="shared" si="18"/>
        <v>44501</v>
      </c>
      <c r="Q192" s="8">
        <f t="shared" si="19"/>
        <v>0</v>
      </c>
      <c r="R192" s="8">
        <f t="shared" si="20"/>
        <v>47</v>
      </c>
      <c r="S192" s="8">
        <f t="shared" ca="1" si="21"/>
        <v>47</v>
      </c>
      <c r="T192">
        <f t="shared" ca="1" si="22"/>
        <v>6.8806482441534111</v>
      </c>
      <c r="U192" s="8">
        <f t="shared" ca="1" si="23"/>
        <v>1.0296782748351929</v>
      </c>
      <c r="V192" s="8">
        <f ca="1">RawData[[#This Row],[Z (smoothed demand size)]]/RawData[[#This Row],[X (smoothed interval)]]</f>
        <v>6.6823282692399291</v>
      </c>
    </row>
    <row r="193" spans="1:22">
      <c r="A193" t="s">
        <v>19</v>
      </c>
      <c r="B193" t="s">
        <v>14</v>
      </c>
      <c r="C193">
        <v>32</v>
      </c>
      <c r="D193" t="s">
        <v>15</v>
      </c>
      <c r="E193" t="s">
        <v>16</v>
      </c>
      <c r="F193" s="1">
        <v>44208</v>
      </c>
      <c r="G193">
        <v>11</v>
      </c>
      <c r="H193">
        <v>3</v>
      </c>
      <c r="I193">
        <v>3</v>
      </c>
      <c r="J193">
        <v>0</v>
      </c>
      <c r="K193">
        <v>1</v>
      </c>
      <c r="L193">
        <v>518</v>
      </c>
      <c r="M193">
        <v>60</v>
      </c>
      <c r="N193" s="1">
        <f t="shared" si="16"/>
        <v>44938</v>
      </c>
      <c r="O193" s="1">
        <f t="shared" si="17"/>
        <v>43101</v>
      </c>
      <c r="P193" s="1">
        <f t="shared" si="18"/>
        <v>44531</v>
      </c>
      <c r="Q193" s="8">
        <f t="shared" si="19"/>
        <v>0</v>
      </c>
      <c r="R193" s="8">
        <f t="shared" si="20"/>
        <v>48</v>
      </c>
      <c r="S193" s="8">
        <f t="shared" ca="1" si="21"/>
        <v>48</v>
      </c>
      <c r="T193">
        <f t="shared" ca="1" si="22"/>
        <v>7.7045185953227291</v>
      </c>
      <c r="U193" s="8">
        <f t="shared" ca="1" si="23"/>
        <v>1.0237426198681543</v>
      </c>
      <c r="V193" s="8">
        <f ca="1">RawData[[#This Row],[Z (smoothed demand size)]]/RawData[[#This Row],[X (smoothed interval)]]</f>
        <v>7.5258355428388617</v>
      </c>
    </row>
    <row r="194" spans="1:22">
      <c r="A194" t="s">
        <v>19</v>
      </c>
      <c r="B194" t="s">
        <v>14</v>
      </c>
      <c r="C194">
        <v>32</v>
      </c>
      <c r="D194" t="s">
        <v>15</v>
      </c>
      <c r="E194" t="s">
        <v>16</v>
      </c>
      <c r="F194" s="1">
        <v>44562</v>
      </c>
      <c r="G194">
        <v>10</v>
      </c>
      <c r="H194">
        <v>9</v>
      </c>
      <c r="I194">
        <v>9</v>
      </c>
      <c r="J194">
        <v>0</v>
      </c>
      <c r="K194">
        <v>1</v>
      </c>
      <c r="L194">
        <v>452</v>
      </c>
      <c r="M194">
        <v>30</v>
      </c>
      <c r="N194" s="1">
        <f t="shared" ref="N194:N257" si="24">MAX(F:F)</f>
        <v>44938</v>
      </c>
      <c r="O194" s="1">
        <f t="shared" ref="O194:O257" si="25">MIN(F:F)</f>
        <v>43101</v>
      </c>
      <c r="P194" s="1">
        <f t="shared" ref="P194:P257" si="26">DATE(YEAR(F194), DAY(F194), 1)</f>
        <v>44562</v>
      </c>
      <c r="Q194" s="8">
        <f t="shared" ref="Q194:Q257" si="27" xml:space="preserve"> IF(A194&lt;&gt;A193, 1, 0)</f>
        <v>0</v>
      </c>
      <c r="R194" s="8">
        <f t="shared" ref="R194:R257" si="28">IF(Q194=1,1,R193+1)</f>
        <v>49</v>
      </c>
      <c r="S194" s="8">
        <f t="shared" ref="S194:S257" ca="1" si="29" xml:space="preserve"> IF(Q194=1, IF(G194&gt;0, R194, 0), IF(G194&gt;0, R194, OFFSET(S194,-1,0)))</f>
        <v>49</v>
      </c>
      <c r="T194">
        <f t="shared" ref="T194:T257" ca="1" si="30" xml:space="preserve"> IF(Q194=1, IF(G194&gt;0, G194, 0), IF(G194&gt;0, $X$1*G194+(1-$X$1)*OFFSET(T194,-1,0), OFFSET(T194,-1,0)))</f>
        <v>8.1636148762581833</v>
      </c>
      <c r="U194" s="8">
        <f t="shared" ref="U194:U257" ca="1" si="31" xml:space="preserve"> IF(Q194=1, 1, IF(G194&gt;0, $X$1*(R194-OFFSET(S194,-1,0))+(1-$X$1)*OFFSET(U194,-1,0), OFFSET(U194,-1,0)))</f>
        <v>1.0189940958945234</v>
      </c>
      <c r="V194" s="8">
        <f ca="1">RawData[[#This Row],[Z (smoothed demand size)]]/RawData[[#This Row],[X (smoothed interval)]]</f>
        <v>8.011444726862484</v>
      </c>
    </row>
    <row r="195" spans="1:22">
      <c r="A195" t="s">
        <v>19</v>
      </c>
      <c r="B195" t="s">
        <v>14</v>
      </c>
      <c r="C195">
        <v>32</v>
      </c>
      <c r="D195" t="s">
        <v>15</v>
      </c>
      <c r="E195" t="s">
        <v>16</v>
      </c>
      <c r="F195" s="1">
        <v>44563</v>
      </c>
      <c r="G195">
        <v>9</v>
      </c>
      <c r="H195">
        <v>7</v>
      </c>
      <c r="I195">
        <v>7</v>
      </c>
      <c r="J195">
        <v>0</v>
      </c>
      <c r="K195">
        <v>1</v>
      </c>
      <c r="L195">
        <v>451</v>
      </c>
      <c r="M195">
        <v>15</v>
      </c>
      <c r="N195" s="1">
        <f t="shared" si="24"/>
        <v>44938</v>
      </c>
      <c r="O195" s="1">
        <f t="shared" si="25"/>
        <v>43101</v>
      </c>
      <c r="P195" s="1">
        <f t="shared" si="26"/>
        <v>44593</v>
      </c>
      <c r="Q195" s="8">
        <f t="shared" si="27"/>
        <v>0</v>
      </c>
      <c r="R195" s="8">
        <f t="shared" si="28"/>
        <v>50</v>
      </c>
      <c r="S195" s="8">
        <f t="shared" ca="1" si="29"/>
        <v>50</v>
      </c>
      <c r="T195">
        <f t="shared" ca="1" si="30"/>
        <v>8.330891901006547</v>
      </c>
      <c r="U195" s="8">
        <f t="shared" ca="1" si="31"/>
        <v>1.0151952767156187</v>
      </c>
      <c r="V195" s="8">
        <f ca="1">RawData[[#This Row],[Z (smoothed demand size)]]/RawData[[#This Row],[X (smoothed interval)]]</f>
        <v>8.2061964747893867</v>
      </c>
    </row>
    <row r="196" spans="1:22">
      <c r="A196" t="s">
        <v>19</v>
      </c>
      <c r="B196" t="s">
        <v>14</v>
      </c>
      <c r="C196">
        <v>32</v>
      </c>
      <c r="D196" t="s">
        <v>15</v>
      </c>
      <c r="E196" t="s">
        <v>16</v>
      </c>
      <c r="F196" s="1">
        <v>44564</v>
      </c>
      <c r="G196">
        <v>9</v>
      </c>
      <c r="H196">
        <v>7</v>
      </c>
      <c r="I196">
        <v>7</v>
      </c>
      <c r="J196">
        <v>0</v>
      </c>
      <c r="K196">
        <v>1</v>
      </c>
      <c r="L196">
        <v>438</v>
      </c>
      <c r="M196">
        <v>30</v>
      </c>
      <c r="N196" s="1">
        <f t="shared" si="24"/>
        <v>44938</v>
      </c>
      <c r="O196" s="1">
        <f t="shared" si="25"/>
        <v>43101</v>
      </c>
      <c r="P196" s="1">
        <f t="shared" si="26"/>
        <v>44621</v>
      </c>
      <c r="Q196" s="8">
        <f t="shared" si="27"/>
        <v>0</v>
      </c>
      <c r="R196" s="8">
        <f t="shared" si="28"/>
        <v>51</v>
      </c>
      <c r="S196" s="8">
        <f t="shared" ca="1" si="29"/>
        <v>51</v>
      </c>
      <c r="T196">
        <f t="shared" ca="1" si="30"/>
        <v>8.4647135208052386</v>
      </c>
      <c r="U196" s="8">
        <f t="shared" ca="1" si="31"/>
        <v>1.0121562213724951</v>
      </c>
      <c r="V196" s="8">
        <f ca="1">RawData[[#This Row],[Z (smoothed demand size)]]/RawData[[#This Row],[X (smoothed interval)]]</f>
        <v>8.3630504284476892</v>
      </c>
    </row>
    <row r="197" spans="1:22">
      <c r="A197" t="s">
        <v>19</v>
      </c>
      <c r="B197" t="s">
        <v>14</v>
      </c>
      <c r="C197">
        <v>32</v>
      </c>
      <c r="D197" t="s">
        <v>15</v>
      </c>
      <c r="E197" t="s">
        <v>16</v>
      </c>
      <c r="F197" s="1">
        <v>44565</v>
      </c>
      <c r="G197">
        <v>10</v>
      </c>
      <c r="H197">
        <v>8</v>
      </c>
      <c r="I197">
        <v>8</v>
      </c>
      <c r="J197">
        <v>0</v>
      </c>
      <c r="K197">
        <v>1</v>
      </c>
      <c r="L197">
        <v>446</v>
      </c>
      <c r="M197">
        <v>60</v>
      </c>
      <c r="N197" s="1">
        <f t="shared" si="24"/>
        <v>44938</v>
      </c>
      <c r="O197" s="1">
        <f t="shared" si="25"/>
        <v>43101</v>
      </c>
      <c r="P197" s="1">
        <f t="shared" si="26"/>
        <v>44652</v>
      </c>
      <c r="Q197" s="8">
        <f t="shared" si="27"/>
        <v>0</v>
      </c>
      <c r="R197" s="8">
        <f t="shared" si="28"/>
        <v>52</v>
      </c>
      <c r="S197" s="8">
        <f t="shared" ca="1" si="29"/>
        <v>52</v>
      </c>
      <c r="T197">
        <f t="shared" ca="1" si="30"/>
        <v>8.7717708166441923</v>
      </c>
      <c r="U197" s="8">
        <f t="shared" ca="1" si="31"/>
        <v>1.0097249770979961</v>
      </c>
      <c r="V197" s="8">
        <f ca="1">RawData[[#This Row],[Z (smoothed demand size)]]/RawData[[#This Row],[X (smoothed interval)]]</f>
        <v>8.6872871480853462</v>
      </c>
    </row>
    <row r="198" spans="1:22">
      <c r="A198" t="s">
        <v>19</v>
      </c>
      <c r="B198" t="s">
        <v>14</v>
      </c>
      <c r="C198">
        <v>32</v>
      </c>
      <c r="D198" t="s">
        <v>15</v>
      </c>
      <c r="E198" t="s">
        <v>16</v>
      </c>
      <c r="F198" s="1">
        <v>44566</v>
      </c>
      <c r="G198">
        <v>8</v>
      </c>
      <c r="H198">
        <v>0</v>
      </c>
      <c r="I198">
        <v>0</v>
      </c>
      <c r="J198">
        <v>0</v>
      </c>
      <c r="K198">
        <v>1</v>
      </c>
      <c r="L198">
        <v>450</v>
      </c>
      <c r="M198">
        <v>15</v>
      </c>
      <c r="N198" s="1">
        <f t="shared" si="24"/>
        <v>44938</v>
      </c>
      <c r="O198" s="1">
        <f t="shared" si="25"/>
        <v>43101</v>
      </c>
      <c r="P198" s="1">
        <f t="shared" si="26"/>
        <v>44682</v>
      </c>
      <c r="Q198" s="8">
        <f t="shared" si="27"/>
        <v>0</v>
      </c>
      <c r="R198" s="8">
        <f t="shared" si="28"/>
        <v>53</v>
      </c>
      <c r="S198" s="8">
        <f t="shared" ca="1" si="29"/>
        <v>53</v>
      </c>
      <c r="T198">
        <f t="shared" ca="1" si="30"/>
        <v>8.6174166533153542</v>
      </c>
      <c r="U198" s="8">
        <f t="shared" ca="1" si="31"/>
        <v>1.007779981678397</v>
      </c>
      <c r="V198" s="8">
        <f ca="1">RawData[[#This Row],[Z (smoothed demand size)]]/RawData[[#This Row],[X (smoothed interval)]]</f>
        <v>8.5508908789432034</v>
      </c>
    </row>
    <row r="199" spans="1:22">
      <c r="A199" t="s">
        <v>19</v>
      </c>
      <c r="B199" t="s">
        <v>14</v>
      </c>
      <c r="C199">
        <v>32</v>
      </c>
      <c r="D199" t="s">
        <v>15</v>
      </c>
      <c r="E199" t="s">
        <v>16</v>
      </c>
      <c r="F199" s="1">
        <v>44567</v>
      </c>
      <c r="G199">
        <v>9</v>
      </c>
      <c r="H199">
        <v>9</v>
      </c>
      <c r="I199">
        <v>12</v>
      </c>
      <c r="J199">
        <v>3</v>
      </c>
      <c r="K199">
        <v>0</v>
      </c>
      <c r="L199">
        <v>516</v>
      </c>
      <c r="M199">
        <v>60</v>
      </c>
      <c r="N199" s="1">
        <f t="shared" si="24"/>
        <v>44938</v>
      </c>
      <c r="O199" s="1">
        <f t="shared" si="25"/>
        <v>43101</v>
      </c>
      <c r="P199" s="1">
        <f t="shared" si="26"/>
        <v>44713</v>
      </c>
      <c r="Q199" s="8">
        <f t="shared" si="27"/>
        <v>0</v>
      </c>
      <c r="R199" s="8">
        <f t="shared" si="28"/>
        <v>54</v>
      </c>
      <c r="S199" s="8">
        <f t="shared" ca="1" si="29"/>
        <v>54</v>
      </c>
      <c r="T199">
        <f t="shared" ca="1" si="30"/>
        <v>8.6939333226522848</v>
      </c>
      <c r="U199" s="8">
        <f t="shared" ca="1" si="31"/>
        <v>1.0062239853427177</v>
      </c>
      <c r="V199" s="8">
        <f ca="1">RawData[[#This Row],[Z (smoothed demand size)]]/RawData[[#This Row],[X (smoothed interval)]]</f>
        <v>8.6401571114319538</v>
      </c>
    </row>
    <row r="200" spans="1:22">
      <c r="A200" t="s">
        <v>19</v>
      </c>
      <c r="B200" t="s">
        <v>14</v>
      </c>
      <c r="C200">
        <v>32</v>
      </c>
      <c r="D200" t="s">
        <v>15</v>
      </c>
      <c r="E200" t="s">
        <v>16</v>
      </c>
      <c r="F200" s="1">
        <v>44568</v>
      </c>
      <c r="G200">
        <v>10</v>
      </c>
      <c r="H200">
        <v>3</v>
      </c>
      <c r="I200">
        <v>3</v>
      </c>
      <c r="J200">
        <v>0</v>
      </c>
      <c r="K200">
        <v>1</v>
      </c>
      <c r="L200">
        <v>519</v>
      </c>
      <c r="M200">
        <v>30</v>
      </c>
      <c r="N200" s="1">
        <f t="shared" si="24"/>
        <v>44938</v>
      </c>
      <c r="O200" s="1">
        <f t="shared" si="25"/>
        <v>43101</v>
      </c>
      <c r="P200" s="1">
        <f t="shared" si="26"/>
        <v>44743</v>
      </c>
      <c r="Q200" s="8">
        <f t="shared" si="27"/>
        <v>0</v>
      </c>
      <c r="R200" s="8">
        <f t="shared" si="28"/>
        <v>55</v>
      </c>
      <c r="S200" s="8">
        <f t="shared" ca="1" si="29"/>
        <v>55</v>
      </c>
      <c r="T200">
        <f t="shared" ca="1" si="30"/>
        <v>8.9551466581218282</v>
      </c>
      <c r="U200" s="8">
        <f t="shared" ca="1" si="31"/>
        <v>1.0049791882741743</v>
      </c>
      <c r="V200" s="8">
        <f ca="1">RawData[[#This Row],[Z (smoothed demand size)]]/RawData[[#This Row],[X (smoothed interval)]]</f>
        <v>8.9107782157163662</v>
      </c>
    </row>
    <row r="201" spans="1:22">
      <c r="A201" t="s">
        <v>19</v>
      </c>
      <c r="B201" t="s">
        <v>14</v>
      </c>
      <c r="C201">
        <v>32</v>
      </c>
      <c r="D201" t="s">
        <v>15</v>
      </c>
      <c r="E201" t="s">
        <v>16</v>
      </c>
      <c r="F201" s="1">
        <v>44569</v>
      </c>
      <c r="G201">
        <v>9</v>
      </c>
      <c r="H201">
        <v>9</v>
      </c>
      <c r="I201">
        <v>10</v>
      </c>
      <c r="J201">
        <v>1</v>
      </c>
      <c r="K201">
        <v>0</v>
      </c>
      <c r="L201">
        <v>524</v>
      </c>
      <c r="M201">
        <v>30</v>
      </c>
      <c r="N201" s="1">
        <f t="shared" si="24"/>
        <v>44938</v>
      </c>
      <c r="O201" s="1">
        <f t="shared" si="25"/>
        <v>43101</v>
      </c>
      <c r="P201" s="1">
        <f t="shared" si="26"/>
        <v>44774</v>
      </c>
      <c r="Q201" s="8">
        <f t="shared" si="27"/>
        <v>0</v>
      </c>
      <c r="R201" s="8">
        <f t="shared" si="28"/>
        <v>56</v>
      </c>
      <c r="S201" s="8">
        <f t="shared" ca="1" si="29"/>
        <v>56</v>
      </c>
      <c r="T201">
        <f t="shared" ca="1" si="30"/>
        <v>8.9641173264974636</v>
      </c>
      <c r="U201" s="8">
        <f t="shared" ca="1" si="31"/>
        <v>1.0039833506193394</v>
      </c>
      <c r="V201" s="8">
        <f ca="1">RawData[[#This Row],[Z (smoothed demand size)]]/RawData[[#This Row],[X (smoothed interval)]]</f>
        <v>8.9285517742576701</v>
      </c>
    </row>
    <row r="202" spans="1:22">
      <c r="A202" t="s">
        <v>19</v>
      </c>
      <c r="B202" t="s">
        <v>14</v>
      </c>
      <c r="C202">
        <v>32</v>
      </c>
      <c r="D202" t="s">
        <v>15</v>
      </c>
      <c r="E202" t="s">
        <v>16</v>
      </c>
      <c r="F202" s="1">
        <v>44570</v>
      </c>
      <c r="G202">
        <v>5</v>
      </c>
      <c r="H202">
        <v>5</v>
      </c>
      <c r="I202">
        <v>10</v>
      </c>
      <c r="J202">
        <v>5</v>
      </c>
      <c r="K202">
        <v>0</v>
      </c>
      <c r="L202">
        <v>449</v>
      </c>
      <c r="M202">
        <v>15</v>
      </c>
      <c r="N202" s="1">
        <f t="shared" si="24"/>
        <v>44938</v>
      </c>
      <c r="O202" s="1">
        <f t="shared" si="25"/>
        <v>43101</v>
      </c>
      <c r="P202" s="1">
        <f t="shared" si="26"/>
        <v>44805</v>
      </c>
      <c r="Q202" s="8">
        <f t="shared" si="27"/>
        <v>0</v>
      </c>
      <c r="R202" s="8">
        <f t="shared" si="28"/>
        <v>57</v>
      </c>
      <c r="S202" s="8">
        <f t="shared" ca="1" si="29"/>
        <v>57</v>
      </c>
      <c r="T202">
        <f t="shared" ca="1" si="30"/>
        <v>8.1712938611979702</v>
      </c>
      <c r="U202" s="8">
        <f t="shared" ca="1" si="31"/>
        <v>1.0031866804954717</v>
      </c>
      <c r="V202" s="8">
        <f ca="1">RawData[[#This Row],[Z (smoothed demand size)]]/RawData[[#This Row],[X (smoothed interval)]]</f>
        <v>8.1453372737785816</v>
      </c>
    </row>
    <row r="203" spans="1:22">
      <c r="A203" t="s">
        <v>19</v>
      </c>
      <c r="B203" t="s">
        <v>14</v>
      </c>
      <c r="C203">
        <v>32</v>
      </c>
      <c r="D203" t="s">
        <v>15</v>
      </c>
      <c r="E203" t="s">
        <v>16</v>
      </c>
      <c r="F203" s="1">
        <v>44571</v>
      </c>
      <c r="G203">
        <v>7</v>
      </c>
      <c r="H203">
        <v>7</v>
      </c>
      <c r="I203">
        <v>17</v>
      </c>
      <c r="J203">
        <v>10</v>
      </c>
      <c r="K203">
        <v>0</v>
      </c>
      <c r="L203">
        <v>446</v>
      </c>
      <c r="M203">
        <v>15</v>
      </c>
      <c r="N203" s="1">
        <f t="shared" si="24"/>
        <v>44938</v>
      </c>
      <c r="O203" s="1">
        <f t="shared" si="25"/>
        <v>43101</v>
      </c>
      <c r="P203" s="1">
        <f t="shared" si="26"/>
        <v>44835</v>
      </c>
      <c r="Q203" s="8">
        <f t="shared" si="27"/>
        <v>0</v>
      </c>
      <c r="R203" s="8">
        <f t="shared" si="28"/>
        <v>58</v>
      </c>
      <c r="S203" s="8">
        <f t="shared" ca="1" si="29"/>
        <v>58</v>
      </c>
      <c r="T203">
        <f t="shared" ca="1" si="30"/>
        <v>7.9370350889583765</v>
      </c>
      <c r="U203" s="8">
        <f t="shared" ca="1" si="31"/>
        <v>1.0025493443963773</v>
      </c>
      <c r="V203" s="8">
        <f ca="1">RawData[[#This Row],[Z (smoothed demand size)]]/RawData[[#This Row],[X (smoothed interval)]]</f>
        <v>7.9168523058953948</v>
      </c>
    </row>
    <row r="204" spans="1:22">
      <c r="A204" t="s">
        <v>19</v>
      </c>
      <c r="B204" t="s">
        <v>14</v>
      </c>
      <c r="C204">
        <v>32</v>
      </c>
      <c r="D204" t="s">
        <v>15</v>
      </c>
      <c r="E204" t="s">
        <v>16</v>
      </c>
      <c r="F204" s="1">
        <v>44572</v>
      </c>
      <c r="G204">
        <v>4</v>
      </c>
      <c r="H204">
        <v>4</v>
      </c>
      <c r="I204">
        <v>10</v>
      </c>
      <c r="J204">
        <v>6</v>
      </c>
      <c r="K204">
        <v>0</v>
      </c>
      <c r="L204">
        <v>452</v>
      </c>
      <c r="M204">
        <v>15</v>
      </c>
      <c r="N204" s="1">
        <f t="shared" si="24"/>
        <v>44938</v>
      </c>
      <c r="O204" s="1">
        <f t="shared" si="25"/>
        <v>43101</v>
      </c>
      <c r="P204" s="1">
        <f t="shared" si="26"/>
        <v>44866</v>
      </c>
      <c r="Q204" s="8">
        <f t="shared" si="27"/>
        <v>0</v>
      </c>
      <c r="R204" s="8">
        <f t="shared" si="28"/>
        <v>59</v>
      </c>
      <c r="S204" s="8">
        <f t="shared" ca="1" si="29"/>
        <v>59</v>
      </c>
      <c r="T204">
        <f t="shared" ca="1" si="30"/>
        <v>7.1496280711667017</v>
      </c>
      <c r="U204" s="8">
        <f t="shared" ca="1" si="31"/>
        <v>1.0020394755171018</v>
      </c>
      <c r="V204" s="8">
        <f ca="1">RawData[[#This Row],[Z (smoothed demand size)]]/RawData[[#This Row],[X (smoothed interval)]]</f>
        <v>7.1350762578262108</v>
      </c>
    </row>
    <row r="205" spans="1:22">
      <c r="A205" t="s">
        <v>19</v>
      </c>
      <c r="B205" t="s">
        <v>14</v>
      </c>
      <c r="C205">
        <v>32</v>
      </c>
      <c r="D205" t="s">
        <v>15</v>
      </c>
      <c r="E205" t="s">
        <v>16</v>
      </c>
      <c r="F205" s="1">
        <v>44573</v>
      </c>
      <c r="G205">
        <v>11</v>
      </c>
      <c r="H205">
        <v>11</v>
      </c>
      <c r="I205">
        <v>14</v>
      </c>
      <c r="J205">
        <v>3</v>
      </c>
      <c r="K205">
        <v>0</v>
      </c>
      <c r="L205">
        <v>516</v>
      </c>
      <c r="M205">
        <v>15</v>
      </c>
      <c r="N205" s="1">
        <f t="shared" si="24"/>
        <v>44938</v>
      </c>
      <c r="O205" s="1">
        <f t="shared" si="25"/>
        <v>43101</v>
      </c>
      <c r="P205" s="1">
        <f t="shared" si="26"/>
        <v>44896</v>
      </c>
      <c r="Q205" s="8">
        <f t="shared" si="27"/>
        <v>0</v>
      </c>
      <c r="R205" s="8">
        <f t="shared" si="28"/>
        <v>60</v>
      </c>
      <c r="S205" s="8">
        <f t="shared" ca="1" si="29"/>
        <v>60</v>
      </c>
      <c r="T205">
        <f t="shared" ca="1" si="30"/>
        <v>7.9197024569333623</v>
      </c>
      <c r="U205" s="8">
        <f t="shared" ca="1" si="31"/>
        <v>1.0016315804136815</v>
      </c>
      <c r="V205" s="8">
        <f ca="1">RawData[[#This Row],[Z (smoothed demand size)]]/RawData[[#This Row],[X (smoothed interval)]]</f>
        <v>7.9068018738611103</v>
      </c>
    </row>
    <row r="206" spans="1:22">
      <c r="A206" t="s">
        <v>19</v>
      </c>
      <c r="B206" t="s">
        <v>14</v>
      </c>
      <c r="C206">
        <v>32</v>
      </c>
      <c r="D206" t="s">
        <v>15</v>
      </c>
      <c r="E206" t="s">
        <v>16</v>
      </c>
      <c r="F206" s="1">
        <v>44927</v>
      </c>
      <c r="G206">
        <v>3</v>
      </c>
      <c r="H206">
        <v>3</v>
      </c>
      <c r="I206">
        <v>10</v>
      </c>
      <c r="J206">
        <v>7</v>
      </c>
      <c r="K206">
        <v>0</v>
      </c>
      <c r="L206">
        <v>448</v>
      </c>
      <c r="M206">
        <v>30</v>
      </c>
      <c r="N206" s="1">
        <f t="shared" si="24"/>
        <v>44938</v>
      </c>
      <c r="O206" s="1">
        <f t="shared" si="25"/>
        <v>43101</v>
      </c>
      <c r="P206" s="1">
        <f t="shared" si="26"/>
        <v>44927</v>
      </c>
      <c r="Q206" s="8">
        <f t="shared" si="27"/>
        <v>0</v>
      </c>
      <c r="R206" s="8">
        <f t="shared" si="28"/>
        <v>61</v>
      </c>
      <c r="S206" s="8">
        <f t="shared" ca="1" si="29"/>
        <v>61</v>
      </c>
      <c r="T206">
        <f t="shared" ca="1" si="30"/>
        <v>6.9357619655466909</v>
      </c>
      <c r="U206" s="8">
        <f t="shared" ca="1" si="31"/>
        <v>1.0013052643309452</v>
      </c>
      <c r="V206" s="8">
        <f ca="1">RawData[[#This Row],[Z (smoothed demand size)]]/RawData[[#This Row],[X (smoothed interval)]]</f>
        <v>6.9267207640030204</v>
      </c>
    </row>
    <row r="207" spans="1:22">
      <c r="A207" t="s">
        <v>19</v>
      </c>
      <c r="B207" t="s">
        <v>14</v>
      </c>
      <c r="C207">
        <v>32</v>
      </c>
      <c r="D207" t="s">
        <v>15</v>
      </c>
      <c r="E207" t="s">
        <v>16</v>
      </c>
      <c r="F207" s="1">
        <v>44928</v>
      </c>
      <c r="G207">
        <v>16</v>
      </c>
      <c r="H207">
        <v>16</v>
      </c>
      <c r="I207">
        <v>16</v>
      </c>
      <c r="J207">
        <v>0</v>
      </c>
      <c r="K207">
        <v>0</v>
      </c>
      <c r="L207">
        <v>448</v>
      </c>
      <c r="M207">
        <v>15</v>
      </c>
      <c r="N207" s="1">
        <f t="shared" si="24"/>
        <v>44938</v>
      </c>
      <c r="O207" s="1">
        <f t="shared" si="25"/>
        <v>43101</v>
      </c>
      <c r="P207" s="1">
        <f t="shared" si="26"/>
        <v>44958</v>
      </c>
      <c r="Q207" s="8">
        <f t="shared" si="27"/>
        <v>0</v>
      </c>
      <c r="R207" s="8">
        <f t="shared" si="28"/>
        <v>62</v>
      </c>
      <c r="S207" s="8">
        <f t="shared" ca="1" si="29"/>
        <v>62</v>
      </c>
      <c r="T207">
        <f t="shared" ca="1" si="30"/>
        <v>8.7486095724373527</v>
      </c>
      <c r="U207" s="8">
        <f t="shared" ca="1" si="31"/>
        <v>1.0010442114647562</v>
      </c>
      <c r="V207" s="8">
        <f ca="1">RawData[[#This Row],[Z (smoothed demand size)]]/RawData[[#This Row],[X (smoothed interval)]]</f>
        <v>8.7394837033582569</v>
      </c>
    </row>
    <row r="208" spans="1:22">
      <c r="A208" t="s">
        <v>19</v>
      </c>
      <c r="B208" t="s">
        <v>14</v>
      </c>
      <c r="C208">
        <v>32</v>
      </c>
      <c r="D208" t="s">
        <v>15</v>
      </c>
      <c r="E208" t="s">
        <v>16</v>
      </c>
      <c r="F208" s="1">
        <v>44929</v>
      </c>
      <c r="G208">
        <v>9</v>
      </c>
      <c r="H208">
        <v>9</v>
      </c>
      <c r="I208">
        <v>11</v>
      </c>
      <c r="J208">
        <v>2</v>
      </c>
      <c r="K208">
        <v>0</v>
      </c>
      <c r="L208">
        <v>459</v>
      </c>
      <c r="M208">
        <v>60</v>
      </c>
      <c r="N208" s="1">
        <f t="shared" si="24"/>
        <v>44938</v>
      </c>
      <c r="O208" s="1">
        <f t="shared" si="25"/>
        <v>43101</v>
      </c>
      <c r="P208" s="1">
        <f t="shared" si="26"/>
        <v>44986</v>
      </c>
      <c r="Q208" s="8">
        <f t="shared" si="27"/>
        <v>0</v>
      </c>
      <c r="R208" s="8">
        <f t="shared" si="28"/>
        <v>63</v>
      </c>
      <c r="S208" s="8">
        <f t="shared" ca="1" si="29"/>
        <v>63</v>
      </c>
      <c r="T208">
        <f t="shared" ca="1" si="30"/>
        <v>8.7988876579498836</v>
      </c>
      <c r="U208" s="8">
        <f t="shared" ca="1" si="31"/>
        <v>1.000835369171805</v>
      </c>
      <c r="V208" s="8">
        <f ca="1">RawData[[#This Row],[Z (smoothed demand size)]]/RawData[[#This Row],[X (smoothed interval)]]</f>
        <v>8.7915434735594875</v>
      </c>
    </row>
    <row r="209" spans="1:22">
      <c r="A209" t="s">
        <v>19</v>
      </c>
      <c r="B209" t="s">
        <v>14</v>
      </c>
      <c r="C209">
        <v>32</v>
      </c>
      <c r="D209" t="s">
        <v>15</v>
      </c>
      <c r="E209" t="s">
        <v>16</v>
      </c>
      <c r="F209" s="1">
        <v>44930</v>
      </c>
      <c r="G209">
        <v>10</v>
      </c>
      <c r="H209">
        <v>2</v>
      </c>
      <c r="I209">
        <v>2</v>
      </c>
      <c r="J209">
        <v>0</v>
      </c>
      <c r="K209">
        <v>1</v>
      </c>
      <c r="L209">
        <v>439</v>
      </c>
      <c r="M209">
        <v>45</v>
      </c>
      <c r="N209" s="1">
        <f t="shared" si="24"/>
        <v>44938</v>
      </c>
      <c r="O209" s="1">
        <f t="shared" si="25"/>
        <v>43101</v>
      </c>
      <c r="P209" s="1">
        <f t="shared" si="26"/>
        <v>45017</v>
      </c>
      <c r="Q209" s="8">
        <f t="shared" si="27"/>
        <v>0</v>
      </c>
      <c r="R209" s="8">
        <f t="shared" si="28"/>
        <v>64</v>
      </c>
      <c r="S209" s="8">
        <f t="shared" ca="1" si="29"/>
        <v>64</v>
      </c>
      <c r="T209">
        <f t="shared" ca="1" si="30"/>
        <v>9.0391101263599083</v>
      </c>
      <c r="U209" s="8">
        <f t="shared" ca="1" si="31"/>
        <v>1.0006682953374442</v>
      </c>
      <c r="V209" s="8">
        <f ca="1">RawData[[#This Row],[Z (smoothed demand size)]]/RawData[[#This Row],[X (smoothed interval)]]</f>
        <v>9.0330733655469224</v>
      </c>
    </row>
    <row r="210" spans="1:22">
      <c r="A210" t="s">
        <v>19</v>
      </c>
      <c r="B210" t="s">
        <v>14</v>
      </c>
      <c r="C210">
        <v>32</v>
      </c>
      <c r="D210" t="s">
        <v>15</v>
      </c>
      <c r="E210" t="s">
        <v>16</v>
      </c>
      <c r="F210" s="1">
        <v>44931</v>
      </c>
      <c r="G210">
        <v>13</v>
      </c>
      <c r="H210">
        <v>11</v>
      </c>
      <c r="I210">
        <v>11</v>
      </c>
      <c r="J210">
        <v>0</v>
      </c>
      <c r="K210">
        <v>1</v>
      </c>
      <c r="L210">
        <v>447</v>
      </c>
      <c r="M210">
        <v>60</v>
      </c>
      <c r="N210" s="1">
        <f t="shared" si="24"/>
        <v>44938</v>
      </c>
      <c r="O210" s="1">
        <f t="shared" si="25"/>
        <v>43101</v>
      </c>
      <c r="P210" s="1">
        <f t="shared" si="26"/>
        <v>45047</v>
      </c>
      <c r="Q210" s="8">
        <f t="shared" si="27"/>
        <v>0</v>
      </c>
      <c r="R210" s="8">
        <f t="shared" si="28"/>
        <v>65</v>
      </c>
      <c r="S210" s="8">
        <f t="shared" ca="1" si="29"/>
        <v>65</v>
      </c>
      <c r="T210">
        <f t="shared" ca="1" si="30"/>
        <v>9.8312881010879263</v>
      </c>
      <c r="U210" s="8">
        <f t="shared" ca="1" si="31"/>
        <v>1.0005346362699554</v>
      </c>
      <c r="V210" s="8">
        <f ca="1">RawData[[#This Row],[Z (smoothed demand size)]]/RawData[[#This Row],[X (smoothed interval)]]</f>
        <v>9.826034746522593</v>
      </c>
    </row>
    <row r="211" spans="1:22">
      <c r="A211" t="s">
        <v>19</v>
      </c>
      <c r="B211" t="s">
        <v>14</v>
      </c>
      <c r="C211">
        <v>32</v>
      </c>
      <c r="D211" t="s">
        <v>15</v>
      </c>
      <c r="E211" t="s">
        <v>16</v>
      </c>
      <c r="F211" s="1">
        <v>44932</v>
      </c>
      <c r="G211">
        <v>9</v>
      </c>
      <c r="H211">
        <v>0</v>
      </c>
      <c r="I211">
        <v>0</v>
      </c>
      <c r="J211">
        <v>0</v>
      </c>
      <c r="K211">
        <v>1</v>
      </c>
      <c r="L211">
        <v>517</v>
      </c>
      <c r="M211">
        <v>30</v>
      </c>
      <c r="N211" s="1">
        <f t="shared" si="24"/>
        <v>44938</v>
      </c>
      <c r="O211" s="1">
        <f t="shared" si="25"/>
        <v>43101</v>
      </c>
      <c r="P211" s="1">
        <f t="shared" si="26"/>
        <v>45078</v>
      </c>
      <c r="Q211" s="8">
        <f t="shared" si="27"/>
        <v>0</v>
      </c>
      <c r="R211" s="8">
        <f t="shared" si="28"/>
        <v>66</v>
      </c>
      <c r="S211" s="8">
        <f t="shared" ca="1" si="29"/>
        <v>66</v>
      </c>
      <c r="T211">
        <f t="shared" ca="1" si="30"/>
        <v>9.6650304808703424</v>
      </c>
      <c r="U211" s="8">
        <f t="shared" ca="1" si="31"/>
        <v>1.0004277090159643</v>
      </c>
      <c r="V211" s="8">
        <f ca="1">RawData[[#This Row],[Z (smoothed demand size)]]/RawData[[#This Row],[X (smoothed interval)]]</f>
        <v>9.6608984275105811</v>
      </c>
    </row>
    <row r="212" spans="1:22">
      <c r="A212" t="s">
        <v>19</v>
      </c>
      <c r="B212" t="s">
        <v>14</v>
      </c>
      <c r="C212">
        <v>32</v>
      </c>
      <c r="D212" t="s">
        <v>15</v>
      </c>
      <c r="E212" t="s">
        <v>16</v>
      </c>
      <c r="F212" s="1">
        <v>44933</v>
      </c>
      <c r="G212">
        <v>9</v>
      </c>
      <c r="H212">
        <v>9</v>
      </c>
      <c r="I212">
        <v>9</v>
      </c>
      <c r="J212">
        <v>0</v>
      </c>
      <c r="K212">
        <v>0</v>
      </c>
      <c r="L212">
        <v>512</v>
      </c>
      <c r="M212">
        <v>15</v>
      </c>
      <c r="N212" s="1">
        <f t="shared" si="24"/>
        <v>44938</v>
      </c>
      <c r="O212" s="1">
        <f t="shared" si="25"/>
        <v>43101</v>
      </c>
      <c r="P212" s="1">
        <f t="shared" si="26"/>
        <v>45108</v>
      </c>
      <c r="Q212" s="8">
        <f t="shared" si="27"/>
        <v>0</v>
      </c>
      <c r="R212" s="8">
        <f t="shared" si="28"/>
        <v>67</v>
      </c>
      <c r="S212" s="8">
        <f t="shared" ca="1" si="29"/>
        <v>67</v>
      </c>
      <c r="T212">
        <f t="shared" ca="1" si="30"/>
        <v>9.5320243846962747</v>
      </c>
      <c r="U212" s="8">
        <f t="shared" ca="1" si="31"/>
        <v>1.0003421672127715</v>
      </c>
      <c r="V212" s="8">
        <f ca="1">RawData[[#This Row],[Z (smoothed demand size)]]/RawData[[#This Row],[X (smoothed interval)]]</f>
        <v>9.5287639540929447</v>
      </c>
    </row>
    <row r="213" spans="1:22">
      <c r="A213" t="s">
        <v>19</v>
      </c>
      <c r="B213" t="s">
        <v>14</v>
      </c>
      <c r="C213">
        <v>32</v>
      </c>
      <c r="D213" t="s">
        <v>15</v>
      </c>
      <c r="E213" t="s">
        <v>16</v>
      </c>
      <c r="F213" s="1">
        <v>44934</v>
      </c>
      <c r="G213">
        <v>10</v>
      </c>
      <c r="H213">
        <v>10</v>
      </c>
      <c r="I213">
        <v>11</v>
      </c>
      <c r="J213">
        <v>1</v>
      </c>
      <c r="K213">
        <v>0</v>
      </c>
      <c r="L213">
        <v>521</v>
      </c>
      <c r="M213">
        <v>15</v>
      </c>
      <c r="N213" s="1">
        <f t="shared" si="24"/>
        <v>44938</v>
      </c>
      <c r="O213" s="1">
        <f t="shared" si="25"/>
        <v>43101</v>
      </c>
      <c r="P213" s="1">
        <f t="shared" si="26"/>
        <v>45139</v>
      </c>
      <c r="Q213" s="8">
        <f t="shared" si="27"/>
        <v>0</v>
      </c>
      <c r="R213" s="8">
        <f t="shared" si="28"/>
        <v>68</v>
      </c>
      <c r="S213" s="8">
        <f t="shared" ca="1" si="29"/>
        <v>68</v>
      </c>
      <c r="T213">
        <f t="shared" ca="1" si="30"/>
        <v>9.625619507757019</v>
      </c>
      <c r="U213" s="8">
        <f t="shared" ca="1" si="31"/>
        <v>1.0002737337702172</v>
      </c>
      <c r="V213" s="8">
        <f ca="1">RawData[[#This Row],[Z (smoothed demand size)]]/RawData[[#This Row],[X (smoothed interval)]]</f>
        <v>9.622985371690481</v>
      </c>
    </row>
    <row r="214" spans="1:22">
      <c r="A214" t="s">
        <v>19</v>
      </c>
      <c r="B214" t="s">
        <v>14</v>
      </c>
      <c r="C214">
        <v>32</v>
      </c>
      <c r="D214" t="s">
        <v>15</v>
      </c>
      <c r="E214" t="s">
        <v>16</v>
      </c>
      <c r="F214" s="1">
        <v>44935</v>
      </c>
      <c r="G214">
        <v>0</v>
      </c>
      <c r="H214">
        <v>0</v>
      </c>
      <c r="I214">
        <v>11</v>
      </c>
      <c r="J214">
        <v>11</v>
      </c>
      <c r="K214">
        <v>0</v>
      </c>
      <c r="L214">
        <v>453</v>
      </c>
      <c r="M214">
        <v>60</v>
      </c>
      <c r="N214" s="1">
        <f t="shared" si="24"/>
        <v>44938</v>
      </c>
      <c r="O214" s="1">
        <f t="shared" si="25"/>
        <v>43101</v>
      </c>
      <c r="P214" s="1">
        <f t="shared" si="26"/>
        <v>45170</v>
      </c>
      <c r="Q214" s="8">
        <f t="shared" si="27"/>
        <v>0</v>
      </c>
      <c r="R214" s="8">
        <f t="shared" si="28"/>
        <v>69</v>
      </c>
      <c r="S214" s="8">
        <f t="shared" ca="1" si="29"/>
        <v>68</v>
      </c>
      <c r="T214">
        <f t="shared" ca="1" si="30"/>
        <v>9.625619507757019</v>
      </c>
      <c r="U214" s="8">
        <f t="shared" ca="1" si="31"/>
        <v>1.0002737337702172</v>
      </c>
      <c r="V214" s="8">
        <f ca="1">RawData[[#This Row],[Z (smoothed demand size)]]/RawData[[#This Row],[X (smoothed interval)]]</f>
        <v>9.622985371690481</v>
      </c>
    </row>
    <row r="215" spans="1:22">
      <c r="A215" t="s">
        <v>19</v>
      </c>
      <c r="B215" t="s">
        <v>14</v>
      </c>
      <c r="C215">
        <v>32</v>
      </c>
      <c r="D215" t="s">
        <v>15</v>
      </c>
      <c r="E215" t="s">
        <v>16</v>
      </c>
      <c r="F215" s="1">
        <v>44936</v>
      </c>
      <c r="G215">
        <v>13</v>
      </c>
      <c r="H215">
        <v>11</v>
      </c>
      <c r="I215">
        <v>11</v>
      </c>
      <c r="J215">
        <v>0</v>
      </c>
      <c r="K215">
        <v>1</v>
      </c>
      <c r="L215">
        <v>449</v>
      </c>
      <c r="M215">
        <v>15</v>
      </c>
      <c r="N215" s="1">
        <f t="shared" si="24"/>
        <v>44938</v>
      </c>
      <c r="O215" s="1">
        <f t="shared" si="25"/>
        <v>43101</v>
      </c>
      <c r="P215" s="1">
        <f t="shared" si="26"/>
        <v>45200</v>
      </c>
      <c r="Q215" s="8">
        <f t="shared" si="27"/>
        <v>0</v>
      </c>
      <c r="R215" s="8">
        <f t="shared" si="28"/>
        <v>70</v>
      </c>
      <c r="S215" s="8">
        <f t="shared" ca="1" si="29"/>
        <v>70</v>
      </c>
      <c r="T215">
        <f t="shared" ca="1" si="30"/>
        <v>10.300495606205615</v>
      </c>
      <c r="U215" s="8">
        <f t="shared" ca="1" si="31"/>
        <v>1.2002189870161737</v>
      </c>
      <c r="V215" s="8">
        <f ca="1">RawData[[#This Row],[Z (smoothed demand size)]]/RawData[[#This Row],[X (smoothed interval)]]</f>
        <v>8.5821801834791422</v>
      </c>
    </row>
    <row r="216" spans="1:22">
      <c r="A216" t="s">
        <v>19</v>
      </c>
      <c r="B216" t="s">
        <v>14</v>
      </c>
      <c r="C216">
        <v>32</v>
      </c>
      <c r="D216" t="s">
        <v>15</v>
      </c>
      <c r="E216" t="s">
        <v>16</v>
      </c>
      <c r="F216" s="1">
        <v>44937</v>
      </c>
      <c r="G216">
        <v>3</v>
      </c>
      <c r="H216">
        <v>3</v>
      </c>
      <c r="I216">
        <v>10</v>
      </c>
      <c r="J216">
        <v>7</v>
      </c>
      <c r="K216">
        <v>0</v>
      </c>
      <c r="L216">
        <v>448</v>
      </c>
      <c r="M216">
        <v>30</v>
      </c>
      <c r="N216" s="1">
        <f t="shared" si="24"/>
        <v>44938</v>
      </c>
      <c r="O216" s="1">
        <f t="shared" si="25"/>
        <v>43101</v>
      </c>
      <c r="P216" s="1">
        <f t="shared" si="26"/>
        <v>45231</v>
      </c>
      <c r="Q216" s="8">
        <f t="shared" si="27"/>
        <v>0</v>
      </c>
      <c r="R216" s="8">
        <f t="shared" si="28"/>
        <v>71</v>
      </c>
      <c r="S216" s="8">
        <f t="shared" ca="1" si="29"/>
        <v>71</v>
      </c>
      <c r="T216">
        <f t="shared" ca="1" si="30"/>
        <v>8.8403964849644918</v>
      </c>
      <c r="U216" s="8">
        <f t="shared" ca="1" si="31"/>
        <v>1.1601751896129391</v>
      </c>
      <c r="V216" s="8">
        <f ca="1">RawData[[#This Row],[Z (smoothed demand size)]]/RawData[[#This Row],[X (smoothed interval)]]</f>
        <v>7.6198806560532031</v>
      </c>
    </row>
    <row r="217" spans="1:22">
      <c r="A217" t="s">
        <v>19</v>
      </c>
      <c r="B217" t="s">
        <v>14</v>
      </c>
      <c r="C217">
        <v>32</v>
      </c>
      <c r="D217" t="s">
        <v>15</v>
      </c>
      <c r="E217" t="s">
        <v>16</v>
      </c>
      <c r="F217" s="1">
        <v>44938</v>
      </c>
      <c r="G217">
        <v>4</v>
      </c>
      <c r="H217">
        <v>4</v>
      </c>
      <c r="I217">
        <v>16</v>
      </c>
      <c r="J217">
        <v>12</v>
      </c>
      <c r="K217">
        <v>0</v>
      </c>
      <c r="L217">
        <v>516</v>
      </c>
      <c r="M217">
        <v>45</v>
      </c>
      <c r="N217" s="1">
        <f t="shared" si="24"/>
        <v>44938</v>
      </c>
      <c r="O217" s="1">
        <f t="shared" si="25"/>
        <v>43101</v>
      </c>
      <c r="P217" s="1">
        <f t="shared" si="26"/>
        <v>45261</v>
      </c>
      <c r="Q217" s="8">
        <f t="shared" si="27"/>
        <v>0</v>
      </c>
      <c r="R217" s="8">
        <f t="shared" si="28"/>
        <v>72</v>
      </c>
      <c r="S217" s="8">
        <f t="shared" ca="1" si="29"/>
        <v>72</v>
      </c>
      <c r="T217">
        <f t="shared" ca="1" si="30"/>
        <v>7.8723171879715936</v>
      </c>
      <c r="U217" s="8">
        <f t="shared" ca="1" si="31"/>
        <v>1.1281401516903513</v>
      </c>
      <c r="V217" s="8">
        <f ca="1">RawData[[#This Row],[Z (smoothed demand size)]]/RawData[[#This Row],[X (smoothed interval)]]</f>
        <v>6.9781375799594487</v>
      </c>
    </row>
    <row r="218" spans="1:22">
      <c r="A218" t="s">
        <v>20</v>
      </c>
      <c r="B218" t="s">
        <v>14</v>
      </c>
      <c r="C218">
        <v>28</v>
      </c>
      <c r="D218" t="s">
        <v>15</v>
      </c>
      <c r="E218" t="s">
        <v>16</v>
      </c>
      <c r="F218" s="1">
        <v>43101</v>
      </c>
      <c r="G218">
        <v>5</v>
      </c>
      <c r="H218">
        <v>5</v>
      </c>
      <c r="I218">
        <v>19</v>
      </c>
      <c r="J218">
        <v>14</v>
      </c>
      <c r="K218">
        <v>0</v>
      </c>
      <c r="L218">
        <v>703</v>
      </c>
      <c r="M218">
        <v>30</v>
      </c>
      <c r="N218" s="1">
        <f t="shared" si="24"/>
        <v>44938</v>
      </c>
      <c r="O218" s="1">
        <f t="shared" si="25"/>
        <v>43101</v>
      </c>
      <c r="P218" s="1">
        <f t="shared" si="26"/>
        <v>43101</v>
      </c>
      <c r="Q218" s="8">
        <f t="shared" si="27"/>
        <v>1</v>
      </c>
      <c r="R218" s="8">
        <f t="shared" si="28"/>
        <v>1</v>
      </c>
      <c r="S218" s="8">
        <f t="shared" ca="1" si="29"/>
        <v>1</v>
      </c>
      <c r="T218">
        <f t="shared" ca="1" si="30"/>
        <v>5</v>
      </c>
      <c r="U218" s="8">
        <f t="shared" ca="1" si="31"/>
        <v>1</v>
      </c>
      <c r="V218" s="8">
        <f ca="1">RawData[[#This Row],[Z (smoothed demand size)]]/RawData[[#This Row],[X (smoothed interval)]]</f>
        <v>5</v>
      </c>
    </row>
    <row r="219" spans="1:22">
      <c r="A219" t="s">
        <v>20</v>
      </c>
      <c r="B219" t="s">
        <v>14</v>
      </c>
      <c r="C219">
        <v>28</v>
      </c>
      <c r="D219" t="s">
        <v>15</v>
      </c>
      <c r="E219" t="s">
        <v>16</v>
      </c>
      <c r="F219" s="1">
        <v>43102</v>
      </c>
      <c r="G219">
        <v>5</v>
      </c>
      <c r="H219">
        <v>5</v>
      </c>
      <c r="I219">
        <v>14</v>
      </c>
      <c r="J219">
        <v>9</v>
      </c>
      <c r="K219">
        <v>0</v>
      </c>
      <c r="L219">
        <v>705</v>
      </c>
      <c r="M219">
        <v>15</v>
      </c>
      <c r="N219" s="1">
        <f t="shared" si="24"/>
        <v>44938</v>
      </c>
      <c r="O219" s="1">
        <f t="shared" si="25"/>
        <v>43101</v>
      </c>
      <c r="P219" s="1">
        <f t="shared" si="26"/>
        <v>43132</v>
      </c>
      <c r="Q219" s="8">
        <f t="shared" si="27"/>
        <v>0</v>
      </c>
      <c r="R219" s="8">
        <f t="shared" si="28"/>
        <v>2</v>
      </c>
      <c r="S219" s="8">
        <f t="shared" ca="1" si="29"/>
        <v>2</v>
      </c>
      <c r="T219">
        <f t="shared" ca="1" si="30"/>
        <v>5</v>
      </c>
      <c r="U219" s="8">
        <f t="shared" ca="1" si="31"/>
        <v>1</v>
      </c>
      <c r="V219" s="8">
        <f ca="1">RawData[[#This Row],[Z (smoothed demand size)]]/RawData[[#This Row],[X (smoothed interval)]]</f>
        <v>5</v>
      </c>
    </row>
    <row r="220" spans="1:22">
      <c r="A220" t="s">
        <v>20</v>
      </c>
      <c r="B220" t="s">
        <v>14</v>
      </c>
      <c r="C220">
        <v>28</v>
      </c>
      <c r="D220" t="s">
        <v>15</v>
      </c>
      <c r="E220" t="s">
        <v>16</v>
      </c>
      <c r="F220" s="1">
        <v>43103</v>
      </c>
      <c r="G220">
        <v>0</v>
      </c>
      <c r="H220">
        <v>0</v>
      </c>
      <c r="I220">
        <v>9</v>
      </c>
      <c r="J220">
        <v>9</v>
      </c>
      <c r="K220">
        <v>0</v>
      </c>
      <c r="L220">
        <v>702</v>
      </c>
      <c r="M220">
        <v>30</v>
      </c>
      <c r="N220" s="1">
        <f t="shared" si="24"/>
        <v>44938</v>
      </c>
      <c r="O220" s="1">
        <f t="shared" si="25"/>
        <v>43101</v>
      </c>
      <c r="P220" s="1">
        <f t="shared" si="26"/>
        <v>43160</v>
      </c>
      <c r="Q220" s="8">
        <f t="shared" si="27"/>
        <v>0</v>
      </c>
      <c r="R220" s="8">
        <f t="shared" si="28"/>
        <v>3</v>
      </c>
      <c r="S220" s="8">
        <f t="shared" ca="1" si="29"/>
        <v>2</v>
      </c>
      <c r="T220">
        <f t="shared" ca="1" si="30"/>
        <v>5</v>
      </c>
      <c r="U220" s="8">
        <f t="shared" ca="1" si="31"/>
        <v>1</v>
      </c>
      <c r="V220" s="8">
        <f ca="1">RawData[[#This Row],[Z (smoothed demand size)]]/RawData[[#This Row],[X (smoothed interval)]]</f>
        <v>5</v>
      </c>
    </row>
    <row r="221" spans="1:22">
      <c r="A221" t="s">
        <v>20</v>
      </c>
      <c r="B221" t="s">
        <v>14</v>
      </c>
      <c r="C221">
        <v>28</v>
      </c>
      <c r="D221" t="s">
        <v>15</v>
      </c>
      <c r="E221" t="s">
        <v>16</v>
      </c>
      <c r="F221" s="1">
        <v>43104</v>
      </c>
      <c r="G221">
        <v>4</v>
      </c>
      <c r="H221">
        <v>4</v>
      </c>
      <c r="I221">
        <v>9</v>
      </c>
      <c r="J221">
        <v>5</v>
      </c>
      <c r="K221">
        <v>0</v>
      </c>
      <c r="L221">
        <v>704</v>
      </c>
      <c r="M221">
        <v>45</v>
      </c>
      <c r="N221" s="1">
        <f t="shared" si="24"/>
        <v>44938</v>
      </c>
      <c r="O221" s="1">
        <f t="shared" si="25"/>
        <v>43101</v>
      </c>
      <c r="P221" s="1">
        <f t="shared" si="26"/>
        <v>43191</v>
      </c>
      <c r="Q221" s="8">
        <f t="shared" si="27"/>
        <v>0</v>
      </c>
      <c r="R221" s="8">
        <f t="shared" si="28"/>
        <v>4</v>
      </c>
      <c r="S221" s="8">
        <f t="shared" ca="1" si="29"/>
        <v>4</v>
      </c>
      <c r="T221">
        <f t="shared" ca="1" si="30"/>
        <v>4.8</v>
      </c>
      <c r="U221" s="8">
        <f t="shared" ca="1" si="31"/>
        <v>1.2000000000000002</v>
      </c>
      <c r="V221" s="8">
        <f ca="1">RawData[[#This Row],[Z (smoothed demand size)]]/RawData[[#This Row],[X (smoothed interval)]]</f>
        <v>3.9999999999999991</v>
      </c>
    </row>
    <row r="222" spans="1:22">
      <c r="A222" t="s">
        <v>20</v>
      </c>
      <c r="B222" t="s">
        <v>14</v>
      </c>
      <c r="C222">
        <v>28</v>
      </c>
      <c r="D222" t="s">
        <v>15</v>
      </c>
      <c r="E222" t="s">
        <v>16</v>
      </c>
      <c r="F222" s="1">
        <v>43105</v>
      </c>
      <c r="G222">
        <v>9</v>
      </c>
      <c r="H222">
        <v>5</v>
      </c>
      <c r="I222">
        <v>5</v>
      </c>
      <c r="J222">
        <v>0</v>
      </c>
      <c r="K222">
        <v>1</v>
      </c>
      <c r="L222">
        <v>722</v>
      </c>
      <c r="M222">
        <v>15</v>
      </c>
      <c r="N222" s="1">
        <f t="shared" si="24"/>
        <v>44938</v>
      </c>
      <c r="O222" s="1">
        <f t="shared" si="25"/>
        <v>43101</v>
      </c>
      <c r="P222" s="1">
        <f t="shared" si="26"/>
        <v>43221</v>
      </c>
      <c r="Q222" s="8">
        <f t="shared" si="27"/>
        <v>0</v>
      </c>
      <c r="R222" s="8">
        <f t="shared" si="28"/>
        <v>5</v>
      </c>
      <c r="S222" s="8">
        <f t="shared" ca="1" si="29"/>
        <v>5</v>
      </c>
      <c r="T222">
        <f t="shared" ca="1" si="30"/>
        <v>5.64</v>
      </c>
      <c r="U222" s="8">
        <f t="shared" ca="1" si="31"/>
        <v>1.1600000000000001</v>
      </c>
      <c r="V222" s="8">
        <f ca="1">RawData[[#This Row],[Z (smoothed demand size)]]/RawData[[#This Row],[X (smoothed interval)]]</f>
        <v>4.8620689655172402</v>
      </c>
    </row>
    <row r="223" spans="1:22">
      <c r="A223" t="s">
        <v>20</v>
      </c>
      <c r="B223" t="s">
        <v>14</v>
      </c>
      <c r="C223">
        <v>28</v>
      </c>
      <c r="D223" t="s">
        <v>15</v>
      </c>
      <c r="E223" t="s">
        <v>16</v>
      </c>
      <c r="F223" s="1">
        <v>43106</v>
      </c>
      <c r="G223">
        <v>7</v>
      </c>
      <c r="H223">
        <v>7</v>
      </c>
      <c r="I223">
        <v>9</v>
      </c>
      <c r="J223">
        <v>2</v>
      </c>
      <c r="K223">
        <v>0</v>
      </c>
      <c r="L223">
        <v>813</v>
      </c>
      <c r="M223">
        <v>30</v>
      </c>
      <c r="N223" s="1">
        <f t="shared" si="24"/>
        <v>44938</v>
      </c>
      <c r="O223" s="1">
        <f t="shared" si="25"/>
        <v>43101</v>
      </c>
      <c r="P223" s="1">
        <f t="shared" si="26"/>
        <v>43252</v>
      </c>
      <c r="Q223" s="8">
        <f t="shared" si="27"/>
        <v>0</v>
      </c>
      <c r="R223" s="8">
        <f t="shared" si="28"/>
        <v>6</v>
      </c>
      <c r="S223" s="8">
        <f t="shared" ca="1" si="29"/>
        <v>6</v>
      </c>
      <c r="T223">
        <f t="shared" ca="1" si="30"/>
        <v>5.9119999999999999</v>
      </c>
      <c r="U223" s="8">
        <f t="shared" ca="1" si="31"/>
        <v>1.1280000000000001</v>
      </c>
      <c r="V223" s="8">
        <f ca="1">RawData[[#This Row],[Z (smoothed demand size)]]/RawData[[#This Row],[X (smoothed interval)]]</f>
        <v>5.2411347517730489</v>
      </c>
    </row>
    <row r="224" spans="1:22">
      <c r="A224" t="s">
        <v>20</v>
      </c>
      <c r="B224" t="s">
        <v>14</v>
      </c>
      <c r="C224">
        <v>28</v>
      </c>
      <c r="D224" t="s">
        <v>15</v>
      </c>
      <c r="E224" t="s">
        <v>16</v>
      </c>
      <c r="F224" s="1">
        <v>43107</v>
      </c>
      <c r="G224">
        <v>13</v>
      </c>
      <c r="H224">
        <v>12</v>
      </c>
      <c r="I224">
        <v>12</v>
      </c>
      <c r="J224">
        <v>0</v>
      </c>
      <c r="K224">
        <v>1</v>
      </c>
      <c r="L224">
        <v>823</v>
      </c>
      <c r="M224">
        <v>60</v>
      </c>
      <c r="N224" s="1">
        <f t="shared" si="24"/>
        <v>44938</v>
      </c>
      <c r="O224" s="1">
        <f t="shared" si="25"/>
        <v>43101</v>
      </c>
      <c r="P224" s="1">
        <f t="shared" si="26"/>
        <v>43282</v>
      </c>
      <c r="Q224" s="8">
        <f t="shared" si="27"/>
        <v>0</v>
      </c>
      <c r="R224" s="8">
        <f t="shared" si="28"/>
        <v>7</v>
      </c>
      <c r="S224" s="8">
        <f t="shared" ca="1" si="29"/>
        <v>7</v>
      </c>
      <c r="T224">
        <f t="shared" ca="1" si="30"/>
        <v>7.329600000000001</v>
      </c>
      <c r="U224" s="8">
        <f t="shared" ca="1" si="31"/>
        <v>1.1024</v>
      </c>
      <c r="V224" s="8">
        <f ca="1">RawData[[#This Row],[Z (smoothed demand size)]]/RawData[[#This Row],[X (smoothed interval)]]</f>
        <v>6.6487663280116118</v>
      </c>
    </row>
    <row r="225" spans="1:22">
      <c r="A225" t="s">
        <v>20</v>
      </c>
      <c r="B225" t="s">
        <v>14</v>
      </c>
      <c r="C225">
        <v>28</v>
      </c>
      <c r="D225" t="s">
        <v>15</v>
      </c>
      <c r="E225" t="s">
        <v>16</v>
      </c>
      <c r="F225" s="1">
        <v>43108</v>
      </c>
      <c r="G225">
        <v>7</v>
      </c>
      <c r="H225">
        <v>0</v>
      </c>
      <c r="I225">
        <v>0</v>
      </c>
      <c r="J225">
        <v>0</v>
      </c>
      <c r="K225">
        <v>1</v>
      </c>
      <c r="L225">
        <v>812</v>
      </c>
      <c r="M225">
        <v>45</v>
      </c>
      <c r="N225" s="1">
        <f t="shared" si="24"/>
        <v>44938</v>
      </c>
      <c r="O225" s="1">
        <f t="shared" si="25"/>
        <v>43101</v>
      </c>
      <c r="P225" s="1">
        <f t="shared" si="26"/>
        <v>43313</v>
      </c>
      <c r="Q225" s="8">
        <f t="shared" si="27"/>
        <v>0</v>
      </c>
      <c r="R225" s="8">
        <f t="shared" si="28"/>
        <v>8</v>
      </c>
      <c r="S225" s="8">
        <f t="shared" ca="1" si="29"/>
        <v>8</v>
      </c>
      <c r="T225">
        <f t="shared" ca="1" si="30"/>
        <v>7.2636800000000017</v>
      </c>
      <c r="U225" s="8">
        <f t="shared" ca="1" si="31"/>
        <v>1.08192</v>
      </c>
      <c r="V225" s="8">
        <f ca="1">RawData[[#This Row],[Z (smoothed demand size)]]/RawData[[#This Row],[X (smoothed interval)]]</f>
        <v>6.7136941733215041</v>
      </c>
    </row>
    <row r="226" spans="1:22">
      <c r="A226" t="s">
        <v>20</v>
      </c>
      <c r="B226" t="s">
        <v>14</v>
      </c>
      <c r="C226">
        <v>28</v>
      </c>
      <c r="D226" t="s">
        <v>15</v>
      </c>
      <c r="E226" t="s">
        <v>16</v>
      </c>
      <c r="F226" s="1">
        <v>43109</v>
      </c>
      <c r="G226">
        <v>8</v>
      </c>
      <c r="H226">
        <v>8</v>
      </c>
      <c r="I226">
        <v>11</v>
      </c>
      <c r="J226">
        <v>3</v>
      </c>
      <c r="K226">
        <v>0</v>
      </c>
      <c r="L226">
        <v>717</v>
      </c>
      <c r="M226">
        <v>15</v>
      </c>
      <c r="N226" s="1">
        <f t="shared" si="24"/>
        <v>44938</v>
      </c>
      <c r="O226" s="1">
        <f t="shared" si="25"/>
        <v>43101</v>
      </c>
      <c r="P226" s="1">
        <f t="shared" si="26"/>
        <v>43344</v>
      </c>
      <c r="Q226" s="8">
        <f t="shared" si="27"/>
        <v>0</v>
      </c>
      <c r="R226" s="8">
        <f t="shared" si="28"/>
        <v>9</v>
      </c>
      <c r="S226" s="8">
        <f t="shared" ca="1" si="29"/>
        <v>9</v>
      </c>
      <c r="T226">
        <f t="shared" ca="1" si="30"/>
        <v>7.4109440000000024</v>
      </c>
      <c r="U226" s="8">
        <f t="shared" ca="1" si="31"/>
        <v>1.065536</v>
      </c>
      <c r="V226" s="8">
        <f ca="1">RawData[[#This Row],[Z (smoothed demand size)]]/RawData[[#This Row],[X (smoothed interval)]]</f>
        <v>6.9551324403868122</v>
      </c>
    </row>
    <row r="227" spans="1:22">
      <c r="A227" t="s">
        <v>20</v>
      </c>
      <c r="B227" t="s">
        <v>14</v>
      </c>
      <c r="C227">
        <v>28</v>
      </c>
      <c r="D227" t="s">
        <v>15</v>
      </c>
      <c r="E227" t="s">
        <v>16</v>
      </c>
      <c r="F227" s="1">
        <v>43110</v>
      </c>
      <c r="G227">
        <v>9</v>
      </c>
      <c r="H227">
        <v>9</v>
      </c>
      <c r="I227">
        <v>11</v>
      </c>
      <c r="J227">
        <v>2</v>
      </c>
      <c r="K227">
        <v>0</v>
      </c>
      <c r="L227">
        <v>705</v>
      </c>
      <c r="M227">
        <v>30</v>
      </c>
      <c r="N227" s="1">
        <f t="shared" si="24"/>
        <v>44938</v>
      </c>
      <c r="O227" s="1">
        <f t="shared" si="25"/>
        <v>43101</v>
      </c>
      <c r="P227" s="1">
        <f t="shared" si="26"/>
        <v>43374</v>
      </c>
      <c r="Q227" s="8">
        <f t="shared" si="27"/>
        <v>0</v>
      </c>
      <c r="R227" s="8">
        <f t="shared" si="28"/>
        <v>10</v>
      </c>
      <c r="S227" s="8">
        <f t="shared" ca="1" si="29"/>
        <v>10</v>
      </c>
      <c r="T227">
        <f t="shared" ca="1" si="30"/>
        <v>7.7287552000000019</v>
      </c>
      <c r="U227" s="8">
        <f t="shared" ca="1" si="31"/>
        <v>1.0524288000000002</v>
      </c>
      <c r="V227" s="8">
        <f ca="1">RawData[[#This Row],[Z (smoothed demand size)]]/RawData[[#This Row],[X (smoothed interval)]]</f>
        <v>7.3437321365587875</v>
      </c>
    </row>
    <row r="228" spans="1:22">
      <c r="A228" t="s">
        <v>20</v>
      </c>
      <c r="B228" t="s">
        <v>14</v>
      </c>
      <c r="C228">
        <v>28</v>
      </c>
      <c r="D228" t="s">
        <v>15</v>
      </c>
      <c r="E228" t="s">
        <v>16</v>
      </c>
      <c r="F228" s="1">
        <v>43111</v>
      </c>
      <c r="G228">
        <v>11</v>
      </c>
      <c r="H228">
        <v>10</v>
      </c>
      <c r="I228">
        <v>10</v>
      </c>
      <c r="J228">
        <v>0</v>
      </c>
      <c r="K228">
        <v>1</v>
      </c>
      <c r="L228">
        <v>712</v>
      </c>
      <c r="M228">
        <v>45</v>
      </c>
      <c r="N228" s="1">
        <f t="shared" si="24"/>
        <v>44938</v>
      </c>
      <c r="O228" s="1">
        <f t="shared" si="25"/>
        <v>43101</v>
      </c>
      <c r="P228" s="1">
        <f t="shared" si="26"/>
        <v>43405</v>
      </c>
      <c r="Q228" s="8">
        <f t="shared" si="27"/>
        <v>0</v>
      </c>
      <c r="R228" s="8">
        <f t="shared" si="28"/>
        <v>11</v>
      </c>
      <c r="S228" s="8">
        <f t="shared" ca="1" si="29"/>
        <v>11</v>
      </c>
      <c r="T228">
        <f t="shared" ca="1" si="30"/>
        <v>8.3830041600000023</v>
      </c>
      <c r="U228" s="8">
        <f t="shared" ca="1" si="31"/>
        <v>1.0419430400000003</v>
      </c>
      <c r="V228" s="8">
        <f ca="1">RawData[[#This Row],[Z (smoothed demand size)]]/RawData[[#This Row],[X (smoothed interval)]]</f>
        <v>8.0455493613163345</v>
      </c>
    </row>
    <row r="229" spans="1:22">
      <c r="A229" t="s">
        <v>20</v>
      </c>
      <c r="B229" t="s">
        <v>14</v>
      </c>
      <c r="C229">
        <v>28</v>
      </c>
      <c r="D229" t="s">
        <v>15</v>
      </c>
      <c r="E229" t="s">
        <v>16</v>
      </c>
      <c r="F229" s="1">
        <v>43112</v>
      </c>
      <c r="G229">
        <v>5</v>
      </c>
      <c r="H229">
        <v>0</v>
      </c>
      <c r="I229">
        <v>0</v>
      </c>
      <c r="J229">
        <v>0</v>
      </c>
      <c r="K229">
        <v>1</v>
      </c>
      <c r="L229">
        <v>819</v>
      </c>
      <c r="M229">
        <v>60</v>
      </c>
      <c r="N229" s="1">
        <f t="shared" si="24"/>
        <v>44938</v>
      </c>
      <c r="O229" s="1">
        <f t="shared" si="25"/>
        <v>43101</v>
      </c>
      <c r="P229" s="1">
        <f t="shared" si="26"/>
        <v>43435</v>
      </c>
      <c r="Q229" s="8">
        <f t="shared" si="27"/>
        <v>0</v>
      </c>
      <c r="R229" s="8">
        <f t="shared" si="28"/>
        <v>12</v>
      </c>
      <c r="S229" s="8">
        <f t="shared" ca="1" si="29"/>
        <v>12</v>
      </c>
      <c r="T229">
        <f t="shared" ca="1" si="30"/>
        <v>7.7064033280000022</v>
      </c>
      <c r="U229" s="8">
        <f t="shared" ca="1" si="31"/>
        <v>1.0335544320000003</v>
      </c>
      <c r="V229" s="8">
        <f ca="1">RawData[[#This Row],[Z (smoothed demand size)]]/RawData[[#This Row],[X (smoothed interval)]]</f>
        <v>7.4562142925434234</v>
      </c>
    </row>
    <row r="230" spans="1:22">
      <c r="A230" t="s">
        <v>20</v>
      </c>
      <c r="B230" t="s">
        <v>14</v>
      </c>
      <c r="C230">
        <v>28</v>
      </c>
      <c r="D230" t="s">
        <v>15</v>
      </c>
      <c r="E230" t="s">
        <v>16</v>
      </c>
      <c r="F230" s="1">
        <v>43466</v>
      </c>
      <c r="G230">
        <v>20</v>
      </c>
      <c r="H230">
        <v>9</v>
      </c>
      <c r="I230">
        <v>9</v>
      </c>
      <c r="J230">
        <v>0</v>
      </c>
      <c r="K230">
        <v>1</v>
      </c>
      <c r="L230">
        <v>726</v>
      </c>
      <c r="M230">
        <v>30</v>
      </c>
      <c r="N230" s="1">
        <f t="shared" si="24"/>
        <v>44938</v>
      </c>
      <c r="O230" s="1">
        <f t="shared" si="25"/>
        <v>43101</v>
      </c>
      <c r="P230" s="1">
        <f t="shared" si="26"/>
        <v>43466</v>
      </c>
      <c r="Q230" s="8">
        <f t="shared" si="27"/>
        <v>0</v>
      </c>
      <c r="R230" s="8">
        <f t="shared" si="28"/>
        <v>13</v>
      </c>
      <c r="S230" s="8">
        <f t="shared" ca="1" si="29"/>
        <v>13</v>
      </c>
      <c r="T230">
        <f t="shared" ca="1" si="30"/>
        <v>10.165122662400002</v>
      </c>
      <c r="U230" s="8">
        <f t="shared" ca="1" si="31"/>
        <v>1.0268435456000002</v>
      </c>
      <c r="V230" s="8">
        <f ca="1">RawData[[#This Row],[Z (smoothed demand size)]]/RawData[[#This Row],[X (smoothed interval)]]</f>
        <v>9.899387989491979</v>
      </c>
    </row>
    <row r="231" spans="1:22">
      <c r="A231" t="s">
        <v>20</v>
      </c>
      <c r="B231" t="s">
        <v>14</v>
      </c>
      <c r="C231">
        <v>28</v>
      </c>
      <c r="D231" t="s">
        <v>15</v>
      </c>
      <c r="E231" t="s">
        <v>16</v>
      </c>
      <c r="F231" s="1">
        <v>43467</v>
      </c>
      <c r="G231">
        <v>5</v>
      </c>
      <c r="H231">
        <v>5</v>
      </c>
      <c r="I231">
        <v>9</v>
      </c>
      <c r="J231">
        <v>4</v>
      </c>
      <c r="K231">
        <v>0</v>
      </c>
      <c r="L231">
        <v>714</v>
      </c>
      <c r="M231">
        <v>45</v>
      </c>
      <c r="N231" s="1">
        <f t="shared" si="24"/>
        <v>44938</v>
      </c>
      <c r="O231" s="1">
        <f t="shared" si="25"/>
        <v>43101</v>
      </c>
      <c r="P231" s="1">
        <f t="shared" si="26"/>
        <v>43497</v>
      </c>
      <c r="Q231" s="8">
        <f t="shared" si="27"/>
        <v>0</v>
      </c>
      <c r="R231" s="8">
        <f t="shared" si="28"/>
        <v>14</v>
      </c>
      <c r="S231" s="8">
        <f t="shared" ca="1" si="29"/>
        <v>14</v>
      </c>
      <c r="T231">
        <f t="shared" ca="1" si="30"/>
        <v>9.132098129920001</v>
      </c>
      <c r="U231" s="8">
        <f t="shared" ca="1" si="31"/>
        <v>1.0214748364800001</v>
      </c>
      <c r="V231" s="8">
        <f ca="1">RawData[[#This Row],[Z (smoothed demand size)]]/RawData[[#This Row],[X (smoothed interval)]]</f>
        <v>8.940110714219049</v>
      </c>
    </row>
    <row r="232" spans="1:22">
      <c r="A232" t="s">
        <v>20</v>
      </c>
      <c r="B232" t="s">
        <v>14</v>
      </c>
      <c r="C232">
        <v>28</v>
      </c>
      <c r="D232" t="s">
        <v>15</v>
      </c>
      <c r="E232" t="s">
        <v>16</v>
      </c>
      <c r="F232" s="1">
        <v>43468</v>
      </c>
      <c r="G232">
        <v>5</v>
      </c>
      <c r="H232">
        <v>4</v>
      </c>
      <c r="I232">
        <v>4</v>
      </c>
      <c r="J232">
        <v>0</v>
      </c>
      <c r="K232">
        <v>1</v>
      </c>
      <c r="L232">
        <v>706</v>
      </c>
      <c r="M232">
        <v>60</v>
      </c>
      <c r="N232" s="1">
        <f t="shared" si="24"/>
        <v>44938</v>
      </c>
      <c r="O232" s="1">
        <f t="shared" si="25"/>
        <v>43101</v>
      </c>
      <c r="P232" s="1">
        <f t="shared" si="26"/>
        <v>43525</v>
      </c>
      <c r="Q232" s="8">
        <f t="shared" si="27"/>
        <v>0</v>
      </c>
      <c r="R232" s="8">
        <f t="shared" si="28"/>
        <v>15</v>
      </c>
      <c r="S232" s="8">
        <f t="shared" ca="1" si="29"/>
        <v>15</v>
      </c>
      <c r="T232">
        <f t="shared" ca="1" si="30"/>
        <v>8.3056785039360008</v>
      </c>
      <c r="U232" s="8">
        <f t="shared" ca="1" si="31"/>
        <v>1.0171798691840002</v>
      </c>
      <c r="V232" s="8">
        <f ca="1">RawData[[#This Row],[Z (smoothed demand size)]]/RawData[[#This Row],[X (smoothed interval)]]</f>
        <v>8.1653980338786738</v>
      </c>
    </row>
    <row r="233" spans="1:22">
      <c r="A233" t="s">
        <v>20</v>
      </c>
      <c r="B233" t="s">
        <v>14</v>
      </c>
      <c r="C233">
        <v>28</v>
      </c>
      <c r="D233" t="s">
        <v>15</v>
      </c>
      <c r="E233" t="s">
        <v>16</v>
      </c>
      <c r="F233" s="1">
        <v>43469</v>
      </c>
      <c r="G233">
        <v>11</v>
      </c>
      <c r="H233">
        <v>8</v>
      </c>
      <c r="I233">
        <v>8</v>
      </c>
      <c r="J233">
        <v>0</v>
      </c>
      <c r="K233">
        <v>1</v>
      </c>
      <c r="L233">
        <v>715</v>
      </c>
      <c r="M233">
        <v>45</v>
      </c>
      <c r="N233" s="1">
        <f t="shared" si="24"/>
        <v>44938</v>
      </c>
      <c r="O233" s="1">
        <f t="shared" si="25"/>
        <v>43101</v>
      </c>
      <c r="P233" s="1">
        <f t="shared" si="26"/>
        <v>43556</v>
      </c>
      <c r="Q233" s="8">
        <f t="shared" si="27"/>
        <v>0</v>
      </c>
      <c r="R233" s="8">
        <f t="shared" si="28"/>
        <v>16</v>
      </c>
      <c r="S233" s="8">
        <f t="shared" ca="1" si="29"/>
        <v>16</v>
      </c>
      <c r="T233">
        <f t="shared" ca="1" si="30"/>
        <v>8.8445428031488014</v>
      </c>
      <c r="U233" s="8">
        <f t="shared" ca="1" si="31"/>
        <v>1.0137438953472002</v>
      </c>
      <c r="V233" s="8">
        <f ca="1">RawData[[#This Row],[Z (smoothed demand size)]]/RawData[[#This Row],[X (smoothed interval)]]</f>
        <v>8.7246323689274661</v>
      </c>
    </row>
    <row r="234" spans="1:22">
      <c r="A234" t="s">
        <v>20</v>
      </c>
      <c r="B234" t="s">
        <v>14</v>
      </c>
      <c r="C234">
        <v>28</v>
      </c>
      <c r="D234" t="s">
        <v>15</v>
      </c>
      <c r="E234" t="s">
        <v>16</v>
      </c>
      <c r="F234" s="1">
        <v>43470</v>
      </c>
      <c r="G234">
        <v>7</v>
      </c>
      <c r="H234">
        <v>0</v>
      </c>
      <c r="I234">
        <v>0</v>
      </c>
      <c r="J234">
        <v>0</v>
      </c>
      <c r="K234">
        <v>1</v>
      </c>
      <c r="L234">
        <v>725</v>
      </c>
      <c r="M234">
        <v>30</v>
      </c>
      <c r="N234" s="1">
        <f t="shared" si="24"/>
        <v>44938</v>
      </c>
      <c r="O234" s="1">
        <f t="shared" si="25"/>
        <v>43101</v>
      </c>
      <c r="P234" s="1">
        <f t="shared" si="26"/>
        <v>43586</v>
      </c>
      <c r="Q234" s="8">
        <f t="shared" si="27"/>
        <v>0</v>
      </c>
      <c r="R234" s="8">
        <f t="shared" si="28"/>
        <v>17</v>
      </c>
      <c r="S234" s="8">
        <f t="shared" ca="1" si="29"/>
        <v>17</v>
      </c>
      <c r="T234">
        <f t="shared" ca="1" si="30"/>
        <v>8.4756342425190407</v>
      </c>
      <c r="U234" s="8">
        <f t="shared" ca="1" si="31"/>
        <v>1.0109951162777602</v>
      </c>
      <c r="V234" s="8">
        <f ca="1">RawData[[#This Row],[Z (smoothed demand size)]]/RawData[[#This Row],[X (smoothed interval)]]</f>
        <v>8.3834571562761635</v>
      </c>
    </row>
    <row r="235" spans="1:22">
      <c r="A235" t="s">
        <v>20</v>
      </c>
      <c r="B235" t="s">
        <v>14</v>
      </c>
      <c r="C235">
        <v>28</v>
      </c>
      <c r="D235" t="s">
        <v>15</v>
      </c>
      <c r="E235" t="s">
        <v>16</v>
      </c>
      <c r="F235" s="1">
        <v>43471</v>
      </c>
      <c r="G235">
        <v>6</v>
      </c>
      <c r="H235">
        <v>6</v>
      </c>
      <c r="I235">
        <v>10</v>
      </c>
      <c r="J235">
        <v>4</v>
      </c>
      <c r="K235">
        <v>0</v>
      </c>
      <c r="L235">
        <v>803</v>
      </c>
      <c r="M235">
        <v>60</v>
      </c>
      <c r="N235" s="1">
        <f t="shared" si="24"/>
        <v>44938</v>
      </c>
      <c r="O235" s="1">
        <f t="shared" si="25"/>
        <v>43101</v>
      </c>
      <c r="P235" s="1">
        <f t="shared" si="26"/>
        <v>43617</v>
      </c>
      <c r="Q235" s="8">
        <f t="shared" si="27"/>
        <v>0</v>
      </c>
      <c r="R235" s="8">
        <f t="shared" si="28"/>
        <v>18</v>
      </c>
      <c r="S235" s="8">
        <f t="shared" ca="1" si="29"/>
        <v>18</v>
      </c>
      <c r="T235">
        <f t="shared" ca="1" si="30"/>
        <v>7.9805073940152331</v>
      </c>
      <c r="U235" s="8">
        <f t="shared" ca="1" si="31"/>
        <v>1.0087960930222082</v>
      </c>
      <c r="V235" s="8">
        <f ca="1">RawData[[#This Row],[Z (smoothed demand size)]]/RawData[[#This Row],[X (smoothed interval)]]</f>
        <v>7.9109221865707067</v>
      </c>
    </row>
    <row r="236" spans="1:22">
      <c r="A236" t="s">
        <v>20</v>
      </c>
      <c r="B236" t="s">
        <v>14</v>
      </c>
      <c r="C236">
        <v>28</v>
      </c>
      <c r="D236" t="s">
        <v>15</v>
      </c>
      <c r="E236" t="s">
        <v>16</v>
      </c>
      <c r="F236" s="1">
        <v>43472</v>
      </c>
      <c r="G236">
        <v>8</v>
      </c>
      <c r="H236">
        <v>4</v>
      </c>
      <c r="I236">
        <v>4</v>
      </c>
      <c r="J236">
        <v>0</v>
      </c>
      <c r="K236">
        <v>1</v>
      </c>
      <c r="L236">
        <v>809</v>
      </c>
      <c r="M236">
        <v>15</v>
      </c>
      <c r="N236" s="1">
        <f t="shared" si="24"/>
        <v>44938</v>
      </c>
      <c r="O236" s="1">
        <f t="shared" si="25"/>
        <v>43101</v>
      </c>
      <c r="P236" s="1">
        <f t="shared" si="26"/>
        <v>43647</v>
      </c>
      <c r="Q236" s="8">
        <f t="shared" si="27"/>
        <v>0</v>
      </c>
      <c r="R236" s="8">
        <f t="shared" si="28"/>
        <v>19</v>
      </c>
      <c r="S236" s="8">
        <f t="shared" ca="1" si="29"/>
        <v>19</v>
      </c>
      <c r="T236">
        <f t="shared" ca="1" si="30"/>
        <v>7.9844059152121876</v>
      </c>
      <c r="U236" s="8">
        <f t="shared" ca="1" si="31"/>
        <v>1.0070368744177667</v>
      </c>
      <c r="V236" s="8">
        <f ca="1">RawData[[#This Row],[Z (smoothed demand size)]]/RawData[[#This Row],[X (smoothed interval)]]</f>
        <v>7.9286132593987588</v>
      </c>
    </row>
    <row r="237" spans="1:22">
      <c r="A237" t="s">
        <v>20</v>
      </c>
      <c r="B237" t="s">
        <v>14</v>
      </c>
      <c r="C237">
        <v>28</v>
      </c>
      <c r="D237" t="s">
        <v>15</v>
      </c>
      <c r="E237" t="s">
        <v>16</v>
      </c>
      <c r="F237" s="1">
        <v>43473</v>
      </c>
      <c r="G237">
        <v>0</v>
      </c>
      <c r="H237">
        <v>0</v>
      </c>
      <c r="I237">
        <v>11</v>
      </c>
      <c r="J237">
        <v>11</v>
      </c>
      <c r="K237">
        <v>0</v>
      </c>
      <c r="L237">
        <v>814</v>
      </c>
      <c r="M237">
        <v>45</v>
      </c>
      <c r="N237" s="1">
        <f t="shared" si="24"/>
        <v>44938</v>
      </c>
      <c r="O237" s="1">
        <f t="shared" si="25"/>
        <v>43101</v>
      </c>
      <c r="P237" s="1">
        <f t="shared" si="26"/>
        <v>43678</v>
      </c>
      <c r="Q237" s="8">
        <f t="shared" si="27"/>
        <v>0</v>
      </c>
      <c r="R237" s="8">
        <f t="shared" si="28"/>
        <v>20</v>
      </c>
      <c r="S237" s="8">
        <f t="shared" ca="1" si="29"/>
        <v>19</v>
      </c>
      <c r="T237">
        <f t="shared" ca="1" si="30"/>
        <v>7.9844059152121876</v>
      </c>
      <c r="U237" s="8">
        <f t="shared" ca="1" si="31"/>
        <v>1.0070368744177667</v>
      </c>
      <c r="V237" s="8">
        <f ca="1">RawData[[#This Row],[Z (smoothed demand size)]]/RawData[[#This Row],[X (smoothed interval)]]</f>
        <v>7.9286132593987588</v>
      </c>
    </row>
    <row r="238" spans="1:22">
      <c r="A238" t="s">
        <v>20</v>
      </c>
      <c r="B238" t="s">
        <v>14</v>
      </c>
      <c r="C238">
        <v>28</v>
      </c>
      <c r="D238" t="s">
        <v>15</v>
      </c>
      <c r="E238" t="s">
        <v>16</v>
      </c>
      <c r="F238" s="1">
        <v>43474</v>
      </c>
      <c r="G238">
        <v>4</v>
      </c>
      <c r="H238">
        <v>4</v>
      </c>
      <c r="I238">
        <v>11</v>
      </c>
      <c r="J238">
        <v>7</v>
      </c>
      <c r="K238">
        <v>0</v>
      </c>
      <c r="L238">
        <v>707</v>
      </c>
      <c r="M238">
        <v>60</v>
      </c>
      <c r="N238" s="1">
        <f t="shared" si="24"/>
        <v>44938</v>
      </c>
      <c r="O238" s="1">
        <f t="shared" si="25"/>
        <v>43101</v>
      </c>
      <c r="P238" s="1">
        <f t="shared" si="26"/>
        <v>43709</v>
      </c>
      <c r="Q238" s="8">
        <f t="shared" si="27"/>
        <v>0</v>
      </c>
      <c r="R238" s="8">
        <f t="shared" si="28"/>
        <v>21</v>
      </c>
      <c r="S238" s="8">
        <f t="shared" ca="1" si="29"/>
        <v>21</v>
      </c>
      <c r="T238">
        <f t="shared" ca="1" si="30"/>
        <v>7.1875247321697504</v>
      </c>
      <c r="U238" s="8">
        <f t="shared" ca="1" si="31"/>
        <v>1.2056294995342134</v>
      </c>
      <c r="V238" s="8">
        <f ca="1">RawData[[#This Row],[Z (smoothed demand size)]]/RawData[[#This Row],[X (smoothed interval)]]</f>
        <v>5.9616364189384887</v>
      </c>
    </row>
    <row r="239" spans="1:22">
      <c r="A239" t="s">
        <v>20</v>
      </c>
      <c r="B239" t="s">
        <v>14</v>
      </c>
      <c r="C239">
        <v>28</v>
      </c>
      <c r="D239" t="s">
        <v>15</v>
      </c>
      <c r="E239" t="s">
        <v>16</v>
      </c>
      <c r="F239" s="1">
        <v>43475</v>
      </c>
      <c r="G239">
        <v>6</v>
      </c>
      <c r="H239">
        <v>6</v>
      </c>
      <c r="I239">
        <v>7</v>
      </c>
      <c r="J239">
        <v>1</v>
      </c>
      <c r="K239">
        <v>0</v>
      </c>
      <c r="L239">
        <v>708</v>
      </c>
      <c r="M239">
        <v>45</v>
      </c>
      <c r="N239" s="1">
        <f t="shared" si="24"/>
        <v>44938</v>
      </c>
      <c r="O239" s="1">
        <f t="shared" si="25"/>
        <v>43101</v>
      </c>
      <c r="P239" s="1">
        <f t="shared" si="26"/>
        <v>43739</v>
      </c>
      <c r="Q239" s="8">
        <f t="shared" si="27"/>
        <v>0</v>
      </c>
      <c r="R239" s="8">
        <f t="shared" si="28"/>
        <v>22</v>
      </c>
      <c r="S239" s="8">
        <f t="shared" ca="1" si="29"/>
        <v>22</v>
      </c>
      <c r="T239">
        <f t="shared" ca="1" si="30"/>
        <v>6.950019785735801</v>
      </c>
      <c r="U239" s="8">
        <f t="shared" ca="1" si="31"/>
        <v>1.1645035996273707</v>
      </c>
      <c r="V239" s="8">
        <f ca="1">RawData[[#This Row],[Z (smoothed demand size)]]/RawData[[#This Row],[X (smoothed interval)]]</f>
        <v>5.9682252489041137</v>
      </c>
    </row>
    <row r="240" spans="1:22">
      <c r="A240" t="s">
        <v>20</v>
      </c>
      <c r="B240" t="s">
        <v>14</v>
      </c>
      <c r="C240">
        <v>28</v>
      </c>
      <c r="D240" t="s">
        <v>15</v>
      </c>
      <c r="E240" t="s">
        <v>16</v>
      </c>
      <c r="F240" s="1">
        <v>43476</v>
      </c>
      <c r="G240">
        <v>9</v>
      </c>
      <c r="H240">
        <v>9</v>
      </c>
      <c r="I240">
        <v>9</v>
      </c>
      <c r="J240">
        <v>0</v>
      </c>
      <c r="K240">
        <v>0</v>
      </c>
      <c r="L240">
        <v>701</v>
      </c>
      <c r="M240">
        <v>60</v>
      </c>
      <c r="N240" s="1">
        <f t="shared" si="24"/>
        <v>44938</v>
      </c>
      <c r="O240" s="1">
        <f t="shared" si="25"/>
        <v>43101</v>
      </c>
      <c r="P240" s="1">
        <f t="shared" si="26"/>
        <v>43770</v>
      </c>
      <c r="Q240" s="8">
        <f t="shared" si="27"/>
        <v>0</v>
      </c>
      <c r="R240" s="8">
        <f t="shared" si="28"/>
        <v>23</v>
      </c>
      <c r="S240" s="8">
        <f t="shared" ca="1" si="29"/>
        <v>23</v>
      </c>
      <c r="T240">
        <f t="shared" ca="1" si="30"/>
        <v>7.360015828588641</v>
      </c>
      <c r="U240" s="8">
        <f t="shared" ca="1" si="31"/>
        <v>1.1316028797018967</v>
      </c>
      <c r="V240" s="8">
        <f ca="1">RawData[[#This Row],[Z (smoothed demand size)]]/RawData[[#This Row],[X (smoothed interval)]]</f>
        <v>6.504062476871324</v>
      </c>
    </row>
    <row r="241" spans="1:22">
      <c r="A241" t="s">
        <v>20</v>
      </c>
      <c r="B241" t="s">
        <v>14</v>
      </c>
      <c r="C241">
        <v>28</v>
      </c>
      <c r="D241" t="s">
        <v>15</v>
      </c>
      <c r="E241" t="s">
        <v>16</v>
      </c>
      <c r="F241" s="1">
        <v>43477</v>
      </c>
      <c r="G241">
        <v>11</v>
      </c>
      <c r="H241">
        <v>0</v>
      </c>
      <c r="I241">
        <v>0</v>
      </c>
      <c r="J241">
        <v>0</v>
      </c>
      <c r="K241">
        <v>1</v>
      </c>
      <c r="L241">
        <v>828</v>
      </c>
      <c r="M241">
        <v>45</v>
      </c>
      <c r="N241" s="1">
        <f t="shared" si="24"/>
        <v>44938</v>
      </c>
      <c r="O241" s="1">
        <f t="shared" si="25"/>
        <v>43101</v>
      </c>
      <c r="P241" s="1">
        <f t="shared" si="26"/>
        <v>43800</v>
      </c>
      <c r="Q241" s="8">
        <f t="shared" si="27"/>
        <v>0</v>
      </c>
      <c r="R241" s="8">
        <f t="shared" si="28"/>
        <v>24</v>
      </c>
      <c r="S241" s="8">
        <f t="shared" ca="1" si="29"/>
        <v>24</v>
      </c>
      <c r="T241">
        <f t="shared" ca="1" si="30"/>
        <v>8.0880126628709128</v>
      </c>
      <c r="U241" s="8">
        <f t="shared" ca="1" si="31"/>
        <v>1.1052823037615174</v>
      </c>
      <c r="V241" s="8">
        <f ca="1">RawData[[#This Row],[Z (smoothed demand size)]]/RawData[[#This Row],[X (smoothed interval)]]</f>
        <v>7.3175989838484137</v>
      </c>
    </row>
    <row r="242" spans="1:22">
      <c r="A242" t="s">
        <v>20</v>
      </c>
      <c r="B242" t="s">
        <v>14</v>
      </c>
      <c r="C242">
        <v>28</v>
      </c>
      <c r="D242" t="s">
        <v>15</v>
      </c>
      <c r="E242" t="s">
        <v>16</v>
      </c>
      <c r="F242" s="1">
        <v>43831</v>
      </c>
      <c r="G242">
        <v>0</v>
      </c>
      <c r="H242">
        <v>0</v>
      </c>
      <c r="I242">
        <v>8</v>
      </c>
      <c r="J242">
        <v>8</v>
      </c>
      <c r="K242">
        <v>0</v>
      </c>
      <c r="L242">
        <v>698</v>
      </c>
      <c r="M242">
        <v>45</v>
      </c>
      <c r="N242" s="1">
        <f t="shared" si="24"/>
        <v>44938</v>
      </c>
      <c r="O242" s="1">
        <f t="shared" si="25"/>
        <v>43101</v>
      </c>
      <c r="P242" s="1">
        <f t="shared" si="26"/>
        <v>43831</v>
      </c>
      <c r="Q242" s="8">
        <f t="shared" si="27"/>
        <v>0</v>
      </c>
      <c r="R242" s="8">
        <f t="shared" si="28"/>
        <v>25</v>
      </c>
      <c r="S242" s="8">
        <f t="shared" ca="1" si="29"/>
        <v>24</v>
      </c>
      <c r="T242">
        <f t="shared" ca="1" si="30"/>
        <v>8.0880126628709128</v>
      </c>
      <c r="U242" s="8">
        <f t="shared" ca="1" si="31"/>
        <v>1.1052823037615174</v>
      </c>
      <c r="V242" s="8">
        <f ca="1">RawData[[#This Row],[Z (smoothed demand size)]]/RawData[[#This Row],[X (smoothed interval)]]</f>
        <v>7.3175989838484137</v>
      </c>
    </row>
    <row r="243" spans="1:22">
      <c r="A243" t="s">
        <v>20</v>
      </c>
      <c r="B243" t="s">
        <v>14</v>
      </c>
      <c r="C243">
        <v>28</v>
      </c>
      <c r="D243" t="s">
        <v>15</v>
      </c>
      <c r="E243" t="s">
        <v>16</v>
      </c>
      <c r="F243" s="1">
        <v>43832</v>
      </c>
      <c r="G243">
        <v>8</v>
      </c>
      <c r="H243">
        <v>8</v>
      </c>
      <c r="I243">
        <v>8</v>
      </c>
      <c r="J243">
        <v>0</v>
      </c>
      <c r="K243">
        <v>0</v>
      </c>
      <c r="L243">
        <v>706</v>
      </c>
      <c r="M243">
        <v>15</v>
      </c>
      <c r="N243" s="1">
        <f t="shared" si="24"/>
        <v>44938</v>
      </c>
      <c r="O243" s="1">
        <f t="shared" si="25"/>
        <v>43101</v>
      </c>
      <c r="P243" s="1">
        <f t="shared" si="26"/>
        <v>43862</v>
      </c>
      <c r="Q243" s="8">
        <f t="shared" si="27"/>
        <v>0</v>
      </c>
      <c r="R243" s="8">
        <f t="shared" si="28"/>
        <v>26</v>
      </c>
      <c r="S243" s="8">
        <f t="shared" ca="1" si="29"/>
        <v>26</v>
      </c>
      <c r="T243">
        <f t="shared" ca="1" si="30"/>
        <v>8.0704101302967306</v>
      </c>
      <c r="U243" s="8">
        <f t="shared" ca="1" si="31"/>
        <v>1.2842258430092139</v>
      </c>
      <c r="V243" s="8">
        <f ca="1">RawData[[#This Row],[Z (smoothed demand size)]]/RawData[[#This Row],[X (smoothed interval)]]</f>
        <v>6.2842608052381541</v>
      </c>
    </row>
    <row r="244" spans="1:22">
      <c r="A244" t="s">
        <v>20</v>
      </c>
      <c r="B244" t="s">
        <v>14</v>
      </c>
      <c r="C244">
        <v>28</v>
      </c>
      <c r="D244" t="s">
        <v>15</v>
      </c>
      <c r="E244" t="s">
        <v>16</v>
      </c>
      <c r="F244" s="1">
        <v>43833</v>
      </c>
      <c r="G244">
        <v>6</v>
      </c>
      <c r="H244">
        <v>6</v>
      </c>
      <c r="I244">
        <v>8</v>
      </c>
      <c r="J244">
        <v>2</v>
      </c>
      <c r="K244">
        <v>0</v>
      </c>
      <c r="L244">
        <v>715</v>
      </c>
      <c r="M244">
        <v>45</v>
      </c>
      <c r="N244" s="1">
        <f t="shared" si="24"/>
        <v>44938</v>
      </c>
      <c r="O244" s="1">
        <f t="shared" si="25"/>
        <v>43101</v>
      </c>
      <c r="P244" s="1">
        <f t="shared" si="26"/>
        <v>43891</v>
      </c>
      <c r="Q244" s="8">
        <f t="shared" si="27"/>
        <v>0</v>
      </c>
      <c r="R244" s="8">
        <f t="shared" si="28"/>
        <v>27</v>
      </c>
      <c r="S244" s="8">
        <f t="shared" ca="1" si="29"/>
        <v>27</v>
      </c>
      <c r="T244">
        <f t="shared" ca="1" si="30"/>
        <v>7.6563281042373852</v>
      </c>
      <c r="U244" s="8">
        <f t="shared" ca="1" si="31"/>
        <v>1.2273806744073712</v>
      </c>
      <c r="V244" s="8">
        <f ca="1">RawData[[#This Row],[Z (smoothed demand size)]]/RawData[[#This Row],[X (smoothed interval)]]</f>
        <v>6.2379408963190404</v>
      </c>
    </row>
    <row r="245" spans="1:22">
      <c r="A245" t="s">
        <v>20</v>
      </c>
      <c r="B245" t="s">
        <v>14</v>
      </c>
      <c r="C245">
        <v>28</v>
      </c>
      <c r="D245" t="s">
        <v>15</v>
      </c>
      <c r="E245" t="s">
        <v>16</v>
      </c>
      <c r="F245" s="1">
        <v>43834</v>
      </c>
      <c r="G245">
        <v>7</v>
      </c>
      <c r="H245">
        <v>2</v>
      </c>
      <c r="I245">
        <v>2</v>
      </c>
      <c r="J245">
        <v>0</v>
      </c>
      <c r="K245">
        <v>1</v>
      </c>
      <c r="L245">
        <v>708</v>
      </c>
      <c r="M245">
        <v>60</v>
      </c>
      <c r="N245" s="1">
        <f t="shared" si="24"/>
        <v>44938</v>
      </c>
      <c r="O245" s="1">
        <f t="shared" si="25"/>
        <v>43101</v>
      </c>
      <c r="P245" s="1">
        <f t="shared" si="26"/>
        <v>43922</v>
      </c>
      <c r="Q245" s="8">
        <f t="shared" si="27"/>
        <v>0</v>
      </c>
      <c r="R245" s="8">
        <f t="shared" si="28"/>
        <v>28</v>
      </c>
      <c r="S245" s="8">
        <f t="shared" ca="1" si="29"/>
        <v>28</v>
      </c>
      <c r="T245">
        <f t="shared" ca="1" si="30"/>
        <v>7.5250624833899087</v>
      </c>
      <c r="U245" s="8">
        <f t="shared" ca="1" si="31"/>
        <v>1.1819045395258969</v>
      </c>
      <c r="V245" s="8">
        <f ca="1">RawData[[#This Row],[Z (smoothed demand size)]]/RawData[[#This Row],[X (smoothed interval)]]</f>
        <v>6.3668953216885633</v>
      </c>
    </row>
    <row r="246" spans="1:22">
      <c r="A246" t="s">
        <v>20</v>
      </c>
      <c r="B246" t="s">
        <v>14</v>
      </c>
      <c r="C246">
        <v>28</v>
      </c>
      <c r="D246" t="s">
        <v>15</v>
      </c>
      <c r="E246" t="s">
        <v>16</v>
      </c>
      <c r="F246" s="1">
        <v>43835</v>
      </c>
      <c r="G246">
        <v>7</v>
      </c>
      <c r="H246">
        <v>7</v>
      </c>
      <c r="I246">
        <v>8</v>
      </c>
      <c r="J246">
        <v>1</v>
      </c>
      <c r="K246">
        <v>0</v>
      </c>
      <c r="L246">
        <v>701</v>
      </c>
      <c r="M246">
        <v>45</v>
      </c>
      <c r="N246" s="1">
        <f t="shared" si="24"/>
        <v>44938</v>
      </c>
      <c r="O246" s="1">
        <f t="shared" si="25"/>
        <v>43101</v>
      </c>
      <c r="P246" s="1">
        <f t="shared" si="26"/>
        <v>43952</v>
      </c>
      <c r="Q246" s="8">
        <f t="shared" si="27"/>
        <v>0</v>
      </c>
      <c r="R246" s="8">
        <f t="shared" si="28"/>
        <v>29</v>
      </c>
      <c r="S246" s="8">
        <f t="shared" ca="1" si="29"/>
        <v>29</v>
      </c>
      <c r="T246">
        <f t="shared" ca="1" si="30"/>
        <v>7.4200499867119278</v>
      </c>
      <c r="U246" s="8">
        <f t="shared" ca="1" si="31"/>
        <v>1.1455236316207176</v>
      </c>
      <c r="V246" s="8">
        <f ca="1">RawData[[#This Row],[Z (smoothed demand size)]]/RawData[[#This Row],[X (smoothed interval)]]</f>
        <v>6.4774307416197443</v>
      </c>
    </row>
    <row r="247" spans="1:22">
      <c r="A247" t="s">
        <v>20</v>
      </c>
      <c r="B247" t="s">
        <v>14</v>
      </c>
      <c r="C247">
        <v>28</v>
      </c>
      <c r="D247" t="s">
        <v>15</v>
      </c>
      <c r="E247" t="s">
        <v>16</v>
      </c>
      <c r="F247" s="1">
        <v>43836</v>
      </c>
      <c r="G247">
        <v>10</v>
      </c>
      <c r="H247">
        <v>1</v>
      </c>
      <c r="I247">
        <v>1</v>
      </c>
      <c r="J247">
        <v>0</v>
      </c>
      <c r="K247">
        <v>1</v>
      </c>
      <c r="L247">
        <v>803</v>
      </c>
      <c r="M247">
        <v>30</v>
      </c>
      <c r="N247" s="1">
        <f t="shared" si="24"/>
        <v>44938</v>
      </c>
      <c r="O247" s="1">
        <f t="shared" si="25"/>
        <v>43101</v>
      </c>
      <c r="P247" s="1">
        <f t="shared" si="26"/>
        <v>43983</v>
      </c>
      <c r="Q247" s="8">
        <f t="shared" si="27"/>
        <v>0</v>
      </c>
      <c r="R247" s="8">
        <f t="shared" si="28"/>
        <v>30</v>
      </c>
      <c r="S247" s="8">
        <f t="shared" ca="1" si="29"/>
        <v>30</v>
      </c>
      <c r="T247">
        <f t="shared" ca="1" si="30"/>
        <v>7.9360399893695428</v>
      </c>
      <c r="U247" s="8">
        <f t="shared" ca="1" si="31"/>
        <v>1.1164189052965741</v>
      </c>
      <c r="V247" s="8">
        <f ca="1">RawData[[#This Row],[Z (smoothed demand size)]]/RawData[[#This Row],[X (smoothed interval)]]</f>
        <v>7.1084786827945665</v>
      </c>
    </row>
    <row r="248" spans="1:22">
      <c r="A248" t="s">
        <v>20</v>
      </c>
      <c r="B248" t="s">
        <v>14</v>
      </c>
      <c r="C248">
        <v>28</v>
      </c>
      <c r="D248" t="s">
        <v>15</v>
      </c>
      <c r="E248" t="s">
        <v>16</v>
      </c>
      <c r="F248" s="1">
        <v>43837</v>
      </c>
      <c r="G248">
        <v>4</v>
      </c>
      <c r="H248">
        <v>4</v>
      </c>
      <c r="I248">
        <v>11</v>
      </c>
      <c r="J248">
        <v>7</v>
      </c>
      <c r="K248">
        <v>0</v>
      </c>
      <c r="L248">
        <v>812</v>
      </c>
      <c r="M248">
        <v>30</v>
      </c>
      <c r="N248" s="1">
        <f t="shared" si="24"/>
        <v>44938</v>
      </c>
      <c r="O248" s="1">
        <f t="shared" si="25"/>
        <v>43101</v>
      </c>
      <c r="P248" s="1">
        <f t="shared" si="26"/>
        <v>44013</v>
      </c>
      <c r="Q248" s="8">
        <f t="shared" si="27"/>
        <v>0</v>
      </c>
      <c r="R248" s="8">
        <f t="shared" si="28"/>
        <v>31</v>
      </c>
      <c r="S248" s="8">
        <f t="shared" ca="1" si="29"/>
        <v>31</v>
      </c>
      <c r="T248">
        <f t="shared" ca="1" si="30"/>
        <v>7.1488319914956344</v>
      </c>
      <c r="U248" s="8">
        <f t="shared" ca="1" si="31"/>
        <v>1.0931351242372593</v>
      </c>
      <c r="V248" s="8">
        <f ca="1">RawData[[#This Row],[Z (smoothed demand size)]]/RawData[[#This Row],[X (smoothed interval)]]</f>
        <v>6.5397514296174215</v>
      </c>
    </row>
    <row r="249" spans="1:22">
      <c r="A249" t="s">
        <v>20</v>
      </c>
      <c r="B249" t="s">
        <v>14</v>
      </c>
      <c r="C249">
        <v>28</v>
      </c>
      <c r="D249" t="s">
        <v>15</v>
      </c>
      <c r="E249" t="s">
        <v>16</v>
      </c>
      <c r="F249" s="1">
        <v>43838</v>
      </c>
      <c r="G249">
        <v>11</v>
      </c>
      <c r="H249">
        <v>11</v>
      </c>
      <c r="I249">
        <v>16</v>
      </c>
      <c r="J249">
        <v>5</v>
      </c>
      <c r="K249">
        <v>0</v>
      </c>
      <c r="L249">
        <v>808</v>
      </c>
      <c r="M249">
        <v>45</v>
      </c>
      <c r="N249" s="1">
        <f t="shared" si="24"/>
        <v>44938</v>
      </c>
      <c r="O249" s="1">
        <f t="shared" si="25"/>
        <v>43101</v>
      </c>
      <c r="P249" s="1">
        <f t="shared" si="26"/>
        <v>44044</v>
      </c>
      <c r="Q249" s="8">
        <f t="shared" si="27"/>
        <v>0</v>
      </c>
      <c r="R249" s="8">
        <f t="shared" si="28"/>
        <v>32</v>
      </c>
      <c r="S249" s="8">
        <f t="shared" ca="1" si="29"/>
        <v>32</v>
      </c>
      <c r="T249">
        <f t="shared" ca="1" si="30"/>
        <v>7.9190655931965077</v>
      </c>
      <c r="U249" s="8">
        <f t="shared" ca="1" si="31"/>
        <v>1.0745080993898075</v>
      </c>
      <c r="V249" s="8">
        <f ca="1">RawData[[#This Row],[Z (smoothed demand size)]]/RawData[[#This Row],[X (smoothed interval)]]</f>
        <v>7.3699449987334607</v>
      </c>
    </row>
    <row r="250" spans="1:22">
      <c r="A250" t="s">
        <v>20</v>
      </c>
      <c r="B250" t="s">
        <v>14</v>
      </c>
      <c r="C250">
        <v>28</v>
      </c>
      <c r="D250" t="s">
        <v>15</v>
      </c>
      <c r="E250" t="s">
        <v>16</v>
      </c>
      <c r="F250" s="1">
        <v>43839</v>
      </c>
      <c r="G250">
        <v>10</v>
      </c>
      <c r="H250">
        <v>5</v>
      </c>
      <c r="I250">
        <v>5</v>
      </c>
      <c r="J250">
        <v>0</v>
      </c>
      <c r="K250">
        <v>1</v>
      </c>
      <c r="L250">
        <v>709</v>
      </c>
      <c r="M250">
        <v>30</v>
      </c>
      <c r="N250" s="1">
        <f t="shared" si="24"/>
        <v>44938</v>
      </c>
      <c r="O250" s="1">
        <f t="shared" si="25"/>
        <v>43101</v>
      </c>
      <c r="P250" s="1">
        <f t="shared" si="26"/>
        <v>44075</v>
      </c>
      <c r="Q250" s="8">
        <f t="shared" si="27"/>
        <v>0</v>
      </c>
      <c r="R250" s="8">
        <f t="shared" si="28"/>
        <v>33</v>
      </c>
      <c r="S250" s="8">
        <f t="shared" ca="1" si="29"/>
        <v>33</v>
      </c>
      <c r="T250">
        <f t="shared" ca="1" si="30"/>
        <v>8.3352524745572065</v>
      </c>
      <c r="U250" s="8">
        <f t="shared" ca="1" si="31"/>
        <v>1.0596064795118461</v>
      </c>
      <c r="V250" s="8">
        <f ca="1">RawData[[#This Row],[Z (smoothed demand size)]]/RawData[[#This Row],[X (smoothed interval)]]</f>
        <v>7.8663660856407791</v>
      </c>
    </row>
    <row r="251" spans="1:22">
      <c r="A251" t="s">
        <v>20</v>
      </c>
      <c r="B251" t="s">
        <v>14</v>
      </c>
      <c r="C251">
        <v>28</v>
      </c>
      <c r="D251" t="s">
        <v>15</v>
      </c>
      <c r="E251" t="s">
        <v>16</v>
      </c>
      <c r="F251" s="1">
        <v>43840</v>
      </c>
      <c r="G251">
        <v>1</v>
      </c>
      <c r="H251">
        <v>1</v>
      </c>
      <c r="I251">
        <v>9</v>
      </c>
      <c r="J251">
        <v>8</v>
      </c>
      <c r="K251">
        <v>0</v>
      </c>
      <c r="L251">
        <v>698</v>
      </c>
      <c r="M251">
        <v>15</v>
      </c>
      <c r="N251" s="1">
        <f t="shared" si="24"/>
        <v>44938</v>
      </c>
      <c r="O251" s="1">
        <f t="shared" si="25"/>
        <v>43101</v>
      </c>
      <c r="P251" s="1">
        <f t="shared" si="26"/>
        <v>44105</v>
      </c>
      <c r="Q251" s="8">
        <f t="shared" si="27"/>
        <v>0</v>
      </c>
      <c r="R251" s="8">
        <f t="shared" si="28"/>
        <v>34</v>
      </c>
      <c r="S251" s="8">
        <f t="shared" ca="1" si="29"/>
        <v>34</v>
      </c>
      <c r="T251">
        <f t="shared" ca="1" si="30"/>
        <v>6.8682019796457654</v>
      </c>
      <c r="U251" s="8">
        <f t="shared" ca="1" si="31"/>
        <v>1.0476851836094769</v>
      </c>
      <c r="V251" s="8">
        <f ca="1">RawData[[#This Row],[Z (smoothed demand size)]]/RawData[[#This Row],[X (smoothed interval)]]</f>
        <v>6.5555971269761484</v>
      </c>
    </row>
    <row r="252" spans="1:22">
      <c r="A252" t="s">
        <v>20</v>
      </c>
      <c r="B252" t="s">
        <v>14</v>
      </c>
      <c r="C252">
        <v>28</v>
      </c>
      <c r="D252" t="s">
        <v>15</v>
      </c>
      <c r="E252" t="s">
        <v>16</v>
      </c>
      <c r="F252" s="1">
        <v>43841</v>
      </c>
      <c r="G252">
        <v>5</v>
      </c>
      <c r="H252">
        <v>5</v>
      </c>
      <c r="I252">
        <v>18</v>
      </c>
      <c r="J252">
        <v>13</v>
      </c>
      <c r="K252">
        <v>0</v>
      </c>
      <c r="L252">
        <v>713</v>
      </c>
      <c r="M252">
        <v>45</v>
      </c>
      <c r="N252" s="1">
        <f t="shared" si="24"/>
        <v>44938</v>
      </c>
      <c r="O252" s="1">
        <f t="shared" si="25"/>
        <v>43101</v>
      </c>
      <c r="P252" s="1">
        <f t="shared" si="26"/>
        <v>44136</v>
      </c>
      <c r="Q252" s="8">
        <f t="shared" si="27"/>
        <v>0</v>
      </c>
      <c r="R252" s="8">
        <f t="shared" si="28"/>
        <v>35</v>
      </c>
      <c r="S252" s="8">
        <f t="shared" ca="1" si="29"/>
        <v>35</v>
      </c>
      <c r="T252">
        <f t="shared" ca="1" si="30"/>
        <v>6.4945615837166129</v>
      </c>
      <c r="U252" s="8">
        <f t="shared" ca="1" si="31"/>
        <v>1.0381481468875815</v>
      </c>
      <c r="V252" s="8">
        <f ca="1">RawData[[#This Row],[Z (smoothed demand size)]]/RawData[[#This Row],[X (smoothed interval)]]</f>
        <v>6.2559102023999404</v>
      </c>
    </row>
    <row r="253" spans="1:22">
      <c r="A253" t="s">
        <v>20</v>
      </c>
      <c r="B253" t="s">
        <v>14</v>
      </c>
      <c r="C253">
        <v>28</v>
      </c>
      <c r="D253" t="s">
        <v>15</v>
      </c>
      <c r="E253" t="s">
        <v>16</v>
      </c>
      <c r="F253" s="1">
        <v>43842</v>
      </c>
      <c r="G253">
        <v>15</v>
      </c>
      <c r="H253">
        <v>13</v>
      </c>
      <c r="I253">
        <v>13</v>
      </c>
      <c r="J253">
        <v>0</v>
      </c>
      <c r="K253">
        <v>1</v>
      </c>
      <c r="L253">
        <v>815</v>
      </c>
      <c r="M253">
        <v>45</v>
      </c>
      <c r="N253" s="1">
        <f t="shared" si="24"/>
        <v>44938</v>
      </c>
      <c r="O253" s="1">
        <f t="shared" si="25"/>
        <v>43101</v>
      </c>
      <c r="P253" s="1">
        <f t="shared" si="26"/>
        <v>44166</v>
      </c>
      <c r="Q253" s="8">
        <f t="shared" si="27"/>
        <v>0</v>
      </c>
      <c r="R253" s="8">
        <f t="shared" si="28"/>
        <v>36</v>
      </c>
      <c r="S253" s="8">
        <f t="shared" ca="1" si="29"/>
        <v>36</v>
      </c>
      <c r="T253">
        <f t="shared" ca="1" si="30"/>
        <v>8.195649266973291</v>
      </c>
      <c r="U253" s="8">
        <f t="shared" ca="1" si="31"/>
        <v>1.0305185175100653</v>
      </c>
      <c r="V253" s="8">
        <f ca="1">RawData[[#This Row],[Z (smoothed demand size)]]/RawData[[#This Row],[X (smoothed interval)]]</f>
        <v>7.9529374074476467</v>
      </c>
    </row>
    <row r="254" spans="1:22">
      <c r="A254" t="s">
        <v>20</v>
      </c>
      <c r="B254" t="s">
        <v>14</v>
      </c>
      <c r="C254">
        <v>28</v>
      </c>
      <c r="D254" t="s">
        <v>15</v>
      </c>
      <c r="E254" t="s">
        <v>16</v>
      </c>
      <c r="F254" s="1">
        <v>44197</v>
      </c>
      <c r="G254">
        <v>9</v>
      </c>
      <c r="H254">
        <v>0</v>
      </c>
      <c r="I254">
        <v>0</v>
      </c>
      <c r="J254">
        <v>0</v>
      </c>
      <c r="K254">
        <v>1</v>
      </c>
      <c r="L254">
        <v>707</v>
      </c>
      <c r="M254">
        <v>15</v>
      </c>
      <c r="N254" s="1">
        <f t="shared" si="24"/>
        <v>44938</v>
      </c>
      <c r="O254" s="1">
        <f t="shared" si="25"/>
        <v>43101</v>
      </c>
      <c r="P254" s="1">
        <f t="shared" si="26"/>
        <v>44197</v>
      </c>
      <c r="Q254" s="8">
        <f t="shared" si="27"/>
        <v>0</v>
      </c>
      <c r="R254" s="8">
        <f t="shared" si="28"/>
        <v>37</v>
      </c>
      <c r="S254" s="8">
        <f t="shared" ca="1" si="29"/>
        <v>37</v>
      </c>
      <c r="T254">
        <f t="shared" ca="1" si="30"/>
        <v>8.3565194135786331</v>
      </c>
      <c r="U254" s="8">
        <f t="shared" ca="1" si="31"/>
        <v>1.0244148140080522</v>
      </c>
      <c r="V254" s="8">
        <f ca="1">RawData[[#This Row],[Z (smoothed demand size)]]/RawData[[#This Row],[X (smoothed interval)]]</f>
        <v>8.1573590105394054</v>
      </c>
    </row>
    <row r="255" spans="1:22">
      <c r="A255" t="s">
        <v>20</v>
      </c>
      <c r="B255" t="s">
        <v>14</v>
      </c>
      <c r="C255">
        <v>28</v>
      </c>
      <c r="D255" t="s">
        <v>15</v>
      </c>
      <c r="E255" t="s">
        <v>16</v>
      </c>
      <c r="F255" s="1">
        <v>44198</v>
      </c>
      <c r="G255">
        <v>5</v>
      </c>
      <c r="H255">
        <v>5</v>
      </c>
      <c r="I255">
        <v>8</v>
      </c>
      <c r="J255">
        <v>3</v>
      </c>
      <c r="K255">
        <v>0</v>
      </c>
      <c r="L255">
        <v>716</v>
      </c>
      <c r="M255">
        <v>30</v>
      </c>
      <c r="N255" s="1">
        <f t="shared" si="24"/>
        <v>44938</v>
      </c>
      <c r="O255" s="1">
        <f t="shared" si="25"/>
        <v>43101</v>
      </c>
      <c r="P255" s="1">
        <f t="shared" si="26"/>
        <v>44228</v>
      </c>
      <c r="Q255" s="8">
        <f t="shared" si="27"/>
        <v>0</v>
      </c>
      <c r="R255" s="8">
        <f t="shared" si="28"/>
        <v>38</v>
      </c>
      <c r="S255" s="8">
        <f t="shared" ca="1" si="29"/>
        <v>38</v>
      </c>
      <c r="T255">
        <f t="shared" ca="1" si="30"/>
        <v>7.6852155308629069</v>
      </c>
      <c r="U255" s="8">
        <f t="shared" ca="1" si="31"/>
        <v>1.0195318512064417</v>
      </c>
      <c r="V255" s="8">
        <f ca="1">RawData[[#This Row],[Z (smoothed demand size)]]/RawData[[#This Row],[X (smoothed interval)]]</f>
        <v>7.5379847346296902</v>
      </c>
    </row>
    <row r="256" spans="1:22">
      <c r="A256" t="s">
        <v>20</v>
      </c>
      <c r="B256" t="s">
        <v>14</v>
      </c>
      <c r="C256">
        <v>28</v>
      </c>
      <c r="D256" t="s">
        <v>15</v>
      </c>
      <c r="E256" t="s">
        <v>16</v>
      </c>
      <c r="F256" s="1">
        <v>44199</v>
      </c>
      <c r="G256">
        <v>10</v>
      </c>
      <c r="H256">
        <v>10</v>
      </c>
      <c r="I256">
        <v>12</v>
      </c>
      <c r="J256">
        <v>2</v>
      </c>
      <c r="K256">
        <v>0</v>
      </c>
      <c r="L256">
        <v>703</v>
      </c>
      <c r="M256">
        <v>15</v>
      </c>
      <c r="N256" s="1">
        <f t="shared" si="24"/>
        <v>44938</v>
      </c>
      <c r="O256" s="1">
        <f t="shared" si="25"/>
        <v>43101</v>
      </c>
      <c r="P256" s="1">
        <f t="shared" si="26"/>
        <v>44256</v>
      </c>
      <c r="Q256" s="8">
        <f t="shared" si="27"/>
        <v>0</v>
      </c>
      <c r="R256" s="8">
        <f t="shared" si="28"/>
        <v>39</v>
      </c>
      <c r="S256" s="8">
        <f t="shared" ca="1" si="29"/>
        <v>39</v>
      </c>
      <c r="T256">
        <f t="shared" ca="1" si="30"/>
        <v>8.1481724246903262</v>
      </c>
      <c r="U256" s="8">
        <f t="shared" ca="1" si="31"/>
        <v>1.0156254809651535</v>
      </c>
      <c r="V256" s="8">
        <f ca="1">RawData[[#This Row],[Z (smoothed demand size)]]/RawData[[#This Row],[X (smoothed interval)]]</f>
        <v>8.02281212652038</v>
      </c>
    </row>
    <row r="257" spans="1:22">
      <c r="A257" t="s">
        <v>20</v>
      </c>
      <c r="B257" t="s">
        <v>14</v>
      </c>
      <c r="C257">
        <v>28</v>
      </c>
      <c r="D257" t="s">
        <v>15</v>
      </c>
      <c r="E257" t="s">
        <v>16</v>
      </c>
      <c r="F257" s="1">
        <v>44200</v>
      </c>
      <c r="G257">
        <v>10</v>
      </c>
      <c r="H257">
        <v>10</v>
      </c>
      <c r="I257">
        <v>14</v>
      </c>
      <c r="J257">
        <v>4</v>
      </c>
      <c r="K257">
        <v>0</v>
      </c>
      <c r="L257">
        <v>700</v>
      </c>
      <c r="M257">
        <v>30</v>
      </c>
      <c r="N257" s="1">
        <f t="shared" si="24"/>
        <v>44938</v>
      </c>
      <c r="O257" s="1">
        <f t="shared" si="25"/>
        <v>43101</v>
      </c>
      <c r="P257" s="1">
        <f t="shared" si="26"/>
        <v>44287</v>
      </c>
      <c r="Q257" s="8">
        <f t="shared" si="27"/>
        <v>0</v>
      </c>
      <c r="R257" s="8">
        <f t="shared" si="28"/>
        <v>40</v>
      </c>
      <c r="S257" s="8">
        <f t="shared" ca="1" si="29"/>
        <v>40</v>
      </c>
      <c r="T257">
        <f t="shared" ca="1" si="30"/>
        <v>8.5185379397522603</v>
      </c>
      <c r="U257" s="8">
        <f t="shared" ca="1" si="31"/>
        <v>1.0125003847721228</v>
      </c>
      <c r="V257" s="8">
        <f ca="1">RawData[[#This Row],[Z (smoothed demand size)]]/RawData[[#This Row],[X (smoothed interval)]]</f>
        <v>8.4133676074300698</v>
      </c>
    </row>
    <row r="258" spans="1:22">
      <c r="A258" t="s">
        <v>20</v>
      </c>
      <c r="B258" t="s">
        <v>14</v>
      </c>
      <c r="C258">
        <v>28</v>
      </c>
      <c r="D258" t="s">
        <v>15</v>
      </c>
      <c r="E258" t="s">
        <v>16</v>
      </c>
      <c r="F258" s="1">
        <v>44201</v>
      </c>
      <c r="G258">
        <v>7</v>
      </c>
      <c r="H258">
        <v>7</v>
      </c>
      <c r="I258">
        <v>12</v>
      </c>
      <c r="J258">
        <v>5</v>
      </c>
      <c r="K258">
        <v>0</v>
      </c>
      <c r="L258">
        <v>702</v>
      </c>
      <c r="M258">
        <v>45</v>
      </c>
      <c r="N258" s="1">
        <f t="shared" ref="N258:N321" si="32">MAX(F:F)</f>
        <v>44938</v>
      </c>
      <c r="O258" s="1">
        <f t="shared" ref="O258:O321" si="33">MIN(F:F)</f>
        <v>43101</v>
      </c>
      <c r="P258" s="1">
        <f t="shared" ref="P258:P321" si="34">DATE(YEAR(F258), DAY(F258), 1)</f>
        <v>44317</v>
      </c>
      <c r="Q258" s="8">
        <f t="shared" ref="Q258:Q321" si="35" xml:space="preserve"> IF(A258&lt;&gt;A257, 1, 0)</f>
        <v>0</v>
      </c>
      <c r="R258" s="8">
        <f t="shared" ref="R258:R321" si="36">IF(Q258=1,1,R257+1)</f>
        <v>41</v>
      </c>
      <c r="S258" s="8">
        <f t="shared" ref="S258:S321" ca="1" si="37" xml:space="preserve"> IF(Q258=1, IF(G258&gt;0, R258, 0), IF(G258&gt;0, R258, OFFSET(S258,-1,0)))</f>
        <v>41</v>
      </c>
      <c r="T258">
        <f t="shared" ref="T258:T321" ca="1" si="38" xml:space="preserve"> IF(Q258=1, IF(G258&gt;0, G258, 0), IF(G258&gt;0, $X$1*G258+(1-$X$1)*OFFSET(T258,-1,0), OFFSET(T258,-1,0)))</f>
        <v>8.2148303518018082</v>
      </c>
      <c r="U258" s="8">
        <f t="shared" ref="U258:U321" ca="1" si="39" xml:space="preserve"> IF(Q258=1, 1, IF(G258&gt;0, $X$1*(R258-OFFSET(S258,-1,0))+(1-$X$1)*OFFSET(U258,-1,0), OFFSET(U258,-1,0)))</f>
        <v>1.0100003078176982</v>
      </c>
      <c r="V258" s="8">
        <f ca="1">RawData[[#This Row],[Z (smoothed demand size)]]/RawData[[#This Row],[X (smoothed interval)]]</f>
        <v>8.1334929189789502</v>
      </c>
    </row>
    <row r="259" spans="1:22">
      <c r="A259" t="s">
        <v>20</v>
      </c>
      <c r="B259" t="s">
        <v>14</v>
      </c>
      <c r="C259">
        <v>28</v>
      </c>
      <c r="D259" t="s">
        <v>15</v>
      </c>
      <c r="E259" t="s">
        <v>16</v>
      </c>
      <c r="F259" s="1">
        <v>44202</v>
      </c>
      <c r="G259">
        <v>4</v>
      </c>
      <c r="H259">
        <v>4</v>
      </c>
      <c r="I259">
        <v>5</v>
      </c>
      <c r="J259">
        <v>1</v>
      </c>
      <c r="K259">
        <v>0</v>
      </c>
      <c r="L259">
        <v>810</v>
      </c>
      <c r="M259">
        <v>30</v>
      </c>
      <c r="N259" s="1">
        <f t="shared" si="32"/>
        <v>44938</v>
      </c>
      <c r="O259" s="1">
        <f t="shared" si="33"/>
        <v>43101</v>
      </c>
      <c r="P259" s="1">
        <f t="shared" si="34"/>
        <v>44348</v>
      </c>
      <c r="Q259" s="8">
        <f t="shared" si="35"/>
        <v>0</v>
      </c>
      <c r="R259" s="8">
        <f t="shared" si="36"/>
        <v>42</v>
      </c>
      <c r="S259" s="8">
        <f t="shared" ca="1" si="37"/>
        <v>42</v>
      </c>
      <c r="T259">
        <f t="shared" ca="1" si="38"/>
        <v>7.3718642814414466</v>
      </c>
      <c r="U259" s="8">
        <f t="shared" ca="1" si="39"/>
        <v>1.0080002462541586</v>
      </c>
      <c r="V259" s="8">
        <f ca="1">RawData[[#This Row],[Z (smoothed demand size)]]/RawData[[#This Row],[X (smoothed interval)]]</f>
        <v>7.3133556354138962</v>
      </c>
    </row>
    <row r="260" spans="1:22">
      <c r="A260" t="s">
        <v>20</v>
      </c>
      <c r="B260" t="s">
        <v>14</v>
      </c>
      <c r="C260">
        <v>28</v>
      </c>
      <c r="D260" t="s">
        <v>15</v>
      </c>
      <c r="E260" t="s">
        <v>16</v>
      </c>
      <c r="F260" s="1">
        <v>44203</v>
      </c>
      <c r="G260">
        <v>9</v>
      </c>
      <c r="H260">
        <v>9</v>
      </c>
      <c r="I260">
        <v>12</v>
      </c>
      <c r="J260">
        <v>3</v>
      </c>
      <c r="K260">
        <v>0</v>
      </c>
      <c r="L260">
        <v>811</v>
      </c>
      <c r="M260">
        <v>45</v>
      </c>
      <c r="N260" s="1">
        <f t="shared" si="32"/>
        <v>44938</v>
      </c>
      <c r="O260" s="1">
        <f t="shared" si="33"/>
        <v>43101</v>
      </c>
      <c r="P260" s="1">
        <f t="shared" si="34"/>
        <v>44378</v>
      </c>
      <c r="Q260" s="8">
        <f t="shared" si="35"/>
        <v>0</v>
      </c>
      <c r="R260" s="8">
        <f t="shared" si="36"/>
        <v>43</v>
      </c>
      <c r="S260" s="8">
        <f t="shared" ca="1" si="37"/>
        <v>43</v>
      </c>
      <c r="T260">
        <f t="shared" ca="1" si="38"/>
        <v>7.6974914251531574</v>
      </c>
      <c r="U260" s="8">
        <f t="shared" ca="1" si="39"/>
        <v>1.0064001970033269</v>
      </c>
      <c r="V260" s="8">
        <f ca="1">RawData[[#This Row],[Z (smoothed demand size)]]/RawData[[#This Row],[X (smoothed interval)]]</f>
        <v>7.6485392670563153</v>
      </c>
    </row>
    <row r="261" spans="1:22">
      <c r="A261" t="s">
        <v>20</v>
      </c>
      <c r="B261" t="s">
        <v>14</v>
      </c>
      <c r="C261">
        <v>28</v>
      </c>
      <c r="D261" t="s">
        <v>15</v>
      </c>
      <c r="E261" t="s">
        <v>16</v>
      </c>
      <c r="F261" s="1">
        <v>44204</v>
      </c>
      <c r="G261">
        <v>13</v>
      </c>
      <c r="H261">
        <v>3</v>
      </c>
      <c r="I261">
        <v>3</v>
      </c>
      <c r="J261">
        <v>0</v>
      </c>
      <c r="K261">
        <v>1</v>
      </c>
      <c r="L261">
        <v>805</v>
      </c>
      <c r="M261">
        <v>45</v>
      </c>
      <c r="N261" s="1">
        <f t="shared" si="32"/>
        <v>44938</v>
      </c>
      <c r="O261" s="1">
        <f t="shared" si="33"/>
        <v>43101</v>
      </c>
      <c r="P261" s="1">
        <f t="shared" si="34"/>
        <v>44409</v>
      </c>
      <c r="Q261" s="8">
        <f t="shared" si="35"/>
        <v>0</v>
      </c>
      <c r="R261" s="8">
        <f t="shared" si="36"/>
        <v>44</v>
      </c>
      <c r="S261" s="8">
        <f t="shared" ca="1" si="37"/>
        <v>44</v>
      </c>
      <c r="T261">
        <f t="shared" ca="1" si="38"/>
        <v>8.7579931401225259</v>
      </c>
      <c r="U261" s="8">
        <f t="shared" ca="1" si="39"/>
        <v>1.0051201576026616</v>
      </c>
      <c r="V261" s="8">
        <f ca="1">RawData[[#This Row],[Z (smoothed demand size)]]/RawData[[#This Row],[X (smoothed interval)]]</f>
        <v>8.7133792650337885</v>
      </c>
    </row>
    <row r="262" spans="1:22">
      <c r="A262" t="s">
        <v>20</v>
      </c>
      <c r="B262" t="s">
        <v>14</v>
      </c>
      <c r="C262">
        <v>28</v>
      </c>
      <c r="D262" t="s">
        <v>15</v>
      </c>
      <c r="E262" t="s">
        <v>16</v>
      </c>
      <c r="F262" s="1">
        <v>44205</v>
      </c>
      <c r="G262">
        <v>13</v>
      </c>
      <c r="H262">
        <v>7</v>
      </c>
      <c r="I262">
        <v>7</v>
      </c>
      <c r="J262">
        <v>0</v>
      </c>
      <c r="K262">
        <v>1</v>
      </c>
      <c r="L262">
        <v>691</v>
      </c>
      <c r="M262">
        <v>15</v>
      </c>
      <c r="N262" s="1">
        <f t="shared" si="32"/>
        <v>44938</v>
      </c>
      <c r="O262" s="1">
        <f t="shared" si="33"/>
        <v>43101</v>
      </c>
      <c r="P262" s="1">
        <f t="shared" si="34"/>
        <v>44440</v>
      </c>
      <c r="Q262" s="8">
        <f t="shared" si="35"/>
        <v>0</v>
      </c>
      <c r="R262" s="8">
        <f t="shared" si="36"/>
        <v>45</v>
      </c>
      <c r="S262" s="8">
        <f t="shared" ca="1" si="37"/>
        <v>45</v>
      </c>
      <c r="T262">
        <f t="shared" ca="1" si="38"/>
        <v>9.6063945120980208</v>
      </c>
      <c r="U262" s="8">
        <f t="shared" ca="1" si="39"/>
        <v>1.0040961260821293</v>
      </c>
      <c r="V262" s="8">
        <f ca="1">RawData[[#This Row],[Z (smoothed demand size)]]/RawData[[#This Row],[X (smoothed interval)]]</f>
        <v>9.5672060299456554</v>
      </c>
    </row>
    <row r="263" spans="1:22">
      <c r="A263" t="s">
        <v>20</v>
      </c>
      <c r="B263" t="s">
        <v>14</v>
      </c>
      <c r="C263">
        <v>28</v>
      </c>
      <c r="D263" t="s">
        <v>15</v>
      </c>
      <c r="E263" t="s">
        <v>16</v>
      </c>
      <c r="F263" s="1">
        <v>44206</v>
      </c>
      <c r="G263">
        <v>6</v>
      </c>
      <c r="H263">
        <v>6</v>
      </c>
      <c r="I263">
        <v>7</v>
      </c>
      <c r="J263">
        <v>1</v>
      </c>
      <c r="K263">
        <v>0</v>
      </c>
      <c r="L263">
        <v>702</v>
      </c>
      <c r="M263">
        <v>45</v>
      </c>
      <c r="N263" s="1">
        <f t="shared" si="32"/>
        <v>44938</v>
      </c>
      <c r="O263" s="1">
        <f t="shared" si="33"/>
        <v>43101</v>
      </c>
      <c r="P263" s="1">
        <f t="shared" si="34"/>
        <v>44470</v>
      </c>
      <c r="Q263" s="8">
        <f t="shared" si="35"/>
        <v>0</v>
      </c>
      <c r="R263" s="8">
        <f t="shared" si="36"/>
        <v>46</v>
      </c>
      <c r="S263" s="8">
        <f t="shared" ca="1" si="37"/>
        <v>46</v>
      </c>
      <c r="T263">
        <f t="shared" ca="1" si="38"/>
        <v>8.885115609678417</v>
      </c>
      <c r="U263" s="8">
        <f t="shared" ca="1" si="39"/>
        <v>1.0032769008657034</v>
      </c>
      <c r="V263" s="8">
        <f ca="1">RawData[[#This Row],[Z (smoothed demand size)]]/RawData[[#This Row],[X (smoothed interval)]]</f>
        <v>8.8560950640961291</v>
      </c>
    </row>
    <row r="264" spans="1:22">
      <c r="A264" t="s">
        <v>20</v>
      </c>
      <c r="B264" t="s">
        <v>14</v>
      </c>
      <c r="C264">
        <v>28</v>
      </c>
      <c r="D264" t="s">
        <v>15</v>
      </c>
      <c r="E264" t="s">
        <v>16</v>
      </c>
      <c r="F264" s="1">
        <v>44207</v>
      </c>
      <c r="G264">
        <v>8</v>
      </c>
      <c r="H264">
        <v>1</v>
      </c>
      <c r="I264">
        <v>1</v>
      </c>
      <c r="J264">
        <v>0</v>
      </c>
      <c r="K264">
        <v>1</v>
      </c>
      <c r="L264">
        <v>708</v>
      </c>
      <c r="M264">
        <v>15</v>
      </c>
      <c r="N264" s="1">
        <f t="shared" si="32"/>
        <v>44938</v>
      </c>
      <c r="O264" s="1">
        <f t="shared" si="33"/>
        <v>43101</v>
      </c>
      <c r="P264" s="1">
        <f t="shared" si="34"/>
        <v>44501</v>
      </c>
      <c r="Q264" s="8">
        <f t="shared" si="35"/>
        <v>0</v>
      </c>
      <c r="R264" s="8">
        <f t="shared" si="36"/>
        <v>47</v>
      </c>
      <c r="S264" s="8">
        <f t="shared" ca="1" si="37"/>
        <v>47</v>
      </c>
      <c r="T264">
        <f t="shared" ca="1" si="38"/>
        <v>8.7080924877427339</v>
      </c>
      <c r="U264" s="8">
        <f t="shared" ca="1" si="39"/>
        <v>1.0026215206925628</v>
      </c>
      <c r="V264" s="8">
        <f ca="1">RawData[[#This Row],[Z (smoothed demand size)]]/RawData[[#This Row],[X (smoothed interval)]]</f>
        <v>8.6853237318580607</v>
      </c>
    </row>
    <row r="265" spans="1:22">
      <c r="A265" t="s">
        <v>20</v>
      </c>
      <c r="B265" t="s">
        <v>14</v>
      </c>
      <c r="C265">
        <v>28</v>
      </c>
      <c r="D265" t="s">
        <v>15</v>
      </c>
      <c r="E265" t="s">
        <v>16</v>
      </c>
      <c r="F265" s="1">
        <v>44208</v>
      </c>
      <c r="G265">
        <v>8</v>
      </c>
      <c r="H265">
        <v>8</v>
      </c>
      <c r="I265">
        <v>8</v>
      </c>
      <c r="J265">
        <v>0</v>
      </c>
      <c r="K265">
        <v>0</v>
      </c>
      <c r="L265">
        <v>813</v>
      </c>
      <c r="M265">
        <v>15</v>
      </c>
      <c r="N265" s="1">
        <f t="shared" si="32"/>
        <v>44938</v>
      </c>
      <c r="O265" s="1">
        <f t="shared" si="33"/>
        <v>43101</v>
      </c>
      <c r="P265" s="1">
        <f t="shared" si="34"/>
        <v>44531</v>
      </c>
      <c r="Q265" s="8">
        <f t="shared" si="35"/>
        <v>0</v>
      </c>
      <c r="R265" s="8">
        <f t="shared" si="36"/>
        <v>48</v>
      </c>
      <c r="S265" s="8">
        <f t="shared" ca="1" si="37"/>
        <v>48</v>
      </c>
      <c r="T265">
        <f t="shared" ca="1" si="38"/>
        <v>8.5664739901941882</v>
      </c>
      <c r="U265" s="8">
        <f t="shared" ca="1" si="39"/>
        <v>1.0020972165540503</v>
      </c>
      <c r="V265" s="8">
        <f ca="1">RawData[[#This Row],[Z (smoothed demand size)]]/RawData[[#This Row],[X (smoothed interval)]]</f>
        <v>8.5485458383489448</v>
      </c>
    </row>
    <row r="266" spans="1:22">
      <c r="A266" t="s">
        <v>20</v>
      </c>
      <c r="B266" t="s">
        <v>14</v>
      </c>
      <c r="C266">
        <v>28</v>
      </c>
      <c r="D266" t="s">
        <v>15</v>
      </c>
      <c r="E266" t="s">
        <v>16</v>
      </c>
      <c r="F266" s="1">
        <v>44562</v>
      </c>
      <c r="G266">
        <v>8</v>
      </c>
      <c r="H266">
        <v>8</v>
      </c>
      <c r="I266">
        <v>11</v>
      </c>
      <c r="J266">
        <v>3</v>
      </c>
      <c r="K266">
        <v>0</v>
      </c>
      <c r="L266">
        <v>712</v>
      </c>
      <c r="M266">
        <v>45</v>
      </c>
      <c r="N266" s="1">
        <f t="shared" si="32"/>
        <v>44938</v>
      </c>
      <c r="O266" s="1">
        <f t="shared" si="33"/>
        <v>43101</v>
      </c>
      <c r="P266" s="1">
        <f t="shared" si="34"/>
        <v>44562</v>
      </c>
      <c r="Q266" s="8">
        <f t="shared" si="35"/>
        <v>0</v>
      </c>
      <c r="R266" s="8">
        <f t="shared" si="36"/>
        <v>49</v>
      </c>
      <c r="S266" s="8">
        <f t="shared" ca="1" si="37"/>
        <v>49</v>
      </c>
      <c r="T266">
        <f t="shared" ca="1" si="38"/>
        <v>8.4531791921553516</v>
      </c>
      <c r="U266" s="8">
        <f t="shared" ca="1" si="39"/>
        <v>1.0016777732432403</v>
      </c>
      <c r="V266" s="8">
        <f ca="1">RawData[[#This Row],[Z (smoothed demand size)]]/RawData[[#This Row],[X (smoothed interval)]]</f>
        <v>8.4390204294796121</v>
      </c>
    </row>
    <row r="267" spans="1:22">
      <c r="A267" t="s">
        <v>20</v>
      </c>
      <c r="B267" t="s">
        <v>14</v>
      </c>
      <c r="C267">
        <v>28</v>
      </c>
      <c r="D267" t="s">
        <v>15</v>
      </c>
      <c r="E267" t="s">
        <v>16</v>
      </c>
      <c r="F267" s="1">
        <v>44563</v>
      </c>
      <c r="G267">
        <v>6</v>
      </c>
      <c r="H267">
        <v>3</v>
      </c>
      <c r="I267">
        <v>3</v>
      </c>
      <c r="J267">
        <v>0</v>
      </c>
      <c r="K267">
        <v>1</v>
      </c>
      <c r="L267">
        <v>717</v>
      </c>
      <c r="M267">
        <v>60</v>
      </c>
      <c r="N267" s="1">
        <f t="shared" si="32"/>
        <v>44938</v>
      </c>
      <c r="O267" s="1">
        <f t="shared" si="33"/>
        <v>43101</v>
      </c>
      <c r="P267" s="1">
        <f t="shared" si="34"/>
        <v>44593</v>
      </c>
      <c r="Q267" s="8">
        <f t="shared" si="35"/>
        <v>0</v>
      </c>
      <c r="R267" s="8">
        <f t="shared" si="36"/>
        <v>50</v>
      </c>
      <c r="S267" s="8">
        <f t="shared" ca="1" si="37"/>
        <v>50</v>
      </c>
      <c r="T267">
        <f t="shared" ca="1" si="38"/>
        <v>7.962543353724282</v>
      </c>
      <c r="U267" s="8">
        <f t="shared" ca="1" si="39"/>
        <v>1.0013422185945922</v>
      </c>
      <c r="V267" s="8">
        <f ca="1">RawData[[#This Row],[Z (smoothed demand size)]]/RawData[[#This Row],[X (smoothed interval)]]</f>
        <v>7.9518702056724448</v>
      </c>
    </row>
    <row r="268" spans="1:22">
      <c r="A268" t="s">
        <v>20</v>
      </c>
      <c r="B268" t="s">
        <v>14</v>
      </c>
      <c r="C268">
        <v>28</v>
      </c>
      <c r="D268" t="s">
        <v>15</v>
      </c>
      <c r="E268" t="s">
        <v>16</v>
      </c>
      <c r="F268" s="1">
        <v>44564</v>
      </c>
      <c r="G268">
        <v>7</v>
      </c>
      <c r="H268">
        <v>7</v>
      </c>
      <c r="I268">
        <v>9</v>
      </c>
      <c r="J268">
        <v>2</v>
      </c>
      <c r="K268">
        <v>0</v>
      </c>
      <c r="L268">
        <v>709</v>
      </c>
      <c r="M268">
        <v>30</v>
      </c>
      <c r="N268" s="1">
        <f t="shared" si="32"/>
        <v>44938</v>
      </c>
      <c r="O268" s="1">
        <f t="shared" si="33"/>
        <v>43101</v>
      </c>
      <c r="P268" s="1">
        <f t="shared" si="34"/>
        <v>44621</v>
      </c>
      <c r="Q268" s="8">
        <f t="shared" si="35"/>
        <v>0</v>
      </c>
      <c r="R268" s="8">
        <f t="shared" si="36"/>
        <v>51</v>
      </c>
      <c r="S268" s="8">
        <f t="shared" ca="1" si="37"/>
        <v>51</v>
      </c>
      <c r="T268">
        <f t="shared" ca="1" si="38"/>
        <v>7.7700346829794267</v>
      </c>
      <c r="U268" s="8">
        <f t="shared" ca="1" si="39"/>
        <v>1.0010737748756737</v>
      </c>
      <c r="V268" s="8">
        <f ca="1">RawData[[#This Row],[Z (smoothed demand size)]]/RawData[[#This Row],[X (smoothed interval)]]</f>
        <v>7.7617003641359101</v>
      </c>
    </row>
    <row r="269" spans="1:22">
      <c r="A269" t="s">
        <v>20</v>
      </c>
      <c r="B269" t="s">
        <v>14</v>
      </c>
      <c r="C269">
        <v>28</v>
      </c>
      <c r="D269" t="s">
        <v>15</v>
      </c>
      <c r="E269" t="s">
        <v>16</v>
      </c>
      <c r="F269" s="1">
        <v>44565</v>
      </c>
      <c r="G269">
        <v>12</v>
      </c>
      <c r="H269">
        <v>12</v>
      </c>
      <c r="I269">
        <v>14</v>
      </c>
      <c r="J269">
        <v>2</v>
      </c>
      <c r="K269">
        <v>0</v>
      </c>
      <c r="L269">
        <v>713</v>
      </c>
      <c r="M269">
        <v>30</v>
      </c>
      <c r="N269" s="1">
        <f t="shared" si="32"/>
        <v>44938</v>
      </c>
      <c r="O269" s="1">
        <f t="shared" si="33"/>
        <v>43101</v>
      </c>
      <c r="P269" s="1">
        <f t="shared" si="34"/>
        <v>44652</v>
      </c>
      <c r="Q269" s="8">
        <f t="shared" si="35"/>
        <v>0</v>
      </c>
      <c r="R269" s="8">
        <f t="shared" si="36"/>
        <v>52</v>
      </c>
      <c r="S269" s="8">
        <f t="shared" ca="1" si="37"/>
        <v>52</v>
      </c>
      <c r="T269">
        <f t="shared" ca="1" si="38"/>
        <v>8.6160277463835424</v>
      </c>
      <c r="U269" s="8">
        <f t="shared" ca="1" si="39"/>
        <v>1.0008590199005389</v>
      </c>
      <c r="V269" s="8">
        <f ca="1">RawData[[#This Row],[Z (smoothed demand size)]]/RawData[[#This Row],[X (smoothed interval)]]</f>
        <v>8.6086327595266781</v>
      </c>
    </row>
    <row r="270" spans="1:22">
      <c r="A270" t="s">
        <v>20</v>
      </c>
      <c r="B270" t="s">
        <v>14</v>
      </c>
      <c r="C270">
        <v>28</v>
      </c>
      <c r="D270" t="s">
        <v>15</v>
      </c>
      <c r="E270" t="s">
        <v>16</v>
      </c>
      <c r="F270" s="1">
        <v>44566</v>
      </c>
      <c r="G270">
        <v>7</v>
      </c>
      <c r="H270">
        <v>7</v>
      </c>
      <c r="I270">
        <v>9</v>
      </c>
      <c r="J270">
        <v>2</v>
      </c>
      <c r="K270">
        <v>0</v>
      </c>
      <c r="L270">
        <v>709</v>
      </c>
      <c r="M270">
        <v>15</v>
      </c>
      <c r="N270" s="1">
        <f t="shared" si="32"/>
        <v>44938</v>
      </c>
      <c r="O270" s="1">
        <f t="shared" si="33"/>
        <v>43101</v>
      </c>
      <c r="P270" s="1">
        <f t="shared" si="34"/>
        <v>44682</v>
      </c>
      <c r="Q270" s="8">
        <f t="shared" si="35"/>
        <v>0</v>
      </c>
      <c r="R270" s="8">
        <f t="shared" si="36"/>
        <v>53</v>
      </c>
      <c r="S270" s="8">
        <f t="shared" ca="1" si="37"/>
        <v>53</v>
      </c>
      <c r="T270">
        <f t="shared" ca="1" si="38"/>
        <v>8.292822197106835</v>
      </c>
      <c r="U270" s="8">
        <f t="shared" ca="1" si="39"/>
        <v>1.0006872159204312</v>
      </c>
      <c r="V270" s="8">
        <f ca="1">RawData[[#This Row],[Z (smoothed demand size)]]/RawData[[#This Row],[X (smoothed interval)]]</f>
        <v>8.2871271513937597</v>
      </c>
    </row>
    <row r="271" spans="1:22">
      <c r="A271" t="s">
        <v>20</v>
      </c>
      <c r="B271" t="s">
        <v>14</v>
      </c>
      <c r="C271">
        <v>28</v>
      </c>
      <c r="D271" t="s">
        <v>15</v>
      </c>
      <c r="E271" t="s">
        <v>16</v>
      </c>
      <c r="F271" s="1">
        <v>44567</v>
      </c>
      <c r="G271">
        <v>8</v>
      </c>
      <c r="H271">
        <v>8</v>
      </c>
      <c r="I271">
        <v>10</v>
      </c>
      <c r="J271">
        <v>2</v>
      </c>
      <c r="K271">
        <v>0</v>
      </c>
      <c r="L271">
        <v>823</v>
      </c>
      <c r="M271">
        <v>15</v>
      </c>
      <c r="N271" s="1">
        <f t="shared" si="32"/>
        <v>44938</v>
      </c>
      <c r="O271" s="1">
        <f t="shared" si="33"/>
        <v>43101</v>
      </c>
      <c r="P271" s="1">
        <f t="shared" si="34"/>
        <v>44713</v>
      </c>
      <c r="Q271" s="8">
        <f t="shared" si="35"/>
        <v>0</v>
      </c>
      <c r="R271" s="8">
        <f t="shared" si="36"/>
        <v>54</v>
      </c>
      <c r="S271" s="8">
        <f t="shared" ca="1" si="37"/>
        <v>54</v>
      </c>
      <c r="T271">
        <f t="shared" ca="1" si="38"/>
        <v>8.2342577576854676</v>
      </c>
      <c r="U271" s="8">
        <f t="shared" ca="1" si="39"/>
        <v>1.000549772736345</v>
      </c>
      <c r="V271" s="8">
        <f ca="1">RawData[[#This Row],[Z (smoothed demand size)]]/RawData[[#This Row],[X (smoothed interval)]]</f>
        <v>8.2297332747036442</v>
      </c>
    </row>
    <row r="272" spans="1:22">
      <c r="A272" t="s">
        <v>20</v>
      </c>
      <c r="B272" t="s">
        <v>14</v>
      </c>
      <c r="C272">
        <v>28</v>
      </c>
      <c r="D272" t="s">
        <v>15</v>
      </c>
      <c r="E272" t="s">
        <v>16</v>
      </c>
      <c r="F272" s="1">
        <v>44568</v>
      </c>
      <c r="G272">
        <v>13</v>
      </c>
      <c r="H272">
        <v>9</v>
      </c>
      <c r="I272">
        <v>9</v>
      </c>
      <c r="J272">
        <v>0</v>
      </c>
      <c r="K272">
        <v>1</v>
      </c>
      <c r="L272">
        <v>824</v>
      </c>
      <c r="M272">
        <v>30</v>
      </c>
      <c r="N272" s="1">
        <f t="shared" si="32"/>
        <v>44938</v>
      </c>
      <c r="O272" s="1">
        <f t="shared" si="33"/>
        <v>43101</v>
      </c>
      <c r="P272" s="1">
        <f t="shared" si="34"/>
        <v>44743</v>
      </c>
      <c r="Q272" s="8">
        <f t="shared" si="35"/>
        <v>0</v>
      </c>
      <c r="R272" s="8">
        <f t="shared" si="36"/>
        <v>55</v>
      </c>
      <c r="S272" s="8">
        <f t="shared" ca="1" si="37"/>
        <v>55</v>
      </c>
      <c r="T272">
        <f t="shared" ca="1" si="38"/>
        <v>9.1874062061483741</v>
      </c>
      <c r="U272" s="8">
        <f t="shared" ca="1" si="39"/>
        <v>1.0004398181890761</v>
      </c>
      <c r="V272" s="8">
        <f ca="1">RawData[[#This Row],[Z (smoothed demand size)]]/RawData[[#This Row],[X (smoothed interval)]]</f>
        <v>9.1833671942193913</v>
      </c>
    </row>
    <row r="273" spans="1:22">
      <c r="A273" t="s">
        <v>20</v>
      </c>
      <c r="B273" t="s">
        <v>14</v>
      </c>
      <c r="C273">
        <v>28</v>
      </c>
      <c r="D273" t="s">
        <v>15</v>
      </c>
      <c r="E273" t="s">
        <v>16</v>
      </c>
      <c r="F273" s="1">
        <v>44569</v>
      </c>
      <c r="G273">
        <v>11</v>
      </c>
      <c r="H273">
        <v>11</v>
      </c>
      <c r="I273">
        <v>12</v>
      </c>
      <c r="J273">
        <v>1</v>
      </c>
      <c r="K273">
        <v>0</v>
      </c>
      <c r="L273">
        <v>817</v>
      </c>
      <c r="M273">
        <v>15</v>
      </c>
      <c r="N273" s="1">
        <f t="shared" si="32"/>
        <v>44938</v>
      </c>
      <c r="O273" s="1">
        <f t="shared" si="33"/>
        <v>43101</v>
      </c>
      <c r="P273" s="1">
        <f t="shared" si="34"/>
        <v>44774</v>
      </c>
      <c r="Q273" s="8">
        <f t="shared" si="35"/>
        <v>0</v>
      </c>
      <c r="R273" s="8">
        <f t="shared" si="36"/>
        <v>56</v>
      </c>
      <c r="S273" s="8">
        <f t="shared" ca="1" si="37"/>
        <v>56</v>
      </c>
      <c r="T273">
        <f t="shared" ca="1" si="38"/>
        <v>9.5499249649186986</v>
      </c>
      <c r="U273" s="8">
        <f t="shared" ca="1" si="39"/>
        <v>1.0003518545512609</v>
      </c>
      <c r="V273" s="8">
        <f ca="1">RawData[[#This Row],[Z (smoothed demand size)]]/RawData[[#This Row],[X (smoothed interval)]]</f>
        <v>9.5465659622359738</v>
      </c>
    </row>
    <row r="274" spans="1:22">
      <c r="A274" t="s">
        <v>20</v>
      </c>
      <c r="B274" t="s">
        <v>14</v>
      </c>
      <c r="C274">
        <v>28</v>
      </c>
      <c r="D274" t="s">
        <v>15</v>
      </c>
      <c r="E274" t="s">
        <v>16</v>
      </c>
      <c r="F274" s="1">
        <v>44570</v>
      </c>
      <c r="G274">
        <v>11</v>
      </c>
      <c r="H274">
        <v>9</v>
      </c>
      <c r="I274">
        <v>9</v>
      </c>
      <c r="J274">
        <v>0</v>
      </c>
      <c r="K274">
        <v>1</v>
      </c>
      <c r="L274">
        <v>708</v>
      </c>
      <c r="M274">
        <v>60</v>
      </c>
      <c r="N274" s="1">
        <f t="shared" si="32"/>
        <v>44938</v>
      </c>
      <c r="O274" s="1">
        <f t="shared" si="33"/>
        <v>43101</v>
      </c>
      <c r="P274" s="1">
        <f t="shared" si="34"/>
        <v>44805</v>
      </c>
      <c r="Q274" s="8">
        <f t="shared" si="35"/>
        <v>0</v>
      </c>
      <c r="R274" s="8">
        <f t="shared" si="36"/>
        <v>57</v>
      </c>
      <c r="S274" s="8">
        <f t="shared" ca="1" si="37"/>
        <v>57</v>
      </c>
      <c r="T274">
        <f t="shared" ca="1" si="38"/>
        <v>9.8399399719349603</v>
      </c>
      <c r="U274" s="8">
        <f t="shared" ca="1" si="39"/>
        <v>1.0002814836410088</v>
      </c>
      <c r="V274" s="8">
        <f ca="1">RawData[[#This Row],[Z (smoothed demand size)]]/RawData[[#This Row],[X (smoothed interval)]]</f>
        <v>9.8371709692333145</v>
      </c>
    </row>
    <row r="275" spans="1:22">
      <c r="A275" t="s">
        <v>20</v>
      </c>
      <c r="B275" t="s">
        <v>14</v>
      </c>
      <c r="C275">
        <v>28</v>
      </c>
      <c r="D275" t="s">
        <v>15</v>
      </c>
      <c r="E275" t="s">
        <v>16</v>
      </c>
      <c r="F275" s="1">
        <v>44571</v>
      </c>
      <c r="G275">
        <v>10</v>
      </c>
      <c r="H275">
        <v>0</v>
      </c>
      <c r="I275">
        <v>0</v>
      </c>
      <c r="J275">
        <v>0</v>
      </c>
      <c r="K275">
        <v>1</v>
      </c>
      <c r="L275">
        <v>702</v>
      </c>
      <c r="M275">
        <v>60</v>
      </c>
      <c r="N275" s="1">
        <f t="shared" si="32"/>
        <v>44938</v>
      </c>
      <c r="O275" s="1">
        <f t="shared" si="33"/>
        <v>43101</v>
      </c>
      <c r="P275" s="1">
        <f t="shared" si="34"/>
        <v>44835</v>
      </c>
      <c r="Q275" s="8">
        <f t="shared" si="35"/>
        <v>0</v>
      </c>
      <c r="R275" s="8">
        <f t="shared" si="36"/>
        <v>58</v>
      </c>
      <c r="S275" s="8">
        <f t="shared" ca="1" si="37"/>
        <v>58</v>
      </c>
      <c r="T275">
        <f t="shared" ca="1" si="38"/>
        <v>9.8719519775479689</v>
      </c>
      <c r="U275" s="8">
        <f t="shared" ca="1" si="39"/>
        <v>1.0002251869128072</v>
      </c>
      <c r="V275" s="8">
        <f ca="1">RawData[[#This Row],[Z (smoothed demand size)]]/RawData[[#This Row],[X (smoothed interval)]]</f>
        <v>9.8697294436443137</v>
      </c>
    </row>
    <row r="276" spans="1:22">
      <c r="A276" t="s">
        <v>20</v>
      </c>
      <c r="B276" t="s">
        <v>14</v>
      </c>
      <c r="C276">
        <v>28</v>
      </c>
      <c r="D276" t="s">
        <v>15</v>
      </c>
      <c r="E276" t="s">
        <v>16</v>
      </c>
      <c r="F276" s="1">
        <v>44572</v>
      </c>
      <c r="G276">
        <v>8</v>
      </c>
      <c r="H276">
        <v>8</v>
      </c>
      <c r="I276">
        <v>8</v>
      </c>
      <c r="J276">
        <v>0</v>
      </c>
      <c r="K276">
        <v>0</v>
      </c>
      <c r="L276">
        <v>703</v>
      </c>
      <c r="M276">
        <v>45</v>
      </c>
      <c r="N276" s="1">
        <f t="shared" si="32"/>
        <v>44938</v>
      </c>
      <c r="O276" s="1">
        <f t="shared" si="33"/>
        <v>43101</v>
      </c>
      <c r="P276" s="1">
        <f t="shared" si="34"/>
        <v>44866</v>
      </c>
      <c r="Q276" s="8">
        <f t="shared" si="35"/>
        <v>0</v>
      </c>
      <c r="R276" s="8">
        <f t="shared" si="36"/>
        <v>59</v>
      </c>
      <c r="S276" s="8">
        <f t="shared" ca="1" si="37"/>
        <v>59</v>
      </c>
      <c r="T276">
        <f t="shared" ca="1" si="38"/>
        <v>9.4975615820383759</v>
      </c>
      <c r="U276" s="8">
        <f t="shared" ca="1" si="39"/>
        <v>1.0001801495302458</v>
      </c>
      <c r="V276" s="8">
        <f ca="1">RawData[[#This Row],[Z (smoothed demand size)]]/RawData[[#This Row],[X (smoothed interval)]]</f>
        <v>9.4958509089578431</v>
      </c>
    </row>
    <row r="277" spans="1:22">
      <c r="A277" t="s">
        <v>20</v>
      </c>
      <c r="B277" t="s">
        <v>14</v>
      </c>
      <c r="C277">
        <v>28</v>
      </c>
      <c r="D277" t="s">
        <v>15</v>
      </c>
      <c r="E277" t="s">
        <v>16</v>
      </c>
      <c r="F277" s="1">
        <v>44573</v>
      </c>
      <c r="G277">
        <v>10</v>
      </c>
      <c r="H277">
        <v>0</v>
      </c>
      <c r="I277">
        <v>0</v>
      </c>
      <c r="J277">
        <v>0</v>
      </c>
      <c r="K277">
        <v>1</v>
      </c>
      <c r="L277">
        <v>806</v>
      </c>
      <c r="M277">
        <v>45</v>
      </c>
      <c r="N277" s="1">
        <f t="shared" si="32"/>
        <v>44938</v>
      </c>
      <c r="O277" s="1">
        <f t="shared" si="33"/>
        <v>43101</v>
      </c>
      <c r="P277" s="1">
        <f t="shared" si="34"/>
        <v>44896</v>
      </c>
      <c r="Q277" s="8">
        <f t="shared" si="35"/>
        <v>0</v>
      </c>
      <c r="R277" s="8">
        <f t="shared" si="36"/>
        <v>60</v>
      </c>
      <c r="S277" s="8">
        <f t="shared" ca="1" si="37"/>
        <v>60</v>
      </c>
      <c r="T277">
        <f t="shared" ca="1" si="38"/>
        <v>9.598049265630701</v>
      </c>
      <c r="U277" s="8">
        <f t="shared" ca="1" si="39"/>
        <v>1.0001441196241967</v>
      </c>
      <c r="V277" s="8">
        <f ca="1">RawData[[#This Row],[Z (smoothed demand size)]]/RawData[[#This Row],[X (smoothed interval)]]</f>
        <v>9.5966661977047476</v>
      </c>
    </row>
    <row r="278" spans="1:22">
      <c r="A278" t="s">
        <v>20</v>
      </c>
      <c r="B278" t="s">
        <v>14</v>
      </c>
      <c r="C278">
        <v>28</v>
      </c>
      <c r="D278" t="s">
        <v>15</v>
      </c>
      <c r="E278" t="s">
        <v>16</v>
      </c>
      <c r="F278" s="1">
        <v>44927</v>
      </c>
      <c r="G278">
        <v>5</v>
      </c>
      <c r="H278">
        <v>5</v>
      </c>
      <c r="I278">
        <v>12</v>
      </c>
      <c r="J278">
        <v>7</v>
      </c>
      <c r="K278">
        <v>0</v>
      </c>
      <c r="L278">
        <v>706</v>
      </c>
      <c r="M278">
        <v>45</v>
      </c>
      <c r="N278" s="1">
        <f t="shared" si="32"/>
        <v>44938</v>
      </c>
      <c r="O278" s="1">
        <f t="shared" si="33"/>
        <v>43101</v>
      </c>
      <c r="P278" s="1">
        <f t="shared" si="34"/>
        <v>44927</v>
      </c>
      <c r="Q278" s="8">
        <f t="shared" si="35"/>
        <v>0</v>
      </c>
      <c r="R278" s="8">
        <f t="shared" si="36"/>
        <v>61</v>
      </c>
      <c r="S278" s="8">
        <f t="shared" ca="1" si="37"/>
        <v>61</v>
      </c>
      <c r="T278">
        <f t="shared" ca="1" si="38"/>
        <v>8.6784394125045612</v>
      </c>
      <c r="U278" s="8">
        <f t="shared" ca="1" si="39"/>
        <v>1.0001152956993573</v>
      </c>
      <c r="V278" s="8">
        <f ca="1">RawData[[#This Row],[Z (smoothed demand size)]]/RawData[[#This Row],[X (smoothed interval)]]</f>
        <v>8.6774389411132145</v>
      </c>
    </row>
    <row r="279" spans="1:22">
      <c r="A279" t="s">
        <v>20</v>
      </c>
      <c r="B279" t="s">
        <v>14</v>
      </c>
      <c r="C279">
        <v>28</v>
      </c>
      <c r="D279" t="s">
        <v>15</v>
      </c>
      <c r="E279" t="s">
        <v>16</v>
      </c>
      <c r="F279" s="1">
        <v>44928</v>
      </c>
      <c r="G279">
        <v>6</v>
      </c>
      <c r="H279">
        <v>6</v>
      </c>
      <c r="I279">
        <v>7</v>
      </c>
      <c r="J279">
        <v>1</v>
      </c>
      <c r="K279">
        <v>0</v>
      </c>
      <c r="L279">
        <v>696</v>
      </c>
      <c r="M279">
        <v>45</v>
      </c>
      <c r="N279" s="1">
        <f t="shared" si="32"/>
        <v>44938</v>
      </c>
      <c r="O279" s="1">
        <f t="shared" si="33"/>
        <v>43101</v>
      </c>
      <c r="P279" s="1">
        <f t="shared" si="34"/>
        <v>44958</v>
      </c>
      <c r="Q279" s="8">
        <f t="shared" si="35"/>
        <v>0</v>
      </c>
      <c r="R279" s="8">
        <f t="shared" si="36"/>
        <v>62</v>
      </c>
      <c r="S279" s="8">
        <f t="shared" ca="1" si="37"/>
        <v>62</v>
      </c>
      <c r="T279">
        <f t="shared" ca="1" si="38"/>
        <v>8.1427515300036504</v>
      </c>
      <c r="U279" s="8">
        <f t="shared" ca="1" si="39"/>
        <v>1.000092236559486</v>
      </c>
      <c r="V279" s="8">
        <f ca="1">RawData[[#This Row],[Z (smoothed demand size)]]/RawData[[#This Row],[X (smoothed interval)]]</f>
        <v>8.142000539886519</v>
      </c>
    </row>
    <row r="280" spans="1:22">
      <c r="A280" t="s">
        <v>20</v>
      </c>
      <c r="B280" t="s">
        <v>14</v>
      </c>
      <c r="C280">
        <v>28</v>
      </c>
      <c r="D280" t="s">
        <v>15</v>
      </c>
      <c r="E280" t="s">
        <v>16</v>
      </c>
      <c r="F280" s="1">
        <v>44929</v>
      </c>
      <c r="G280">
        <v>9</v>
      </c>
      <c r="H280">
        <v>9</v>
      </c>
      <c r="I280">
        <v>9</v>
      </c>
      <c r="J280">
        <v>0</v>
      </c>
      <c r="K280">
        <v>0</v>
      </c>
      <c r="L280">
        <v>700</v>
      </c>
      <c r="M280">
        <v>45</v>
      </c>
      <c r="N280" s="1">
        <f t="shared" si="32"/>
        <v>44938</v>
      </c>
      <c r="O280" s="1">
        <f t="shared" si="33"/>
        <v>43101</v>
      </c>
      <c r="P280" s="1">
        <f t="shared" si="34"/>
        <v>44986</v>
      </c>
      <c r="Q280" s="8">
        <f t="shared" si="35"/>
        <v>0</v>
      </c>
      <c r="R280" s="8">
        <f t="shared" si="36"/>
        <v>63</v>
      </c>
      <c r="S280" s="8">
        <f t="shared" ca="1" si="37"/>
        <v>63</v>
      </c>
      <c r="T280">
        <f t="shared" ca="1" si="38"/>
        <v>8.3142012240029217</v>
      </c>
      <c r="U280" s="8">
        <f t="shared" ca="1" si="39"/>
        <v>1.0000737892475888</v>
      </c>
      <c r="V280" s="8">
        <f ca="1">RawData[[#This Row],[Z (smoothed demand size)]]/RawData[[#This Row],[X (smoothed interval)]]</f>
        <v>8.3135877706165644</v>
      </c>
    </row>
    <row r="281" spans="1:22">
      <c r="A281" t="s">
        <v>20</v>
      </c>
      <c r="B281" t="s">
        <v>14</v>
      </c>
      <c r="C281">
        <v>28</v>
      </c>
      <c r="D281" t="s">
        <v>15</v>
      </c>
      <c r="E281" t="s">
        <v>16</v>
      </c>
      <c r="F281" s="1">
        <v>44930</v>
      </c>
      <c r="G281">
        <v>6</v>
      </c>
      <c r="H281">
        <v>0</v>
      </c>
      <c r="I281">
        <v>0</v>
      </c>
      <c r="J281">
        <v>0</v>
      </c>
      <c r="K281">
        <v>1</v>
      </c>
      <c r="L281">
        <v>685</v>
      </c>
      <c r="M281">
        <v>15</v>
      </c>
      <c r="N281" s="1">
        <f t="shared" si="32"/>
        <v>44938</v>
      </c>
      <c r="O281" s="1">
        <f t="shared" si="33"/>
        <v>43101</v>
      </c>
      <c r="P281" s="1">
        <f t="shared" si="34"/>
        <v>45017</v>
      </c>
      <c r="Q281" s="8">
        <f t="shared" si="35"/>
        <v>0</v>
      </c>
      <c r="R281" s="8">
        <f t="shared" si="36"/>
        <v>64</v>
      </c>
      <c r="S281" s="8">
        <f t="shared" ca="1" si="37"/>
        <v>64</v>
      </c>
      <c r="T281">
        <f t="shared" ca="1" si="38"/>
        <v>7.8513609792023376</v>
      </c>
      <c r="U281" s="8">
        <f t="shared" ca="1" si="39"/>
        <v>1.0000590313980711</v>
      </c>
      <c r="V281" s="8">
        <f ca="1">RawData[[#This Row],[Z (smoothed demand size)]]/RawData[[#This Row],[X (smoothed interval)]]</f>
        <v>7.8508975297450441</v>
      </c>
    </row>
    <row r="282" spans="1:22">
      <c r="A282" t="s">
        <v>20</v>
      </c>
      <c r="B282" t="s">
        <v>14</v>
      </c>
      <c r="C282">
        <v>28</v>
      </c>
      <c r="D282" t="s">
        <v>15</v>
      </c>
      <c r="E282" t="s">
        <v>16</v>
      </c>
      <c r="F282" s="1">
        <v>44931</v>
      </c>
      <c r="G282">
        <v>5</v>
      </c>
      <c r="H282">
        <v>5</v>
      </c>
      <c r="I282">
        <v>12</v>
      </c>
      <c r="J282">
        <v>7</v>
      </c>
      <c r="K282">
        <v>0</v>
      </c>
      <c r="L282">
        <v>713</v>
      </c>
      <c r="M282">
        <v>15</v>
      </c>
      <c r="N282" s="1">
        <f t="shared" si="32"/>
        <v>44938</v>
      </c>
      <c r="O282" s="1">
        <f t="shared" si="33"/>
        <v>43101</v>
      </c>
      <c r="P282" s="1">
        <f t="shared" si="34"/>
        <v>45047</v>
      </c>
      <c r="Q282" s="8">
        <f t="shared" si="35"/>
        <v>0</v>
      </c>
      <c r="R282" s="8">
        <f t="shared" si="36"/>
        <v>65</v>
      </c>
      <c r="S282" s="8">
        <f t="shared" ca="1" si="37"/>
        <v>65</v>
      </c>
      <c r="T282">
        <f t="shared" ca="1" si="38"/>
        <v>7.28108878336187</v>
      </c>
      <c r="U282" s="8">
        <f t="shared" ca="1" si="39"/>
        <v>1.0000472251184569</v>
      </c>
      <c r="V282" s="8">
        <f ca="1">RawData[[#This Row],[Z (smoothed demand size)]]/RawData[[#This Row],[X (smoothed interval)]]</f>
        <v>7.2807449493191836</v>
      </c>
    </row>
    <row r="283" spans="1:22">
      <c r="A283" t="s">
        <v>20</v>
      </c>
      <c r="B283" t="s">
        <v>14</v>
      </c>
      <c r="C283">
        <v>28</v>
      </c>
      <c r="D283" t="s">
        <v>15</v>
      </c>
      <c r="E283" t="s">
        <v>16</v>
      </c>
      <c r="F283" s="1">
        <v>44932</v>
      </c>
      <c r="G283">
        <v>9</v>
      </c>
      <c r="H283">
        <v>9</v>
      </c>
      <c r="I283">
        <v>14</v>
      </c>
      <c r="J283">
        <v>5</v>
      </c>
      <c r="K283">
        <v>0</v>
      </c>
      <c r="L283">
        <v>805</v>
      </c>
      <c r="M283">
        <v>60</v>
      </c>
      <c r="N283" s="1">
        <f t="shared" si="32"/>
        <v>44938</v>
      </c>
      <c r="O283" s="1">
        <f t="shared" si="33"/>
        <v>43101</v>
      </c>
      <c r="P283" s="1">
        <f t="shared" si="34"/>
        <v>45078</v>
      </c>
      <c r="Q283" s="8">
        <f t="shared" si="35"/>
        <v>0</v>
      </c>
      <c r="R283" s="8">
        <f t="shared" si="36"/>
        <v>66</v>
      </c>
      <c r="S283" s="8">
        <f t="shared" ca="1" si="37"/>
        <v>66</v>
      </c>
      <c r="T283">
        <f t="shared" ca="1" si="38"/>
        <v>7.6248710266894966</v>
      </c>
      <c r="U283" s="8">
        <f t="shared" ca="1" si="39"/>
        <v>1.0000377800947655</v>
      </c>
      <c r="V283" s="8">
        <f ca="1">RawData[[#This Row],[Z (smoothed demand size)]]/RawData[[#This Row],[X (smoothed interval)]]</f>
        <v>7.6245829692223719</v>
      </c>
    </row>
    <row r="284" spans="1:22">
      <c r="A284" t="s">
        <v>20</v>
      </c>
      <c r="B284" t="s">
        <v>14</v>
      </c>
      <c r="C284">
        <v>28</v>
      </c>
      <c r="D284" t="s">
        <v>15</v>
      </c>
      <c r="E284" t="s">
        <v>16</v>
      </c>
      <c r="F284" s="1">
        <v>44933</v>
      </c>
      <c r="G284">
        <v>8</v>
      </c>
      <c r="H284">
        <v>5</v>
      </c>
      <c r="I284">
        <v>5</v>
      </c>
      <c r="J284">
        <v>0</v>
      </c>
      <c r="K284">
        <v>1</v>
      </c>
      <c r="L284">
        <v>810</v>
      </c>
      <c r="M284">
        <v>60</v>
      </c>
      <c r="N284" s="1">
        <f t="shared" si="32"/>
        <v>44938</v>
      </c>
      <c r="O284" s="1">
        <f t="shared" si="33"/>
        <v>43101</v>
      </c>
      <c r="P284" s="1">
        <f t="shared" si="34"/>
        <v>45108</v>
      </c>
      <c r="Q284" s="8">
        <f t="shared" si="35"/>
        <v>0</v>
      </c>
      <c r="R284" s="8">
        <f t="shared" si="36"/>
        <v>67</v>
      </c>
      <c r="S284" s="8">
        <f t="shared" ca="1" si="37"/>
        <v>67</v>
      </c>
      <c r="T284">
        <f t="shared" ca="1" si="38"/>
        <v>7.6998968213515973</v>
      </c>
      <c r="U284" s="8">
        <f t="shared" ca="1" si="39"/>
        <v>1.0000302240758125</v>
      </c>
      <c r="V284" s="8">
        <f ca="1">RawData[[#This Row],[Z (smoothed demand size)]]/RawData[[#This Row],[X (smoothed interval)]]</f>
        <v>7.6996641061199229</v>
      </c>
    </row>
    <row r="285" spans="1:22">
      <c r="A285" t="s">
        <v>20</v>
      </c>
      <c r="B285" t="s">
        <v>14</v>
      </c>
      <c r="C285">
        <v>28</v>
      </c>
      <c r="D285" t="s">
        <v>15</v>
      </c>
      <c r="E285" t="s">
        <v>16</v>
      </c>
      <c r="F285" s="1">
        <v>44934</v>
      </c>
      <c r="G285">
        <v>11</v>
      </c>
      <c r="H285">
        <v>7</v>
      </c>
      <c r="I285">
        <v>7</v>
      </c>
      <c r="J285">
        <v>0</v>
      </c>
      <c r="K285">
        <v>1</v>
      </c>
      <c r="L285">
        <v>818</v>
      </c>
      <c r="M285">
        <v>30</v>
      </c>
      <c r="N285" s="1">
        <f t="shared" si="32"/>
        <v>44938</v>
      </c>
      <c r="O285" s="1">
        <f t="shared" si="33"/>
        <v>43101</v>
      </c>
      <c r="P285" s="1">
        <f t="shared" si="34"/>
        <v>45139</v>
      </c>
      <c r="Q285" s="8">
        <f t="shared" si="35"/>
        <v>0</v>
      </c>
      <c r="R285" s="8">
        <f t="shared" si="36"/>
        <v>68</v>
      </c>
      <c r="S285" s="8">
        <f t="shared" ca="1" si="37"/>
        <v>68</v>
      </c>
      <c r="T285">
        <f t="shared" ca="1" si="38"/>
        <v>8.3599174570812771</v>
      </c>
      <c r="U285" s="8">
        <f t="shared" ca="1" si="39"/>
        <v>1.0000241792606501</v>
      </c>
      <c r="V285" s="8">
        <f ca="1">RawData[[#This Row],[Z (smoothed demand size)]]/RawData[[#This Row],[X (smoothed interval)]]</f>
        <v>8.3597153253454639</v>
      </c>
    </row>
    <row r="286" spans="1:22">
      <c r="A286" t="s">
        <v>20</v>
      </c>
      <c r="B286" t="s">
        <v>14</v>
      </c>
      <c r="C286">
        <v>28</v>
      </c>
      <c r="D286" t="s">
        <v>15</v>
      </c>
      <c r="E286" t="s">
        <v>16</v>
      </c>
      <c r="F286" s="1">
        <v>44935</v>
      </c>
      <c r="G286">
        <v>11</v>
      </c>
      <c r="H286">
        <v>8</v>
      </c>
      <c r="I286">
        <v>8</v>
      </c>
      <c r="J286">
        <v>0</v>
      </c>
      <c r="K286">
        <v>1</v>
      </c>
      <c r="L286">
        <v>703</v>
      </c>
      <c r="M286">
        <v>60</v>
      </c>
      <c r="N286" s="1">
        <f t="shared" si="32"/>
        <v>44938</v>
      </c>
      <c r="O286" s="1">
        <f t="shared" si="33"/>
        <v>43101</v>
      </c>
      <c r="P286" s="1">
        <f t="shared" si="34"/>
        <v>45170</v>
      </c>
      <c r="Q286" s="8">
        <f t="shared" si="35"/>
        <v>0</v>
      </c>
      <c r="R286" s="8">
        <f t="shared" si="36"/>
        <v>69</v>
      </c>
      <c r="S286" s="8">
        <f t="shared" ca="1" si="37"/>
        <v>69</v>
      </c>
      <c r="T286">
        <f t="shared" ca="1" si="38"/>
        <v>8.887933965665022</v>
      </c>
      <c r="U286" s="8">
        <f t="shared" ca="1" si="39"/>
        <v>1.0000193434085201</v>
      </c>
      <c r="V286" s="8">
        <f ca="1">RawData[[#This Row],[Z (smoothed demand size)]]/RawData[[#This Row],[X (smoothed interval)]]</f>
        <v>8.8877620460529361</v>
      </c>
    </row>
    <row r="287" spans="1:22">
      <c r="A287" t="s">
        <v>20</v>
      </c>
      <c r="B287" t="s">
        <v>14</v>
      </c>
      <c r="C287">
        <v>28</v>
      </c>
      <c r="D287" t="s">
        <v>15</v>
      </c>
      <c r="E287" t="s">
        <v>16</v>
      </c>
      <c r="F287" s="1">
        <v>44936</v>
      </c>
      <c r="G287">
        <v>10</v>
      </c>
      <c r="H287">
        <v>0</v>
      </c>
      <c r="I287">
        <v>0</v>
      </c>
      <c r="J287">
        <v>0</v>
      </c>
      <c r="K287">
        <v>1</v>
      </c>
      <c r="L287">
        <v>711</v>
      </c>
      <c r="M287">
        <v>45</v>
      </c>
      <c r="N287" s="1">
        <f t="shared" si="32"/>
        <v>44938</v>
      </c>
      <c r="O287" s="1">
        <f t="shared" si="33"/>
        <v>43101</v>
      </c>
      <c r="P287" s="1">
        <f t="shared" si="34"/>
        <v>45200</v>
      </c>
      <c r="Q287" s="8">
        <f t="shared" si="35"/>
        <v>0</v>
      </c>
      <c r="R287" s="8">
        <f t="shared" si="36"/>
        <v>70</v>
      </c>
      <c r="S287" s="8">
        <f t="shared" ca="1" si="37"/>
        <v>70</v>
      </c>
      <c r="T287">
        <f t="shared" ca="1" si="38"/>
        <v>9.110347172532018</v>
      </c>
      <c r="U287" s="8">
        <f t="shared" ca="1" si="39"/>
        <v>1.0000154747268162</v>
      </c>
      <c r="V287" s="8">
        <f ca="1">RawData[[#This Row],[Z (smoothed demand size)]]/RawData[[#This Row],[X (smoothed interval)]]</f>
        <v>9.1102061945799182</v>
      </c>
    </row>
    <row r="288" spans="1:22">
      <c r="A288" t="s">
        <v>20</v>
      </c>
      <c r="B288" t="s">
        <v>14</v>
      </c>
      <c r="C288">
        <v>28</v>
      </c>
      <c r="D288" t="s">
        <v>15</v>
      </c>
      <c r="E288" t="s">
        <v>16</v>
      </c>
      <c r="F288" s="1">
        <v>44937</v>
      </c>
      <c r="G288">
        <v>15</v>
      </c>
      <c r="H288">
        <v>11</v>
      </c>
      <c r="I288">
        <v>11</v>
      </c>
      <c r="J288">
        <v>0</v>
      </c>
      <c r="K288">
        <v>1</v>
      </c>
      <c r="L288">
        <v>693</v>
      </c>
      <c r="M288">
        <v>60</v>
      </c>
      <c r="N288" s="1">
        <f t="shared" si="32"/>
        <v>44938</v>
      </c>
      <c r="O288" s="1">
        <f t="shared" si="33"/>
        <v>43101</v>
      </c>
      <c r="P288" s="1">
        <f t="shared" si="34"/>
        <v>45231</v>
      </c>
      <c r="Q288" s="8">
        <f t="shared" si="35"/>
        <v>0</v>
      </c>
      <c r="R288" s="8">
        <f t="shared" si="36"/>
        <v>71</v>
      </c>
      <c r="S288" s="8">
        <f t="shared" ca="1" si="37"/>
        <v>71</v>
      </c>
      <c r="T288">
        <f t="shared" ca="1" si="38"/>
        <v>10.288277738025615</v>
      </c>
      <c r="U288" s="8">
        <f t="shared" ca="1" si="39"/>
        <v>1.0000123797814531</v>
      </c>
      <c r="V288" s="8">
        <f ca="1">RawData[[#This Row],[Z (smoothed demand size)]]/RawData[[#This Row],[X (smoothed interval)]]</f>
        <v>10.28815037297244</v>
      </c>
    </row>
    <row r="289" spans="1:22">
      <c r="A289" t="s">
        <v>20</v>
      </c>
      <c r="B289" t="s">
        <v>14</v>
      </c>
      <c r="C289">
        <v>28</v>
      </c>
      <c r="D289" t="s">
        <v>15</v>
      </c>
      <c r="E289" t="s">
        <v>16</v>
      </c>
      <c r="F289" s="1">
        <v>44938</v>
      </c>
      <c r="G289">
        <v>12</v>
      </c>
      <c r="H289">
        <v>0</v>
      </c>
      <c r="I289">
        <v>0</v>
      </c>
      <c r="J289">
        <v>0</v>
      </c>
      <c r="K289">
        <v>1</v>
      </c>
      <c r="L289">
        <v>826</v>
      </c>
      <c r="M289">
        <v>45</v>
      </c>
      <c r="N289" s="1">
        <f t="shared" si="32"/>
        <v>44938</v>
      </c>
      <c r="O289" s="1">
        <f t="shared" si="33"/>
        <v>43101</v>
      </c>
      <c r="P289" s="1">
        <f t="shared" si="34"/>
        <v>45261</v>
      </c>
      <c r="Q289" s="8">
        <f t="shared" si="35"/>
        <v>0</v>
      </c>
      <c r="R289" s="8">
        <f t="shared" si="36"/>
        <v>72</v>
      </c>
      <c r="S289" s="8">
        <f t="shared" ca="1" si="37"/>
        <v>72</v>
      </c>
      <c r="T289">
        <f t="shared" ca="1" si="38"/>
        <v>10.630622190420493</v>
      </c>
      <c r="U289" s="8">
        <f t="shared" ca="1" si="39"/>
        <v>1.0000099038251624</v>
      </c>
      <c r="V289" s="8">
        <f ca="1">RawData[[#This Row],[Z (smoothed demand size)]]/RawData[[#This Row],[X (smoothed interval)]]</f>
        <v>10.630516907639652</v>
      </c>
    </row>
    <row r="290" spans="1:22">
      <c r="A290" t="s">
        <v>21</v>
      </c>
      <c r="B290" t="s">
        <v>14</v>
      </c>
      <c r="C290">
        <v>32</v>
      </c>
      <c r="D290" t="s">
        <v>22</v>
      </c>
      <c r="E290" t="s">
        <v>16</v>
      </c>
      <c r="F290" s="1">
        <v>43101</v>
      </c>
      <c r="G290">
        <v>8</v>
      </c>
      <c r="H290">
        <v>8</v>
      </c>
      <c r="I290">
        <v>25</v>
      </c>
      <c r="J290">
        <v>17</v>
      </c>
      <c r="K290">
        <v>0</v>
      </c>
      <c r="L290">
        <v>618</v>
      </c>
      <c r="M290">
        <v>60</v>
      </c>
      <c r="N290" s="1">
        <f t="shared" si="32"/>
        <v>44938</v>
      </c>
      <c r="O290" s="1">
        <f t="shared" si="33"/>
        <v>43101</v>
      </c>
      <c r="P290" s="1">
        <f t="shared" si="34"/>
        <v>43101</v>
      </c>
      <c r="Q290" s="8">
        <f t="shared" si="35"/>
        <v>1</v>
      </c>
      <c r="R290" s="8">
        <f t="shared" si="36"/>
        <v>1</v>
      </c>
      <c r="S290" s="8">
        <f t="shared" ca="1" si="37"/>
        <v>1</v>
      </c>
      <c r="T290">
        <f t="shared" ca="1" si="38"/>
        <v>8</v>
      </c>
      <c r="U290" s="8">
        <f t="shared" ca="1" si="39"/>
        <v>1</v>
      </c>
      <c r="V290" s="8">
        <f ca="1">RawData[[#This Row],[Z (smoothed demand size)]]/RawData[[#This Row],[X (smoothed interval)]]</f>
        <v>8</v>
      </c>
    </row>
    <row r="291" spans="1:22">
      <c r="A291" t="s">
        <v>21</v>
      </c>
      <c r="B291" t="s">
        <v>14</v>
      </c>
      <c r="C291">
        <v>32</v>
      </c>
      <c r="D291" t="s">
        <v>22</v>
      </c>
      <c r="E291" t="s">
        <v>16</v>
      </c>
      <c r="F291" s="1">
        <v>43102</v>
      </c>
      <c r="G291">
        <v>7</v>
      </c>
      <c r="H291">
        <v>7</v>
      </c>
      <c r="I291">
        <v>17</v>
      </c>
      <c r="J291">
        <v>10</v>
      </c>
      <c r="K291">
        <v>0</v>
      </c>
      <c r="L291">
        <v>642</v>
      </c>
      <c r="M291">
        <v>60</v>
      </c>
      <c r="N291" s="1">
        <f t="shared" si="32"/>
        <v>44938</v>
      </c>
      <c r="O291" s="1">
        <f t="shared" si="33"/>
        <v>43101</v>
      </c>
      <c r="P291" s="1">
        <f t="shared" si="34"/>
        <v>43132</v>
      </c>
      <c r="Q291" s="8">
        <f t="shared" si="35"/>
        <v>0</v>
      </c>
      <c r="R291" s="8">
        <f t="shared" si="36"/>
        <v>2</v>
      </c>
      <c r="S291" s="8">
        <f t="shared" ca="1" si="37"/>
        <v>2</v>
      </c>
      <c r="T291">
        <f t="shared" ca="1" si="38"/>
        <v>7.8000000000000007</v>
      </c>
      <c r="U291" s="8">
        <f t="shared" ca="1" si="39"/>
        <v>1</v>
      </c>
      <c r="V291" s="8">
        <f ca="1">RawData[[#This Row],[Z (smoothed demand size)]]/RawData[[#This Row],[X (smoothed interval)]]</f>
        <v>7.8000000000000007</v>
      </c>
    </row>
    <row r="292" spans="1:22">
      <c r="A292" t="s">
        <v>21</v>
      </c>
      <c r="B292" t="s">
        <v>14</v>
      </c>
      <c r="C292">
        <v>32</v>
      </c>
      <c r="D292" t="s">
        <v>22</v>
      </c>
      <c r="E292" t="s">
        <v>16</v>
      </c>
      <c r="F292" s="1">
        <v>43103</v>
      </c>
      <c r="G292">
        <v>7</v>
      </c>
      <c r="H292">
        <v>7</v>
      </c>
      <c r="I292">
        <v>10</v>
      </c>
      <c r="J292">
        <v>3</v>
      </c>
      <c r="K292">
        <v>0</v>
      </c>
      <c r="L292">
        <v>617</v>
      </c>
      <c r="M292">
        <v>30</v>
      </c>
      <c r="N292" s="1">
        <f t="shared" si="32"/>
        <v>44938</v>
      </c>
      <c r="O292" s="1">
        <f t="shared" si="33"/>
        <v>43101</v>
      </c>
      <c r="P292" s="1">
        <f t="shared" si="34"/>
        <v>43160</v>
      </c>
      <c r="Q292" s="8">
        <f t="shared" si="35"/>
        <v>0</v>
      </c>
      <c r="R292" s="8">
        <f t="shared" si="36"/>
        <v>3</v>
      </c>
      <c r="S292" s="8">
        <f t="shared" ca="1" si="37"/>
        <v>3</v>
      </c>
      <c r="T292">
        <f t="shared" ca="1" si="38"/>
        <v>7.6400000000000015</v>
      </c>
      <c r="U292" s="8">
        <f t="shared" ca="1" si="39"/>
        <v>1</v>
      </c>
      <c r="V292" s="8">
        <f ca="1">RawData[[#This Row],[Z (smoothed demand size)]]/RawData[[#This Row],[X (smoothed interval)]]</f>
        <v>7.6400000000000015</v>
      </c>
    </row>
    <row r="293" spans="1:22">
      <c r="A293" t="s">
        <v>21</v>
      </c>
      <c r="B293" t="s">
        <v>14</v>
      </c>
      <c r="C293">
        <v>32</v>
      </c>
      <c r="D293" t="s">
        <v>22</v>
      </c>
      <c r="E293" t="s">
        <v>16</v>
      </c>
      <c r="F293" s="1">
        <v>43104</v>
      </c>
      <c r="G293">
        <v>7</v>
      </c>
      <c r="H293">
        <v>7</v>
      </c>
      <c r="I293">
        <v>11</v>
      </c>
      <c r="J293">
        <v>4</v>
      </c>
      <c r="K293">
        <v>0</v>
      </c>
      <c r="L293">
        <v>614</v>
      </c>
      <c r="M293">
        <v>60</v>
      </c>
      <c r="N293" s="1">
        <f t="shared" si="32"/>
        <v>44938</v>
      </c>
      <c r="O293" s="1">
        <f t="shared" si="33"/>
        <v>43101</v>
      </c>
      <c r="P293" s="1">
        <f t="shared" si="34"/>
        <v>43191</v>
      </c>
      <c r="Q293" s="8">
        <f t="shared" si="35"/>
        <v>0</v>
      </c>
      <c r="R293" s="8">
        <f t="shared" si="36"/>
        <v>4</v>
      </c>
      <c r="S293" s="8">
        <f t="shared" ca="1" si="37"/>
        <v>4</v>
      </c>
      <c r="T293">
        <f t="shared" ca="1" si="38"/>
        <v>7.5120000000000022</v>
      </c>
      <c r="U293" s="8">
        <f t="shared" ca="1" si="39"/>
        <v>1</v>
      </c>
      <c r="V293" s="8">
        <f ca="1">RawData[[#This Row],[Z (smoothed demand size)]]/RawData[[#This Row],[X (smoothed interval)]]</f>
        <v>7.5120000000000022</v>
      </c>
    </row>
    <row r="294" spans="1:22">
      <c r="A294" t="s">
        <v>21</v>
      </c>
      <c r="B294" t="s">
        <v>14</v>
      </c>
      <c r="C294">
        <v>32</v>
      </c>
      <c r="D294" t="s">
        <v>22</v>
      </c>
      <c r="E294" t="s">
        <v>16</v>
      </c>
      <c r="F294" s="1">
        <v>43105</v>
      </c>
      <c r="G294">
        <v>5</v>
      </c>
      <c r="H294">
        <v>4</v>
      </c>
      <c r="I294">
        <v>4</v>
      </c>
      <c r="J294">
        <v>0</v>
      </c>
      <c r="K294">
        <v>1</v>
      </c>
      <c r="L294">
        <v>627</v>
      </c>
      <c r="M294">
        <v>15</v>
      </c>
      <c r="N294" s="1">
        <f t="shared" si="32"/>
        <v>44938</v>
      </c>
      <c r="O294" s="1">
        <f t="shared" si="33"/>
        <v>43101</v>
      </c>
      <c r="P294" s="1">
        <f t="shared" si="34"/>
        <v>43221</v>
      </c>
      <c r="Q294" s="8">
        <f t="shared" si="35"/>
        <v>0</v>
      </c>
      <c r="R294" s="8">
        <f t="shared" si="36"/>
        <v>5</v>
      </c>
      <c r="S294" s="8">
        <f t="shared" ca="1" si="37"/>
        <v>5</v>
      </c>
      <c r="T294">
        <f t="shared" ca="1" si="38"/>
        <v>7.0096000000000025</v>
      </c>
      <c r="U294" s="8">
        <f t="shared" ca="1" si="39"/>
        <v>1</v>
      </c>
      <c r="V294" s="8">
        <f ca="1">RawData[[#This Row],[Z (smoothed demand size)]]/RawData[[#This Row],[X (smoothed interval)]]</f>
        <v>7.0096000000000025</v>
      </c>
    </row>
    <row r="295" spans="1:22">
      <c r="A295" t="s">
        <v>21</v>
      </c>
      <c r="B295" t="s">
        <v>14</v>
      </c>
      <c r="C295">
        <v>32</v>
      </c>
      <c r="D295" t="s">
        <v>22</v>
      </c>
      <c r="E295" t="s">
        <v>16</v>
      </c>
      <c r="F295" s="1">
        <v>43106</v>
      </c>
      <c r="G295">
        <v>11</v>
      </c>
      <c r="H295">
        <v>9</v>
      </c>
      <c r="I295">
        <v>9</v>
      </c>
      <c r="J295">
        <v>0</v>
      </c>
      <c r="K295">
        <v>1</v>
      </c>
      <c r="L295">
        <v>713</v>
      </c>
      <c r="M295">
        <v>60</v>
      </c>
      <c r="N295" s="1">
        <f t="shared" si="32"/>
        <v>44938</v>
      </c>
      <c r="O295" s="1">
        <f t="shared" si="33"/>
        <v>43101</v>
      </c>
      <c r="P295" s="1">
        <f t="shared" si="34"/>
        <v>43252</v>
      </c>
      <c r="Q295" s="8">
        <f t="shared" si="35"/>
        <v>0</v>
      </c>
      <c r="R295" s="8">
        <f t="shared" si="36"/>
        <v>6</v>
      </c>
      <c r="S295" s="8">
        <f t="shared" ca="1" si="37"/>
        <v>6</v>
      </c>
      <c r="T295">
        <f t="shared" ca="1" si="38"/>
        <v>7.8076800000000022</v>
      </c>
      <c r="U295" s="8">
        <f t="shared" ca="1" si="39"/>
        <v>1</v>
      </c>
      <c r="V295" s="8">
        <f ca="1">RawData[[#This Row],[Z (smoothed demand size)]]/RawData[[#This Row],[X (smoothed interval)]]</f>
        <v>7.8076800000000022</v>
      </c>
    </row>
    <row r="296" spans="1:22">
      <c r="A296" t="s">
        <v>21</v>
      </c>
      <c r="B296" t="s">
        <v>14</v>
      </c>
      <c r="C296">
        <v>32</v>
      </c>
      <c r="D296" t="s">
        <v>22</v>
      </c>
      <c r="E296" t="s">
        <v>16</v>
      </c>
      <c r="F296" s="1">
        <v>43107</v>
      </c>
      <c r="G296">
        <v>5</v>
      </c>
      <c r="H296">
        <v>0</v>
      </c>
      <c r="I296">
        <v>0</v>
      </c>
      <c r="J296">
        <v>0</v>
      </c>
      <c r="K296">
        <v>1</v>
      </c>
      <c r="L296">
        <v>721</v>
      </c>
      <c r="M296">
        <v>30</v>
      </c>
      <c r="N296" s="1">
        <f t="shared" si="32"/>
        <v>44938</v>
      </c>
      <c r="O296" s="1">
        <f t="shared" si="33"/>
        <v>43101</v>
      </c>
      <c r="P296" s="1">
        <f t="shared" si="34"/>
        <v>43282</v>
      </c>
      <c r="Q296" s="8">
        <f t="shared" si="35"/>
        <v>0</v>
      </c>
      <c r="R296" s="8">
        <f t="shared" si="36"/>
        <v>7</v>
      </c>
      <c r="S296" s="8">
        <f t="shared" ca="1" si="37"/>
        <v>7</v>
      </c>
      <c r="T296">
        <f t="shared" ca="1" si="38"/>
        <v>7.2461440000000019</v>
      </c>
      <c r="U296" s="8">
        <f t="shared" ca="1" si="39"/>
        <v>1</v>
      </c>
      <c r="V296" s="8">
        <f ca="1">RawData[[#This Row],[Z (smoothed demand size)]]/RawData[[#This Row],[X (smoothed interval)]]</f>
        <v>7.2461440000000019</v>
      </c>
    </row>
    <row r="297" spans="1:22">
      <c r="A297" t="s">
        <v>21</v>
      </c>
      <c r="B297" t="s">
        <v>14</v>
      </c>
      <c r="C297">
        <v>32</v>
      </c>
      <c r="D297" t="s">
        <v>22</v>
      </c>
      <c r="E297" t="s">
        <v>16</v>
      </c>
      <c r="F297" s="1">
        <v>43108</v>
      </c>
      <c r="G297">
        <v>7</v>
      </c>
      <c r="H297">
        <v>7</v>
      </c>
      <c r="I297">
        <v>12</v>
      </c>
      <c r="J297">
        <v>5</v>
      </c>
      <c r="K297">
        <v>0</v>
      </c>
      <c r="L297">
        <v>721</v>
      </c>
      <c r="M297">
        <v>15</v>
      </c>
      <c r="N297" s="1">
        <f t="shared" si="32"/>
        <v>44938</v>
      </c>
      <c r="O297" s="1">
        <f t="shared" si="33"/>
        <v>43101</v>
      </c>
      <c r="P297" s="1">
        <f t="shared" si="34"/>
        <v>43313</v>
      </c>
      <c r="Q297" s="8">
        <f t="shared" si="35"/>
        <v>0</v>
      </c>
      <c r="R297" s="8">
        <f t="shared" si="36"/>
        <v>8</v>
      </c>
      <c r="S297" s="8">
        <f t="shared" ca="1" si="37"/>
        <v>8</v>
      </c>
      <c r="T297">
        <f t="shared" ca="1" si="38"/>
        <v>7.1969152000000021</v>
      </c>
      <c r="U297" s="8">
        <f t="shared" ca="1" si="39"/>
        <v>1</v>
      </c>
      <c r="V297" s="8">
        <f ca="1">RawData[[#This Row],[Z (smoothed demand size)]]/RawData[[#This Row],[X (smoothed interval)]]</f>
        <v>7.1969152000000021</v>
      </c>
    </row>
    <row r="298" spans="1:22">
      <c r="A298" t="s">
        <v>21</v>
      </c>
      <c r="B298" t="s">
        <v>14</v>
      </c>
      <c r="C298">
        <v>32</v>
      </c>
      <c r="D298" t="s">
        <v>22</v>
      </c>
      <c r="E298" t="s">
        <v>16</v>
      </c>
      <c r="F298" s="1">
        <v>43109</v>
      </c>
      <c r="G298">
        <v>8</v>
      </c>
      <c r="H298">
        <v>8</v>
      </c>
      <c r="I298">
        <v>12</v>
      </c>
      <c r="J298">
        <v>4</v>
      </c>
      <c r="K298">
        <v>0</v>
      </c>
      <c r="L298">
        <v>626</v>
      </c>
      <c r="M298">
        <v>45</v>
      </c>
      <c r="N298" s="1">
        <f t="shared" si="32"/>
        <v>44938</v>
      </c>
      <c r="O298" s="1">
        <f t="shared" si="33"/>
        <v>43101</v>
      </c>
      <c r="P298" s="1">
        <f t="shared" si="34"/>
        <v>43344</v>
      </c>
      <c r="Q298" s="8">
        <f t="shared" si="35"/>
        <v>0</v>
      </c>
      <c r="R298" s="8">
        <f t="shared" si="36"/>
        <v>9</v>
      </c>
      <c r="S298" s="8">
        <f t="shared" ca="1" si="37"/>
        <v>9</v>
      </c>
      <c r="T298">
        <f t="shared" ca="1" si="38"/>
        <v>7.3575321600000017</v>
      </c>
      <c r="U298" s="8">
        <f t="shared" ca="1" si="39"/>
        <v>1</v>
      </c>
      <c r="V298" s="8">
        <f ca="1">RawData[[#This Row],[Z (smoothed demand size)]]/RawData[[#This Row],[X (smoothed interval)]]</f>
        <v>7.3575321600000017</v>
      </c>
    </row>
    <row r="299" spans="1:22">
      <c r="A299" t="s">
        <v>21</v>
      </c>
      <c r="B299" t="s">
        <v>14</v>
      </c>
      <c r="C299">
        <v>32</v>
      </c>
      <c r="D299" t="s">
        <v>22</v>
      </c>
      <c r="E299" t="s">
        <v>16</v>
      </c>
      <c r="F299" s="1">
        <v>43110</v>
      </c>
      <c r="G299">
        <v>10</v>
      </c>
      <c r="H299">
        <v>4</v>
      </c>
      <c r="I299">
        <v>4</v>
      </c>
      <c r="J299">
        <v>0</v>
      </c>
      <c r="K299">
        <v>1</v>
      </c>
      <c r="L299">
        <v>622</v>
      </c>
      <c r="M299">
        <v>45</v>
      </c>
      <c r="N299" s="1">
        <f t="shared" si="32"/>
        <v>44938</v>
      </c>
      <c r="O299" s="1">
        <f t="shared" si="33"/>
        <v>43101</v>
      </c>
      <c r="P299" s="1">
        <f t="shared" si="34"/>
        <v>43374</v>
      </c>
      <c r="Q299" s="8">
        <f t="shared" si="35"/>
        <v>0</v>
      </c>
      <c r="R299" s="8">
        <f t="shared" si="36"/>
        <v>10</v>
      </c>
      <c r="S299" s="8">
        <f t="shared" ca="1" si="37"/>
        <v>10</v>
      </c>
      <c r="T299">
        <f t="shared" ca="1" si="38"/>
        <v>7.8860257280000017</v>
      </c>
      <c r="U299" s="8">
        <f t="shared" ca="1" si="39"/>
        <v>1</v>
      </c>
      <c r="V299" s="8">
        <f ca="1">RawData[[#This Row],[Z (smoothed demand size)]]/RawData[[#This Row],[X (smoothed interval)]]</f>
        <v>7.8860257280000017</v>
      </c>
    </row>
    <row r="300" spans="1:22">
      <c r="A300" t="s">
        <v>21</v>
      </c>
      <c r="B300" t="s">
        <v>14</v>
      </c>
      <c r="C300">
        <v>32</v>
      </c>
      <c r="D300" t="s">
        <v>22</v>
      </c>
      <c r="E300" t="s">
        <v>16</v>
      </c>
      <c r="F300" s="1">
        <v>43111</v>
      </c>
      <c r="G300">
        <v>7</v>
      </c>
      <c r="H300">
        <v>7</v>
      </c>
      <c r="I300">
        <v>8</v>
      </c>
      <c r="J300">
        <v>1</v>
      </c>
      <c r="K300">
        <v>0</v>
      </c>
      <c r="L300">
        <v>630</v>
      </c>
      <c r="M300">
        <v>60</v>
      </c>
      <c r="N300" s="1">
        <f t="shared" si="32"/>
        <v>44938</v>
      </c>
      <c r="O300" s="1">
        <f t="shared" si="33"/>
        <v>43101</v>
      </c>
      <c r="P300" s="1">
        <f t="shared" si="34"/>
        <v>43405</v>
      </c>
      <c r="Q300" s="8">
        <f t="shared" si="35"/>
        <v>0</v>
      </c>
      <c r="R300" s="8">
        <f t="shared" si="36"/>
        <v>11</v>
      </c>
      <c r="S300" s="8">
        <f t="shared" ca="1" si="37"/>
        <v>11</v>
      </c>
      <c r="T300">
        <f t="shared" ca="1" si="38"/>
        <v>7.7088205824000022</v>
      </c>
      <c r="U300" s="8">
        <f t="shared" ca="1" si="39"/>
        <v>1</v>
      </c>
      <c r="V300" s="8">
        <f ca="1">RawData[[#This Row],[Z (smoothed demand size)]]/RawData[[#This Row],[X (smoothed interval)]]</f>
        <v>7.7088205824000022</v>
      </c>
    </row>
    <row r="301" spans="1:22">
      <c r="A301" t="s">
        <v>21</v>
      </c>
      <c r="B301" t="s">
        <v>14</v>
      </c>
      <c r="C301">
        <v>32</v>
      </c>
      <c r="D301" t="s">
        <v>22</v>
      </c>
      <c r="E301" t="s">
        <v>16</v>
      </c>
      <c r="F301" s="1">
        <v>43112</v>
      </c>
      <c r="G301">
        <v>6</v>
      </c>
      <c r="H301">
        <v>1</v>
      </c>
      <c r="I301">
        <v>1</v>
      </c>
      <c r="J301">
        <v>0</v>
      </c>
      <c r="K301">
        <v>1</v>
      </c>
      <c r="L301">
        <v>719</v>
      </c>
      <c r="M301">
        <v>60</v>
      </c>
      <c r="N301" s="1">
        <f t="shared" si="32"/>
        <v>44938</v>
      </c>
      <c r="O301" s="1">
        <f t="shared" si="33"/>
        <v>43101</v>
      </c>
      <c r="P301" s="1">
        <f t="shared" si="34"/>
        <v>43435</v>
      </c>
      <c r="Q301" s="8">
        <f t="shared" si="35"/>
        <v>0</v>
      </c>
      <c r="R301" s="8">
        <f t="shared" si="36"/>
        <v>12</v>
      </c>
      <c r="S301" s="8">
        <f t="shared" ca="1" si="37"/>
        <v>12</v>
      </c>
      <c r="T301">
        <f t="shared" ca="1" si="38"/>
        <v>7.367056465920002</v>
      </c>
      <c r="U301" s="8">
        <f t="shared" ca="1" si="39"/>
        <v>1</v>
      </c>
      <c r="V301" s="8">
        <f ca="1">RawData[[#This Row],[Z (smoothed demand size)]]/RawData[[#This Row],[X (smoothed interval)]]</f>
        <v>7.367056465920002</v>
      </c>
    </row>
    <row r="302" spans="1:22">
      <c r="A302" t="s">
        <v>21</v>
      </c>
      <c r="B302" t="s">
        <v>14</v>
      </c>
      <c r="C302">
        <v>32</v>
      </c>
      <c r="D302" t="s">
        <v>22</v>
      </c>
      <c r="E302" t="s">
        <v>16</v>
      </c>
      <c r="F302" s="1">
        <v>43466</v>
      </c>
      <c r="G302">
        <v>5</v>
      </c>
      <c r="H302">
        <v>5</v>
      </c>
      <c r="I302">
        <v>7</v>
      </c>
      <c r="J302">
        <v>2</v>
      </c>
      <c r="K302">
        <v>0</v>
      </c>
      <c r="L302">
        <v>632</v>
      </c>
      <c r="M302">
        <v>15</v>
      </c>
      <c r="N302" s="1">
        <f t="shared" si="32"/>
        <v>44938</v>
      </c>
      <c r="O302" s="1">
        <f t="shared" si="33"/>
        <v>43101</v>
      </c>
      <c r="P302" s="1">
        <f t="shared" si="34"/>
        <v>43466</v>
      </c>
      <c r="Q302" s="8">
        <f t="shared" si="35"/>
        <v>0</v>
      </c>
      <c r="R302" s="8">
        <f t="shared" si="36"/>
        <v>13</v>
      </c>
      <c r="S302" s="8">
        <f t="shared" ca="1" si="37"/>
        <v>13</v>
      </c>
      <c r="T302">
        <f t="shared" ca="1" si="38"/>
        <v>6.8936451727360017</v>
      </c>
      <c r="U302" s="8">
        <f t="shared" ca="1" si="39"/>
        <v>1</v>
      </c>
      <c r="V302" s="8">
        <f ca="1">RawData[[#This Row],[Z (smoothed demand size)]]/RawData[[#This Row],[X (smoothed interval)]]</f>
        <v>6.8936451727360017</v>
      </c>
    </row>
    <row r="303" spans="1:22">
      <c r="A303" t="s">
        <v>21</v>
      </c>
      <c r="B303" t="s">
        <v>14</v>
      </c>
      <c r="C303">
        <v>32</v>
      </c>
      <c r="D303" t="s">
        <v>22</v>
      </c>
      <c r="E303" t="s">
        <v>16</v>
      </c>
      <c r="F303" s="1">
        <v>43467</v>
      </c>
      <c r="G303">
        <v>7</v>
      </c>
      <c r="H303">
        <v>7</v>
      </c>
      <c r="I303">
        <v>9</v>
      </c>
      <c r="J303">
        <v>2</v>
      </c>
      <c r="K303">
        <v>0</v>
      </c>
      <c r="L303">
        <v>624</v>
      </c>
      <c r="M303">
        <v>45</v>
      </c>
      <c r="N303" s="1">
        <f t="shared" si="32"/>
        <v>44938</v>
      </c>
      <c r="O303" s="1">
        <f t="shared" si="33"/>
        <v>43101</v>
      </c>
      <c r="P303" s="1">
        <f t="shared" si="34"/>
        <v>43497</v>
      </c>
      <c r="Q303" s="8">
        <f t="shared" si="35"/>
        <v>0</v>
      </c>
      <c r="R303" s="8">
        <f t="shared" si="36"/>
        <v>14</v>
      </c>
      <c r="S303" s="8">
        <f t="shared" ca="1" si="37"/>
        <v>14</v>
      </c>
      <c r="T303">
        <f t="shared" ca="1" si="38"/>
        <v>6.9149161381888025</v>
      </c>
      <c r="U303" s="8">
        <f t="shared" ca="1" si="39"/>
        <v>1</v>
      </c>
      <c r="V303" s="8">
        <f ca="1">RawData[[#This Row],[Z (smoothed demand size)]]/RawData[[#This Row],[X (smoothed interval)]]</f>
        <v>6.9149161381888025</v>
      </c>
    </row>
    <row r="304" spans="1:22">
      <c r="A304" t="s">
        <v>21</v>
      </c>
      <c r="B304" t="s">
        <v>14</v>
      </c>
      <c r="C304">
        <v>32</v>
      </c>
      <c r="D304" t="s">
        <v>22</v>
      </c>
      <c r="E304" t="s">
        <v>16</v>
      </c>
      <c r="F304" s="1">
        <v>43468</v>
      </c>
      <c r="G304">
        <v>8</v>
      </c>
      <c r="H304">
        <v>2</v>
      </c>
      <c r="I304">
        <v>2</v>
      </c>
      <c r="J304">
        <v>0</v>
      </c>
      <c r="K304">
        <v>1</v>
      </c>
      <c r="L304">
        <v>619</v>
      </c>
      <c r="M304">
        <v>60</v>
      </c>
      <c r="N304" s="1">
        <f t="shared" si="32"/>
        <v>44938</v>
      </c>
      <c r="O304" s="1">
        <f t="shared" si="33"/>
        <v>43101</v>
      </c>
      <c r="P304" s="1">
        <f t="shared" si="34"/>
        <v>43525</v>
      </c>
      <c r="Q304" s="8">
        <f t="shared" si="35"/>
        <v>0</v>
      </c>
      <c r="R304" s="8">
        <f t="shared" si="36"/>
        <v>15</v>
      </c>
      <c r="S304" s="8">
        <f t="shared" ca="1" si="37"/>
        <v>15</v>
      </c>
      <c r="T304">
        <f t="shared" ca="1" si="38"/>
        <v>7.1319329105510416</v>
      </c>
      <c r="U304" s="8">
        <f t="shared" ca="1" si="39"/>
        <v>1</v>
      </c>
      <c r="V304" s="8">
        <f ca="1">RawData[[#This Row],[Z (smoothed demand size)]]/RawData[[#This Row],[X (smoothed interval)]]</f>
        <v>7.1319329105510416</v>
      </c>
    </row>
    <row r="305" spans="1:22">
      <c r="A305" t="s">
        <v>21</v>
      </c>
      <c r="B305" t="s">
        <v>14</v>
      </c>
      <c r="C305">
        <v>32</v>
      </c>
      <c r="D305" t="s">
        <v>22</v>
      </c>
      <c r="E305" t="s">
        <v>16</v>
      </c>
      <c r="F305" s="1">
        <v>43469</v>
      </c>
      <c r="G305">
        <v>6</v>
      </c>
      <c r="H305">
        <v>6</v>
      </c>
      <c r="I305">
        <v>10</v>
      </c>
      <c r="J305">
        <v>4</v>
      </c>
      <c r="K305">
        <v>0</v>
      </c>
      <c r="L305">
        <v>615</v>
      </c>
      <c r="M305">
        <v>45</v>
      </c>
      <c r="N305" s="1">
        <f t="shared" si="32"/>
        <v>44938</v>
      </c>
      <c r="O305" s="1">
        <f t="shared" si="33"/>
        <v>43101</v>
      </c>
      <c r="P305" s="1">
        <f t="shared" si="34"/>
        <v>43556</v>
      </c>
      <c r="Q305" s="8">
        <f t="shared" si="35"/>
        <v>0</v>
      </c>
      <c r="R305" s="8">
        <f t="shared" si="36"/>
        <v>16</v>
      </c>
      <c r="S305" s="8">
        <f t="shared" ca="1" si="37"/>
        <v>16</v>
      </c>
      <c r="T305">
        <f t="shared" ca="1" si="38"/>
        <v>6.9055463284408338</v>
      </c>
      <c r="U305" s="8">
        <f t="shared" ca="1" si="39"/>
        <v>1</v>
      </c>
      <c r="V305" s="8">
        <f ca="1">RawData[[#This Row],[Z (smoothed demand size)]]/RawData[[#This Row],[X (smoothed interval)]]</f>
        <v>6.9055463284408338</v>
      </c>
    </row>
    <row r="306" spans="1:22">
      <c r="A306" t="s">
        <v>21</v>
      </c>
      <c r="B306" t="s">
        <v>14</v>
      </c>
      <c r="C306">
        <v>32</v>
      </c>
      <c r="D306" t="s">
        <v>22</v>
      </c>
      <c r="E306" t="s">
        <v>16</v>
      </c>
      <c r="F306" s="1">
        <v>43470</v>
      </c>
      <c r="G306">
        <v>8</v>
      </c>
      <c r="H306">
        <v>4</v>
      </c>
      <c r="I306">
        <v>4</v>
      </c>
      <c r="J306">
        <v>0</v>
      </c>
      <c r="K306">
        <v>1</v>
      </c>
      <c r="L306">
        <v>624</v>
      </c>
      <c r="M306">
        <v>45</v>
      </c>
      <c r="N306" s="1">
        <f t="shared" si="32"/>
        <v>44938</v>
      </c>
      <c r="O306" s="1">
        <f t="shared" si="33"/>
        <v>43101</v>
      </c>
      <c r="P306" s="1">
        <f t="shared" si="34"/>
        <v>43586</v>
      </c>
      <c r="Q306" s="8">
        <f t="shared" si="35"/>
        <v>0</v>
      </c>
      <c r="R306" s="8">
        <f t="shared" si="36"/>
        <v>17</v>
      </c>
      <c r="S306" s="8">
        <f t="shared" ca="1" si="37"/>
        <v>17</v>
      </c>
      <c r="T306">
        <f t="shared" ca="1" si="38"/>
        <v>7.1244370627526674</v>
      </c>
      <c r="U306" s="8">
        <f t="shared" ca="1" si="39"/>
        <v>1</v>
      </c>
      <c r="V306" s="8">
        <f ca="1">RawData[[#This Row],[Z (smoothed demand size)]]/RawData[[#This Row],[X (smoothed interval)]]</f>
        <v>7.1244370627526674</v>
      </c>
    </row>
    <row r="307" spans="1:22">
      <c r="A307" t="s">
        <v>21</v>
      </c>
      <c r="B307" t="s">
        <v>14</v>
      </c>
      <c r="C307">
        <v>32</v>
      </c>
      <c r="D307" t="s">
        <v>22</v>
      </c>
      <c r="E307" t="s">
        <v>16</v>
      </c>
      <c r="F307" s="1">
        <v>43471</v>
      </c>
      <c r="G307">
        <v>9</v>
      </c>
      <c r="H307">
        <v>9</v>
      </c>
      <c r="I307">
        <v>9</v>
      </c>
      <c r="J307">
        <v>0</v>
      </c>
      <c r="K307">
        <v>0</v>
      </c>
      <c r="L307">
        <v>710</v>
      </c>
      <c r="M307">
        <v>60</v>
      </c>
      <c r="N307" s="1">
        <f t="shared" si="32"/>
        <v>44938</v>
      </c>
      <c r="O307" s="1">
        <f t="shared" si="33"/>
        <v>43101</v>
      </c>
      <c r="P307" s="1">
        <f t="shared" si="34"/>
        <v>43617</v>
      </c>
      <c r="Q307" s="8">
        <f t="shared" si="35"/>
        <v>0</v>
      </c>
      <c r="R307" s="8">
        <f t="shared" si="36"/>
        <v>18</v>
      </c>
      <c r="S307" s="8">
        <f t="shared" ca="1" si="37"/>
        <v>18</v>
      </c>
      <c r="T307">
        <f t="shared" ca="1" si="38"/>
        <v>7.4995496502021339</v>
      </c>
      <c r="U307" s="8">
        <f t="shared" ca="1" si="39"/>
        <v>1</v>
      </c>
      <c r="V307" s="8">
        <f ca="1">RawData[[#This Row],[Z (smoothed demand size)]]/RawData[[#This Row],[X (smoothed interval)]]</f>
        <v>7.4995496502021339</v>
      </c>
    </row>
    <row r="308" spans="1:22">
      <c r="A308" t="s">
        <v>21</v>
      </c>
      <c r="B308" t="s">
        <v>14</v>
      </c>
      <c r="C308">
        <v>32</v>
      </c>
      <c r="D308" t="s">
        <v>22</v>
      </c>
      <c r="E308" t="s">
        <v>16</v>
      </c>
      <c r="F308" s="1">
        <v>43472</v>
      </c>
      <c r="G308">
        <v>7</v>
      </c>
      <c r="H308">
        <v>0</v>
      </c>
      <c r="I308">
        <v>0</v>
      </c>
      <c r="J308">
        <v>0</v>
      </c>
      <c r="K308">
        <v>1</v>
      </c>
      <c r="L308">
        <v>709</v>
      </c>
      <c r="M308">
        <v>30</v>
      </c>
      <c r="N308" s="1">
        <f t="shared" si="32"/>
        <v>44938</v>
      </c>
      <c r="O308" s="1">
        <f t="shared" si="33"/>
        <v>43101</v>
      </c>
      <c r="P308" s="1">
        <f t="shared" si="34"/>
        <v>43647</v>
      </c>
      <c r="Q308" s="8">
        <f t="shared" si="35"/>
        <v>0</v>
      </c>
      <c r="R308" s="8">
        <f t="shared" si="36"/>
        <v>19</v>
      </c>
      <c r="S308" s="8">
        <f t="shared" ca="1" si="37"/>
        <v>19</v>
      </c>
      <c r="T308">
        <f t="shared" ca="1" si="38"/>
        <v>7.3996397201617077</v>
      </c>
      <c r="U308" s="8">
        <f t="shared" ca="1" si="39"/>
        <v>1</v>
      </c>
      <c r="V308" s="8">
        <f ca="1">RawData[[#This Row],[Z (smoothed demand size)]]/RawData[[#This Row],[X (smoothed interval)]]</f>
        <v>7.3996397201617077</v>
      </c>
    </row>
    <row r="309" spans="1:22">
      <c r="A309" t="s">
        <v>21</v>
      </c>
      <c r="B309" t="s">
        <v>14</v>
      </c>
      <c r="C309">
        <v>32</v>
      </c>
      <c r="D309" t="s">
        <v>22</v>
      </c>
      <c r="E309" t="s">
        <v>16</v>
      </c>
      <c r="F309" s="1">
        <v>43473</v>
      </c>
      <c r="G309">
        <v>5</v>
      </c>
      <c r="H309">
        <v>5</v>
      </c>
      <c r="I309">
        <v>11</v>
      </c>
      <c r="J309">
        <v>6</v>
      </c>
      <c r="K309">
        <v>0</v>
      </c>
      <c r="L309">
        <v>723</v>
      </c>
      <c r="M309">
        <v>60</v>
      </c>
      <c r="N309" s="1">
        <f t="shared" si="32"/>
        <v>44938</v>
      </c>
      <c r="O309" s="1">
        <f t="shared" si="33"/>
        <v>43101</v>
      </c>
      <c r="P309" s="1">
        <f t="shared" si="34"/>
        <v>43678</v>
      </c>
      <c r="Q309" s="8">
        <f t="shared" si="35"/>
        <v>0</v>
      </c>
      <c r="R309" s="8">
        <f t="shared" si="36"/>
        <v>20</v>
      </c>
      <c r="S309" s="8">
        <f t="shared" ca="1" si="37"/>
        <v>20</v>
      </c>
      <c r="T309">
        <f t="shared" ca="1" si="38"/>
        <v>6.9197117761293665</v>
      </c>
      <c r="U309" s="8">
        <f t="shared" ca="1" si="39"/>
        <v>1</v>
      </c>
      <c r="V309" s="8">
        <f ca="1">RawData[[#This Row],[Z (smoothed demand size)]]/RawData[[#This Row],[X (smoothed interval)]]</f>
        <v>6.9197117761293665</v>
      </c>
    </row>
    <row r="310" spans="1:22">
      <c r="A310" t="s">
        <v>21</v>
      </c>
      <c r="B310" t="s">
        <v>14</v>
      </c>
      <c r="C310">
        <v>32</v>
      </c>
      <c r="D310" t="s">
        <v>22</v>
      </c>
      <c r="E310" t="s">
        <v>16</v>
      </c>
      <c r="F310" s="1">
        <v>43474</v>
      </c>
      <c r="G310">
        <v>5</v>
      </c>
      <c r="H310">
        <v>5</v>
      </c>
      <c r="I310">
        <v>6</v>
      </c>
      <c r="J310">
        <v>1</v>
      </c>
      <c r="K310">
        <v>0</v>
      </c>
      <c r="L310">
        <v>614</v>
      </c>
      <c r="M310">
        <v>30</v>
      </c>
      <c r="N310" s="1">
        <f t="shared" si="32"/>
        <v>44938</v>
      </c>
      <c r="O310" s="1">
        <f t="shared" si="33"/>
        <v>43101</v>
      </c>
      <c r="P310" s="1">
        <f t="shared" si="34"/>
        <v>43709</v>
      </c>
      <c r="Q310" s="8">
        <f t="shared" si="35"/>
        <v>0</v>
      </c>
      <c r="R310" s="8">
        <f t="shared" si="36"/>
        <v>21</v>
      </c>
      <c r="S310" s="8">
        <f t="shared" ca="1" si="37"/>
        <v>21</v>
      </c>
      <c r="T310">
        <f t="shared" ca="1" si="38"/>
        <v>6.5357694209034936</v>
      </c>
      <c r="U310" s="8">
        <f t="shared" ca="1" si="39"/>
        <v>1</v>
      </c>
      <c r="V310" s="8">
        <f ca="1">RawData[[#This Row],[Z (smoothed demand size)]]/RawData[[#This Row],[X (smoothed interval)]]</f>
        <v>6.5357694209034936</v>
      </c>
    </row>
    <row r="311" spans="1:22">
      <c r="A311" t="s">
        <v>21</v>
      </c>
      <c r="B311" t="s">
        <v>14</v>
      </c>
      <c r="C311">
        <v>32</v>
      </c>
      <c r="D311" t="s">
        <v>22</v>
      </c>
      <c r="E311" t="s">
        <v>16</v>
      </c>
      <c r="F311" s="1">
        <v>43475</v>
      </c>
      <c r="G311">
        <v>5</v>
      </c>
      <c r="H311">
        <v>5</v>
      </c>
      <c r="I311">
        <v>9</v>
      </c>
      <c r="J311">
        <v>4</v>
      </c>
      <c r="K311">
        <v>0</v>
      </c>
      <c r="L311">
        <v>634</v>
      </c>
      <c r="M311">
        <v>30</v>
      </c>
      <c r="N311" s="1">
        <f t="shared" si="32"/>
        <v>44938</v>
      </c>
      <c r="O311" s="1">
        <f t="shared" si="33"/>
        <v>43101</v>
      </c>
      <c r="P311" s="1">
        <f t="shared" si="34"/>
        <v>43739</v>
      </c>
      <c r="Q311" s="8">
        <f t="shared" si="35"/>
        <v>0</v>
      </c>
      <c r="R311" s="8">
        <f t="shared" si="36"/>
        <v>22</v>
      </c>
      <c r="S311" s="8">
        <f t="shared" ca="1" si="37"/>
        <v>22</v>
      </c>
      <c r="T311">
        <f t="shared" ca="1" si="38"/>
        <v>6.2286155367227956</v>
      </c>
      <c r="U311" s="8">
        <f t="shared" ca="1" si="39"/>
        <v>1</v>
      </c>
      <c r="V311" s="8">
        <f ca="1">RawData[[#This Row],[Z (smoothed demand size)]]/RawData[[#This Row],[X (smoothed interval)]]</f>
        <v>6.2286155367227956</v>
      </c>
    </row>
    <row r="312" spans="1:22">
      <c r="A312" t="s">
        <v>21</v>
      </c>
      <c r="B312" t="s">
        <v>14</v>
      </c>
      <c r="C312">
        <v>32</v>
      </c>
      <c r="D312" t="s">
        <v>22</v>
      </c>
      <c r="E312" t="s">
        <v>16</v>
      </c>
      <c r="F312" s="1">
        <v>43476</v>
      </c>
      <c r="G312">
        <v>9</v>
      </c>
      <c r="H312">
        <v>9</v>
      </c>
      <c r="I312">
        <v>12</v>
      </c>
      <c r="J312">
        <v>3</v>
      </c>
      <c r="K312">
        <v>0</v>
      </c>
      <c r="L312">
        <v>626</v>
      </c>
      <c r="M312">
        <v>15</v>
      </c>
      <c r="N312" s="1">
        <f t="shared" si="32"/>
        <v>44938</v>
      </c>
      <c r="O312" s="1">
        <f t="shared" si="33"/>
        <v>43101</v>
      </c>
      <c r="P312" s="1">
        <f t="shared" si="34"/>
        <v>43770</v>
      </c>
      <c r="Q312" s="8">
        <f t="shared" si="35"/>
        <v>0</v>
      </c>
      <c r="R312" s="8">
        <f t="shared" si="36"/>
        <v>23</v>
      </c>
      <c r="S312" s="8">
        <f t="shared" ca="1" si="37"/>
        <v>23</v>
      </c>
      <c r="T312">
        <f t="shared" ca="1" si="38"/>
        <v>6.7828924293782364</v>
      </c>
      <c r="U312" s="8">
        <f t="shared" ca="1" si="39"/>
        <v>1</v>
      </c>
      <c r="V312" s="8">
        <f ca="1">RawData[[#This Row],[Z (smoothed demand size)]]/RawData[[#This Row],[X (smoothed interval)]]</f>
        <v>6.7828924293782364</v>
      </c>
    </row>
    <row r="313" spans="1:22">
      <c r="A313" t="s">
        <v>21</v>
      </c>
      <c r="B313" t="s">
        <v>14</v>
      </c>
      <c r="C313">
        <v>32</v>
      </c>
      <c r="D313" t="s">
        <v>22</v>
      </c>
      <c r="E313" t="s">
        <v>16</v>
      </c>
      <c r="F313" s="1">
        <v>43477</v>
      </c>
      <c r="G313">
        <v>12</v>
      </c>
      <c r="H313">
        <v>12</v>
      </c>
      <c r="I313">
        <v>13</v>
      </c>
      <c r="J313">
        <v>1</v>
      </c>
      <c r="K313">
        <v>0</v>
      </c>
      <c r="L313">
        <v>719</v>
      </c>
      <c r="M313">
        <v>45</v>
      </c>
      <c r="N313" s="1">
        <f t="shared" si="32"/>
        <v>44938</v>
      </c>
      <c r="O313" s="1">
        <f t="shared" si="33"/>
        <v>43101</v>
      </c>
      <c r="P313" s="1">
        <f t="shared" si="34"/>
        <v>43800</v>
      </c>
      <c r="Q313" s="8">
        <f t="shared" si="35"/>
        <v>0</v>
      </c>
      <c r="R313" s="8">
        <f t="shared" si="36"/>
        <v>24</v>
      </c>
      <c r="S313" s="8">
        <f t="shared" ca="1" si="37"/>
        <v>24</v>
      </c>
      <c r="T313">
        <f t="shared" ca="1" si="38"/>
        <v>7.8263139435025897</v>
      </c>
      <c r="U313" s="8">
        <f t="shared" ca="1" si="39"/>
        <v>1</v>
      </c>
      <c r="V313" s="8">
        <f ca="1">RawData[[#This Row],[Z (smoothed demand size)]]/RawData[[#This Row],[X (smoothed interval)]]</f>
        <v>7.8263139435025897</v>
      </c>
    </row>
    <row r="314" spans="1:22">
      <c r="A314" t="s">
        <v>21</v>
      </c>
      <c r="B314" t="s">
        <v>14</v>
      </c>
      <c r="C314">
        <v>32</v>
      </c>
      <c r="D314" t="s">
        <v>22</v>
      </c>
      <c r="E314" t="s">
        <v>16</v>
      </c>
      <c r="F314" s="1">
        <v>43831</v>
      </c>
      <c r="G314">
        <v>6</v>
      </c>
      <c r="H314">
        <v>1</v>
      </c>
      <c r="I314">
        <v>1</v>
      </c>
      <c r="J314">
        <v>0</v>
      </c>
      <c r="K314">
        <v>1</v>
      </c>
      <c r="L314">
        <v>617</v>
      </c>
      <c r="M314">
        <v>60</v>
      </c>
      <c r="N314" s="1">
        <f t="shared" si="32"/>
        <v>44938</v>
      </c>
      <c r="O314" s="1">
        <f t="shared" si="33"/>
        <v>43101</v>
      </c>
      <c r="P314" s="1">
        <f t="shared" si="34"/>
        <v>43831</v>
      </c>
      <c r="Q314" s="8">
        <f t="shared" si="35"/>
        <v>0</v>
      </c>
      <c r="R314" s="8">
        <f t="shared" si="36"/>
        <v>25</v>
      </c>
      <c r="S314" s="8">
        <f t="shared" ca="1" si="37"/>
        <v>25</v>
      </c>
      <c r="T314">
        <f t="shared" ca="1" si="38"/>
        <v>7.4610511548020719</v>
      </c>
      <c r="U314" s="8">
        <f t="shared" ca="1" si="39"/>
        <v>1</v>
      </c>
      <c r="V314" s="8">
        <f ca="1">RawData[[#This Row],[Z (smoothed demand size)]]/RawData[[#This Row],[X (smoothed interval)]]</f>
        <v>7.4610511548020719</v>
      </c>
    </row>
    <row r="315" spans="1:22">
      <c r="A315" t="s">
        <v>21</v>
      </c>
      <c r="B315" t="s">
        <v>14</v>
      </c>
      <c r="C315">
        <v>32</v>
      </c>
      <c r="D315" t="s">
        <v>22</v>
      </c>
      <c r="E315" t="s">
        <v>16</v>
      </c>
      <c r="F315" s="1">
        <v>43832</v>
      </c>
      <c r="G315">
        <v>0</v>
      </c>
      <c r="H315">
        <v>0</v>
      </c>
      <c r="I315">
        <v>9</v>
      </c>
      <c r="J315">
        <v>9</v>
      </c>
      <c r="K315">
        <v>0</v>
      </c>
      <c r="L315">
        <v>628</v>
      </c>
      <c r="M315">
        <v>30</v>
      </c>
      <c r="N315" s="1">
        <f t="shared" si="32"/>
        <v>44938</v>
      </c>
      <c r="O315" s="1">
        <f t="shared" si="33"/>
        <v>43101</v>
      </c>
      <c r="P315" s="1">
        <f t="shared" si="34"/>
        <v>43862</v>
      </c>
      <c r="Q315" s="8">
        <f t="shared" si="35"/>
        <v>0</v>
      </c>
      <c r="R315" s="8">
        <f t="shared" si="36"/>
        <v>26</v>
      </c>
      <c r="S315" s="8">
        <f t="shared" ca="1" si="37"/>
        <v>25</v>
      </c>
      <c r="T315">
        <f t="shared" ca="1" si="38"/>
        <v>7.4610511548020719</v>
      </c>
      <c r="U315" s="8">
        <f t="shared" ca="1" si="39"/>
        <v>1</v>
      </c>
      <c r="V315" s="8">
        <f ca="1">RawData[[#This Row],[Z (smoothed demand size)]]/RawData[[#This Row],[X (smoothed interval)]]</f>
        <v>7.4610511548020719</v>
      </c>
    </row>
    <row r="316" spans="1:22">
      <c r="A316" t="s">
        <v>21</v>
      </c>
      <c r="B316" t="s">
        <v>14</v>
      </c>
      <c r="C316">
        <v>32</v>
      </c>
      <c r="D316" t="s">
        <v>22</v>
      </c>
      <c r="E316" t="s">
        <v>16</v>
      </c>
      <c r="F316" s="1">
        <v>43833</v>
      </c>
      <c r="G316">
        <v>7</v>
      </c>
      <c r="H316">
        <v>7</v>
      </c>
      <c r="I316">
        <v>9</v>
      </c>
      <c r="J316">
        <v>2</v>
      </c>
      <c r="K316">
        <v>0</v>
      </c>
      <c r="L316">
        <v>623</v>
      </c>
      <c r="M316">
        <v>30</v>
      </c>
      <c r="N316" s="1">
        <f t="shared" si="32"/>
        <v>44938</v>
      </c>
      <c r="O316" s="1">
        <f t="shared" si="33"/>
        <v>43101</v>
      </c>
      <c r="P316" s="1">
        <f t="shared" si="34"/>
        <v>43891</v>
      </c>
      <c r="Q316" s="8">
        <f t="shared" si="35"/>
        <v>0</v>
      </c>
      <c r="R316" s="8">
        <f t="shared" si="36"/>
        <v>27</v>
      </c>
      <c r="S316" s="8">
        <f t="shared" ca="1" si="37"/>
        <v>27</v>
      </c>
      <c r="T316">
        <f t="shared" ca="1" si="38"/>
        <v>7.3688409238416579</v>
      </c>
      <c r="U316" s="8">
        <f t="shared" ca="1" si="39"/>
        <v>1.2000000000000002</v>
      </c>
      <c r="V316" s="8">
        <f ca="1">RawData[[#This Row],[Z (smoothed demand size)]]/RawData[[#This Row],[X (smoothed interval)]]</f>
        <v>6.1407007698680474</v>
      </c>
    </row>
    <row r="317" spans="1:22">
      <c r="A317" t="s">
        <v>21</v>
      </c>
      <c r="B317" t="s">
        <v>14</v>
      </c>
      <c r="C317">
        <v>32</v>
      </c>
      <c r="D317" t="s">
        <v>22</v>
      </c>
      <c r="E317" t="s">
        <v>16</v>
      </c>
      <c r="F317" s="1">
        <v>43834</v>
      </c>
      <c r="G317">
        <v>7</v>
      </c>
      <c r="H317">
        <v>7</v>
      </c>
      <c r="I317">
        <v>9</v>
      </c>
      <c r="J317">
        <v>2</v>
      </c>
      <c r="K317">
        <v>0</v>
      </c>
      <c r="L317">
        <v>619</v>
      </c>
      <c r="M317">
        <v>60</v>
      </c>
      <c r="N317" s="1">
        <f t="shared" si="32"/>
        <v>44938</v>
      </c>
      <c r="O317" s="1">
        <f t="shared" si="33"/>
        <v>43101</v>
      </c>
      <c r="P317" s="1">
        <f t="shared" si="34"/>
        <v>43922</v>
      </c>
      <c r="Q317" s="8">
        <f t="shared" si="35"/>
        <v>0</v>
      </c>
      <c r="R317" s="8">
        <f t="shared" si="36"/>
        <v>28</v>
      </c>
      <c r="S317" s="8">
        <f t="shared" ca="1" si="37"/>
        <v>28</v>
      </c>
      <c r="T317">
        <f t="shared" ca="1" si="38"/>
        <v>7.2950727390733272</v>
      </c>
      <c r="U317" s="8">
        <f t="shared" ca="1" si="39"/>
        <v>1.1600000000000001</v>
      </c>
      <c r="V317" s="8">
        <f ca="1">RawData[[#This Row],[Z (smoothed demand size)]]/RawData[[#This Row],[X (smoothed interval)]]</f>
        <v>6.2888558095459706</v>
      </c>
    </row>
    <row r="318" spans="1:22">
      <c r="A318" t="s">
        <v>21</v>
      </c>
      <c r="B318" t="s">
        <v>14</v>
      </c>
      <c r="C318">
        <v>32</v>
      </c>
      <c r="D318" t="s">
        <v>22</v>
      </c>
      <c r="E318" t="s">
        <v>16</v>
      </c>
      <c r="F318" s="1">
        <v>43835</v>
      </c>
      <c r="G318">
        <v>6</v>
      </c>
      <c r="H318">
        <v>2</v>
      </c>
      <c r="I318">
        <v>2</v>
      </c>
      <c r="J318">
        <v>0</v>
      </c>
      <c r="K318">
        <v>1</v>
      </c>
      <c r="L318">
        <v>624</v>
      </c>
      <c r="M318">
        <v>15</v>
      </c>
      <c r="N318" s="1">
        <f t="shared" si="32"/>
        <v>44938</v>
      </c>
      <c r="O318" s="1">
        <f t="shared" si="33"/>
        <v>43101</v>
      </c>
      <c r="P318" s="1">
        <f t="shared" si="34"/>
        <v>43952</v>
      </c>
      <c r="Q318" s="8">
        <f t="shared" si="35"/>
        <v>0</v>
      </c>
      <c r="R318" s="8">
        <f t="shared" si="36"/>
        <v>29</v>
      </c>
      <c r="S318" s="8">
        <f t="shared" ca="1" si="37"/>
        <v>29</v>
      </c>
      <c r="T318">
        <f t="shared" ca="1" si="38"/>
        <v>7.0360581912586619</v>
      </c>
      <c r="U318" s="8">
        <f t="shared" ca="1" si="39"/>
        <v>1.1280000000000001</v>
      </c>
      <c r="V318" s="8">
        <f ca="1">RawData[[#This Row],[Z (smoothed demand size)]]/RawData[[#This Row],[X (smoothed interval)]]</f>
        <v>6.2376402404775364</v>
      </c>
    </row>
    <row r="319" spans="1:22">
      <c r="A319" t="s">
        <v>21</v>
      </c>
      <c r="B319" t="s">
        <v>14</v>
      </c>
      <c r="C319">
        <v>32</v>
      </c>
      <c r="D319" t="s">
        <v>22</v>
      </c>
      <c r="E319" t="s">
        <v>16</v>
      </c>
      <c r="F319" s="1">
        <v>43836</v>
      </c>
      <c r="G319">
        <v>7</v>
      </c>
      <c r="H319">
        <v>7</v>
      </c>
      <c r="I319">
        <v>7</v>
      </c>
      <c r="J319">
        <v>0</v>
      </c>
      <c r="K319">
        <v>0</v>
      </c>
      <c r="L319">
        <v>705</v>
      </c>
      <c r="M319">
        <v>60</v>
      </c>
      <c r="N319" s="1">
        <f t="shared" si="32"/>
        <v>44938</v>
      </c>
      <c r="O319" s="1">
        <f t="shared" si="33"/>
        <v>43101</v>
      </c>
      <c r="P319" s="1">
        <f t="shared" si="34"/>
        <v>43983</v>
      </c>
      <c r="Q319" s="8">
        <f t="shared" si="35"/>
        <v>0</v>
      </c>
      <c r="R319" s="8">
        <f t="shared" si="36"/>
        <v>30</v>
      </c>
      <c r="S319" s="8">
        <f t="shared" ca="1" si="37"/>
        <v>30</v>
      </c>
      <c r="T319">
        <f t="shared" ca="1" si="38"/>
        <v>7.0288465530069306</v>
      </c>
      <c r="U319" s="8">
        <f t="shared" ca="1" si="39"/>
        <v>1.1024</v>
      </c>
      <c r="V319" s="8">
        <f ca="1">RawData[[#This Row],[Z (smoothed demand size)]]/RawData[[#This Row],[X (smoothed interval)]]</f>
        <v>6.3759493405360397</v>
      </c>
    </row>
    <row r="320" spans="1:22">
      <c r="A320" t="s">
        <v>21</v>
      </c>
      <c r="B320" t="s">
        <v>14</v>
      </c>
      <c r="C320">
        <v>32</v>
      </c>
      <c r="D320" t="s">
        <v>22</v>
      </c>
      <c r="E320" t="s">
        <v>16</v>
      </c>
      <c r="F320" s="1">
        <v>43837</v>
      </c>
      <c r="G320">
        <v>9</v>
      </c>
      <c r="H320">
        <v>0</v>
      </c>
      <c r="I320">
        <v>0</v>
      </c>
      <c r="J320">
        <v>0</v>
      </c>
      <c r="K320">
        <v>1</v>
      </c>
      <c r="L320">
        <v>705</v>
      </c>
      <c r="M320">
        <v>15</v>
      </c>
      <c r="N320" s="1">
        <f t="shared" si="32"/>
        <v>44938</v>
      </c>
      <c r="O320" s="1">
        <f t="shared" si="33"/>
        <v>43101</v>
      </c>
      <c r="P320" s="1">
        <f t="shared" si="34"/>
        <v>44013</v>
      </c>
      <c r="Q320" s="8">
        <f t="shared" si="35"/>
        <v>0</v>
      </c>
      <c r="R320" s="8">
        <f t="shared" si="36"/>
        <v>31</v>
      </c>
      <c r="S320" s="8">
        <f t="shared" ca="1" si="37"/>
        <v>31</v>
      </c>
      <c r="T320">
        <f t="shared" ca="1" si="38"/>
        <v>7.4230772424055447</v>
      </c>
      <c r="U320" s="8">
        <f t="shared" ca="1" si="39"/>
        <v>1.08192</v>
      </c>
      <c r="V320" s="8">
        <f ca="1">RawData[[#This Row],[Z (smoothed demand size)]]/RawData[[#This Row],[X (smoothed interval)]]</f>
        <v>6.8610222959234921</v>
      </c>
    </row>
    <row r="321" spans="1:22">
      <c r="A321" t="s">
        <v>21</v>
      </c>
      <c r="B321" t="s">
        <v>14</v>
      </c>
      <c r="C321">
        <v>32</v>
      </c>
      <c r="D321" t="s">
        <v>22</v>
      </c>
      <c r="E321" t="s">
        <v>16</v>
      </c>
      <c r="F321" s="1">
        <v>43838</v>
      </c>
      <c r="G321">
        <v>9</v>
      </c>
      <c r="H321">
        <v>9</v>
      </c>
      <c r="I321">
        <v>10</v>
      </c>
      <c r="J321">
        <v>1</v>
      </c>
      <c r="K321">
        <v>0</v>
      </c>
      <c r="L321">
        <v>709</v>
      </c>
      <c r="M321">
        <v>30</v>
      </c>
      <c r="N321" s="1">
        <f t="shared" si="32"/>
        <v>44938</v>
      </c>
      <c r="O321" s="1">
        <f t="shared" si="33"/>
        <v>43101</v>
      </c>
      <c r="P321" s="1">
        <f t="shared" si="34"/>
        <v>44044</v>
      </c>
      <c r="Q321" s="8">
        <f t="shared" si="35"/>
        <v>0</v>
      </c>
      <c r="R321" s="8">
        <f t="shared" si="36"/>
        <v>32</v>
      </c>
      <c r="S321" s="8">
        <f t="shared" ca="1" si="37"/>
        <v>32</v>
      </c>
      <c r="T321">
        <f t="shared" ca="1" si="38"/>
        <v>7.7384617939244356</v>
      </c>
      <c r="U321" s="8">
        <f t="shared" ca="1" si="39"/>
        <v>1.065536</v>
      </c>
      <c r="V321" s="8">
        <f ca="1">RawData[[#This Row],[Z (smoothed demand size)]]/RawData[[#This Row],[X (smoothed interval)]]</f>
        <v>7.2625061883638233</v>
      </c>
    </row>
    <row r="322" spans="1:22">
      <c r="A322" t="s">
        <v>21</v>
      </c>
      <c r="B322" t="s">
        <v>14</v>
      </c>
      <c r="C322">
        <v>32</v>
      </c>
      <c r="D322" t="s">
        <v>22</v>
      </c>
      <c r="E322" t="s">
        <v>16</v>
      </c>
      <c r="F322" s="1">
        <v>43839</v>
      </c>
      <c r="G322">
        <v>9</v>
      </c>
      <c r="H322">
        <v>9</v>
      </c>
      <c r="I322">
        <v>11</v>
      </c>
      <c r="J322">
        <v>2</v>
      </c>
      <c r="K322">
        <v>0</v>
      </c>
      <c r="L322">
        <v>625</v>
      </c>
      <c r="M322">
        <v>15</v>
      </c>
      <c r="N322" s="1">
        <f t="shared" ref="N322:N385" si="40">MAX(F:F)</f>
        <v>44938</v>
      </c>
      <c r="O322" s="1">
        <f t="shared" ref="O322:O385" si="41">MIN(F:F)</f>
        <v>43101</v>
      </c>
      <c r="P322" s="1">
        <f t="shared" ref="P322:P385" si="42">DATE(YEAR(F322), DAY(F322), 1)</f>
        <v>44075</v>
      </c>
      <c r="Q322" s="8">
        <f t="shared" ref="Q322:Q385" si="43" xml:space="preserve"> IF(A322&lt;&gt;A321, 1, 0)</f>
        <v>0</v>
      </c>
      <c r="R322" s="8">
        <f t="shared" ref="R322:R385" si="44">IF(Q322=1,1,R321+1)</f>
        <v>33</v>
      </c>
      <c r="S322" s="8">
        <f t="shared" ref="S322:S385" ca="1" si="45" xml:space="preserve"> IF(Q322=1, IF(G322&gt;0, R322, 0), IF(G322&gt;0, R322, OFFSET(S322,-1,0)))</f>
        <v>33</v>
      </c>
      <c r="T322">
        <f t="shared" ref="T322:T385" ca="1" si="46" xml:space="preserve"> IF(Q322=1, IF(G322&gt;0, G322, 0), IF(G322&gt;0, $X$1*G322+(1-$X$1)*OFFSET(T322,-1,0), OFFSET(T322,-1,0)))</f>
        <v>7.9907694351395486</v>
      </c>
      <c r="U322" s="8">
        <f t="shared" ref="U322:U385" ca="1" si="47" xml:space="preserve"> IF(Q322=1, 1, IF(G322&gt;0, $X$1*(R322-OFFSET(S322,-1,0))+(1-$X$1)*OFFSET(U322,-1,0), OFFSET(U322,-1,0)))</f>
        <v>1.0524288000000002</v>
      </c>
      <c r="V322" s="8">
        <f ca="1">RawData[[#This Row],[Z (smoothed demand size)]]/RawData[[#This Row],[X (smoothed interval)]]</f>
        <v>7.592693619881504</v>
      </c>
    </row>
    <row r="323" spans="1:22">
      <c r="A323" t="s">
        <v>21</v>
      </c>
      <c r="B323" t="s">
        <v>14</v>
      </c>
      <c r="C323">
        <v>32</v>
      </c>
      <c r="D323" t="s">
        <v>22</v>
      </c>
      <c r="E323" t="s">
        <v>16</v>
      </c>
      <c r="F323" s="1">
        <v>43840</v>
      </c>
      <c r="G323">
        <v>11</v>
      </c>
      <c r="H323">
        <v>11</v>
      </c>
      <c r="I323">
        <v>13</v>
      </c>
      <c r="J323">
        <v>2</v>
      </c>
      <c r="K323">
        <v>0</v>
      </c>
      <c r="L323">
        <v>623</v>
      </c>
      <c r="M323">
        <v>45</v>
      </c>
      <c r="N323" s="1">
        <f t="shared" si="40"/>
        <v>44938</v>
      </c>
      <c r="O323" s="1">
        <f t="shared" si="41"/>
        <v>43101</v>
      </c>
      <c r="P323" s="1">
        <f t="shared" si="42"/>
        <v>44105</v>
      </c>
      <c r="Q323" s="8">
        <f t="shared" si="43"/>
        <v>0</v>
      </c>
      <c r="R323" s="8">
        <f t="shared" si="44"/>
        <v>34</v>
      </c>
      <c r="S323" s="8">
        <f t="shared" ca="1" si="45"/>
        <v>34</v>
      </c>
      <c r="T323">
        <f t="shared" ca="1" si="46"/>
        <v>8.5926155481116382</v>
      </c>
      <c r="U323" s="8">
        <f t="shared" ca="1" si="47"/>
        <v>1.0419430400000003</v>
      </c>
      <c r="V323" s="8">
        <f ca="1">RawData[[#This Row],[Z (smoothed demand size)]]/RawData[[#This Row],[X (smoothed interval)]]</f>
        <v>8.2467229188570954</v>
      </c>
    </row>
    <row r="324" spans="1:22">
      <c r="A324" t="s">
        <v>21</v>
      </c>
      <c r="B324" t="s">
        <v>14</v>
      </c>
      <c r="C324">
        <v>32</v>
      </c>
      <c r="D324" t="s">
        <v>22</v>
      </c>
      <c r="E324" t="s">
        <v>16</v>
      </c>
      <c r="F324" s="1">
        <v>43841</v>
      </c>
      <c r="G324">
        <v>8</v>
      </c>
      <c r="H324">
        <v>2</v>
      </c>
      <c r="I324">
        <v>2</v>
      </c>
      <c r="J324">
        <v>0</v>
      </c>
      <c r="K324">
        <v>1</v>
      </c>
      <c r="L324">
        <v>630</v>
      </c>
      <c r="M324">
        <v>45</v>
      </c>
      <c r="N324" s="1">
        <f t="shared" si="40"/>
        <v>44938</v>
      </c>
      <c r="O324" s="1">
        <f t="shared" si="41"/>
        <v>43101</v>
      </c>
      <c r="P324" s="1">
        <f t="shared" si="42"/>
        <v>44136</v>
      </c>
      <c r="Q324" s="8">
        <f t="shared" si="43"/>
        <v>0</v>
      </c>
      <c r="R324" s="8">
        <f t="shared" si="44"/>
        <v>35</v>
      </c>
      <c r="S324" s="8">
        <f t="shared" ca="1" si="45"/>
        <v>35</v>
      </c>
      <c r="T324">
        <f t="shared" ca="1" si="46"/>
        <v>8.4740924384893113</v>
      </c>
      <c r="U324" s="8">
        <f t="shared" ca="1" si="47"/>
        <v>1.0335544320000003</v>
      </c>
      <c r="V324" s="8">
        <f ca="1">RawData[[#This Row],[Z (smoothed demand size)]]/RawData[[#This Row],[X (smoothed interval)]]</f>
        <v>8.1989803111688548</v>
      </c>
    </row>
    <row r="325" spans="1:22">
      <c r="A325" t="s">
        <v>21</v>
      </c>
      <c r="B325" t="s">
        <v>14</v>
      </c>
      <c r="C325">
        <v>32</v>
      </c>
      <c r="D325" t="s">
        <v>22</v>
      </c>
      <c r="E325" t="s">
        <v>16</v>
      </c>
      <c r="F325" s="1">
        <v>43842</v>
      </c>
      <c r="G325">
        <v>11</v>
      </c>
      <c r="H325">
        <v>7</v>
      </c>
      <c r="I325">
        <v>7</v>
      </c>
      <c r="J325">
        <v>0</v>
      </c>
      <c r="K325">
        <v>1</v>
      </c>
      <c r="L325">
        <v>710</v>
      </c>
      <c r="M325">
        <v>15</v>
      </c>
      <c r="N325" s="1">
        <f t="shared" si="40"/>
        <v>44938</v>
      </c>
      <c r="O325" s="1">
        <f t="shared" si="41"/>
        <v>43101</v>
      </c>
      <c r="P325" s="1">
        <f t="shared" si="42"/>
        <v>44166</v>
      </c>
      <c r="Q325" s="8">
        <f t="shared" si="43"/>
        <v>0</v>
      </c>
      <c r="R325" s="8">
        <f t="shared" si="44"/>
        <v>36</v>
      </c>
      <c r="S325" s="8">
        <f t="shared" ca="1" si="45"/>
        <v>36</v>
      </c>
      <c r="T325">
        <f t="shared" ca="1" si="46"/>
        <v>8.9792739507914483</v>
      </c>
      <c r="U325" s="8">
        <f t="shared" ca="1" si="47"/>
        <v>1.0268435456000002</v>
      </c>
      <c r="V325" s="8">
        <f ca="1">RawData[[#This Row],[Z (smoothed demand size)]]/RawData[[#This Row],[X (smoothed interval)]]</f>
        <v>8.7445395058160713</v>
      </c>
    </row>
    <row r="326" spans="1:22">
      <c r="A326" t="s">
        <v>21</v>
      </c>
      <c r="B326" t="s">
        <v>14</v>
      </c>
      <c r="C326">
        <v>32</v>
      </c>
      <c r="D326" t="s">
        <v>22</v>
      </c>
      <c r="E326" t="s">
        <v>16</v>
      </c>
      <c r="F326" s="1">
        <v>44197</v>
      </c>
      <c r="G326">
        <v>5</v>
      </c>
      <c r="H326">
        <v>5</v>
      </c>
      <c r="I326">
        <v>11</v>
      </c>
      <c r="J326">
        <v>6</v>
      </c>
      <c r="K326">
        <v>0</v>
      </c>
      <c r="L326">
        <v>625</v>
      </c>
      <c r="M326">
        <v>30</v>
      </c>
      <c r="N326" s="1">
        <f t="shared" si="40"/>
        <v>44938</v>
      </c>
      <c r="O326" s="1">
        <f t="shared" si="41"/>
        <v>43101</v>
      </c>
      <c r="P326" s="1">
        <f t="shared" si="42"/>
        <v>44197</v>
      </c>
      <c r="Q326" s="8">
        <f t="shared" si="43"/>
        <v>0</v>
      </c>
      <c r="R326" s="8">
        <f t="shared" si="44"/>
        <v>37</v>
      </c>
      <c r="S326" s="8">
        <f t="shared" ca="1" si="45"/>
        <v>37</v>
      </c>
      <c r="T326">
        <f t="shared" ca="1" si="46"/>
        <v>8.183419160633159</v>
      </c>
      <c r="U326" s="8">
        <f t="shared" ca="1" si="47"/>
        <v>1.0214748364800001</v>
      </c>
      <c r="V326" s="8">
        <f ca="1">RawData[[#This Row],[Z (smoothed demand size)]]/RawData[[#This Row],[X (smoothed interval)]]</f>
        <v>8.0113761674572448</v>
      </c>
    </row>
    <row r="327" spans="1:22">
      <c r="A327" t="s">
        <v>21</v>
      </c>
      <c r="B327" t="s">
        <v>14</v>
      </c>
      <c r="C327">
        <v>32</v>
      </c>
      <c r="D327" t="s">
        <v>22</v>
      </c>
      <c r="E327" t="s">
        <v>16</v>
      </c>
      <c r="F327" s="1">
        <v>44198</v>
      </c>
      <c r="G327">
        <v>6</v>
      </c>
      <c r="H327">
        <v>6</v>
      </c>
      <c r="I327">
        <v>14</v>
      </c>
      <c r="J327">
        <v>8</v>
      </c>
      <c r="K327">
        <v>0</v>
      </c>
      <c r="L327">
        <v>621</v>
      </c>
      <c r="M327">
        <v>45</v>
      </c>
      <c r="N327" s="1">
        <f t="shared" si="40"/>
        <v>44938</v>
      </c>
      <c r="O327" s="1">
        <f t="shared" si="41"/>
        <v>43101</v>
      </c>
      <c r="P327" s="1">
        <f t="shared" si="42"/>
        <v>44228</v>
      </c>
      <c r="Q327" s="8">
        <f t="shared" si="43"/>
        <v>0</v>
      </c>
      <c r="R327" s="8">
        <f t="shared" si="44"/>
        <v>38</v>
      </c>
      <c r="S327" s="8">
        <f t="shared" ca="1" si="45"/>
        <v>38</v>
      </c>
      <c r="T327">
        <f t="shared" ca="1" si="46"/>
        <v>7.7467353285065279</v>
      </c>
      <c r="U327" s="8">
        <f t="shared" ca="1" si="47"/>
        <v>1.0171798691840002</v>
      </c>
      <c r="V327" s="8">
        <f ca="1">RawData[[#This Row],[Z (smoothed demand size)]]/RawData[[#This Row],[X (smoothed interval)]]</f>
        <v>7.6158952444871888</v>
      </c>
    </row>
    <row r="328" spans="1:22">
      <c r="A328" t="s">
        <v>21</v>
      </c>
      <c r="B328" t="s">
        <v>14</v>
      </c>
      <c r="C328">
        <v>32</v>
      </c>
      <c r="D328" t="s">
        <v>22</v>
      </c>
      <c r="E328" t="s">
        <v>16</v>
      </c>
      <c r="F328" s="1">
        <v>44199</v>
      </c>
      <c r="G328">
        <v>6</v>
      </c>
      <c r="H328">
        <v>6</v>
      </c>
      <c r="I328">
        <v>8</v>
      </c>
      <c r="J328">
        <v>2</v>
      </c>
      <c r="K328">
        <v>0</v>
      </c>
      <c r="L328">
        <v>615</v>
      </c>
      <c r="M328">
        <v>30</v>
      </c>
      <c r="N328" s="1">
        <f t="shared" si="40"/>
        <v>44938</v>
      </c>
      <c r="O328" s="1">
        <f t="shared" si="41"/>
        <v>43101</v>
      </c>
      <c r="P328" s="1">
        <f t="shared" si="42"/>
        <v>44256</v>
      </c>
      <c r="Q328" s="8">
        <f t="shared" si="43"/>
        <v>0</v>
      </c>
      <c r="R328" s="8">
        <f t="shared" si="44"/>
        <v>39</v>
      </c>
      <c r="S328" s="8">
        <f t="shared" ca="1" si="45"/>
        <v>39</v>
      </c>
      <c r="T328">
        <f t="shared" ca="1" si="46"/>
        <v>7.3973882628052232</v>
      </c>
      <c r="U328" s="8">
        <f t="shared" ca="1" si="47"/>
        <v>1.0137438953472002</v>
      </c>
      <c r="V328" s="8">
        <f ca="1">RawData[[#This Row],[Z (smoothed demand size)]]/RawData[[#This Row],[X (smoothed interval)]]</f>
        <v>7.2970977154655703</v>
      </c>
    </row>
    <row r="329" spans="1:22">
      <c r="A329" t="s">
        <v>21</v>
      </c>
      <c r="B329" t="s">
        <v>14</v>
      </c>
      <c r="C329">
        <v>32</v>
      </c>
      <c r="D329" t="s">
        <v>22</v>
      </c>
      <c r="E329" t="s">
        <v>16</v>
      </c>
      <c r="F329" s="1">
        <v>44200</v>
      </c>
      <c r="G329">
        <v>0</v>
      </c>
      <c r="H329">
        <v>0</v>
      </c>
      <c r="I329">
        <v>11</v>
      </c>
      <c r="J329">
        <v>11</v>
      </c>
      <c r="K329">
        <v>0</v>
      </c>
      <c r="L329">
        <v>624</v>
      </c>
      <c r="M329">
        <v>60</v>
      </c>
      <c r="N329" s="1">
        <f t="shared" si="40"/>
        <v>44938</v>
      </c>
      <c r="O329" s="1">
        <f t="shared" si="41"/>
        <v>43101</v>
      </c>
      <c r="P329" s="1">
        <f t="shared" si="42"/>
        <v>44287</v>
      </c>
      <c r="Q329" s="8">
        <f t="shared" si="43"/>
        <v>0</v>
      </c>
      <c r="R329" s="8">
        <f t="shared" si="44"/>
        <v>40</v>
      </c>
      <c r="S329" s="8">
        <f t="shared" ca="1" si="45"/>
        <v>39</v>
      </c>
      <c r="T329">
        <f t="shared" ca="1" si="46"/>
        <v>7.3973882628052232</v>
      </c>
      <c r="U329" s="8">
        <f t="shared" ca="1" si="47"/>
        <v>1.0137438953472002</v>
      </c>
      <c r="V329" s="8">
        <f ca="1">RawData[[#This Row],[Z (smoothed demand size)]]/RawData[[#This Row],[X (smoothed interval)]]</f>
        <v>7.2970977154655703</v>
      </c>
    </row>
    <row r="330" spans="1:22">
      <c r="A330" t="s">
        <v>21</v>
      </c>
      <c r="B330" t="s">
        <v>14</v>
      </c>
      <c r="C330">
        <v>32</v>
      </c>
      <c r="D330" t="s">
        <v>22</v>
      </c>
      <c r="E330" t="s">
        <v>16</v>
      </c>
      <c r="F330" s="1">
        <v>44201</v>
      </c>
      <c r="G330">
        <v>8</v>
      </c>
      <c r="H330">
        <v>8</v>
      </c>
      <c r="I330">
        <v>11</v>
      </c>
      <c r="J330">
        <v>3</v>
      </c>
      <c r="K330">
        <v>0</v>
      </c>
      <c r="L330">
        <v>621</v>
      </c>
      <c r="M330">
        <v>45</v>
      </c>
      <c r="N330" s="1">
        <f t="shared" si="40"/>
        <v>44938</v>
      </c>
      <c r="O330" s="1">
        <f t="shared" si="41"/>
        <v>43101</v>
      </c>
      <c r="P330" s="1">
        <f t="shared" si="42"/>
        <v>44317</v>
      </c>
      <c r="Q330" s="8">
        <f t="shared" si="43"/>
        <v>0</v>
      </c>
      <c r="R330" s="8">
        <f t="shared" si="44"/>
        <v>41</v>
      </c>
      <c r="S330" s="8">
        <f t="shared" ca="1" si="45"/>
        <v>41</v>
      </c>
      <c r="T330">
        <f t="shared" ca="1" si="46"/>
        <v>7.5179106102441793</v>
      </c>
      <c r="U330" s="8">
        <f t="shared" ca="1" si="47"/>
        <v>1.2109951162777604</v>
      </c>
      <c r="V330" s="8">
        <f ca="1">RawData[[#This Row],[Z (smoothed demand size)]]/RawData[[#This Row],[X (smoothed interval)]]</f>
        <v>6.2080437065279055</v>
      </c>
    </row>
    <row r="331" spans="1:22">
      <c r="A331" t="s">
        <v>21</v>
      </c>
      <c r="B331" t="s">
        <v>14</v>
      </c>
      <c r="C331">
        <v>32</v>
      </c>
      <c r="D331" t="s">
        <v>22</v>
      </c>
      <c r="E331" t="s">
        <v>16</v>
      </c>
      <c r="F331" s="1">
        <v>44202</v>
      </c>
      <c r="G331">
        <v>3</v>
      </c>
      <c r="H331">
        <v>3</v>
      </c>
      <c r="I331">
        <v>3</v>
      </c>
      <c r="J331">
        <v>0</v>
      </c>
      <c r="K331">
        <v>0</v>
      </c>
      <c r="L331">
        <v>710</v>
      </c>
      <c r="M331">
        <v>15</v>
      </c>
      <c r="N331" s="1">
        <f t="shared" si="40"/>
        <v>44938</v>
      </c>
      <c r="O331" s="1">
        <f t="shared" si="41"/>
        <v>43101</v>
      </c>
      <c r="P331" s="1">
        <f t="shared" si="42"/>
        <v>44348</v>
      </c>
      <c r="Q331" s="8">
        <f t="shared" si="43"/>
        <v>0</v>
      </c>
      <c r="R331" s="8">
        <f t="shared" si="44"/>
        <v>42</v>
      </c>
      <c r="S331" s="8">
        <f t="shared" ca="1" si="45"/>
        <v>42</v>
      </c>
      <c r="T331">
        <f t="shared" ca="1" si="46"/>
        <v>6.6143284881953441</v>
      </c>
      <c r="U331" s="8">
        <f t="shared" ca="1" si="47"/>
        <v>1.1687960930222083</v>
      </c>
      <c r="V331" s="8">
        <f ca="1">RawData[[#This Row],[Z (smoothed demand size)]]/RawData[[#This Row],[X (smoothed interval)]]</f>
        <v>5.6590953098520194</v>
      </c>
    </row>
    <row r="332" spans="1:22">
      <c r="A332" t="s">
        <v>21</v>
      </c>
      <c r="B332" t="s">
        <v>14</v>
      </c>
      <c r="C332">
        <v>32</v>
      </c>
      <c r="D332" t="s">
        <v>22</v>
      </c>
      <c r="E332" t="s">
        <v>16</v>
      </c>
      <c r="F332" s="1">
        <v>44203</v>
      </c>
      <c r="G332">
        <v>10</v>
      </c>
      <c r="H332">
        <v>9</v>
      </c>
      <c r="I332">
        <v>9</v>
      </c>
      <c r="J332">
        <v>0</v>
      </c>
      <c r="K332">
        <v>1</v>
      </c>
      <c r="L332">
        <v>715</v>
      </c>
      <c r="M332">
        <v>45</v>
      </c>
      <c r="N332" s="1">
        <f t="shared" si="40"/>
        <v>44938</v>
      </c>
      <c r="O332" s="1">
        <f t="shared" si="41"/>
        <v>43101</v>
      </c>
      <c r="P332" s="1">
        <f t="shared" si="42"/>
        <v>44378</v>
      </c>
      <c r="Q332" s="8">
        <f t="shared" si="43"/>
        <v>0</v>
      </c>
      <c r="R332" s="8">
        <f t="shared" si="44"/>
        <v>43</v>
      </c>
      <c r="S332" s="8">
        <f t="shared" ca="1" si="45"/>
        <v>43</v>
      </c>
      <c r="T332">
        <f t="shared" ca="1" si="46"/>
        <v>7.2914627905562757</v>
      </c>
      <c r="U332" s="8">
        <f t="shared" ca="1" si="47"/>
        <v>1.1350368744177668</v>
      </c>
      <c r="V332" s="8">
        <f ca="1">RawData[[#This Row],[Z (smoothed demand size)]]/RawData[[#This Row],[X (smoothed interval)]]</f>
        <v>6.4239875856866187</v>
      </c>
    </row>
    <row r="333" spans="1:22">
      <c r="A333" t="s">
        <v>21</v>
      </c>
      <c r="B333" t="s">
        <v>14</v>
      </c>
      <c r="C333">
        <v>32</v>
      </c>
      <c r="D333" t="s">
        <v>22</v>
      </c>
      <c r="E333" t="s">
        <v>16</v>
      </c>
      <c r="F333" s="1">
        <v>44204</v>
      </c>
      <c r="G333">
        <v>4</v>
      </c>
      <c r="H333">
        <v>0</v>
      </c>
      <c r="I333">
        <v>0</v>
      </c>
      <c r="J333">
        <v>0</v>
      </c>
      <c r="K333">
        <v>1</v>
      </c>
      <c r="L333">
        <v>714</v>
      </c>
      <c r="M333">
        <v>60</v>
      </c>
      <c r="N333" s="1">
        <f t="shared" si="40"/>
        <v>44938</v>
      </c>
      <c r="O333" s="1">
        <f t="shared" si="41"/>
        <v>43101</v>
      </c>
      <c r="P333" s="1">
        <f t="shared" si="42"/>
        <v>44409</v>
      </c>
      <c r="Q333" s="8">
        <f t="shared" si="43"/>
        <v>0</v>
      </c>
      <c r="R333" s="8">
        <f t="shared" si="44"/>
        <v>44</v>
      </c>
      <c r="S333" s="8">
        <f t="shared" ca="1" si="45"/>
        <v>44</v>
      </c>
      <c r="T333">
        <f t="shared" ca="1" si="46"/>
        <v>6.6331702324450204</v>
      </c>
      <c r="U333" s="8">
        <f t="shared" ca="1" si="47"/>
        <v>1.1080294995342135</v>
      </c>
      <c r="V333" s="8">
        <f ca="1">RawData[[#This Row],[Z (smoothed demand size)]]/RawData[[#This Row],[X (smoothed interval)]]</f>
        <v>5.9864563490714202</v>
      </c>
    </row>
    <row r="334" spans="1:22">
      <c r="A334" t="s">
        <v>21</v>
      </c>
      <c r="B334" t="s">
        <v>14</v>
      </c>
      <c r="C334">
        <v>32</v>
      </c>
      <c r="D334" t="s">
        <v>22</v>
      </c>
      <c r="E334" t="s">
        <v>16</v>
      </c>
      <c r="F334" s="1">
        <v>44205</v>
      </c>
      <c r="G334">
        <v>10</v>
      </c>
      <c r="H334">
        <v>7</v>
      </c>
      <c r="I334">
        <v>7</v>
      </c>
      <c r="J334">
        <v>0</v>
      </c>
      <c r="K334">
        <v>1</v>
      </c>
      <c r="L334">
        <v>620</v>
      </c>
      <c r="M334">
        <v>15</v>
      </c>
      <c r="N334" s="1">
        <f t="shared" si="40"/>
        <v>44938</v>
      </c>
      <c r="O334" s="1">
        <f t="shared" si="41"/>
        <v>43101</v>
      </c>
      <c r="P334" s="1">
        <f t="shared" si="42"/>
        <v>44440</v>
      </c>
      <c r="Q334" s="8">
        <f t="shared" si="43"/>
        <v>0</v>
      </c>
      <c r="R334" s="8">
        <f t="shared" si="44"/>
        <v>45</v>
      </c>
      <c r="S334" s="8">
        <f t="shared" ca="1" si="45"/>
        <v>45</v>
      </c>
      <c r="T334">
        <f t="shared" ca="1" si="46"/>
        <v>7.3065361859560163</v>
      </c>
      <c r="U334" s="8">
        <f t="shared" ca="1" si="47"/>
        <v>1.0864235996273708</v>
      </c>
      <c r="V334" s="8">
        <f ca="1">RawData[[#This Row],[Z (smoothed demand size)]]/RawData[[#This Row],[X (smoothed interval)]]</f>
        <v>6.7253106324844776</v>
      </c>
    </row>
    <row r="335" spans="1:22">
      <c r="A335" t="s">
        <v>21</v>
      </c>
      <c r="B335" t="s">
        <v>14</v>
      </c>
      <c r="C335">
        <v>32</v>
      </c>
      <c r="D335" t="s">
        <v>22</v>
      </c>
      <c r="E335" t="s">
        <v>16</v>
      </c>
      <c r="F335" s="1">
        <v>44206</v>
      </c>
      <c r="G335">
        <v>0</v>
      </c>
      <c r="H335">
        <v>0</v>
      </c>
      <c r="I335">
        <v>11</v>
      </c>
      <c r="J335">
        <v>11</v>
      </c>
      <c r="K335">
        <v>0</v>
      </c>
      <c r="L335">
        <v>619</v>
      </c>
      <c r="M335">
        <v>30</v>
      </c>
      <c r="N335" s="1">
        <f t="shared" si="40"/>
        <v>44938</v>
      </c>
      <c r="O335" s="1">
        <f t="shared" si="41"/>
        <v>43101</v>
      </c>
      <c r="P335" s="1">
        <f t="shared" si="42"/>
        <v>44470</v>
      </c>
      <c r="Q335" s="8">
        <f t="shared" si="43"/>
        <v>0</v>
      </c>
      <c r="R335" s="8">
        <f t="shared" si="44"/>
        <v>46</v>
      </c>
      <c r="S335" s="8">
        <f t="shared" ca="1" si="45"/>
        <v>45</v>
      </c>
      <c r="T335">
        <f t="shared" ca="1" si="46"/>
        <v>7.3065361859560163</v>
      </c>
      <c r="U335" s="8">
        <f t="shared" ca="1" si="47"/>
        <v>1.0864235996273708</v>
      </c>
      <c r="V335" s="8">
        <f ca="1">RawData[[#This Row],[Z (smoothed demand size)]]/RawData[[#This Row],[X (smoothed interval)]]</f>
        <v>6.7253106324844776</v>
      </c>
    </row>
    <row r="336" spans="1:22">
      <c r="A336" t="s">
        <v>21</v>
      </c>
      <c r="B336" t="s">
        <v>14</v>
      </c>
      <c r="C336">
        <v>32</v>
      </c>
      <c r="D336" t="s">
        <v>22</v>
      </c>
      <c r="E336" t="s">
        <v>16</v>
      </c>
      <c r="F336" s="1">
        <v>44207</v>
      </c>
      <c r="G336">
        <v>0</v>
      </c>
      <c r="H336">
        <v>0</v>
      </c>
      <c r="I336">
        <v>11</v>
      </c>
      <c r="J336">
        <v>11</v>
      </c>
      <c r="K336">
        <v>0</v>
      </c>
      <c r="L336">
        <v>613</v>
      </c>
      <c r="M336">
        <v>45</v>
      </c>
      <c r="N336" s="1">
        <f t="shared" si="40"/>
        <v>44938</v>
      </c>
      <c r="O336" s="1">
        <f t="shared" si="41"/>
        <v>43101</v>
      </c>
      <c r="P336" s="1">
        <f t="shared" si="42"/>
        <v>44501</v>
      </c>
      <c r="Q336" s="8">
        <f t="shared" si="43"/>
        <v>0</v>
      </c>
      <c r="R336" s="8">
        <f t="shared" si="44"/>
        <v>47</v>
      </c>
      <c r="S336" s="8">
        <f t="shared" ca="1" si="45"/>
        <v>45</v>
      </c>
      <c r="T336">
        <f t="shared" ca="1" si="46"/>
        <v>7.3065361859560163</v>
      </c>
      <c r="U336" s="8">
        <f t="shared" ca="1" si="47"/>
        <v>1.0864235996273708</v>
      </c>
      <c r="V336" s="8">
        <f ca="1">RawData[[#This Row],[Z (smoothed demand size)]]/RawData[[#This Row],[X (smoothed interval)]]</f>
        <v>6.7253106324844776</v>
      </c>
    </row>
    <row r="337" spans="1:22">
      <c r="A337" t="s">
        <v>21</v>
      </c>
      <c r="B337" t="s">
        <v>14</v>
      </c>
      <c r="C337">
        <v>32</v>
      </c>
      <c r="D337" t="s">
        <v>22</v>
      </c>
      <c r="E337" t="s">
        <v>16</v>
      </c>
      <c r="F337" s="1">
        <v>44208</v>
      </c>
      <c r="G337">
        <v>8</v>
      </c>
      <c r="H337">
        <v>8</v>
      </c>
      <c r="I337">
        <v>11</v>
      </c>
      <c r="J337">
        <v>3</v>
      </c>
      <c r="K337">
        <v>0</v>
      </c>
      <c r="L337">
        <v>715</v>
      </c>
      <c r="M337">
        <v>30</v>
      </c>
      <c r="N337" s="1">
        <f t="shared" si="40"/>
        <v>44938</v>
      </c>
      <c r="O337" s="1">
        <f t="shared" si="41"/>
        <v>43101</v>
      </c>
      <c r="P337" s="1">
        <f t="shared" si="42"/>
        <v>44531</v>
      </c>
      <c r="Q337" s="8">
        <f t="shared" si="43"/>
        <v>0</v>
      </c>
      <c r="R337" s="8">
        <f t="shared" si="44"/>
        <v>48</v>
      </c>
      <c r="S337" s="8">
        <f t="shared" ca="1" si="45"/>
        <v>48</v>
      </c>
      <c r="T337">
        <f t="shared" ca="1" si="46"/>
        <v>7.4452289487648127</v>
      </c>
      <c r="U337" s="8">
        <f t="shared" ca="1" si="47"/>
        <v>1.4691388797018967</v>
      </c>
      <c r="V337" s="8">
        <f ca="1">RawData[[#This Row],[Z (smoothed demand size)]]/RawData[[#This Row],[X (smoothed interval)]]</f>
        <v>5.0677502662481615</v>
      </c>
    </row>
    <row r="338" spans="1:22">
      <c r="A338" t="s">
        <v>21</v>
      </c>
      <c r="B338" t="s">
        <v>14</v>
      </c>
      <c r="C338">
        <v>32</v>
      </c>
      <c r="D338" t="s">
        <v>22</v>
      </c>
      <c r="E338" t="s">
        <v>16</v>
      </c>
      <c r="F338" s="1">
        <v>44562</v>
      </c>
      <c r="G338">
        <v>3</v>
      </c>
      <c r="H338">
        <v>3</v>
      </c>
      <c r="I338">
        <v>10</v>
      </c>
      <c r="J338">
        <v>7</v>
      </c>
      <c r="K338">
        <v>0</v>
      </c>
      <c r="L338">
        <v>615</v>
      </c>
      <c r="M338">
        <v>60</v>
      </c>
      <c r="N338" s="1">
        <f t="shared" si="40"/>
        <v>44938</v>
      </c>
      <c r="O338" s="1">
        <f t="shared" si="41"/>
        <v>43101</v>
      </c>
      <c r="P338" s="1">
        <f t="shared" si="42"/>
        <v>44562</v>
      </c>
      <c r="Q338" s="8">
        <f t="shared" si="43"/>
        <v>0</v>
      </c>
      <c r="R338" s="8">
        <f t="shared" si="44"/>
        <v>49</v>
      </c>
      <c r="S338" s="8">
        <f t="shared" ca="1" si="45"/>
        <v>49</v>
      </c>
      <c r="T338">
        <f t="shared" ca="1" si="46"/>
        <v>6.5561831590118498</v>
      </c>
      <c r="U338" s="8">
        <f t="shared" ca="1" si="47"/>
        <v>1.3753111037615173</v>
      </c>
      <c r="V338" s="8">
        <f ca="1">RawData[[#This Row],[Z (smoothed demand size)]]/RawData[[#This Row],[X (smoothed interval)]]</f>
        <v>4.7670546257355815</v>
      </c>
    </row>
    <row r="339" spans="1:22">
      <c r="A339" t="s">
        <v>21</v>
      </c>
      <c r="B339" t="s">
        <v>14</v>
      </c>
      <c r="C339">
        <v>32</v>
      </c>
      <c r="D339" t="s">
        <v>22</v>
      </c>
      <c r="E339" t="s">
        <v>16</v>
      </c>
      <c r="F339" s="1">
        <v>44563</v>
      </c>
      <c r="G339">
        <v>8</v>
      </c>
      <c r="H339">
        <v>7</v>
      </c>
      <c r="I339">
        <v>7</v>
      </c>
      <c r="J339">
        <v>0</v>
      </c>
      <c r="K339">
        <v>1</v>
      </c>
      <c r="L339">
        <v>613</v>
      </c>
      <c r="M339">
        <v>15</v>
      </c>
      <c r="N339" s="1">
        <f t="shared" si="40"/>
        <v>44938</v>
      </c>
      <c r="O339" s="1">
        <f t="shared" si="41"/>
        <v>43101</v>
      </c>
      <c r="P339" s="1">
        <f t="shared" si="42"/>
        <v>44593</v>
      </c>
      <c r="Q339" s="8">
        <f t="shared" si="43"/>
        <v>0</v>
      </c>
      <c r="R339" s="8">
        <f t="shared" si="44"/>
        <v>50</v>
      </c>
      <c r="S339" s="8">
        <f t="shared" ca="1" si="45"/>
        <v>50</v>
      </c>
      <c r="T339">
        <f t="shared" ca="1" si="46"/>
        <v>6.8449465272094798</v>
      </c>
      <c r="U339" s="8">
        <f t="shared" ca="1" si="47"/>
        <v>1.3002488830092138</v>
      </c>
      <c r="V339" s="8">
        <f ca="1">RawData[[#This Row],[Z (smoothed demand size)]]/RawData[[#This Row],[X (smoothed interval)]]</f>
        <v>5.2643356334734692</v>
      </c>
    </row>
    <row r="340" spans="1:22">
      <c r="A340" t="s">
        <v>21</v>
      </c>
      <c r="B340" t="s">
        <v>14</v>
      </c>
      <c r="C340">
        <v>32</v>
      </c>
      <c r="D340" t="s">
        <v>22</v>
      </c>
      <c r="E340" t="s">
        <v>16</v>
      </c>
      <c r="F340" s="1">
        <v>44564</v>
      </c>
      <c r="G340">
        <v>4</v>
      </c>
      <c r="H340">
        <v>4</v>
      </c>
      <c r="I340">
        <v>11</v>
      </c>
      <c r="J340">
        <v>7</v>
      </c>
      <c r="K340">
        <v>0</v>
      </c>
      <c r="L340">
        <v>618</v>
      </c>
      <c r="M340">
        <v>15</v>
      </c>
      <c r="N340" s="1">
        <f t="shared" si="40"/>
        <v>44938</v>
      </c>
      <c r="O340" s="1">
        <f t="shared" si="41"/>
        <v>43101</v>
      </c>
      <c r="P340" s="1">
        <f t="shared" si="42"/>
        <v>44621</v>
      </c>
      <c r="Q340" s="8">
        <f t="shared" si="43"/>
        <v>0</v>
      </c>
      <c r="R340" s="8">
        <f t="shared" si="44"/>
        <v>51</v>
      </c>
      <c r="S340" s="8">
        <f t="shared" ca="1" si="45"/>
        <v>51</v>
      </c>
      <c r="T340">
        <f t="shared" ca="1" si="46"/>
        <v>6.2759572217675839</v>
      </c>
      <c r="U340" s="8">
        <f t="shared" ca="1" si="47"/>
        <v>1.240199106407371</v>
      </c>
      <c r="V340" s="8">
        <f ca="1">RawData[[#This Row],[Z (smoothed demand size)]]/RawData[[#This Row],[X (smoothed interval)]]</f>
        <v>5.0604432702325353</v>
      </c>
    </row>
    <row r="341" spans="1:22">
      <c r="A341" t="s">
        <v>21</v>
      </c>
      <c r="B341" t="s">
        <v>14</v>
      </c>
      <c r="C341">
        <v>32</v>
      </c>
      <c r="D341" t="s">
        <v>22</v>
      </c>
      <c r="E341" t="s">
        <v>16</v>
      </c>
      <c r="F341" s="1">
        <v>44565</v>
      </c>
      <c r="G341">
        <v>7</v>
      </c>
      <c r="H341">
        <v>7</v>
      </c>
      <c r="I341">
        <v>17</v>
      </c>
      <c r="J341">
        <v>10</v>
      </c>
      <c r="K341">
        <v>0</v>
      </c>
      <c r="L341">
        <v>624</v>
      </c>
      <c r="M341">
        <v>60</v>
      </c>
      <c r="N341" s="1">
        <f t="shared" si="40"/>
        <v>44938</v>
      </c>
      <c r="O341" s="1">
        <f t="shared" si="41"/>
        <v>43101</v>
      </c>
      <c r="P341" s="1">
        <f t="shared" si="42"/>
        <v>44652</v>
      </c>
      <c r="Q341" s="8">
        <f t="shared" si="43"/>
        <v>0</v>
      </c>
      <c r="R341" s="8">
        <f t="shared" si="44"/>
        <v>52</v>
      </c>
      <c r="S341" s="8">
        <f t="shared" ca="1" si="45"/>
        <v>52</v>
      </c>
      <c r="T341">
        <f t="shared" ca="1" si="46"/>
        <v>6.4207657774140676</v>
      </c>
      <c r="U341" s="8">
        <f t="shared" ca="1" si="47"/>
        <v>1.1921592851258969</v>
      </c>
      <c r="V341" s="8">
        <f ca="1">RawData[[#This Row],[Z (smoothed demand size)]]/RawData[[#This Row],[X (smoothed interval)]]</f>
        <v>5.3858287709733421</v>
      </c>
    </row>
    <row r="342" spans="1:22">
      <c r="A342" t="s">
        <v>21</v>
      </c>
      <c r="B342" t="s">
        <v>14</v>
      </c>
      <c r="C342">
        <v>32</v>
      </c>
      <c r="D342" t="s">
        <v>22</v>
      </c>
      <c r="E342" t="s">
        <v>16</v>
      </c>
      <c r="F342" s="1">
        <v>44566</v>
      </c>
      <c r="G342">
        <v>7</v>
      </c>
      <c r="H342">
        <v>7</v>
      </c>
      <c r="I342">
        <v>10</v>
      </c>
      <c r="J342">
        <v>3</v>
      </c>
      <c r="K342">
        <v>0</v>
      </c>
      <c r="L342">
        <v>621</v>
      </c>
      <c r="M342">
        <v>45</v>
      </c>
      <c r="N342" s="1">
        <f t="shared" si="40"/>
        <v>44938</v>
      </c>
      <c r="O342" s="1">
        <f t="shared" si="41"/>
        <v>43101</v>
      </c>
      <c r="P342" s="1">
        <f t="shared" si="42"/>
        <v>44682</v>
      </c>
      <c r="Q342" s="8">
        <f t="shared" si="43"/>
        <v>0</v>
      </c>
      <c r="R342" s="8">
        <f t="shared" si="44"/>
        <v>53</v>
      </c>
      <c r="S342" s="8">
        <f t="shared" ca="1" si="45"/>
        <v>53</v>
      </c>
      <c r="T342">
        <f t="shared" ca="1" si="46"/>
        <v>6.5366126219312548</v>
      </c>
      <c r="U342" s="8">
        <f t="shared" ca="1" si="47"/>
        <v>1.1537274281007175</v>
      </c>
      <c r="V342" s="8">
        <f ca="1">RawData[[#This Row],[Z (smoothed demand size)]]/RawData[[#This Row],[X (smoothed interval)]]</f>
        <v>5.6656472427737281</v>
      </c>
    </row>
    <row r="343" spans="1:22">
      <c r="A343" t="s">
        <v>21</v>
      </c>
      <c r="B343" t="s">
        <v>14</v>
      </c>
      <c r="C343">
        <v>32</v>
      </c>
      <c r="D343" t="s">
        <v>22</v>
      </c>
      <c r="E343" t="s">
        <v>16</v>
      </c>
      <c r="F343" s="1">
        <v>44567</v>
      </c>
      <c r="G343">
        <v>10</v>
      </c>
      <c r="H343">
        <v>3</v>
      </c>
      <c r="I343">
        <v>3</v>
      </c>
      <c r="J343">
        <v>0</v>
      </c>
      <c r="K343">
        <v>1</v>
      </c>
      <c r="L343">
        <v>709</v>
      </c>
      <c r="M343">
        <v>45</v>
      </c>
      <c r="N343" s="1">
        <f t="shared" si="40"/>
        <v>44938</v>
      </c>
      <c r="O343" s="1">
        <f t="shared" si="41"/>
        <v>43101</v>
      </c>
      <c r="P343" s="1">
        <f t="shared" si="42"/>
        <v>44713</v>
      </c>
      <c r="Q343" s="8">
        <f t="shared" si="43"/>
        <v>0</v>
      </c>
      <c r="R343" s="8">
        <f t="shared" si="44"/>
        <v>54</v>
      </c>
      <c r="S343" s="8">
        <f t="shared" ca="1" si="45"/>
        <v>54</v>
      </c>
      <c r="T343">
        <f t="shared" ca="1" si="46"/>
        <v>7.2292900975450038</v>
      </c>
      <c r="U343" s="8">
        <f t="shared" ca="1" si="47"/>
        <v>1.122981942480574</v>
      </c>
      <c r="V343" s="8">
        <f ca="1">RawData[[#This Row],[Z (smoothed demand size)]]/RawData[[#This Row],[X (smoothed interval)]]</f>
        <v>6.4375835657482625</v>
      </c>
    </row>
    <row r="344" spans="1:22">
      <c r="A344" t="s">
        <v>21</v>
      </c>
      <c r="B344" t="s">
        <v>14</v>
      </c>
      <c r="C344">
        <v>32</v>
      </c>
      <c r="D344" t="s">
        <v>22</v>
      </c>
      <c r="E344" t="s">
        <v>16</v>
      </c>
      <c r="F344" s="1">
        <v>44568</v>
      </c>
      <c r="G344">
        <v>10</v>
      </c>
      <c r="H344">
        <v>7</v>
      </c>
      <c r="I344">
        <v>7</v>
      </c>
      <c r="J344">
        <v>0</v>
      </c>
      <c r="K344">
        <v>1</v>
      </c>
      <c r="L344">
        <v>708</v>
      </c>
      <c r="M344">
        <v>30</v>
      </c>
      <c r="N344" s="1">
        <f t="shared" si="40"/>
        <v>44938</v>
      </c>
      <c r="O344" s="1">
        <f t="shared" si="41"/>
        <v>43101</v>
      </c>
      <c r="P344" s="1">
        <f t="shared" si="42"/>
        <v>44743</v>
      </c>
      <c r="Q344" s="8">
        <f t="shared" si="43"/>
        <v>0</v>
      </c>
      <c r="R344" s="8">
        <f t="shared" si="44"/>
        <v>55</v>
      </c>
      <c r="S344" s="8">
        <f t="shared" ca="1" si="45"/>
        <v>55</v>
      </c>
      <c r="T344">
        <f t="shared" ca="1" si="46"/>
        <v>7.7834320780360038</v>
      </c>
      <c r="U344" s="8">
        <f t="shared" ca="1" si="47"/>
        <v>1.0983855539844594</v>
      </c>
      <c r="V344" s="8">
        <f ca="1">RawData[[#This Row],[Z (smoothed demand size)]]/RawData[[#This Row],[X (smoothed interval)]]</f>
        <v>7.0862476748725785</v>
      </c>
    </row>
    <row r="345" spans="1:22">
      <c r="A345" t="s">
        <v>21</v>
      </c>
      <c r="B345" t="s">
        <v>14</v>
      </c>
      <c r="C345">
        <v>32</v>
      </c>
      <c r="D345" t="s">
        <v>22</v>
      </c>
      <c r="E345" t="s">
        <v>16</v>
      </c>
      <c r="F345" s="1">
        <v>44569</v>
      </c>
      <c r="G345">
        <v>11</v>
      </c>
      <c r="H345">
        <v>10</v>
      </c>
      <c r="I345">
        <v>10</v>
      </c>
      <c r="J345">
        <v>0</v>
      </c>
      <c r="K345">
        <v>1</v>
      </c>
      <c r="L345">
        <v>717</v>
      </c>
      <c r="M345">
        <v>30</v>
      </c>
      <c r="N345" s="1">
        <f t="shared" si="40"/>
        <v>44938</v>
      </c>
      <c r="O345" s="1">
        <f t="shared" si="41"/>
        <v>43101</v>
      </c>
      <c r="P345" s="1">
        <f t="shared" si="42"/>
        <v>44774</v>
      </c>
      <c r="Q345" s="8">
        <f t="shared" si="43"/>
        <v>0</v>
      </c>
      <c r="R345" s="8">
        <f t="shared" si="44"/>
        <v>56</v>
      </c>
      <c r="S345" s="8">
        <f t="shared" ca="1" si="45"/>
        <v>56</v>
      </c>
      <c r="T345">
        <f t="shared" ca="1" si="46"/>
        <v>8.4267456624288037</v>
      </c>
      <c r="U345" s="8">
        <f t="shared" ca="1" si="47"/>
        <v>1.0787084431875675</v>
      </c>
      <c r="V345" s="8">
        <f ca="1">RawData[[#This Row],[Z (smoothed demand size)]]/RawData[[#This Row],[X (smoothed interval)]]</f>
        <v>7.8118844027287802</v>
      </c>
    </row>
    <row r="346" spans="1:22">
      <c r="A346" t="s">
        <v>21</v>
      </c>
      <c r="B346" t="s">
        <v>14</v>
      </c>
      <c r="C346">
        <v>32</v>
      </c>
      <c r="D346" t="s">
        <v>22</v>
      </c>
      <c r="E346" t="s">
        <v>16</v>
      </c>
      <c r="F346" s="1">
        <v>44570</v>
      </c>
      <c r="G346">
        <v>9</v>
      </c>
      <c r="H346">
        <v>7</v>
      </c>
      <c r="I346">
        <v>7</v>
      </c>
      <c r="J346">
        <v>0</v>
      </c>
      <c r="K346">
        <v>1</v>
      </c>
      <c r="L346">
        <v>605</v>
      </c>
      <c r="M346">
        <v>15</v>
      </c>
      <c r="N346" s="1">
        <f t="shared" si="40"/>
        <v>44938</v>
      </c>
      <c r="O346" s="1">
        <f t="shared" si="41"/>
        <v>43101</v>
      </c>
      <c r="P346" s="1">
        <f t="shared" si="42"/>
        <v>44805</v>
      </c>
      <c r="Q346" s="8">
        <f t="shared" si="43"/>
        <v>0</v>
      </c>
      <c r="R346" s="8">
        <f t="shared" si="44"/>
        <v>57</v>
      </c>
      <c r="S346" s="8">
        <f t="shared" ca="1" si="45"/>
        <v>57</v>
      </c>
      <c r="T346">
        <f t="shared" ca="1" si="46"/>
        <v>8.541396529943043</v>
      </c>
      <c r="U346" s="8">
        <f t="shared" ca="1" si="47"/>
        <v>1.0629667545500541</v>
      </c>
      <c r="V346" s="8">
        <f ca="1">RawData[[#This Row],[Z (smoothed demand size)]]/RawData[[#This Row],[X (smoothed interval)]]</f>
        <v>8.0354314877501061</v>
      </c>
    </row>
    <row r="347" spans="1:22">
      <c r="A347" t="s">
        <v>21</v>
      </c>
      <c r="B347" t="s">
        <v>14</v>
      </c>
      <c r="C347">
        <v>32</v>
      </c>
      <c r="D347" t="s">
        <v>22</v>
      </c>
      <c r="E347" t="s">
        <v>16</v>
      </c>
      <c r="F347" s="1">
        <v>44571</v>
      </c>
      <c r="G347">
        <v>8</v>
      </c>
      <c r="H347">
        <v>8</v>
      </c>
      <c r="I347">
        <v>10</v>
      </c>
      <c r="J347">
        <v>2</v>
      </c>
      <c r="K347">
        <v>0</v>
      </c>
      <c r="L347">
        <v>624</v>
      </c>
      <c r="M347">
        <v>45</v>
      </c>
      <c r="N347" s="1">
        <f t="shared" si="40"/>
        <v>44938</v>
      </c>
      <c r="O347" s="1">
        <f t="shared" si="41"/>
        <v>43101</v>
      </c>
      <c r="P347" s="1">
        <f t="shared" si="42"/>
        <v>44835</v>
      </c>
      <c r="Q347" s="8">
        <f t="shared" si="43"/>
        <v>0</v>
      </c>
      <c r="R347" s="8">
        <f t="shared" si="44"/>
        <v>58</v>
      </c>
      <c r="S347" s="8">
        <f t="shared" ca="1" si="45"/>
        <v>58</v>
      </c>
      <c r="T347">
        <f t="shared" ca="1" si="46"/>
        <v>8.4331172239544347</v>
      </c>
      <c r="U347" s="8">
        <f t="shared" ca="1" si="47"/>
        <v>1.0503734036400434</v>
      </c>
      <c r="V347" s="8">
        <f ca="1">RawData[[#This Row],[Z (smoothed demand size)]]/RawData[[#This Row],[X (smoothed interval)]]</f>
        <v>8.0286850321320706</v>
      </c>
    </row>
    <row r="348" spans="1:22">
      <c r="A348" t="s">
        <v>21</v>
      </c>
      <c r="B348" t="s">
        <v>14</v>
      </c>
      <c r="C348">
        <v>32</v>
      </c>
      <c r="D348" t="s">
        <v>22</v>
      </c>
      <c r="E348" t="s">
        <v>16</v>
      </c>
      <c r="F348" s="1">
        <v>44572</v>
      </c>
      <c r="G348">
        <v>5</v>
      </c>
      <c r="H348">
        <v>2</v>
      </c>
      <c r="I348">
        <v>2</v>
      </c>
      <c r="J348">
        <v>0</v>
      </c>
      <c r="K348">
        <v>1</v>
      </c>
      <c r="L348">
        <v>608</v>
      </c>
      <c r="M348">
        <v>15</v>
      </c>
      <c r="N348" s="1">
        <f t="shared" si="40"/>
        <v>44938</v>
      </c>
      <c r="O348" s="1">
        <f t="shared" si="41"/>
        <v>43101</v>
      </c>
      <c r="P348" s="1">
        <f t="shared" si="42"/>
        <v>44866</v>
      </c>
      <c r="Q348" s="8">
        <f t="shared" si="43"/>
        <v>0</v>
      </c>
      <c r="R348" s="8">
        <f t="shared" si="44"/>
        <v>59</v>
      </c>
      <c r="S348" s="8">
        <f t="shared" ca="1" si="45"/>
        <v>59</v>
      </c>
      <c r="T348">
        <f t="shared" ca="1" si="46"/>
        <v>7.746493779163548</v>
      </c>
      <c r="U348" s="8">
        <f t="shared" ca="1" si="47"/>
        <v>1.0402987229120348</v>
      </c>
      <c r="V348" s="8">
        <f ca="1">RawData[[#This Row],[Z (smoothed demand size)]]/RawData[[#This Row],[X (smoothed interval)]]</f>
        <v>7.4464128509927745</v>
      </c>
    </row>
    <row r="349" spans="1:22">
      <c r="A349" t="s">
        <v>21</v>
      </c>
      <c r="B349" t="s">
        <v>14</v>
      </c>
      <c r="C349">
        <v>32</v>
      </c>
      <c r="D349" t="s">
        <v>22</v>
      </c>
      <c r="E349" t="s">
        <v>16</v>
      </c>
      <c r="F349" s="1">
        <v>44573</v>
      </c>
      <c r="G349">
        <v>2</v>
      </c>
      <c r="H349">
        <v>2</v>
      </c>
      <c r="I349">
        <v>8</v>
      </c>
      <c r="J349">
        <v>6</v>
      </c>
      <c r="K349">
        <v>0</v>
      </c>
      <c r="L349">
        <v>702</v>
      </c>
      <c r="M349">
        <v>60</v>
      </c>
      <c r="N349" s="1">
        <f t="shared" si="40"/>
        <v>44938</v>
      </c>
      <c r="O349" s="1">
        <f t="shared" si="41"/>
        <v>43101</v>
      </c>
      <c r="P349" s="1">
        <f t="shared" si="42"/>
        <v>44896</v>
      </c>
      <c r="Q349" s="8">
        <f t="shared" si="43"/>
        <v>0</v>
      </c>
      <c r="R349" s="8">
        <f t="shared" si="44"/>
        <v>60</v>
      </c>
      <c r="S349" s="8">
        <f t="shared" ca="1" si="45"/>
        <v>60</v>
      </c>
      <c r="T349">
        <f t="shared" ca="1" si="46"/>
        <v>6.5971950233308387</v>
      </c>
      <c r="U349" s="8">
        <f t="shared" ca="1" si="47"/>
        <v>1.032238978329628</v>
      </c>
      <c r="V349" s="8">
        <f ca="1">RawData[[#This Row],[Z (smoothed demand size)]]/RawData[[#This Row],[X (smoothed interval)]]</f>
        <v>6.3911508495895379</v>
      </c>
    </row>
    <row r="350" spans="1:22">
      <c r="A350" t="s">
        <v>21</v>
      </c>
      <c r="B350" t="s">
        <v>14</v>
      </c>
      <c r="C350">
        <v>32</v>
      </c>
      <c r="D350" t="s">
        <v>22</v>
      </c>
      <c r="E350" t="s">
        <v>16</v>
      </c>
      <c r="F350" s="1">
        <v>44927</v>
      </c>
      <c r="G350">
        <v>6</v>
      </c>
      <c r="H350">
        <v>6</v>
      </c>
      <c r="I350">
        <v>6</v>
      </c>
      <c r="J350">
        <v>0</v>
      </c>
      <c r="K350">
        <v>0</v>
      </c>
      <c r="L350">
        <v>614</v>
      </c>
      <c r="M350">
        <v>15</v>
      </c>
      <c r="N350" s="1">
        <f t="shared" si="40"/>
        <v>44938</v>
      </c>
      <c r="O350" s="1">
        <f t="shared" si="41"/>
        <v>43101</v>
      </c>
      <c r="P350" s="1">
        <f t="shared" si="42"/>
        <v>44927</v>
      </c>
      <c r="Q350" s="8">
        <f t="shared" si="43"/>
        <v>0</v>
      </c>
      <c r="R350" s="8">
        <f t="shared" si="44"/>
        <v>61</v>
      </c>
      <c r="S350" s="8">
        <f t="shared" ca="1" si="45"/>
        <v>61</v>
      </c>
      <c r="T350">
        <f t="shared" ca="1" si="46"/>
        <v>6.4777560186646719</v>
      </c>
      <c r="U350" s="8">
        <f t="shared" ca="1" si="47"/>
        <v>1.0257911826637025</v>
      </c>
      <c r="V350" s="8">
        <f ca="1">RawData[[#This Row],[Z (smoothed demand size)]]/RawData[[#This Row],[X (smoothed interval)]]</f>
        <v>6.3148875990956466</v>
      </c>
    </row>
    <row r="351" spans="1:22">
      <c r="A351" t="s">
        <v>21</v>
      </c>
      <c r="B351" t="s">
        <v>14</v>
      </c>
      <c r="C351">
        <v>32</v>
      </c>
      <c r="D351" t="s">
        <v>22</v>
      </c>
      <c r="E351" t="s">
        <v>16</v>
      </c>
      <c r="F351" s="1">
        <v>44928</v>
      </c>
      <c r="G351">
        <v>11</v>
      </c>
      <c r="H351">
        <v>7</v>
      </c>
      <c r="I351">
        <v>7</v>
      </c>
      <c r="J351">
        <v>0</v>
      </c>
      <c r="K351">
        <v>1</v>
      </c>
      <c r="L351">
        <v>631</v>
      </c>
      <c r="M351">
        <v>30</v>
      </c>
      <c r="N351" s="1">
        <f t="shared" si="40"/>
        <v>44938</v>
      </c>
      <c r="O351" s="1">
        <f t="shared" si="41"/>
        <v>43101</v>
      </c>
      <c r="P351" s="1">
        <f t="shared" si="42"/>
        <v>44958</v>
      </c>
      <c r="Q351" s="8">
        <f t="shared" si="43"/>
        <v>0</v>
      </c>
      <c r="R351" s="8">
        <f t="shared" si="44"/>
        <v>62</v>
      </c>
      <c r="S351" s="8">
        <f t="shared" ca="1" si="45"/>
        <v>62</v>
      </c>
      <c r="T351">
        <f t="shared" ca="1" si="46"/>
        <v>7.3822048149317379</v>
      </c>
      <c r="U351" s="8">
        <f t="shared" ca="1" si="47"/>
        <v>1.020632946130962</v>
      </c>
      <c r="V351" s="8">
        <f ca="1">RawData[[#This Row],[Z (smoothed demand size)]]/RawData[[#This Row],[X (smoothed interval)]]</f>
        <v>7.2329673884390697</v>
      </c>
    </row>
    <row r="352" spans="1:22">
      <c r="A352" t="s">
        <v>21</v>
      </c>
      <c r="B352" t="s">
        <v>14</v>
      </c>
      <c r="C352">
        <v>32</v>
      </c>
      <c r="D352" t="s">
        <v>22</v>
      </c>
      <c r="E352" t="s">
        <v>16</v>
      </c>
      <c r="F352" s="1">
        <v>44929</v>
      </c>
      <c r="G352">
        <v>9</v>
      </c>
      <c r="H352">
        <v>9</v>
      </c>
      <c r="I352">
        <v>11</v>
      </c>
      <c r="J352">
        <v>2</v>
      </c>
      <c r="K352">
        <v>0</v>
      </c>
      <c r="L352">
        <v>628</v>
      </c>
      <c r="M352">
        <v>60</v>
      </c>
      <c r="N352" s="1">
        <f t="shared" si="40"/>
        <v>44938</v>
      </c>
      <c r="O352" s="1">
        <f t="shared" si="41"/>
        <v>43101</v>
      </c>
      <c r="P352" s="1">
        <f t="shared" si="42"/>
        <v>44986</v>
      </c>
      <c r="Q352" s="8">
        <f t="shared" si="43"/>
        <v>0</v>
      </c>
      <c r="R352" s="8">
        <f t="shared" si="44"/>
        <v>63</v>
      </c>
      <c r="S352" s="8">
        <f t="shared" ca="1" si="45"/>
        <v>63</v>
      </c>
      <c r="T352">
        <f t="shared" ca="1" si="46"/>
        <v>7.7057638519453908</v>
      </c>
      <c r="U352" s="8">
        <f t="shared" ca="1" si="47"/>
        <v>1.0165063569047696</v>
      </c>
      <c r="V352" s="8">
        <f ca="1">RawData[[#This Row],[Z (smoothed demand size)]]/RawData[[#This Row],[X (smoothed interval)]]</f>
        <v>7.5806351820653664</v>
      </c>
    </row>
    <row r="353" spans="1:22">
      <c r="A353" t="s">
        <v>21</v>
      </c>
      <c r="B353" t="s">
        <v>14</v>
      </c>
      <c r="C353">
        <v>32</v>
      </c>
      <c r="D353" t="s">
        <v>22</v>
      </c>
      <c r="E353" t="s">
        <v>16</v>
      </c>
      <c r="F353" s="1">
        <v>44930</v>
      </c>
      <c r="G353">
        <v>9</v>
      </c>
      <c r="H353">
        <v>2</v>
      </c>
      <c r="I353">
        <v>2</v>
      </c>
      <c r="J353">
        <v>0</v>
      </c>
      <c r="K353">
        <v>1</v>
      </c>
      <c r="L353">
        <v>622</v>
      </c>
      <c r="M353">
        <v>60</v>
      </c>
      <c r="N353" s="1">
        <f t="shared" si="40"/>
        <v>44938</v>
      </c>
      <c r="O353" s="1">
        <f t="shared" si="41"/>
        <v>43101</v>
      </c>
      <c r="P353" s="1">
        <f t="shared" si="42"/>
        <v>45017</v>
      </c>
      <c r="Q353" s="8">
        <f t="shared" si="43"/>
        <v>0</v>
      </c>
      <c r="R353" s="8">
        <f t="shared" si="44"/>
        <v>64</v>
      </c>
      <c r="S353" s="8">
        <f t="shared" ca="1" si="45"/>
        <v>64</v>
      </c>
      <c r="T353">
        <f t="shared" ca="1" si="46"/>
        <v>7.9646110815563125</v>
      </c>
      <c r="U353" s="8">
        <f t="shared" ca="1" si="47"/>
        <v>1.0132050855238157</v>
      </c>
      <c r="V353" s="8">
        <f ca="1">RawData[[#This Row],[Z (smoothed demand size)]]/RawData[[#This Row],[X (smoothed interval)]]</f>
        <v>7.8608084339003268</v>
      </c>
    </row>
    <row r="354" spans="1:22">
      <c r="A354" t="s">
        <v>21</v>
      </c>
      <c r="B354" t="s">
        <v>14</v>
      </c>
      <c r="C354">
        <v>32</v>
      </c>
      <c r="D354" t="s">
        <v>22</v>
      </c>
      <c r="E354" t="s">
        <v>16</v>
      </c>
      <c r="F354" s="1">
        <v>44931</v>
      </c>
      <c r="G354">
        <v>10</v>
      </c>
      <c r="H354">
        <v>10</v>
      </c>
      <c r="I354">
        <v>10</v>
      </c>
      <c r="J354">
        <v>0</v>
      </c>
      <c r="K354">
        <v>0</v>
      </c>
      <c r="L354">
        <v>620</v>
      </c>
      <c r="M354">
        <v>45</v>
      </c>
      <c r="N354" s="1">
        <f t="shared" si="40"/>
        <v>44938</v>
      </c>
      <c r="O354" s="1">
        <f t="shared" si="41"/>
        <v>43101</v>
      </c>
      <c r="P354" s="1">
        <f t="shared" si="42"/>
        <v>45047</v>
      </c>
      <c r="Q354" s="8">
        <f t="shared" si="43"/>
        <v>0</v>
      </c>
      <c r="R354" s="8">
        <f t="shared" si="44"/>
        <v>65</v>
      </c>
      <c r="S354" s="8">
        <f t="shared" ca="1" si="45"/>
        <v>65</v>
      </c>
      <c r="T354">
        <f t="shared" ca="1" si="46"/>
        <v>8.3716888652450514</v>
      </c>
      <c r="U354" s="8">
        <f t="shared" ca="1" si="47"/>
        <v>1.0105640684190527</v>
      </c>
      <c r="V354" s="8">
        <f ca="1">RawData[[#This Row],[Z (smoothed demand size)]]/RawData[[#This Row],[X (smoothed interval)]]</f>
        <v>8.2841742813416026</v>
      </c>
    </row>
    <row r="355" spans="1:22">
      <c r="A355" t="s">
        <v>21</v>
      </c>
      <c r="B355" t="s">
        <v>14</v>
      </c>
      <c r="C355">
        <v>32</v>
      </c>
      <c r="D355" t="s">
        <v>22</v>
      </c>
      <c r="E355" t="s">
        <v>16</v>
      </c>
      <c r="F355" s="1">
        <v>44932</v>
      </c>
      <c r="G355">
        <v>7</v>
      </c>
      <c r="H355">
        <v>0</v>
      </c>
      <c r="I355">
        <v>0</v>
      </c>
      <c r="J355">
        <v>0</v>
      </c>
      <c r="K355">
        <v>1</v>
      </c>
      <c r="L355">
        <v>697</v>
      </c>
      <c r="M355">
        <v>15</v>
      </c>
      <c r="N355" s="1">
        <f t="shared" si="40"/>
        <v>44938</v>
      </c>
      <c r="O355" s="1">
        <f t="shared" si="41"/>
        <v>43101</v>
      </c>
      <c r="P355" s="1">
        <f t="shared" si="42"/>
        <v>45078</v>
      </c>
      <c r="Q355" s="8">
        <f t="shared" si="43"/>
        <v>0</v>
      </c>
      <c r="R355" s="8">
        <f t="shared" si="44"/>
        <v>66</v>
      </c>
      <c r="S355" s="8">
        <f t="shared" ca="1" si="45"/>
        <v>66</v>
      </c>
      <c r="T355">
        <f t="shared" ca="1" si="46"/>
        <v>8.0973510921960408</v>
      </c>
      <c r="U355" s="8">
        <f t="shared" ca="1" si="47"/>
        <v>1.0084512547352422</v>
      </c>
      <c r="V355" s="8">
        <f ca="1">RawData[[#This Row],[Z (smoothed demand size)]]/RawData[[#This Row],[X (smoothed interval)]]</f>
        <v>8.029491811502492</v>
      </c>
    </row>
    <row r="356" spans="1:22">
      <c r="A356" t="s">
        <v>21</v>
      </c>
      <c r="B356" t="s">
        <v>14</v>
      </c>
      <c r="C356">
        <v>32</v>
      </c>
      <c r="D356" t="s">
        <v>22</v>
      </c>
      <c r="E356" t="s">
        <v>16</v>
      </c>
      <c r="F356" s="1">
        <v>44933</v>
      </c>
      <c r="G356">
        <v>13</v>
      </c>
      <c r="H356">
        <v>12</v>
      </c>
      <c r="I356">
        <v>12</v>
      </c>
      <c r="J356">
        <v>0</v>
      </c>
      <c r="K356">
        <v>1</v>
      </c>
      <c r="L356">
        <v>711</v>
      </c>
      <c r="M356">
        <v>15</v>
      </c>
      <c r="N356" s="1">
        <f t="shared" si="40"/>
        <v>44938</v>
      </c>
      <c r="O356" s="1">
        <f t="shared" si="41"/>
        <v>43101</v>
      </c>
      <c r="P356" s="1">
        <f t="shared" si="42"/>
        <v>45108</v>
      </c>
      <c r="Q356" s="8">
        <f t="shared" si="43"/>
        <v>0</v>
      </c>
      <c r="R356" s="8">
        <f t="shared" si="44"/>
        <v>67</v>
      </c>
      <c r="S356" s="8">
        <f t="shared" ca="1" si="45"/>
        <v>67</v>
      </c>
      <c r="T356">
        <f t="shared" ca="1" si="46"/>
        <v>9.0778808737568326</v>
      </c>
      <c r="U356" s="8">
        <f t="shared" ca="1" si="47"/>
        <v>1.0067610037881938</v>
      </c>
      <c r="V356" s="8">
        <f ca="1">RawData[[#This Row],[Z (smoothed demand size)]]/RawData[[#This Row],[X (smoothed interval)]]</f>
        <v>9.0169174606475639</v>
      </c>
    </row>
    <row r="357" spans="1:22">
      <c r="A357" t="s">
        <v>21</v>
      </c>
      <c r="B357" t="s">
        <v>14</v>
      </c>
      <c r="C357">
        <v>32</v>
      </c>
      <c r="D357" t="s">
        <v>22</v>
      </c>
      <c r="E357" t="s">
        <v>16</v>
      </c>
      <c r="F357" s="1">
        <v>44934</v>
      </c>
      <c r="G357">
        <v>11</v>
      </c>
      <c r="H357">
        <v>11</v>
      </c>
      <c r="I357">
        <v>11</v>
      </c>
      <c r="J357">
        <v>0</v>
      </c>
      <c r="K357">
        <v>0</v>
      </c>
      <c r="L357">
        <v>706</v>
      </c>
      <c r="M357">
        <v>60</v>
      </c>
      <c r="N357" s="1">
        <f t="shared" si="40"/>
        <v>44938</v>
      </c>
      <c r="O357" s="1">
        <f t="shared" si="41"/>
        <v>43101</v>
      </c>
      <c r="P357" s="1">
        <f t="shared" si="42"/>
        <v>45139</v>
      </c>
      <c r="Q357" s="8">
        <f t="shared" si="43"/>
        <v>0</v>
      </c>
      <c r="R357" s="8">
        <f t="shared" si="44"/>
        <v>68</v>
      </c>
      <c r="S357" s="8">
        <f t="shared" ca="1" si="45"/>
        <v>68</v>
      </c>
      <c r="T357">
        <f t="shared" ca="1" si="46"/>
        <v>9.4623046990054664</v>
      </c>
      <c r="U357" s="8">
        <f t="shared" ca="1" si="47"/>
        <v>1.005408803030555</v>
      </c>
      <c r="V357" s="8">
        <f ca="1">RawData[[#This Row],[Z (smoothed demand size)]]/RawData[[#This Row],[X (smoothed interval)]]</f>
        <v>9.4114002886027066</v>
      </c>
    </row>
    <row r="358" spans="1:22">
      <c r="A358" t="s">
        <v>21</v>
      </c>
      <c r="B358" t="s">
        <v>14</v>
      </c>
      <c r="C358">
        <v>32</v>
      </c>
      <c r="D358" t="s">
        <v>22</v>
      </c>
      <c r="E358" t="s">
        <v>16</v>
      </c>
      <c r="F358" s="1">
        <v>44935</v>
      </c>
      <c r="G358">
        <v>6</v>
      </c>
      <c r="H358">
        <v>0</v>
      </c>
      <c r="I358">
        <v>0</v>
      </c>
      <c r="J358">
        <v>0</v>
      </c>
      <c r="K358">
        <v>1</v>
      </c>
      <c r="L358">
        <v>613</v>
      </c>
      <c r="M358">
        <v>30</v>
      </c>
      <c r="N358" s="1">
        <f t="shared" si="40"/>
        <v>44938</v>
      </c>
      <c r="O358" s="1">
        <f t="shared" si="41"/>
        <v>43101</v>
      </c>
      <c r="P358" s="1">
        <f t="shared" si="42"/>
        <v>45170</v>
      </c>
      <c r="Q358" s="8">
        <f t="shared" si="43"/>
        <v>0</v>
      </c>
      <c r="R358" s="8">
        <f t="shared" si="44"/>
        <v>69</v>
      </c>
      <c r="S358" s="8">
        <f t="shared" ca="1" si="45"/>
        <v>69</v>
      </c>
      <c r="T358">
        <f t="shared" ca="1" si="46"/>
        <v>8.7698437592043739</v>
      </c>
      <c r="U358" s="8">
        <f t="shared" ca="1" si="47"/>
        <v>1.0043270424244441</v>
      </c>
      <c r="V358" s="8">
        <f ca="1">RawData[[#This Row],[Z (smoothed demand size)]]/RawData[[#This Row],[X (smoothed interval)]]</f>
        <v>8.7320597661434896</v>
      </c>
    </row>
    <row r="359" spans="1:22">
      <c r="A359" t="s">
        <v>21</v>
      </c>
      <c r="B359" t="s">
        <v>14</v>
      </c>
      <c r="C359">
        <v>32</v>
      </c>
      <c r="D359" t="s">
        <v>22</v>
      </c>
      <c r="E359" t="s">
        <v>16</v>
      </c>
      <c r="F359" s="1">
        <v>44936</v>
      </c>
      <c r="G359">
        <v>8</v>
      </c>
      <c r="H359">
        <v>8</v>
      </c>
      <c r="I359">
        <v>11</v>
      </c>
      <c r="J359">
        <v>3</v>
      </c>
      <c r="K359">
        <v>0</v>
      </c>
      <c r="L359">
        <v>619</v>
      </c>
      <c r="M359">
        <v>30</v>
      </c>
      <c r="N359" s="1">
        <f t="shared" si="40"/>
        <v>44938</v>
      </c>
      <c r="O359" s="1">
        <f t="shared" si="41"/>
        <v>43101</v>
      </c>
      <c r="P359" s="1">
        <f t="shared" si="42"/>
        <v>45200</v>
      </c>
      <c r="Q359" s="8">
        <f t="shared" si="43"/>
        <v>0</v>
      </c>
      <c r="R359" s="8">
        <f t="shared" si="44"/>
        <v>70</v>
      </c>
      <c r="S359" s="8">
        <f t="shared" ca="1" si="45"/>
        <v>70</v>
      </c>
      <c r="T359">
        <f t="shared" ca="1" si="46"/>
        <v>8.6158750073634991</v>
      </c>
      <c r="U359" s="8">
        <f t="shared" ca="1" si="47"/>
        <v>1.0034616339395555</v>
      </c>
      <c r="V359" s="8">
        <f ca="1">RawData[[#This Row],[Z (smoothed demand size)]]/RawData[[#This Row],[X (smoothed interval)]]</f>
        <v>8.586152889112336</v>
      </c>
    </row>
    <row r="360" spans="1:22">
      <c r="A360" t="s">
        <v>21</v>
      </c>
      <c r="B360" t="s">
        <v>14</v>
      </c>
      <c r="C360">
        <v>32</v>
      </c>
      <c r="D360" t="s">
        <v>22</v>
      </c>
      <c r="E360" t="s">
        <v>16</v>
      </c>
      <c r="F360" s="1">
        <v>44937</v>
      </c>
      <c r="G360">
        <v>3</v>
      </c>
      <c r="H360">
        <v>3</v>
      </c>
      <c r="I360">
        <v>10</v>
      </c>
      <c r="J360">
        <v>7</v>
      </c>
      <c r="K360">
        <v>0</v>
      </c>
      <c r="L360">
        <v>615</v>
      </c>
      <c r="M360">
        <v>30</v>
      </c>
      <c r="N360" s="1">
        <f t="shared" si="40"/>
        <v>44938</v>
      </c>
      <c r="O360" s="1">
        <f t="shared" si="41"/>
        <v>43101</v>
      </c>
      <c r="P360" s="1">
        <f t="shared" si="42"/>
        <v>45231</v>
      </c>
      <c r="Q360" s="8">
        <f t="shared" si="43"/>
        <v>0</v>
      </c>
      <c r="R360" s="8">
        <f t="shared" si="44"/>
        <v>71</v>
      </c>
      <c r="S360" s="8">
        <f t="shared" ca="1" si="45"/>
        <v>71</v>
      </c>
      <c r="T360">
        <f t="shared" ca="1" si="46"/>
        <v>7.4927000058908</v>
      </c>
      <c r="U360" s="8">
        <f t="shared" ca="1" si="47"/>
        <v>1.0027693071516444</v>
      </c>
      <c r="V360" s="8">
        <f ca="1">RawData[[#This Row],[Z (smoothed demand size)]]/RawData[[#This Row],[X (smoothed interval)]]</f>
        <v>7.4720077214705896</v>
      </c>
    </row>
    <row r="361" spans="1:22">
      <c r="A361" t="s">
        <v>21</v>
      </c>
      <c r="B361" t="s">
        <v>14</v>
      </c>
      <c r="C361">
        <v>32</v>
      </c>
      <c r="D361" t="s">
        <v>22</v>
      </c>
      <c r="E361" t="s">
        <v>16</v>
      </c>
      <c r="F361" s="1">
        <v>44938</v>
      </c>
      <c r="G361">
        <v>14</v>
      </c>
      <c r="H361">
        <v>14</v>
      </c>
      <c r="I361">
        <v>18</v>
      </c>
      <c r="J361">
        <v>4</v>
      </c>
      <c r="K361">
        <v>0</v>
      </c>
      <c r="L361">
        <v>716</v>
      </c>
      <c r="M361">
        <v>15</v>
      </c>
      <c r="N361" s="1">
        <f t="shared" si="40"/>
        <v>44938</v>
      </c>
      <c r="O361" s="1">
        <f t="shared" si="41"/>
        <v>43101</v>
      </c>
      <c r="P361" s="1">
        <f t="shared" si="42"/>
        <v>45261</v>
      </c>
      <c r="Q361" s="8">
        <f t="shared" si="43"/>
        <v>0</v>
      </c>
      <c r="R361" s="8">
        <f t="shared" si="44"/>
        <v>72</v>
      </c>
      <c r="S361" s="8">
        <f t="shared" ca="1" si="45"/>
        <v>72</v>
      </c>
      <c r="T361">
        <f t="shared" ca="1" si="46"/>
        <v>8.7941600047126407</v>
      </c>
      <c r="U361" s="8">
        <f t="shared" ca="1" si="47"/>
        <v>1.0022154457213155</v>
      </c>
      <c r="V361" s="8">
        <f ca="1">RawData[[#This Row],[Z (smoothed demand size)]]/RawData[[#This Row],[X (smoothed interval)]]</f>
        <v>8.7747200886365295</v>
      </c>
    </row>
    <row r="362" spans="1:22">
      <c r="A362" t="s">
        <v>23</v>
      </c>
      <c r="B362" t="s">
        <v>14</v>
      </c>
      <c r="C362">
        <v>28</v>
      </c>
      <c r="D362" t="s">
        <v>22</v>
      </c>
      <c r="E362" t="s">
        <v>16</v>
      </c>
      <c r="F362" s="1">
        <v>43101</v>
      </c>
      <c r="G362">
        <v>4</v>
      </c>
      <c r="H362">
        <v>4</v>
      </c>
      <c r="I362">
        <v>27</v>
      </c>
      <c r="J362">
        <v>23</v>
      </c>
      <c r="K362">
        <v>0</v>
      </c>
      <c r="L362">
        <v>432</v>
      </c>
      <c r="M362">
        <v>45</v>
      </c>
      <c r="N362" s="1">
        <f t="shared" si="40"/>
        <v>44938</v>
      </c>
      <c r="O362" s="1">
        <f t="shared" si="41"/>
        <v>43101</v>
      </c>
      <c r="P362" s="1">
        <f t="shared" si="42"/>
        <v>43101</v>
      </c>
      <c r="Q362" s="8">
        <f t="shared" si="43"/>
        <v>1</v>
      </c>
      <c r="R362" s="8">
        <f t="shared" si="44"/>
        <v>1</v>
      </c>
      <c r="S362" s="8">
        <f t="shared" ca="1" si="45"/>
        <v>1</v>
      </c>
      <c r="T362">
        <f t="shared" ca="1" si="46"/>
        <v>4</v>
      </c>
      <c r="U362" s="8">
        <f t="shared" ca="1" si="47"/>
        <v>1</v>
      </c>
      <c r="V362" s="8">
        <f ca="1">RawData[[#This Row],[Z (smoothed demand size)]]/RawData[[#This Row],[X (smoothed interval)]]</f>
        <v>4</v>
      </c>
    </row>
    <row r="363" spans="1:22">
      <c r="A363" t="s">
        <v>23</v>
      </c>
      <c r="B363" t="s">
        <v>14</v>
      </c>
      <c r="C363">
        <v>28</v>
      </c>
      <c r="D363" t="s">
        <v>22</v>
      </c>
      <c r="E363" t="s">
        <v>16</v>
      </c>
      <c r="F363" s="1">
        <v>43102</v>
      </c>
      <c r="G363">
        <v>5</v>
      </c>
      <c r="H363">
        <v>5</v>
      </c>
      <c r="I363">
        <v>23</v>
      </c>
      <c r="J363">
        <v>18</v>
      </c>
      <c r="K363">
        <v>0</v>
      </c>
      <c r="L363">
        <v>434</v>
      </c>
      <c r="M363">
        <v>30</v>
      </c>
      <c r="N363" s="1">
        <f t="shared" si="40"/>
        <v>44938</v>
      </c>
      <c r="O363" s="1">
        <f t="shared" si="41"/>
        <v>43101</v>
      </c>
      <c r="P363" s="1">
        <f t="shared" si="42"/>
        <v>43132</v>
      </c>
      <c r="Q363" s="8">
        <f t="shared" si="43"/>
        <v>0</v>
      </c>
      <c r="R363" s="8">
        <f t="shared" si="44"/>
        <v>2</v>
      </c>
      <c r="S363" s="8">
        <f t="shared" ca="1" si="45"/>
        <v>2</v>
      </c>
      <c r="T363">
        <f t="shared" ca="1" si="46"/>
        <v>4.2</v>
      </c>
      <c r="U363" s="8">
        <f t="shared" ca="1" si="47"/>
        <v>1</v>
      </c>
      <c r="V363" s="8">
        <f ca="1">RawData[[#This Row],[Z (smoothed demand size)]]/RawData[[#This Row],[X (smoothed interval)]]</f>
        <v>4.2</v>
      </c>
    </row>
    <row r="364" spans="1:22">
      <c r="A364" t="s">
        <v>23</v>
      </c>
      <c r="B364" t="s">
        <v>14</v>
      </c>
      <c r="C364">
        <v>28</v>
      </c>
      <c r="D364" t="s">
        <v>22</v>
      </c>
      <c r="E364" t="s">
        <v>16</v>
      </c>
      <c r="F364" s="1">
        <v>43103</v>
      </c>
      <c r="G364">
        <v>5</v>
      </c>
      <c r="H364">
        <v>5</v>
      </c>
      <c r="I364">
        <v>18</v>
      </c>
      <c r="J364">
        <v>13</v>
      </c>
      <c r="K364">
        <v>0</v>
      </c>
      <c r="L364">
        <v>430</v>
      </c>
      <c r="M364">
        <v>30</v>
      </c>
      <c r="N364" s="1">
        <f t="shared" si="40"/>
        <v>44938</v>
      </c>
      <c r="O364" s="1">
        <f t="shared" si="41"/>
        <v>43101</v>
      </c>
      <c r="P364" s="1">
        <f t="shared" si="42"/>
        <v>43160</v>
      </c>
      <c r="Q364" s="8">
        <f t="shared" si="43"/>
        <v>0</v>
      </c>
      <c r="R364" s="8">
        <f t="shared" si="44"/>
        <v>3</v>
      </c>
      <c r="S364" s="8">
        <f t="shared" ca="1" si="45"/>
        <v>3</v>
      </c>
      <c r="T364">
        <f t="shared" ca="1" si="46"/>
        <v>4.3600000000000003</v>
      </c>
      <c r="U364" s="8">
        <f t="shared" ca="1" si="47"/>
        <v>1</v>
      </c>
      <c r="V364" s="8">
        <f ca="1">RawData[[#This Row],[Z (smoothed demand size)]]/RawData[[#This Row],[X (smoothed interval)]]</f>
        <v>4.3600000000000003</v>
      </c>
    </row>
    <row r="365" spans="1:22">
      <c r="A365" t="s">
        <v>23</v>
      </c>
      <c r="B365" t="s">
        <v>14</v>
      </c>
      <c r="C365">
        <v>28</v>
      </c>
      <c r="D365" t="s">
        <v>22</v>
      </c>
      <c r="E365" t="s">
        <v>16</v>
      </c>
      <c r="F365" s="1">
        <v>43104</v>
      </c>
      <c r="G365">
        <v>7</v>
      </c>
      <c r="H365">
        <v>7</v>
      </c>
      <c r="I365">
        <v>13</v>
      </c>
      <c r="J365">
        <v>6</v>
      </c>
      <c r="K365">
        <v>0</v>
      </c>
      <c r="L365">
        <v>438</v>
      </c>
      <c r="M365">
        <v>60</v>
      </c>
      <c r="N365" s="1">
        <f t="shared" si="40"/>
        <v>44938</v>
      </c>
      <c r="O365" s="1">
        <f t="shared" si="41"/>
        <v>43101</v>
      </c>
      <c r="P365" s="1">
        <f t="shared" si="42"/>
        <v>43191</v>
      </c>
      <c r="Q365" s="8">
        <f t="shared" si="43"/>
        <v>0</v>
      </c>
      <c r="R365" s="8">
        <f t="shared" si="44"/>
        <v>4</v>
      </c>
      <c r="S365" s="8">
        <f t="shared" ca="1" si="45"/>
        <v>4</v>
      </c>
      <c r="T365">
        <f t="shared" ca="1" si="46"/>
        <v>4.8880000000000008</v>
      </c>
      <c r="U365" s="8">
        <f t="shared" ca="1" si="47"/>
        <v>1</v>
      </c>
      <c r="V365" s="8">
        <f ca="1">RawData[[#This Row],[Z (smoothed demand size)]]/RawData[[#This Row],[X (smoothed interval)]]</f>
        <v>4.8880000000000008</v>
      </c>
    </row>
    <row r="366" spans="1:22">
      <c r="A366" t="s">
        <v>23</v>
      </c>
      <c r="B366" t="s">
        <v>14</v>
      </c>
      <c r="C366">
        <v>28</v>
      </c>
      <c r="D366" t="s">
        <v>22</v>
      </c>
      <c r="E366" t="s">
        <v>16</v>
      </c>
      <c r="F366" s="1">
        <v>43105</v>
      </c>
      <c r="G366">
        <v>13</v>
      </c>
      <c r="H366">
        <v>6</v>
      </c>
      <c r="I366">
        <v>6</v>
      </c>
      <c r="J366">
        <v>0</v>
      </c>
      <c r="K366">
        <v>1</v>
      </c>
      <c r="L366">
        <v>435</v>
      </c>
      <c r="M366">
        <v>15</v>
      </c>
      <c r="N366" s="1">
        <f t="shared" si="40"/>
        <v>44938</v>
      </c>
      <c r="O366" s="1">
        <f t="shared" si="41"/>
        <v>43101</v>
      </c>
      <c r="P366" s="1">
        <f t="shared" si="42"/>
        <v>43221</v>
      </c>
      <c r="Q366" s="8">
        <f t="shared" si="43"/>
        <v>0</v>
      </c>
      <c r="R366" s="8">
        <f t="shared" si="44"/>
        <v>5</v>
      </c>
      <c r="S366" s="8">
        <f t="shared" ca="1" si="45"/>
        <v>5</v>
      </c>
      <c r="T366">
        <f t="shared" ca="1" si="46"/>
        <v>6.5104000000000006</v>
      </c>
      <c r="U366" s="8">
        <f t="shared" ca="1" si="47"/>
        <v>1</v>
      </c>
      <c r="V366" s="8">
        <f ca="1">RawData[[#This Row],[Z (smoothed demand size)]]/RawData[[#This Row],[X (smoothed interval)]]</f>
        <v>6.5104000000000006</v>
      </c>
    </row>
    <row r="367" spans="1:22">
      <c r="A367" t="s">
        <v>23</v>
      </c>
      <c r="B367" t="s">
        <v>14</v>
      </c>
      <c r="C367">
        <v>28</v>
      </c>
      <c r="D367" t="s">
        <v>22</v>
      </c>
      <c r="E367" t="s">
        <v>16</v>
      </c>
      <c r="F367" s="1">
        <v>43106</v>
      </c>
      <c r="G367">
        <v>7</v>
      </c>
      <c r="H367">
        <v>7</v>
      </c>
      <c r="I367">
        <v>9</v>
      </c>
      <c r="J367">
        <v>2</v>
      </c>
      <c r="K367">
        <v>0</v>
      </c>
      <c r="L367">
        <v>492</v>
      </c>
      <c r="M367">
        <v>30</v>
      </c>
      <c r="N367" s="1">
        <f t="shared" si="40"/>
        <v>44938</v>
      </c>
      <c r="O367" s="1">
        <f t="shared" si="41"/>
        <v>43101</v>
      </c>
      <c r="P367" s="1">
        <f t="shared" si="42"/>
        <v>43252</v>
      </c>
      <c r="Q367" s="8">
        <f t="shared" si="43"/>
        <v>0</v>
      </c>
      <c r="R367" s="8">
        <f t="shared" si="44"/>
        <v>6</v>
      </c>
      <c r="S367" s="8">
        <f t="shared" ca="1" si="45"/>
        <v>6</v>
      </c>
      <c r="T367">
        <f t="shared" ca="1" si="46"/>
        <v>6.6083200000000009</v>
      </c>
      <c r="U367" s="8">
        <f t="shared" ca="1" si="47"/>
        <v>1</v>
      </c>
      <c r="V367" s="8">
        <f ca="1">RawData[[#This Row],[Z (smoothed demand size)]]/RawData[[#This Row],[X (smoothed interval)]]</f>
        <v>6.6083200000000009</v>
      </c>
    </row>
    <row r="368" spans="1:22">
      <c r="A368" t="s">
        <v>23</v>
      </c>
      <c r="B368" t="s">
        <v>14</v>
      </c>
      <c r="C368">
        <v>28</v>
      </c>
      <c r="D368" t="s">
        <v>22</v>
      </c>
      <c r="E368" t="s">
        <v>16</v>
      </c>
      <c r="F368" s="1">
        <v>43107</v>
      </c>
      <c r="G368">
        <v>8</v>
      </c>
      <c r="H368">
        <v>8</v>
      </c>
      <c r="I368">
        <v>10</v>
      </c>
      <c r="J368">
        <v>2</v>
      </c>
      <c r="K368">
        <v>0</v>
      </c>
      <c r="L368">
        <v>506</v>
      </c>
      <c r="M368">
        <v>30</v>
      </c>
      <c r="N368" s="1">
        <f t="shared" si="40"/>
        <v>44938</v>
      </c>
      <c r="O368" s="1">
        <f t="shared" si="41"/>
        <v>43101</v>
      </c>
      <c r="P368" s="1">
        <f t="shared" si="42"/>
        <v>43282</v>
      </c>
      <c r="Q368" s="8">
        <f t="shared" si="43"/>
        <v>0</v>
      </c>
      <c r="R368" s="8">
        <f t="shared" si="44"/>
        <v>7</v>
      </c>
      <c r="S368" s="8">
        <f t="shared" ca="1" si="45"/>
        <v>7</v>
      </c>
      <c r="T368">
        <f t="shared" ca="1" si="46"/>
        <v>6.8866560000000003</v>
      </c>
      <c r="U368" s="8">
        <f t="shared" ca="1" si="47"/>
        <v>1</v>
      </c>
      <c r="V368" s="8">
        <f ca="1">RawData[[#This Row],[Z (smoothed demand size)]]/RawData[[#This Row],[X (smoothed interval)]]</f>
        <v>6.8866560000000003</v>
      </c>
    </row>
    <row r="369" spans="1:22">
      <c r="A369" t="s">
        <v>23</v>
      </c>
      <c r="B369" t="s">
        <v>14</v>
      </c>
      <c r="C369">
        <v>28</v>
      </c>
      <c r="D369" t="s">
        <v>22</v>
      </c>
      <c r="E369" t="s">
        <v>16</v>
      </c>
      <c r="F369" s="1">
        <v>43108</v>
      </c>
      <c r="G369">
        <v>7</v>
      </c>
      <c r="H369">
        <v>7</v>
      </c>
      <c r="I369">
        <v>11</v>
      </c>
      <c r="J369">
        <v>4</v>
      </c>
      <c r="K369">
        <v>0</v>
      </c>
      <c r="L369">
        <v>497</v>
      </c>
      <c r="M369">
        <v>45</v>
      </c>
      <c r="N369" s="1">
        <f t="shared" si="40"/>
        <v>44938</v>
      </c>
      <c r="O369" s="1">
        <f t="shared" si="41"/>
        <v>43101</v>
      </c>
      <c r="P369" s="1">
        <f t="shared" si="42"/>
        <v>43313</v>
      </c>
      <c r="Q369" s="8">
        <f t="shared" si="43"/>
        <v>0</v>
      </c>
      <c r="R369" s="8">
        <f t="shared" si="44"/>
        <v>8</v>
      </c>
      <c r="S369" s="8">
        <f t="shared" ca="1" si="45"/>
        <v>8</v>
      </c>
      <c r="T369">
        <f t="shared" ca="1" si="46"/>
        <v>6.9093248000000012</v>
      </c>
      <c r="U369" s="8">
        <f t="shared" ca="1" si="47"/>
        <v>1</v>
      </c>
      <c r="V369" s="8">
        <f ca="1">RawData[[#This Row],[Z (smoothed demand size)]]/RawData[[#This Row],[X (smoothed interval)]]</f>
        <v>6.9093248000000012</v>
      </c>
    </row>
    <row r="370" spans="1:22">
      <c r="A370" t="s">
        <v>23</v>
      </c>
      <c r="B370" t="s">
        <v>14</v>
      </c>
      <c r="C370">
        <v>28</v>
      </c>
      <c r="D370" t="s">
        <v>22</v>
      </c>
      <c r="E370" t="s">
        <v>16</v>
      </c>
      <c r="F370" s="1">
        <v>43109</v>
      </c>
      <c r="G370">
        <v>4</v>
      </c>
      <c r="H370">
        <v>4</v>
      </c>
      <c r="I370">
        <v>4</v>
      </c>
      <c r="J370">
        <v>0</v>
      </c>
      <c r="K370">
        <v>0</v>
      </c>
      <c r="L370">
        <v>427</v>
      </c>
      <c r="M370">
        <v>45</v>
      </c>
      <c r="N370" s="1">
        <f t="shared" si="40"/>
        <v>44938</v>
      </c>
      <c r="O370" s="1">
        <f t="shared" si="41"/>
        <v>43101</v>
      </c>
      <c r="P370" s="1">
        <f t="shared" si="42"/>
        <v>43344</v>
      </c>
      <c r="Q370" s="8">
        <f t="shared" si="43"/>
        <v>0</v>
      </c>
      <c r="R370" s="8">
        <f t="shared" si="44"/>
        <v>9</v>
      </c>
      <c r="S370" s="8">
        <f t="shared" ca="1" si="45"/>
        <v>9</v>
      </c>
      <c r="T370">
        <f t="shared" ca="1" si="46"/>
        <v>6.3274598400000013</v>
      </c>
      <c r="U370" s="8">
        <f t="shared" ca="1" si="47"/>
        <v>1</v>
      </c>
      <c r="V370" s="8">
        <f ca="1">RawData[[#This Row],[Z (smoothed demand size)]]/RawData[[#This Row],[X (smoothed interval)]]</f>
        <v>6.3274598400000013</v>
      </c>
    </row>
    <row r="371" spans="1:22">
      <c r="A371" t="s">
        <v>23</v>
      </c>
      <c r="B371" t="s">
        <v>14</v>
      </c>
      <c r="C371">
        <v>28</v>
      </c>
      <c r="D371" t="s">
        <v>22</v>
      </c>
      <c r="E371" t="s">
        <v>16</v>
      </c>
      <c r="F371" s="1">
        <v>43110</v>
      </c>
      <c r="G371">
        <v>6</v>
      </c>
      <c r="H371">
        <v>6</v>
      </c>
      <c r="I371">
        <v>8</v>
      </c>
      <c r="J371">
        <v>2</v>
      </c>
      <c r="K371">
        <v>0</v>
      </c>
      <c r="L371">
        <v>428</v>
      </c>
      <c r="M371">
        <v>30</v>
      </c>
      <c r="N371" s="1">
        <f t="shared" si="40"/>
        <v>44938</v>
      </c>
      <c r="O371" s="1">
        <f t="shared" si="41"/>
        <v>43101</v>
      </c>
      <c r="P371" s="1">
        <f t="shared" si="42"/>
        <v>43374</v>
      </c>
      <c r="Q371" s="8">
        <f t="shared" si="43"/>
        <v>0</v>
      </c>
      <c r="R371" s="8">
        <f t="shared" si="44"/>
        <v>10</v>
      </c>
      <c r="S371" s="8">
        <f t="shared" ca="1" si="45"/>
        <v>10</v>
      </c>
      <c r="T371">
        <f t="shared" ca="1" si="46"/>
        <v>6.2619678720000014</v>
      </c>
      <c r="U371" s="8">
        <f t="shared" ca="1" si="47"/>
        <v>1</v>
      </c>
      <c r="V371" s="8">
        <f ca="1">RawData[[#This Row],[Z (smoothed demand size)]]/RawData[[#This Row],[X (smoothed interval)]]</f>
        <v>6.2619678720000014</v>
      </c>
    </row>
    <row r="372" spans="1:22">
      <c r="A372" t="s">
        <v>23</v>
      </c>
      <c r="B372" t="s">
        <v>14</v>
      </c>
      <c r="C372">
        <v>28</v>
      </c>
      <c r="D372" t="s">
        <v>22</v>
      </c>
      <c r="E372" t="s">
        <v>16</v>
      </c>
      <c r="F372" s="1">
        <v>43111</v>
      </c>
      <c r="G372">
        <v>7</v>
      </c>
      <c r="H372">
        <v>7</v>
      </c>
      <c r="I372">
        <v>14</v>
      </c>
      <c r="J372">
        <v>7</v>
      </c>
      <c r="K372">
        <v>0</v>
      </c>
      <c r="L372">
        <v>438</v>
      </c>
      <c r="M372">
        <v>60</v>
      </c>
      <c r="N372" s="1">
        <f t="shared" si="40"/>
        <v>44938</v>
      </c>
      <c r="O372" s="1">
        <f t="shared" si="41"/>
        <v>43101</v>
      </c>
      <c r="P372" s="1">
        <f t="shared" si="42"/>
        <v>43405</v>
      </c>
      <c r="Q372" s="8">
        <f t="shared" si="43"/>
        <v>0</v>
      </c>
      <c r="R372" s="8">
        <f t="shared" si="44"/>
        <v>11</v>
      </c>
      <c r="S372" s="8">
        <f t="shared" ca="1" si="45"/>
        <v>11</v>
      </c>
      <c r="T372">
        <f t="shared" ca="1" si="46"/>
        <v>6.4095742976000016</v>
      </c>
      <c r="U372" s="8">
        <f t="shared" ca="1" si="47"/>
        <v>1</v>
      </c>
      <c r="V372" s="8">
        <f ca="1">RawData[[#This Row],[Z (smoothed demand size)]]/RawData[[#This Row],[X (smoothed interval)]]</f>
        <v>6.4095742976000016</v>
      </c>
    </row>
    <row r="373" spans="1:22">
      <c r="A373" t="s">
        <v>23</v>
      </c>
      <c r="B373" t="s">
        <v>14</v>
      </c>
      <c r="C373">
        <v>28</v>
      </c>
      <c r="D373" t="s">
        <v>22</v>
      </c>
      <c r="E373" t="s">
        <v>16</v>
      </c>
      <c r="F373" s="1">
        <v>43112</v>
      </c>
      <c r="G373">
        <v>10</v>
      </c>
      <c r="H373">
        <v>7</v>
      </c>
      <c r="I373">
        <v>7</v>
      </c>
      <c r="J373">
        <v>0</v>
      </c>
      <c r="K373">
        <v>1</v>
      </c>
      <c r="L373">
        <v>506</v>
      </c>
      <c r="M373">
        <v>15</v>
      </c>
      <c r="N373" s="1">
        <f t="shared" si="40"/>
        <v>44938</v>
      </c>
      <c r="O373" s="1">
        <f t="shared" si="41"/>
        <v>43101</v>
      </c>
      <c r="P373" s="1">
        <f t="shared" si="42"/>
        <v>43435</v>
      </c>
      <c r="Q373" s="8">
        <f t="shared" si="43"/>
        <v>0</v>
      </c>
      <c r="R373" s="8">
        <f t="shared" si="44"/>
        <v>12</v>
      </c>
      <c r="S373" s="8">
        <f t="shared" ca="1" si="45"/>
        <v>12</v>
      </c>
      <c r="T373">
        <f t="shared" ca="1" si="46"/>
        <v>7.127659438080002</v>
      </c>
      <c r="U373" s="8">
        <f t="shared" ca="1" si="47"/>
        <v>1</v>
      </c>
      <c r="V373" s="8">
        <f ca="1">RawData[[#This Row],[Z (smoothed demand size)]]/RawData[[#This Row],[X (smoothed interval)]]</f>
        <v>7.127659438080002</v>
      </c>
    </row>
    <row r="374" spans="1:22">
      <c r="A374" t="s">
        <v>23</v>
      </c>
      <c r="B374" t="s">
        <v>14</v>
      </c>
      <c r="C374">
        <v>28</v>
      </c>
      <c r="D374" t="s">
        <v>22</v>
      </c>
      <c r="E374" t="s">
        <v>16</v>
      </c>
      <c r="F374" s="1">
        <v>43466</v>
      </c>
      <c r="G374">
        <v>6</v>
      </c>
      <c r="H374">
        <v>6</v>
      </c>
      <c r="I374">
        <v>8</v>
      </c>
      <c r="J374">
        <v>2</v>
      </c>
      <c r="K374">
        <v>0</v>
      </c>
      <c r="L374">
        <v>435</v>
      </c>
      <c r="M374">
        <v>45</v>
      </c>
      <c r="N374" s="1">
        <f t="shared" si="40"/>
        <v>44938</v>
      </c>
      <c r="O374" s="1">
        <f t="shared" si="41"/>
        <v>43101</v>
      </c>
      <c r="P374" s="1">
        <f t="shared" si="42"/>
        <v>43466</v>
      </c>
      <c r="Q374" s="8">
        <f t="shared" si="43"/>
        <v>0</v>
      </c>
      <c r="R374" s="8">
        <f t="shared" si="44"/>
        <v>13</v>
      </c>
      <c r="S374" s="8">
        <f t="shared" ca="1" si="45"/>
        <v>13</v>
      </c>
      <c r="T374">
        <f t="shared" ca="1" si="46"/>
        <v>6.9021275504640025</v>
      </c>
      <c r="U374" s="8">
        <f t="shared" ca="1" si="47"/>
        <v>1</v>
      </c>
      <c r="V374" s="8">
        <f ca="1">RawData[[#This Row],[Z (smoothed demand size)]]/RawData[[#This Row],[X (smoothed interval)]]</f>
        <v>6.9021275504640025</v>
      </c>
    </row>
    <row r="375" spans="1:22">
      <c r="A375" t="s">
        <v>23</v>
      </c>
      <c r="B375" t="s">
        <v>14</v>
      </c>
      <c r="C375">
        <v>28</v>
      </c>
      <c r="D375" t="s">
        <v>22</v>
      </c>
      <c r="E375" t="s">
        <v>16</v>
      </c>
      <c r="F375" s="1">
        <v>43467</v>
      </c>
      <c r="G375">
        <v>9</v>
      </c>
      <c r="H375">
        <v>2</v>
      </c>
      <c r="I375">
        <v>2</v>
      </c>
      <c r="J375">
        <v>0</v>
      </c>
      <c r="K375">
        <v>1</v>
      </c>
      <c r="L375">
        <v>436</v>
      </c>
      <c r="M375">
        <v>60</v>
      </c>
      <c r="N375" s="1">
        <f t="shared" si="40"/>
        <v>44938</v>
      </c>
      <c r="O375" s="1">
        <f t="shared" si="41"/>
        <v>43101</v>
      </c>
      <c r="P375" s="1">
        <f t="shared" si="42"/>
        <v>43497</v>
      </c>
      <c r="Q375" s="8">
        <f t="shared" si="43"/>
        <v>0</v>
      </c>
      <c r="R375" s="8">
        <f t="shared" si="44"/>
        <v>14</v>
      </c>
      <c r="S375" s="8">
        <f t="shared" ca="1" si="45"/>
        <v>14</v>
      </c>
      <c r="T375">
        <f t="shared" ca="1" si="46"/>
        <v>7.3217020403712025</v>
      </c>
      <c r="U375" s="8">
        <f t="shared" ca="1" si="47"/>
        <v>1</v>
      </c>
      <c r="V375" s="8">
        <f ca="1">RawData[[#This Row],[Z (smoothed demand size)]]/RawData[[#This Row],[X (smoothed interval)]]</f>
        <v>7.3217020403712025</v>
      </c>
    </row>
    <row r="376" spans="1:22">
      <c r="A376" t="s">
        <v>23</v>
      </c>
      <c r="B376" t="s">
        <v>14</v>
      </c>
      <c r="C376">
        <v>28</v>
      </c>
      <c r="D376" t="s">
        <v>22</v>
      </c>
      <c r="E376" t="s">
        <v>16</v>
      </c>
      <c r="F376" s="1">
        <v>43468</v>
      </c>
      <c r="G376">
        <v>8</v>
      </c>
      <c r="H376">
        <v>8</v>
      </c>
      <c r="I376">
        <v>9</v>
      </c>
      <c r="J376">
        <v>1</v>
      </c>
      <c r="K376">
        <v>0</v>
      </c>
      <c r="L376">
        <v>436</v>
      </c>
      <c r="M376">
        <v>30</v>
      </c>
      <c r="N376" s="1">
        <f t="shared" si="40"/>
        <v>44938</v>
      </c>
      <c r="O376" s="1">
        <f t="shared" si="41"/>
        <v>43101</v>
      </c>
      <c r="P376" s="1">
        <f t="shared" si="42"/>
        <v>43525</v>
      </c>
      <c r="Q376" s="8">
        <f t="shared" si="43"/>
        <v>0</v>
      </c>
      <c r="R376" s="8">
        <f t="shared" si="44"/>
        <v>15</v>
      </c>
      <c r="S376" s="8">
        <f t="shared" ca="1" si="45"/>
        <v>15</v>
      </c>
      <c r="T376">
        <f t="shared" ca="1" si="46"/>
        <v>7.457361632296962</v>
      </c>
      <c r="U376" s="8">
        <f t="shared" ca="1" si="47"/>
        <v>1</v>
      </c>
      <c r="V376" s="8">
        <f ca="1">RawData[[#This Row],[Z (smoothed demand size)]]/RawData[[#This Row],[X (smoothed interval)]]</f>
        <v>7.457361632296962</v>
      </c>
    </row>
    <row r="377" spans="1:22">
      <c r="A377" t="s">
        <v>23</v>
      </c>
      <c r="B377" t="s">
        <v>14</v>
      </c>
      <c r="C377">
        <v>28</v>
      </c>
      <c r="D377" t="s">
        <v>22</v>
      </c>
      <c r="E377" t="s">
        <v>16</v>
      </c>
      <c r="F377" s="1">
        <v>43469</v>
      </c>
      <c r="G377">
        <v>9</v>
      </c>
      <c r="H377">
        <v>9</v>
      </c>
      <c r="I377">
        <v>9</v>
      </c>
      <c r="J377">
        <v>0</v>
      </c>
      <c r="K377">
        <v>0</v>
      </c>
      <c r="L377">
        <v>433</v>
      </c>
      <c r="M377">
        <v>30</v>
      </c>
      <c r="N377" s="1">
        <f t="shared" si="40"/>
        <v>44938</v>
      </c>
      <c r="O377" s="1">
        <f t="shared" si="41"/>
        <v>43101</v>
      </c>
      <c r="P377" s="1">
        <f t="shared" si="42"/>
        <v>43556</v>
      </c>
      <c r="Q377" s="8">
        <f t="shared" si="43"/>
        <v>0</v>
      </c>
      <c r="R377" s="8">
        <f t="shared" si="44"/>
        <v>16</v>
      </c>
      <c r="S377" s="8">
        <f t="shared" ca="1" si="45"/>
        <v>16</v>
      </c>
      <c r="T377">
        <f t="shared" ca="1" si="46"/>
        <v>7.76588930583757</v>
      </c>
      <c r="U377" s="8">
        <f t="shared" ca="1" si="47"/>
        <v>1</v>
      </c>
      <c r="V377" s="8">
        <f ca="1">RawData[[#This Row],[Z (smoothed demand size)]]/RawData[[#This Row],[X (smoothed interval)]]</f>
        <v>7.76588930583757</v>
      </c>
    </row>
    <row r="378" spans="1:22">
      <c r="A378" t="s">
        <v>23</v>
      </c>
      <c r="B378" t="s">
        <v>14</v>
      </c>
      <c r="C378">
        <v>28</v>
      </c>
      <c r="D378" t="s">
        <v>22</v>
      </c>
      <c r="E378" t="s">
        <v>16</v>
      </c>
      <c r="F378" s="1">
        <v>43470</v>
      </c>
      <c r="G378">
        <v>4</v>
      </c>
      <c r="H378">
        <v>4</v>
      </c>
      <c r="I378">
        <v>12</v>
      </c>
      <c r="J378">
        <v>8</v>
      </c>
      <c r="K378">
        <v>0</v>
      </c>
      <c r="L378">
        <v>432</v>
      </c>
      <c r="M378">
        <v>15</v>
      </c>
      <c r="N378" s="1">
        <f t="shared" si="40"/>
        <v>44938</v>
      </c>
      <c r="O378" s="1">
        <f t="shared" si="41"/>
        <v>43101</v>
      </c>
      <c r="P378" s="1">
        <f t="shared" si="42"/>
        <v>43586</v>
      </c>
      <c r="Q378" s="8">
        <f t="shared" si="43"/>
        <v>0</v>
      </c>
      <c r="R378" s="8">
        <f t="shared" si="44"/>
        <v>17</v>
      </c>
      <c r="S378" s="8">
        <f t="shared" ca="1" si="45"/>
        <v>17</v>
      </c>
      <c r="T378">
        <f t="shared" ca="1" si="46"/>
        <v>7.0127114446700558</v>
      </c>
      <c r="U378" s="8">
        <f t="shared" ca="1" si="47"/>
        <v>1</v>
      </c>
      <c r="V378" s="8">
        <f ca="1">RawData[[#This Row],[Z (smoothed demand size)]]/RawData[[#This Row],[X (smoothed interval)]]</f>
        <v>7.0127114446700558</v>
      </c>
    </row>
    <row r="379" spans="1:22">
      <c r="A379" t="s">
        <v>23</v>
      </c>
      <c r="B379" t="s">
        <v>14</v>
      </c>
      <c r="C379">
        <v>28</v>
      </c>
      <c r="D379" t="s">
        <v>22</v>
      </c>
      <c r="E379" t="s">
        <v>16</v>
      </c>
      <c r="F379" s="1">
        <v>43471</v>
      </c>
      <c r="G379">
        <v>9</v>
      </c>
      <c r="H379">
        <v>9</v>
      </c>
      <c r="I379">
        <v>20</v>
      </c>
      <c r="J379">
        <v>11</v>
      </c>
      <c r="K379">
        <v>0</v>
      </c>
      <c r="L379">
        <v>498</v>
      </c>
      <c r="M379">
        <v>15</v>
      </c>
      <c r="N379" s="1">
        <f t="shared" si="40"/>
        <v>44938</v>
      </c>
      <c r="O379" s="1">
        <f t="shared" si="41"/>
        <v>43101</v>
      </c>
      <c r="P379" s="1">
        <f t="shared" si="42"/>
        <v>43617</v>
      </c>
      <c r="Q379" s="8">
        <f t="shared" si="43"/>
        <v>0</v>
      </c>
      <c r="R379" s="8">
        <f t="shared" si="44"/>
        <v>18</v>
      </c>
      <c r="S379" s="8">
        <f t="shared" ca="1" si="45"/>
        <v>18</v>
      </c>
      <c r="T379">
        <f t="shared" ca="1" si="46"/>
        <v>7.4101691557360452</v>
      </c>
      <c r="U379" s="8">
        <f t="shared" ca="1" si="47"/>
        <v>1</v>
      </c>
      <c r="V379" s="8">
        <f ca="1">RawData[[#This Row],[Z (smoothed demand size)]]/RawData[[#This Row],[X (smoothed interval)]]</f>
        <v>7.4101691557360452</v>
      </c>
    </row>
    <row r="380" spans="1:22">
      <c r="A380" t="s">
        <v>23</v>
      </c>
      <c r="B380" t="s">
        <v>14</v>
      </c>
      <c r="C380">
        <v>28</v>
      </c>
      <c r="D380" t="s">
        <v>22</v>
      </c>
      <c r="E380" t="s">
        <v>16</v>
      </c>
      <c r="F380" s="1">
        <v>43472</v>
      </c>
      <c r="G380">
        <v>9</v>
      </c>
      <c r="H380">
        <v>9</v>
      </c>
      <c r="I380">
        <v>11</v>
      </c>
      <c r="J380">
        <v>2</v>
      </c>
      <c r="K380">
        <v>0</v>
      </c>
      <c r="L380">
        <v>499</v>
      </c>
      <c r="M380">
        <v>60</v>
      </c>
      <c r="N380" s="1">
        <f t="shared" si="40"/>
        <v>44938</v>
      </c>
      <c r="O380" s="1">
        <f t="shared" si="41"/>
        <v>43101</v>
      </c>
      <c r="P380" s="1">
        <f t="shared" si="42"/>
        <v>43647</v>
      </c>
      <c r="Q380" s="8">
        <f t="shared" si="43"/>
        <v>0</v>
      </c>
      <c r="R380" s="8">
        <f t="shared" si="44"/>
        <v>19</v>
      </c>
      <c r="S380" s="8">
        <f t="shared" ca="1" si="45"/>
        <v>19</v>
      </c>
      <c r="T380">
        <f t="shared" ca="1" si="46"/>
        <v>7.7281353245888367</v>
      </c>
      <c r="U380" s="8">
        <f t="shared" ca="1" si="47"/>
        <v>1</v>
      </c>
      <c r="V380" s="8">
        <f ca="1">RawData[[#This Row],[Z (smoothed demand size)]]/RawData[[#This Row],[X (smoothed interval)]]</f>
        <v>7.7281353245888367</v>
      </c>
    </row>
    <row r="381" spans="1:22">
      <c r="A381" t="s">
        <v>23</v>
      </c>
      <c r="B381" t="s">
        <v>14</v>
      </c>
      <c r="C381">
        <v>28</v>
      </c>
      <c r="D381" t="s">
        <v>22</v>
      </c>
      <c r="E381" t="s">
        <v>16</v>
      </c>
      <c r="F381" s="1">
        <v>43473</v>
      </c>
      <c r="G381">
        <v>12</v>
      </c>
      <c r="H381">
        <v>2</v>
      </c>
      <c r="I381">
        <v>2</v>
      </c>
      <c r="J381">
        <v>0</v>
      </c>
      <c r="K381">
        <v>1</v>
      </c>
      <c r="L381">
        <v>492</v>
      </c>
      <c r="M381">
        <v>45</v>
      </c>
      <c r="N381" s="1">
        <f t="shared" si="40"/>
        <v>44938</v>
      </c>
      <c r="O381" s="1">
        <f t="shared" si="41"/>
        <v>43101</v>
      </c>
      <c r="P381" s="1">
        <f t="shared" si="42"/>
        <v>43678</v>
      </c>
      <c r="Q381" s="8">
        <f t="shared" si="43"/>
        <v>0</v>
      </c>
      <c r="R381" s="8">
        <f t="shared" si="44"/>
        <v>20</v>
      </c>
      <c r="S381" s="8">
        <f t="shared" ca="1" si="45"/>
        <v>20</v>
      </c>
      <c r="T381">
        <f t="shared" ca="1" si="46"/>
        <v>8.5825082596710693</v>
      </c>
      <c r="U381" s="8">
        <f t="shared" ca="1" si="47"/>
        <v>1</v>
      </c>
      <c r="V381" s="8">
        <f ca="1">RawData[[#This Row],[Z (smoothed demand size)]]/RawData[[#This Row],[X (smoothed interval)]]</f>
        <v>8.5825082596710693</v>
      </c>
    </row>
    <row r="382" spans="1:22">
      <c r="A382" t="s">
        <v>23</v>
      </c>
      <c r="B382" t="s">
        <v>14</v>
      </c>
      <c r="C382">
        <v>28</v>
      </c>
      <c r="D382" t="s">
        <v>22</v>
      </c>
      <c r="E382" t="s">
        <v>16</v>
      </c>
      <c r="F382" s="1">
        <v>43474</v>
      </c>
      <c r="G382">
        <v>11</v>
      </c>
      <c r="H382">
        <v>10</v>
      </c>
      <c r="I382">
        <v>10</v>
      </c>
      <c r="J382">
        <v>0</v>
      </c>
      <c r="K382">
        <v>1</v>
      </c>
      <c r="L382">
        <v>434</v>
      </c>
      <c r="M382">
        <v>15</v>
      </c>
      <c r="N382" s="1">
        <f t="shared" si="40"/>
        <v>44938</v>
      </c>
      <c r="O382" s="1">
        <f t="shared" si="41"/>
        <v>43101</v>
      </c>
      <c r="P382" s="1">
        <f t="shared" si="42"/>
        <v>43709</v>
      </c>
      <c r="Q382" s="8">
        <f t="shared" si="43"/>
        <v>0</v>
      </c>
      <c r="R382" s="8">
        <f t="shared" si="44"/>
        <v>21</v>
      </c>
      <c r="S382" s="8">
        <f t="shared" ca="1" si="45"/>
        <v>21</v>
      </c>
      <c r="T382">
        <f t="shared" ca="1" si="46"/>
        <v>9.0660066077368562</v>
      </c>
      <c r="U382" s="8">
        <f t="shared" ca="1" si="47"/>
        <v>1</v>
      </c>
      <c r="V382" s="8">
        <f ca="1">RawData[[#This Row],[Z (smoothed demand size)]]/RawData[[#This Row],[X (smoothed interval)]]</f>
        <v>9.0660066077368562</v>
      </c>
    </row>
    <row r="383" spans="1:22">
      <c r="A383" t="s">
        <v>23</v>
      </c>
      <c r="B383" t="s">
        <v>14</v>
      </c>
      <c r="C383">
        <v>28</v>
      </c>
      <c r="D383" t="s">
        <v>22</v>
      </c>
      <c r="E383" t="s">
        <v>16</v>
      </c>
      <c r="F383" s="1">
        <v>43475</v>
      </c>
      <c r="G383">
        <v>7</v>
      </c>
      <c r="H383">
        <v>7</v>
      </c>
      <c r="I383">
        <v>11</v>
      </c>
      <c r="J383">
        <v>4</v>
      </c>
      <c r="K383">
        <v>0</v>
      </c>
      <c r="L383">
        <v>437</v>
      </c>
      <c r="M383">
        <v>45</v>
      </c>
      <c r="N383" s="1">
        <f t="shared" si="40"/>
        <v>44938</v>
      </c>
      <c r="O383" s="1">
        <f t="shared" si="41"/>
        <v>43101</v>
      </c>
      <c r="P383" s="1">
        <f t="shared" si="42"/>
        <v>43739</v>
      </c>
      <c r="Q383" s="8">
        <f t="shared" si="43"/>
        <v>0</v>
      </c>
      <c r="R383" s="8">
        <f t="shared" si="44"/>
        <v>22</v>
      </c>
      <c r="S383" s="8">
        <f t="shared" ca="1" si="45"/>
        <v>22</v>
      </c>
      <c r="T383">
        <f t="shared" ca="1" si="46"/>
        <v>8.6528052861894853</v>
      </c>
      <c r="U383" s="8">
        <f t="shared" ca="1" si="47"/>
        <v>1</v>
      </c>
      <c r="V383" s="8">
        <f ca="1">RawData[[#This Row],[Z (smoothed demand size)]]/RawData[[#This Row],[X (smoothed interval)]]</f>
        <v>8.6528052861894853</v>
      </c>
    </row>
    <row r="384" spans="1:22">
      <c r="A384" t="s">
        <v>23</v>
      </c>
      <c r="B384" t="s">
        <v>14</v>
      </c>
      <c r="C384">
        <v>28</v>
      </c>
      <c r="D384" t="s">
        <v>22</v>
      </c>
      <c r="E384" t="s">
        <v>16</v>
      </c>
      <c r="F384" s="1">
        <v>43476</v>
      </c>
      <c r="G384">
        <v>5</v>
      </c>
      <c r="H384">
        <v>4</v>
      </c>
      <c r="I384">
        <v>4</v>
      </c>
      <c r="J384">
        <v>0</v>
      </c>
      <c r="K384">
        <v>1</v>
      </c>
      <c r="L384">
        <v>430</v>
      </c>
      <c r="M384">
        <v>30</v>
      </c>
      <c r="N384" s="1">
        <f t="shared" si="40"/>
        <v>44938</v>
      </c>
      <c r="O384" s="1">
        <f t="shared" si="41"/>
        <v>43101</v>
      </c>
      <c r="P384" s="1">
        <f t="shared" si="42"/>
        <v>43770</v>
      </c>
      <c r="Q384" s="8">
        <f t="shared" si="43"/>
        <v>0</v>
      </c>
      <c r="R384" s="8">
        <f t="shared" si="44"/>
        <v>23</v>
      </c>
      <c r="S384" s="8">
        <f t="shared" ca="1" si="45"/>
        <v>23</v>
      </c>
      <c r="T384">
        <f t="shared" ca="1" si="46"/>
        <v>7.9222442289515884</v>
      </c>
      <c r="U384" s="8">
        <f t="shared" ca="1" si="47"/>
        <v>1</v>
      </c>
      <c r="V384" s="8">
        <f ca="1">RawData[[#This Row],[Z (smoothed demand size)]]/RawData[[#This Row],[X (smoothed interval)]]</f>
        <v>7.9222442289515884</v>
      </c>
    </row>
    <row r="385" spans="1:22">
      <c r="A385" t="s">
        <v>23</v>
      </c>
      <c r="B385" t="s">
        <v>14</v>
      </c>
      <c r="C385">
        <v>28</v>
      </c>
      <c r="D385" t="s">
        <v>22</v>
      </c>
      <c r="E385" t="s">
        <v>16</v>
      </c>
      <c r="F385" s="1">
        <v>43477</v>
      </c>
      <c r="G385">
        <v>7</v>
      </c>
      <c r="H385">
        <v>7</v>
      </c>
      <c r="I385">
        <v>9</v>
      </c>
      <c r="J385">
        <v>2</v>
      </c>
      <c r="K385">
        <v>0</v>
      </c>
      <c r="L385">
        <v>494</v>
      </c>
      <c r="M385">
        <v>45</v>
      </c>
      <c r="N385" s="1">
        <f t="shared" si="40"/>
        <v>44938</v>
      </c>
      <c r="O385" s="1">
        <f t="shared" si="41"/>
        <v>43101</v>
      </c>
      <c r="P385" s="1">
        <f t="shared" si="42"/>
        <v>43800</v>
      </c>
      <c r="Q385" s="8">
        <f t="shared" si="43"/>
        <v>0</v>
      </c>
      <c r="R385" s="8">
        <f t="shared" si="44"/>
        <v>24</v>
      </c>
      <c r="S385" s="8">
        <f t="shared" ca="1" si="45"/>
        <v>24</v>
      </c>
      <c r="T385">
        <f t="shared" ca="1" si="46"/>
        <v>7.7377953831612718</v>
      </c>
      <c r="U385" s="8">
        <f t="shared" ca="1" si="47"/>
        <v>1</v>
      </c>
      <c r="V385" s="8">
        <f ca="1">RawData[[#This Row],[Z (smoothed demand size)]]/RawData[[#This Row],[X (smoothed interval)]]</f>
        <v>7.7377953831612718</v>
      </c>
    </row>
    <row r="386" spans="1:22">
      <c r="A386" t="s">
        <v>23</v>
      </c>
      <c r="B386" t="s">
        <v>14</v>
      </c>
      <c r="C386">
        <v>28</v>
      </c>
      <c r="D386" t="s">
        <v>22</v>
      </c>
      <c r="E386" t="s">
        <v>16</v>
      </c>
      <c r="F386" s="1">
        <v>43831</v>
      </c>
      <c r="G386">
        <v>10</v>
      </c>
      <c r="H386">
        <v>2</v>
      </c>
      <c r="I386">
        <v>2</v>
      </c>
      <c r="J386">
        <v>0</v>
      </c>
      <c r="K386">
        <v>1</v>
      </c>
      <c r="L386">
        <v>431</v>
      </c>
      <c r="M386">
        <v>60</v>
      </c>
      <c r="N386" s="1">
        <f t="shared" ref="N386:N449" si="48">MAX(F:F)</f>
        <v>44938</v>
      </c>
      <c r="O386" s="1">
        <f t="shared" ref="O386:O449" si="49">MIN(F:F)</f>
        <v>43101</v>
      </c>
      <c r="P386" s="1">
        <f t="shared" ref="P386:P449" si="50">DATE(YEAR(F386), DAY(F386), 1)</f>
        <v>43831</v>
      </c>
      <c r="Q386" s="8">
        <f t="shared" ref="Q386:Q449" si="51" xml:space="preserve"> IF(A386&lt;&gt;A385, 1, 0)</f>
        <v>0</v>
      </c>
      <c r="R386" s="8">
        <f t="shared" ref="R386:R449" si="52">IF(Q386=1,1,R385+1)</f>
        <v>25</v>
      </c>
      <c r="S386" s="8">
        <f t="shared" ref="S386:S449" ca="1" si="53" xml:space="preserve"> IF(Q386=1, IF(G386&gt;0, R386, 0), IF(G386&gt;0, R386, OFFSET(S386,-1,0)))</f>
        <v>25</v>
      </c>
      <c r="T386">
        <f t="shared" ref="T386:T449" ca="1" si="54" xml:space="preserve"> IF(Q386=1, IF(G386&gt;0, G386, 0), IF(G386&gt;0, $X$1*G386+(1-$X$1)*OFFSET(T386,-1,0), OFFSET(T386,-1,0)))</f>
        <v>8.1902363065290178</v>
      </c>
      <c r="U386" s="8">
        <f t="shared" ref="U386:U449" ca="1" si="55" xml:space="preserve"> IF(Q386=1, 1, IF(G386&gt;0, $X$1*(R386-OFFSET(S386,-1,0))+(1-$X$1)*OFFSET(U386,-1,0), OFFSET(U386,-1,0)))</f>
        <v>1</v>
      </c>
      <c r="V386" s="8">
        <f ca="1">RawData[[#This Row],[Z (smoothed demand size)]]/RawData[[#This Row],[X (smoothed interval)]]</f>
        <v>8.1902363065290178</v>
      </c>
    </row>
    <row r="387" spans="1:22">
      <c r="A387" t="s">
        <v>23</v>
      </c>
      <c r="B387" t="s">
        <v>14</v>
      </c>
      <c r="C387">
        <v>28</v>
      </c>
      <c r="D387" t="s">
        <v>22</v>
      </c>
      <c r="E387" t="s">
        <v>16</v>
      </c>
      <c r="F387" s="1">
        <v>43832</v>
      </c>
      <c r="G387">
        <v>4</v>
      </c>
      <c r="H387">
        <v>4</v>
      </c>
      <c r="I387">
        <v>9</v>
      </c>
      <c r="J387">
        <v>5</v>
      </c>
      <c r="K387">
        <v>0</v>
      </c>
      <c r="L387">
        <v>427</v>
      </c>
      <c r="M387">
        <v>15</v>
      </c>
      <c r="N387" s="1">
        <f t="shared" si="48"/>
        <v>44938</v>
      </c>
      <c r="O387" s="1">
        <f t="shared" si="49"/>
        <v>43101</v>
      </c>
      <c r="P387" s="1">
        <f t="shared" si="50"/>
        <v>43862</v>
      </c>
      <c r="Q387" s="8">
        <f t="shared" si="51"/>
        <v>0</v>
      </c>
      <c r="R387" s="8">
        <f t="shared" si="52"/>
        <v>26</v>
      </c>
      <c r="S387" s="8">
        <f t="shared" ca="1" si="53"/>
        <v>26</v>
      </c>
      <c r="T387">
        <f t="shared" ca="1" si="54"/>
        <v>7.3521890452232146</v>
      </c>
      <c r="U387" s="8">
        <f t="shared" ca="1" si="55"/>
        <v>1</v>
      </c>
      <c r="V387" s="8">
        <f ca="1">RawData[[#This Row],[Z (smoothed demand size)]]/RawData[[#This Row],[X (smoothed interval)]]</f>
        <v>7.3521890452232146</v>
      </c>
    </row>
    <row r="388" spans="1:22">
      <c r="A388" t="s">
        <v>23</v>
      </c>
      <c r="B388" t="s">
        <v>14</v>
      </c>
      <c r="C388">
        <v>28</v>
      </c>
      <c r="D388" t="s">
        <v>22</v>
      </c>
      <c r="E388" t="s">
        <v>16</v>
      </c>
      <c r="F388" s="1">
        <v>43833</v>
      </c>
      <c r="G388">
        <v>6</v>
      </c>
      <c r="H388">
        <v>6</v>
      </c>
      <c r="I388">
        <v>13</v>
      </c>
      <c r="J388">
        <v>7</v>
      </c>
      <c r="K388">
        <v>0</v>
      </c>
      <c r="L388">
        <v>424</v>
      </c>
      <c r="M388">
        <v>60</v>
      </c>
      <c r="N388" s="1">
        <f t="shared" si="48"/>
        <v>44938</v>
      </c>
      <c r="O388" s="1">
        <f t="shared" si="49"/>
        <v>43101</v>
      </c>
      <c r="P388" s="1">
        <f t="shared" si="50"/>
        <v>43891</v>
      </c>
      <c r="Q388" s="8">
        <f t="shared" si="51"/>
        <v>0</v>
      </c>
      <c r="R388" s="8">
        <f t="shared" si="52"/>
        <v>27</v>
      </c>
      <c r="S388" s="8">
        <f t="shared" ca="1" si="53"/>
        <v>27</v>
      </c>
      <c r="T388">
        <f t="shared" ca="1" si="54"/>
        <v>7.0817512361785724</v>
      </c>
      <c r="U388" s="8">
        <f t="shared" ca="1" si="55"/>
        <v>1</v>
      </c>
      <c r="V388" s="8">
        <f ca="1">RawData[[#This Row],[Z (smoothed demand size)]]/RawData[[#This Row],[X (smoothed interval)]]</f>
        <v>7.0817512361785724</v>
      </c>
    </row>
    <row r="389" spans="1:22">
      <c r="A389" t="s">
        <v>23</v>
      </c>
      <c r="B389" t="s">
        <v>14</v>
      </c>
      <c r="C389">
        <v>28</v>
      </c>
      <c r="D389" t="s">
        <v>22</v>
      </c>
      <c r="E389" t="s">
        <v>16</v>
      </c>
      <c r="F389" s="1">
        <v>43834</v>
      </c>
      <c r="G389">
        <v>7</v>
      </c>
      <c r="H389">
        <v>7</v>
      </c>
      <c r="I389">
        <v>7</v>
      </c>
      <c r="J389">
        <v>0</v>
      </c>
      <c r="K389">
        <v>0</v>
      </c>
      <c r="L389">
        <v>434</v>
      </c>
      <c r="M389">
        <v>30</v>
      </c>
      <c r="N389" s="1">
        <f t="shared" si="48"/>
        <v>44938</v>
      </c>
      <c r="O389" s="1">
        <f t="shared" si="49"/>
        <v>43101</v>
      </c>
      <c r="P389" s="1">
        <f t="shared" si="50"/>
        <v>43922</v>
      </c>
      <c r="Q389" s="8">
        <f t="shared" si="51"/>
        <v>0</v>
      </c>
      <c r="R389" s="8">
        <f t="shared" si="52"/>
        <v>28</v>
      </c>
      <c r="S389" s="8">
        <f t="shared" ca="1" si="53"/>
        <v>28</v>
      </c>
      <c r="T389">
        <f t="shared" ca="1" si="54"/>
        <v>7.0654009889428586</v>
      </c>
      <c r="U389" s="8">
        <f t="shared" ca="1" si="55"/>
        <v>1</v>
      </c>
      <c r="V389" s="8">
        <f ca="1">RawData[[#This Row],[Z (smoothed demand size)]]/RawData[[#This Row],[X (smoothed interval)]]</f>
        <v>7.0654009889428586</v>
      </c>
    </row>
    <row r="390" spans="1:22">
      <c r="A390" t="s">
        <v>23</v>
      </c>
      <c r="B390" t="s">
        <v>14</v>
      </c>
      <c r="C390">
        <v>28</v>
      </c>
      <c r="D390" t="s">
        <v>22</v>
      </c>
      <c r="E390" t="s">
        <v>16</v>
      </c>
      <c r="F390" s="1">
        <v>43835</v>
      </c>
      <c r="G390">
        <v>10</v>
      </c>
      <c r="H390">
        <v>10</v>
      </c>
      <c r="I390">
        <v>11</v>
      </c>
      <c r="J390">
        <v>1</v>
      </c>
      <c r="K390">
        <v>0</v>
      </c>
      <c r="L390">
        <v>427</v>
      </c>
      <c r="M390">
        <v>45</v>
      </c>
      <c r="N390" s="1">
        <f t="shared" si="48"/>
        <v>44938</v>
      </c>
      <c r="O390" s="1">
        <f t="shared" si="49"/>
        <v>43101</v>
      </c>
      <c r="P390" s="1">
        <f t="shared" si="50"/>
        <v>43952</v>
      </c>
      <c r="Q390" s="8">
        <f t="shared" si="51"/>
        <v>0</v>
      </c>
      <c r="R390" s="8">
        <f t="shared" si="52"/>
        <v>29</v>
      </c>
      <c r="S390" s="8">
        <f t="shared" ca="1" si="53"/>
        <v>29</v>
      </c>
      <c r="T390">
        <f t="shared" ca="1" si="54"/>
        <v>7.6523207911542874</v>
      </c>
      <c r="U390" s="8">
        <f t="shared" ca="1" si="55"/>
        <v>1</v>
      </c>
      <c r="V390" s="8">
        <f ca="1">RawData[[#This Row],[Z (smoothed demand size)]]/RawData[[#This Row],[X (smoothed interval)]]</f>
        <v>7.6523207911542874</v>
      </c>
    </row>
    <row r="391" spans="1:22">
      <c r="A391" t="s">
        <v>23</v>
      </c>
      <c r="B391" t="s">
        <v>14</v>
      </c>
      <c r="C391">
        <v>28</v>
      </c>
      <c r="D391" t="s">
        <v>22</v>
      </c>
      <c r="E391" t="s">
        <v>16</v>
      </c>
      <c r="F391" s="1">
        <v>43836</v>
      </c>
      <c r="G391">
        <v>12</v>
      </c>
      <c r="H391">
        <v>1</v>
      </c>
      <c r="I391">
        <v>1</v>
      </c>
      <c r="J391">
        <v>0</v>
      </c>
      <c r="K391">
        <v>1</v>
      </c>
      <c r="L391">
        <v>494</v>
      </c>
      <c r="M391">
        <v>15</v>
      </c>
      <c r="N391" s="1">
        <f t="shared" si="48"/>
        <v>44938</v>
      </c>
      <c r="O391" s="1">
        <f t="shared" si="49"/>
        <v>43101</v>
      </c>
      <c r="P391" s="1">
        <f t="shared" si="50"/>
        <v>43983</v>
      </c>
      <c r="Q391" s="8">
        <f t="shared" si="51"/>
        <v>0</v>
      </c>
      <c r="R391" s="8">
        <f t="shared" si="52"/>
        <v>30</v>
      </c>
      <c r="S391" s="8">
        <f t="shared" ca="1" si="53"/>
        <v>30</v>
      </c>
      <c r="T391">
        <f t="shared" ca="1" si="54"/>
        <v>8.5218566329234307</v>
      </c>
      <c r="U391" s="8">
        <f t="shared" ca="1" si="55"/>
        <v>1</v>
      </c>
      <c r="V391" s="8">
        <f ca="1">RawData[[#This Row],[Z (smoothed demand size)]]/RawData[[#This Row],[X (smoothed interval)]]</f>
        <v>8.5218566329234307</v>
      </c>
    </row>
    <row r="392" spans="1:22">
      <c r="A392" t="s">
        <v>23</v>
      </c>
      <c r="B392" t="s">
        <v>14</v>
      </c>
      <c r="C392">
        <v>28</v>
      </c>
      <c r="D392" t="s">
        <v>22</v>
      </c>
      <c r="E392" t="s">
        <v>16</v>
      </c>
      <c r="F392" s="1">
        <v>43837</v>
      </c>
      <c r="G392">
        <v>5</v>
      </c>
      <c r="H392">
        <v>5</v>
      </c>
      <c r="I392">
        <v>7</v>
      </c>
      <c r="J392">
        <v>2</v>
      </c>
      <c r="K392">
        <v>0</v>
      </c>
      <c r="L392">
        <v>491</v>
      </c>
      <c r="M392">
        <v>60</v>
      </c>
      <c r="N392" s="1">
        <f t="shared" si="48"/>
        <v>44938</v>
      </c>
      <c r="O392" s="1">
        <f t="shared" si="49"/>
        <v>43101</v>
      </c>
      <c r="P392" s="1">
        <f t="shared" si="50"/>
        <v>44013</v>
      </c>
      <c r="Q392" s="8">
        <f t="shared" si="51"/>
        <v>0</v>
      </c>
      <c r="R392" s="8">
        <f t="shared" si="52"/>
        <v>31</v>
      </c>
      <c r="S392" s="8">
        <f t="shared" ca="1" si="53"/>
        <v>31</v>
      </c>
      <c r="T392">
        <f t="shared" ca="1" si="54"/>
        <v>7.8174853063387451</v>
      </c>
      <c r="U392" s="8">
        <f t="shared" ca="1" si="55"/>
        <v>1</v>
      </c>
      <c r="V392" s="8">
        <f ca="1">RawData[[#This Row],[Z (smoothed demand size)]]/RawData[[#This Row],[X (smoothed interval)]]</f>
        <v>7.8174853063387451</v>
      </c>
    </row>
    <row r="393" spans="1:22">
      <c r="A393" t="s">
        <v>23</v>
      </c>
      <c r="B393" t="s">
        <v>14</v>
      </c>
      <c r="C393">
        <v>28</v>
      </c>
      <c r="D393" t="s">
        <v>22</v>
      </c>
      <c r="E393" t="s">
        <v>16</v>
      </c>
      <c r="F393" s="1">
        <v>43838</v>
      </c>
      <c r="G393">
        <v>4</v>
      </c>
      <c r="H393">
        <v>2</v>
      </c>
      <c r="I393">
        <v>2</v>
      </c>
      <c r="J393">
        <v>0</v>
      </c>
      <c r="K393">
        <v>1</v>
      </c>
      <c r="L393">
        <v>500</v>
      </c>
      <c r="M393">
        <v>15</v>
      </c>
      <c r="N393" s="1">
        <f t="shared" si="48"/>
        <v>44938</v>
      </c>
      <c r="O393" s="1">
        <f t="shared" si="49"/>
        <v>43101</v>
      </c>
      <c r="P393" s="1">
        <f t="shared" si="50"/>
        <v>44044</v>
      </c>
      <c r="Q393" s="8">
        <f t="shared" si="51"/>
        <v>0</v>
      </c>
      <c r="R393" s="8">
        <f t="shared" si="52"/>
        <v>32</v>
      </c>
      <c r="S393" s="8">
        <f t="shared" ca="1" si="53"/>
        <v>32</v>
      </c>
      <c r="T393">
        <f t="shared" ca="1" si="54"/>
        <v>7.0539882450709959</v>
      </c>
      <c r="U393" s="8">
        <f t="shared" ca="1" si="55"/>
        <v>1</v>
      </c>
      <c r="V393" s="8">
        <f ca="1">RawData[[#This Row],[Z (smoothed demand size)]]/RawData[[#This Row],[X (smoothed interval)]]</f>
        <v>7.0539882450709959</v>
      </c>
    </row>
    <row r="394" spans="1:22">
      <c r="A394" t="s">
        <v>23</v>
      </c>
      <c r="B394" t="s">
        <v>14</v>
      </c>
      <c r="C394">
        <v>28</v>
      </c>
      <c r="D394" t="s">
        <v>22</v>
      </c>
      <c r="E394" t="s">
        <v>16</v>
      </c>
      <c r="F394" s="1">
        <v>43839</v>
      </c>
      <c r="G394">
        <v>5</v>
      </c>
      <c r="H394">
        <v>5</v>
      </c>
      <c r="I394">
        <v>10</v>
      </c>
      <c r="J394">
        <v>5</v>
      </c>
      <c r="K394">
        <v>0</v>
      </c>
      <c r="L394">
        <v>433</v>
      </c>
      <c r="M394">
        <v>60</v>
      </c>
      <c r="N394" s="1">
        <f t="shared" si="48"/>
        <v>44938</v>
      </c>
      <c r="O394" s="1">
        <f t="shared" si="49"/>
        <v>43101</v>
      </c>
      <c r="P394" s="1">
        <f t="shared" si="50"/>
        <v>44075</v>
      </c>
      <c r="Q394" s="8">
        <f t="shared" si="51"/>
        <v>0</v>
      </c>
      <c r="R394" s="8">
        <f t="shared" si="52"/>
        <v>33</v>
      </c>
      <c r="S394" s="8">
        <f t="shared" ca="1" si="53"/>
        <v>33</v>
      </c>
      <c r="T394">
        <f t="shared" ca="1" si="54"/>
        <v>6.6431905960567974</v>
      </c>
      <c r="U394" s="8">
        <f t="shared" ca="1" si="55"/>
        <v>1</v>
      </c>
      <c r="V394" s="8">
        <f ca="1">RawData[[#This Row],[Z (smoothed demand size)]]/RawData[[#This Row],[X (smoothed interval)]]</f>
        <v>6.6431905960567974</v>
      </c>
    </row>
    <row r="395" spans="1:22">
      <c r="A395" t="s">
        <v>23</v>
      </c>
      <c r="B395" t="s">
        <v>14</v>
      </c>
      <c r="C395">
        <v>28</v>
      </c>
      <c r="D395" t="s">
        <v>22</v>
      </c>
      <c r="E395" t="s">
        <v>16</v>
      </c>
      <c r="F395" s="1">
        <v>43840</v>
      </c>
      <c r="G395">
        <v>5</v>
      </c>
      <c r="H395">
        <v>5</v>
      </c>
      <c r="I395">
        <v>5</v>
      </c>
      <c r="J395">
        <v>0</v>
      </c>
      <c r="K395">
        <v>0</v>
      </c>
      <c r="L395">
        <v>428</v>
      </c>
      <c r="M395">
        <v>45</v>
      </c>
      <c r="N395" s="1">
        <f t="shared" si="48"/>
        <v>44938</v>
      </c>
      <c r="O395" s="1">
        <f t="shared" si="49"/>
        <v>43101</v>
      </c>
      <c r="P395" s="1">
        <f t="shared" si="50"/>
        <v>44105</v>
      </c>
      <c r="Q395" s="8">
        <f t="shared" si="51"/>
        <v>0</v>
      </c>
      <c r="R395" s="8">
        <f t="shared" si="52"/>
        <v>34</v>
      </c>
      <c r="S395" s="8">
        <f t="shared" ca="1" si="53"/>
        <v>34</v>
      </c>
      <c r="T395">
        <f t="shared" ca="1" si="54"/>
        <v>6.3145524768454386</v>
      </c>
      <c r="U395" s="8">
        <f t="shared" ca="1" si="55"/>
        <v>1</v>
      </c>
      <c r="V395" s="8">
        <f ca="1">RawData[[#This Row],[Z (smoothed demand size)]]/RawData[[#This Row],[X (smoothed interval)]]</f>
        <v>6.3145524768454386</v>
      </c>
    </row>
    <row r="396" spans="1:22">
      <c r="A396" t="s">
        <v>23</v>
      </c>
      <c r="B396" t="s">
        <v>14</v>
      </c>
      <c r="C396">
        <v>28</v>
      </c>
      <c r="D396" t="s">
        <v>22</v>
      </c>
      <c r="E396" t="s">
        <v>16</v>
      </c>
      <c r="F396" s="1">
        <v>43841</v>
      </c>
      <c r="G396">
        <v>8</v>
      </c>
      <c r="H396">
        <v>8</v>
      </c>
      <c r="I396">
        <v>9</v>
      </c>
      <c r="J396">
        <v>1</v>
      </c>
      <c r="K396">
        <v>0</v>
      </c>
      <c r="L396">
        <v>424</v>
      </c>
      <c r="M396">
        <v>60</v>
      </c>
      <c r="N396" s="1">
        <f t="shared" si="48"/>
        <v>44938</v>
      </c>
      <c r="O396" s="1">
        <f t="shared" si="49"/>
        <v>43101</v>
      </c>
      <c r="P396" s="1">
        <f t="shared" si="50"/>
        <v>44136</v>
      </c>
      <c r="Q396" s="8">
        <f t="shared" si="51"/>
        <v>0</v>
      </c>
      <c r="R396" s="8">
        <f t="shared" si="52"/>
        <v>35</v>
      </c>
      <c r="S396" s="8">
        <f t="shared" ca="1" si="53"/>
        <v>35</v>
      </c>
      <c r="T396">
        <f t="shared" ca="1" si="54"/>
        <v>6.6516419814763506</v>
      </c>
      <c r="U396" s="8">
        <f t="shared" ca="1" si="55"/>
        <v>1</v>
      </c>
      <c r="V396" s="8">
        <f ca="1">RawData[[#This Row],[Z (smoothed demand size)]]/RawData[[#This Row],[X (smoothed interval)]]</f>
        <v>6.6516419814763506</v>
      </c>
    </row>
    <row r="397" spans="1:22">
      <c r="A397" t="s">
        <v>23</v>
      </c>
      <c r="B397" t="s">
        <v>14</v>
      </c>
      <c r="C397">
        <v>28</v>
      </c>
      <c r="D397" t="s">
        <v>22</v>
      </c>
      <c r="E397" t="s">
        <v>16</v>
      </c>
      <c r="F397" s="1">
        <v>43842</v>
      </c>
      <c r="G397">
        <v>10</v>
      </c>
      <c r="H397">
        <v>1</v>
      </c>
      <c r="I397">
        <v>1</v>
      </c>
      <c r="J397">
        <v>0</v>
      </c>
      <c r="K397">
        <v>1</v>
      </c>
      <c r="L397">
        <v>492</v>
      </c>
      <c r="M397">
        <v>15</v>
      </c>
      <c r="N397" s="1">
        <f t="shared" si="48"/>
        <v>44938</v>
      </c>
      <c r="O397" s="1">
        <f t="shared" si="49"/>
        <v>43101</v>
      </c>
      <c r="P397" s="1">
        <f t="shared" si="50"/>
        <v>44166</v>
      </c>
      <c r="Q397" s="8">
        <f t="shared" si="51"/>
        <v>0</v>
      </c>
      <c r="R397" s="8">
        <f t="shared" si="52"/>
        <v>36</v>
      </c>
      <c r="S397" s="8">
        <f t="shared" ca="1" si="53"/>
        <v>36</v>
      </c>
      <c r="T397">
        <f t="shared" ca="1" si="54"/>
        <v>7.3213135851810804</v>
      </c>
      <c r="U397" s="8">
        <f t="shared" ca="1" si="55"/>
        <v>1</v>
      </c>
      <c r="V397" s="8">
        <f ca="1">RawData[[#This Row],[Z (smoothed demand size)]]/RawData[[#This Row],[X (smoothed interval)]]</f>
        <v>7.3213135851810804</v>
      </c>
    </row>
    <row r="398" spans="1:22">
      <c r="A398" t="s">
        <v>23</v>
      </c>
      <c r="B398" t="s">
        <v>14</v>
      </c>
      <c r="C398">
        <v>28</v>
      </c>
      <c r="D398" t="s">
        <v>22</v>
      </c>
      <c r="E398" t="s">
        <v>16</v>
      </c>
      <c r="F398" s="1">
        <v>44197</v>
      </c>
      <c r="G398">
        <v>16</v>
      </c>
      <c r="H398">
        <v>12</v>
      </c>
      <c r="I398">
        <v>12</v>
      </c>
      <c r="J398">
        <v>0</v>
      </c>
      <c r="K398">
        <v>1</v>
      </c>
      <c r="L398">
        <v>431</v>
      </c>
      <c r="M398">
        <v>30</v>
      </c>
      <c r="N398" s="1">
        <f t="shared" si="48"/>
        <v>44938</v>
      </c>
      <c r="O398" s="1">
        <f t="shared" si="49"/>
        <v>43101</v>
      </c>
      <c r="P398" s="1">
        <f t="shared" si="50"/>
        <v>44197</v>
      </c>
      <c r="Q398" s="8">
        <f t="shared" si="51"/>
        <v>0</v>
      </c>
      <c r="R398" s="8">
        <f t="shared" si="52"/>
        <v>37</v>
      </c>
      <c r="S398" s="8">
        <f t="shared" ca="1" si="53"/>
        <v>37</v>
      </c>
      <c r="T398">
        <f t="shared" ca="1" si="54"/>
        <v>9.0570508681448647</v>
      </c>
      <c r="U398" s="8">
        <f t="shared" ca="1" si="55"/>
        <v>1</v>
      </c>
      <c r="V398" s="8">
        <f ca="1">RawData[[#This Row],[Z (smoothed demand size)]]/RawData[[#This Row],[X (smoothed interval)]]</f>
        <v>9.0570508681448647</v>
      </c>
    </row>
    <row r="399" spans="1:22">
      <c r="A399" t="s">
        <v>23</v>
      </c>
      <c r="B399" t="s">
        <v>14</v>
      </c>
      <c r="C399">
        <v>28</v>
      </c>
      <c r="D399" t="s">
        <v>22</v>
      </c>
      <c r="E399" t="s">
        <v>16</v>
      </c>
      <c r="F399" s="1">
        <v>44198</v>
      </c>
      <c r="G399">
        <v>9</v>
      </c>
      <c r="H399">
        <v>8</v>
      </c>
      <c r="I399">
        <v>8</v>
      </c>
      <c r="J399">
        <v>0</v>
      </c>
      <c r="K399">
        <v>1</v>
      </c>
      <c r="L399">
        <v>429</v>
      </c>
      <c r="M399">
        <v>60</v>
      </c>
      <c r="N399" s="1">
        <f t="shared" si="48"/>
        <v>44938</v>
      </c>
      <c r="O399" s="1">
        <f t="shared" si="49"/>
        <v>43101</v>
      </c>
      <c r="P399" s="1">
        <f t="shared" si="50"/>
        <v>44228</v>
      </c>
      <c r="Q399" s="8">
        <f t="shared" si="51"/>
        <v>0</v>
      </c>
      <c r="R399" s="8">
        <f t="shared" si="52"/>
        <v>38</v>
      </c>
      <c r="S399" s="8">
        <f t="shared" ca="1" si="53"/>
        <v>38</v>
      </c>
      <c r="T399">
        <f t="shared" ca="1" si="54"/>
        <v>9.0456406945158925</v>
      </c>
      <c r="U399" s="8">
        <f t="shared" ca="1" si="55"/>
        <v>1</v>
      </c>
      <c r="V399" s="8">
        <f ca="1">RawData[[#This Row],[Z (smoothed demand size)]]/RawData[[#This Row],[X (smoothed interval)]]</f>
        <v>9.0456406945158925</v>
      </c>
    </row>
    <row r="400" spans="1:22">
      <c r="A400" t="s">
        <v>23</v>
      </c>
      <c r="B400" t="s">
        <v>14</v>
      </c>
      <c r="C400">
        <v>28</v>
      </c>
      <c r="D400" t="s">
        <v>22</v>
      </c>
      <c r="E400" t="s">
        <v>16</v>
      </c>
      <c r="F400" s="1">
        <v>44199</v>
      </c>
      <c r="G400">
        <v>9</v>
      </c>
      <c r="H400">
        <v>0</v>
      </c>
      <c r="I400">
        <v>0</v>
      </c>
      <c r="J400">
        <v>0</v>
      </c>
      <c r="K400">
        <v>1</v>
      </c>
      <c r="L400">
        <v>429</v>
      </c>
      <c r="M400">
        <v>45</v>
      </c>
      <c r="N400" s="1">
        <f t="shared" si="48"/>
        <v>44938</v>
      </c>
      <c r="O400" s="1">
        <f t="shared" si="49"/>
        <v>43101</v>
      </c>
      <c r="P400" s="1">
        <f t="shared" si="50"/>
        <v>44256</v>
      </c>
      <c r="Q400" s="8">
        <f t="shared" si="51"/>
        <v>0</v>
      </c>
      <c r="R400" s="8">
        <f t="shared" si="52"/>
        <v>39</v>
      </c>
      <c r="S400" s="8">
        <f t="shared" ca="1" si="53"/>
        <v>39</v>
      </c>
      <c r="T400">
        <f t="shared" ca="1" si="54"/>
        <v>9.036512555612715</v>
      </c>
      <c r="U400" s="8">
        <f t="shared" ca="1" si="55"/>
        <v>1</v>
      </c>
      <c r="V400" s="8">
        <f ca="1">RawData[[#This Row],[Z (smoothed demand size)]]/RawData[[#This Row],[X (smoothed interval)]]</f>
        <v>9.036512555612715</v>
      </c>
    </row>
    <row r="401" spans="1:22">
      <c r="A401" t="s">
        <v>23</v>
      </c>
      <c r="B401" t="s">
        <v>14</v>
      </c>
      <c r="C401">
        <v>28</v>
      </c>
      <c r="D401" t="s">
        <v>22</v>
      </c>
      <c r="E401" t="s">
        <v>16</v>
      </c>
      <c r="F401" s="1">
        <v>44200</v>
      </c>
      <c r="G401">
        <v>12</v>
      </c>
      <c r="H401">
        <v>11</v>
      </c>
      <c r="I401">
        <v>11</v>
      </c>
      <c r="J401">
        <v>0</v>
      </c>
      <c r="K401">
        <v>1</v>
      </c>
      <c r="L401">
        <v>429</v>
      </c>
      <c r="M401">
        <v>15</v>
      </c>
      <c r="N401" s="1">
        <f t="shared" si="48"/>
        <v>44938</v>
      </c>
      <c r="O401" s="1">
        <f t="shared" si="49"/>
        <v>43101</v>
      </c>
      <c r="P401" s="1">
        <f t="shared" si="50"/>
        <v>44287</v>
      </c>
      <c r="Q401" s="8">
        <f t="shared" si="51"/>
        <v>0</v>
      </c>
      <c r="R401" s="8">
        <f t="shared" si="52"/>
        <v>40</v>
      </c>
      <c r="S401" s="8">
        <f t="shared" ca="1" si="53"/>
        <v>40</v>
      </c>
      <c r="T401">
        <f t="shared" ca="1" si="54"/>
        <v>9.629210044490172</v>
      </c>
      <c r="U401" s="8">
        <f t="shared" ca="1" si="55"/>
        <v>1</v>
      </c>
      <c r="V401" s="8">
        <f ca="1">RawData[[#This Row],[Z (smoothed demand size)]]/RawData[[#This Row],[X (smoothed interval)]]</f>
        <v>9.629210044490172</v>
      </c>
    </row>
    <row r="402" spans="1:22">
      <c r="A402" t="s">
        <v>23</v>
      </c>
      <c r="B402" t="s">
        <v>14</v>
      </c>
      <c r="C402">
        <v>28</v>
      </c>
      <c r="D402" t="s">
        <v>22</v>
      </c>
      <c r="E402" t="s">
        <v>16</v>
      </c>
      <c r="F402" s="1">
        <v>44201</v>
      </c>
      <c r="G402">
        <v>0</v>
      </c>
      <c r="H402">
        <v>0</v>
      </c>
      <c r="I402">
        <v>11</v>
      </c>
      <c r="J402">
        <v>11</v>
      </c>
      <c r="K402">
        <v>0</v>
      </c>
      <c r="L402">
        <v>431</v>
      </c>
      <c r="M402">
        <v>45</v>
      </c>
      <c r="N402" s="1">
        <f t="shared" si="48"/>
        <v>44938</v>
      </c>
      <c r="O402" s="1">
        <f t="shared" si="49"/>
        <v>43101</v>
      </c>
      <c r="P402" s="1">
        <f t="shared" si="50"/>
        <v>44317</v>
      </c>
      <c r="Q402" s="8">
        <f t="shared" si="51"/>
        <v>0</v>
      </c>
      <c r="R402" s="8">
        <f t="shared" si="52"/>
        <v>41</v>
      </c>
      <c r="S402" s="8">
        <f t="shared" ca="1" si="53"/>
        <v>40</v>
      </c>
      <c r="T402">
        <f t="shared" ca="1" si="54"/>
        <v>9.629210044490172</v>
      </c>
      <c r="U402" s="8">
        <f t="shared" ca="1" si="55"/>
        <v>1</v>
      </c>
      <c r="V402" s="8">
        <f ca="1">RawData[[#This Row],[Z (smoothed demand size)]]/RawData[[#This Row],[X (smoothed interval)]]</f>
        <v>9.629210044490172</v>
      </c>
    </row>
    <row r="403" spans="1:22">
      <c r="A403" t="s">
        <v>23</v>
      </c>
      <c r="B403" t="s">
        <v>14</v>
      </c>
      <c r="C403">
        <v>28</v>
      </c>
      <c r="D403" t="s">
        <v>22</v>
      </c>
      <c r="E403" t="s">
        <v>16</v>
      </c>
      <c r="F403" s="1">
        <v>44202</v>
      </c>
      <c r="G403">
        <v>9</v>
      </c>
      <c r="H403">
        <v>9</v>
      </c>
      <c r="I403">
        <v>11</v>
      </c>
      <c r="J403">
        <v>2</v>
      </c>
      <c r="K403">
        <v>0</v>
      </c>
      <c r="L403">
        <v>492</v>
      </c>
      <c r="M403">
        <v>30</v>
      </c>
      <c r="N403" s="1">
        <f t="shared" si="48"/>
        <v>44938</v>
      </c>
      <c r="O403" s="1">
        <f t="shared" si="49"/>
        <v>43101</v>
      </c>
      <c r="P403" s="1">
        <f t="shared" si="50"/>
        <v>44348</v>
      </c>
      <c r="Q403" s="8">
        <f t="shared" si="51"/>
        <v>0</v>
      </c>
      <c r="R403" s="8">
        <f t="shared" si="52"/>
        <v>42</v>
      </c>
      <c r="S403" s="8">
        <f t="shared" ca="1" si="53"/>
        <v>42</v>
      </c>
      <c r="T403">
        <f t="shared" ca="1" si="54"/>
        <v>9.5033680355921391</v>
      </c>
      <c r="U403" s="8">
        <f t="shared" ca="1" si="55"/>
        <v>1.2000000000000002</v>
      </c>
      <c r="V403" s="8">
        <f ca="1">RawData[[#This Row],[Z (smoothed demand size)]]/RawData[[#This Row],[X (smoothed interval)]]</f>
        <v>7.9194733629934477</v>
      </c>
    </row>
    <row r="404" spans="1:22">
      <c r="A404" t="s">
        <v>23</v>
      </c>
      <c r="B404" t="s">
        <v>14</v>
      </c>
      <c r="C404">
        <v>28</v>
      </c>
      <c r="D404" t="s">
        <v>22</v>
      </c>
      <c r="E404" t="s">
        <v>16</v>
      </c>
      <c r="F404" s="1">
        <v>44203</v>
      </c>
      <c r="G404">
        <v>6</v>
      </c>
      <c r="H404">
        <v>6</v>
      </c>
      <c r="I404">
        <v>11</v>
      </c>
      <c r="J404">
        <v>5</v>
      </c>
      <c r="K404">
        <v>0</v>
      </c>
      <c r="L404">
        <v>495</v>
      </c>
      <c r="M404">
        <v>30</v>
      </c>
      <c r="N404" s="1">
        <f t="shared" si="48"/>
        <v>44938</v>
      </c>
      <c r="O404" s="1">
        <f t="shared" si="49"/>
        <v>43101</v>
      </c>
      <c r="P404" s="1">
        <f t="shared" si="50"/>
        <v>44378</v>
      </c>
      <c r="Q404" s="8">
        <f t="shared" si="51"/>
        <v>0</v>
      </c>
      <c r="R404" s="8">
        <f t="shared" si="52"/>
        <v>43</v>
      </c>
      <c r="S404" s="8">
        <f t="shared" ca="1" si="53"/>
        <v>43</v>
      </c>
      <c r="T404">
        <f t="shared" ca="1" si="54"/>
        <v>8.8026944284737105</v>
      </c>
      <c r="U404" s="8">
        <f t="shared" ca="1" si="55"/>
        <v>1.1600000000000001</v>
      </c>
      <c r="V404" s="8">
        <f ca="1">RawData[[#This Row],[Z (smoothed demand size)]]/RawData[[#This Row],[X (smoothed interval)]]</f>
        <v>7.5885296797187154</v>
      </c>
    </row>
    <row r="405" spans="1:22">
      <c r="A405" t="s">
        <v>23</v>
      </c>
      <c r="B405" t="s">
        <v>14</v>
      </c>
      <c r="C405">
        <v>28</v>
      </c>
      <c r="D405" t="s">
        <v>22</v>
      </c>
      <c r="E405" t="s">
        <v>16</v>
      </c>
      <c r="F405" s="1">
        <v>44204</v>
      </c>
      <c r="G405">
        <v>3</v>
      </c>
      <c r="H405">
        <v>3</v>
      </c>
      <c r="I405">
        <v>13</v>
      </c>
      <c r="J405">
        <v>10</v>
      </c>
      <c r="K405">
        <v>0</v>
      </c>
      <c r="L405">
        <v>487</v>
      </c>
      <c r="M405">
        <v>60</v>
      </c>
      <c r="N405" s="1">
        <f t="shared" si="48"/>
        <v>44938</v>
      </c>
      <c r="O405" s="1">
        <f t="shared" si="49"/>
        <v>43101</v>
      </c>
      <c r="P405" s="1">
        <f t="shared" si="50"/>
        <v>44409</v>
      </c>
      <c r="Q405" s="8">
        <f t="shared" si="51"/>
        <v>0</v>
      </c>
      <c r="R405" s="8">
        <f t="shared" si="52"/>
        <v>44</v>
      </c>
      <c r="S405" s="8">
        <f t="shared" ca="1" si="53"/>
        <v>44</v>
      </c>
      <c r="T405">
        <f t="shared" ca="1" si="54"/>
        <v>7.6421555427789691</v>
      </c>
      <c r="U405" s="8">
        <f t="shared" ca="1" si="55"/>
        <v>1.1280000000000001</v>
      </c>
      <c r="V405" s="8">
        <f ca="1">RawData[[#This Row],[Z (smoothed demand size)]]/RawData[[#This Row],[X (smoothed interval)]]</f>
        <v>6.7749605875700079</v>
      </c>
    </row>
    <row r="406" spans="1:22">
      <c r="A406" t="s">
        <v>23</v>
      </c>
      <c r="B406" t="s">
        <v>14</v>
      </c>
      <c r="C406">
        <v>28</v>
      </c>
      <c r="D406" t="s">
        <v>22</v>
      </c>
      <c r="E406" t="s">
        <v>16</v>
      </c>
      <c r="F406" s="1">
        <v>44205</v>
      </c>
      <c r="G406">
        <v>13</v>
      </c>
      <c r="H406">
        <v>10</v>
      </c>
      <c r="I406">
        <v>10</v>
      </c>
      <c r="J406">
        <v>0</v>
      </c>
      <c r="K406">
        <v>1</v>
      </c>
      <c r="L406">
        <v>439</v>
      </c>
      <c r="M406">
        <v>60</v>
      </c>
      <c r="N406" s="1">
        <f t="shared" si="48"/>
        <v>44938</v>
      </c>
      <c r="O406" s="1">
        <f t="shared" si="49"/>
        <v>43101</v>
      </c>
      <c r="P406" s="1">
        <f t="shared" si="50"/>
        <v>44440</v>
      </c>
      <c r="Q406" s="8">
        <f t="shared" si="51"/>
        <v>0</v>
      </c>
      <c r="R406" s="8">
        <f t="shared" si="52"/>
        <v>45</v>
      </c>
      <c r="S406" s="8">
        <f t="shared" ca="1" si="53"/>
        <v>45</v>
      </c>
      <c r="T406">
        <f t="shared" ca="1" si="54"/>
        <v>8.7137244342231757</v>
      </c>
      <c r="U406" s="8">
        <f t="shared" ca="1" si="55"/>
        <v>1.1024</v>
      </c>
      <c r="V406" s="8">
        <f ca="1">RawData[[#This Row],[Z (smoothed demand size)]]/RawData[[#This Row],[X (smoothed interval)]]</f>
        <v>7.9043218742953334</v>
      </c>
    </row>
    <row r="407" spans="1:22">
      <c r="A407" t="s">
        <v>23</v>
      </c>
      <c r="B407" t="s">
        <v>14</v>
      </c>
      <c r="C407">
        <v>28</v>
      </c>
      <c r="D407" t="s">
        <v>22</v>
      </c>
      <c r="E407" t="s">
        <v>16</v>
      </c>
      <c r="F407" s="1">
        <v>44206</v>
      </c>
      <c r="G407">
        <v>5</v>
      </c>
      <c r="H407">
        <v>0</v>
      </c>
      <c r="I407">
        <v>0</v>
      </c>
      <c r="J407">
        <v>0</v>
      </c>
      <c r="K407">
        <v>1</v>
      </c>
      <c r="L407">
        <v>427</v>
      </c>
      <c r="M407">
        <v>60</v>
      </c>
      <c r="N407" s="1">
        <f t="shared" si="48"/>
        <v>44938</v>
      </c>
      <c r="O407" s="1">
        <f t="shared" si="49"/>
        <v>43101</v>
      </c>
      <c r="P407" s="1">
        <f t="shared" si="50"/>
        <v>44470</v>
      </c>
      <c r="Q407" s="8">
        <f t="shared" si="51"/>
        <v>0</v>
      </c>
      <c r="R407" s="8">
        <f t="shared" si="52"/>
        <v>46</v>
      </c>
      <c r="S407" s="8">
        <f t="shared" ca="1" si="53"/>
        <v>46</v>
      </c>
      <c r="T407">
        <f t="shared" ca="1" si="54"/>
        <v>7.9709795473785405</v>
      </c>
      <c r="U407" s="8">
        <f t="shared" ca="1" si="55"/>
        <v>1.08192</v>
      </c>
      <c r="V407" s="8">
        <f ca="1">RawData[[#This Row],[Z (smoothed demand size)]]/RawData[[#This Row],[X (smoothed interval)]]</f>
        <v>7.3674389487009577</v>
      </c>
    </row>
    <row r="408" spans="1:22">
      <c r="A408" t="s">
        <v>23</v>
      </c>
      <c r="B408" t="s">
        <v>14</v>
      </c>
      <c r="C408">
        <v>28</v>
      </c>
      <c r="D408" t="s">
        <v>22</v>
      </c>
      <c r="E408" t="s">
        <v>16</v>
      </c>
      <c r="F408" s="1">
        <v>44207</v>
      </c>
      <c r="G408">
        <v>9</v>
      </c>
      <c r="H408">
        <v>7</v>
      </c>
      <c r="I408">
        <v>7</v>
      </c>
      <c r="J408">
        <v>0</v>
      </c>
      <c r="K408">
        <v>1</v>
      </c>
      <c r="L408">
        <v>429</v>
      </c>
      <c r="M408">
        <v>30</v>
      </c>
      <c r="N408" s="1">
        <f t="shared" si="48"/>
        <v>44938</v>
      </c>
      <c r="O408" s="1">
        <f t="shared" si="49"/>
        <v>43101</v>
      </c>
      <c r="P408" s="1">
        <f t="shared" si="50"/>
        <v>44501</v>
      </c>
      <c r="Q408" s="8">
        <f t="shared" si="51"/>
        <v>0</v>
      </c>
      <c r="R408" s="8">
        <f t="shared" si="52"/>
        <v>47</v>
      </c>
      <c r="S408" s="8">
        <f t="shared" ca="1" si="53"/>
        <v>47</v>
      </c>
      <c r="T408">
        <f t="shared" ca="1" si="54"/>
        <v>8.1767836379028331</v>
      </c>
      <c r="U408" s="8">
        <f t="shared" ca="1" si="55"/>
        <v>1.065536</v>
      </c>
      <c r="V408" s="8">
        <f ca="1">RawData[[#This Row],[Z (smoothed demand size)]]/RawData[[#This Row],[X (smoothed interval)]]</f>
        <v>7.6738689616332367</v>
      </c>
    </row>
    <row r="409" spans="1:22">
      <c r="A409" t="s">
        <v>23</v>
      </c>
      <c r="B409" t="s">
        <v>14</v>
      </c>
      <c r="C409">
        <v>28</v>
      </c>
      <c r="D409" t="s">
        <v>22</v>
      </c>
      <c r="E409" t="s">
        <v>16</v>
      </c>
      <c r="F409" s="1">
        <v>44208</v>
      </c>
      <c r="G409">
        <v>10</v>
      </c>
      <c r="H409">
        <v>10</v>
      </c>
      <c r="I409">
        <v>11</v>
      </c>
      <c r="J409">
        <v>1</v>
      </c>
      <c r="K409">
        <v>0</v>
      </c>
      <c r="L409">
        <v>495</v>
      </c>
      <c r="M409">
        <v>60</v>
      </c>
      <c r="N409" s="1">
        <f t="shared" si="48"/>
        <v>44938</v>
      </c>
      <c r="O409" s="1">
        <f t="shared" si="49"/>
        <v>43101</v>
      </c>
      <c r="P409" s="1">
        <f t="shared" si="50"/>
        <v>44531</v>
      </c>
      <c r="Q409" s="8">
        <f t="shared" si="51"/>
        <v>0</v>
      </c>
      <c r="R409" s="8">
        <f t="shared" si="52"/>
        <v>48</v>
      </c>
      <c r="S409" s="8">
        <f t="shared" ca="1" si="53"/>
        <v>48</v>
      </c>
      <c r="T409">
        <f t="shared" ca="1" si="54"/>
        <v>8.5414269103222669</v>
      </c>
      <c r="U409" s="8">
        <f t="shared" ca="1" si="55"/>
        <v>1.0524288000000002</v>
      </c>
      <c r="V409" s="8">
        <f ca="1">RawData[[#This Row],[Z (smoothed demand size)]]/RawData[[#This Row],[X (smoothed interval)]]</f>
        <v>8.1159190154452876</v>
      </c>
    </row>
    <row r="410" spans="1:22">
      <c r="A410" t="s">
        <v>23</v>
      </c>
      <c r="B410" t="s">
        <v>14</v>
      </c>
      <c r="C410">
        <v>28</v>
      </c>
      <c r="D410" t="s">
        <v>22</v>
      </c>
      <c r="E410" t="s">
        <v>16</v>
      </c>
      <c r="F410" s="1">
        <v>44562</v>
      </c>
      <c r="G410">
        <v>10</v>
      </c>
      <c r="H410">
        <v>1</v>
      </c>
      <c r="I410">
        <v>1</v>
      </c>
      <c r="J410">
        <v>0</v>
      </c>
      <c r="K410">
        <v>1</v>
      </c>
      <c r="L410">
        <v>425</v>
      </c>
      <c r="M410">
        <v>45</v>
      </c>
      <c r="N410" s="1">
        <f t="shared" si="48"/>
        <v>44938</v>
      </c>
      <c r="O410" s="1">
        <f t="shared" si="49"/>
        <v>43101</v>
      </c>
      <c r="P410" s="1">
        <f t="shared" si="50"/>
        <v>44562</v>
      </c>
      <c r="Q410" s="8">
        <f t="shared" si="51"/>
        <v>0</v>
      </c>
      <c r="R410" s="8">
        <f t="shared" si="52"/>
        <v>49</v>
      </c>
      <c r="S410" s="8">
        <f t="shared" ca="1" si="53"/>
        <v>49</v>
      </c>
      <c r="T410">
        <f t="shared" ca="1" si="54"/>
        <v>8.8331415282578138</v>
      </c>
      <c r="U410" s="8">
        <f t="shared" ca="1" si="55"/>
        <v>1.0419430400000003</v>
      </c>
      <c r="V410" s="8">
        <f ca="1">RawData[[#This Row],[Z (smoothed demand size)]]/RawData[[#This Row],[X (smoothed interval)]]</f>
        <v>8.4775666127179186</v>
      </c>
    </row>
    <row r="411" spans="1:22">
      <c r="A411" t="s">
        <v>23</v>
      </c>
      <c r="B411" t="s">
        <v>14</v>
      </c>
      <c r="C411">
        <v>28</v>
      </c>
      <c r="D411" t="s">
        <v>22</v>
      </c>
      <c r="E411" t="s">
        <v>16</v>
      </c>
      <c r="F411" s="1">
        <v>44563</v>
      </c>
      <c r="G411">
        <v>10</v>
      </c>
      <c r="H411">
        <v>10</v>
      </c>
      <c r="I411">
        <v>10</v>
      </c>
      <c r="J411">
        <v>0</v>
      </c>
      <c r="K411">
        <v>0</v>
      </c>
      <c r="L411">
        <v>427</v>
      </c>
      <c r="M411">
        <v>45</v>
      </c>
      <c r="N411" s="1">
        <f t="shared" si="48"/>
        <v>44938</v>
      </c>
      <c r="O411" s="1">
        <f t="shared" si="49"/>
        <v>43101</v>
      </c>
      <c r="P411" s="1">
        <f t="shared" si="50"/>
        <v>44593</v>
      </c>
      <c r="Q411" s="8">
        <f t="shared" si="51"/>
        <v>0</v>
      </c>
      <c r="R411" s="8">
        <f t="shared" si="52"/>
        <v>50</v>
      </c>
      <c r="S411" s="8">
        <f t="shared" ca="1" si="53"/>
        <v>50</v>
      </c>
      <c r="T411">
        <f t="shared" ca="1" si="54"/>
        <v>9.0665132226062504</v>
      </c>
      <c r="U411" s="8">
        <f t="shared" ca="1" si="55"/>
        <v>1.0335544320000003</v>
      </c>
      <c r="V411" s="8">
        <f ca="1">RawData[[#This Row],[Z (smoothed demand size)]]/RawData[[#This Row],[X (smoothed interval)]]</f>
        <v>8.7721681044528168</v>
      </c>
    </row>
    <row r="412" spans="1:22">
      <c r="A412" t="s">
        <v>23</v>
      </c>
      <c r="B412" t="s">
        <v>14</v>
      </c>
      <c r="C412">
        <v>28</v>
      </c>
      <c r="D412" t="s">
        <v>22</v>
      </c>
      <c r="E412" t="s">
        <v>16</v>
      </c>
      <c r="F412" s="1">
        <v>44564</v>
      </c>
      <c r="G412">
        <v>11</v>
      </c>
      <c r="H412">
        <v>0</v>
      </c>
      <c r="I412">
        <v>0</v>
      </c>
      <c r="J412">
        <v>0</v>
      </c>
      <c r="K412">
        <v>1</v>
      </c>
      <c r="L412">
        <v>427</v>
      </c>
      <c r="M412">
        <v>30</v>
      </c>
      <c r="N412" s="1">
        <f t="shared" si="48"/>
        <v>44938</v>
      </c>
      <c r="O412" s="1">
        <f t="shared" si="49"/>
        <v>43101</v>
      </c>
      <c r="P412" s="1">
        <f t="shared" si="50"/>
        <v>44621</v>
      </c>
      <c r="Q412" s="8">
        <f t="shared" si="51"/>
        <v>0</v>
      </c>
      <c r="R412" s="8">
        <f t="shared" si="52"/>
        <v>51</v>
      </c>
      <c r="S412" s="8">
        <f t="shared" ca="1" si="53"/>
        <v>51</v>
      </c>
      <c r="T412">
        <f t="shared" ca="1" si="54"/>
        <v>9.4532105780850006</v>
      </c>
      <c r="U412" s="8">
        <f t="shared" ca="1" si="55"/>
        <v>1.0268435456000002</v>
      </c>
      <c r="V412" s="8">
        <f ca="1">RawData[[#This Row],[Z (smoothed demand size)]]/RawData[[#This Row],[X (smoothed interval)]]</f>
        <v>9.2060865733555808</v>
      </c>
    </row>
    <row r="413" spans="1:22">
      <c r="A413" t="s">
        <v>23</v>
      </c>
      <c r="B413" t="s">
        <v>14</v>
      </c>
      <c r="C413">
        <v>28</v>
      </c>
      <c r="D413" t="s">
        <v>22</v>
      </c>
      <c r="E413" t="s">
        <v>16</v>
      </c>
      <c r="F413" s="1">
        <v>44565</v>
      </c>
      <c r="G413">
        <v>9</v>
      </c>
      <c r="H413">
        <v>9</v>
      </c>
      <c r="I413">
        <v>12</v>
      </c>
      <c r="J413">
        <v>3</v>
      </c>
      <c r="K413">
        <v>0</v>
      </c>
      <c r="L413">
        <v>423</v>
      </c>
      <c r="M413">
        <v>45</v>
      </c>
      <c r="N413" s="1">
        <f t="shared" si="48"/>
        <v>44938</v>
      </c>
      <c r="O413" s="1">
        <f t="shared" si="49"/>
        <v>43101</v>
      </c>
      <c r="P413" s="1">
        <f t="shared" si="50"/>
        <v>44652</v>
      </c>
      <c r="Q413" s="8">
        <f t="shared" si="51"/>
        <v>0</v>
      </c>
      <c r="R413" s="8">
        <f t="shared" si="52"/>
        <v>52</v>
      </c>
      <c r="S413" s="8">
        <f t="shared" ca="1" si="53"/>
        <v>52</v>
      </c>
      <c r="T413">
        <f t="shared" ca="1" si="54"/>
        <v>9.3625684624680012</v>
      </c>
      <c r="U413" s="8">
        <f t="shared" ca="1" si="55"/>
        <v>1.0214748364800001</v>
      </c>
      <c r="V413" s="8">
        <f ca="1">RawData[[#This Row],[Z (smoothed demand size)]]/RawData[[#This Row],[X (smoothed interval)]]</f>
        <v>9.1657357852606438</v>
      </c>
    </row>
    <row r="414" spans="1:22">
      <c r="A414" t="s">
        <v>23</v>
      </c>
      <c r="B414" t="s">
        <v>14</v>
      </c>
      <c r="C414">
        <v>28</v>
      </c>
      <c r="D414" t="s">
        <v>22</v>
      </c>
      <c r="E414" t="s">
        <v>16</v>
      </c>
      <c r="F414" s="1">
        <v>44566</v>
      </c>
      <c r="G414">
        <v>8</v>
      </c>
      <c r="H414">
        <v>3</v>
      </c>
      <c r="I414">
        <v>3</v>
      </c>
      <c r="J414">
        <v>0</v>
      </c>
      <c r="K414">
        <v>1</v>
      </c>
      <c r="L414">
        <v>429</v>
      </c>
      <c r="M414">
        <v>60</v>
      </c>
      <c r="N414" s="1">
        <f t="shared" si="48"/>
        <v>44938</v>
      </c>
      <c r="O414" s="1">
        <f t="shared" si="49"/>
        <v>43101</v>
      </c>
      <c r="P414" s="1">
        <f t="shared" si="50"/>
        <v>44682</v>
      </c>
      <c r="Q414" s="8">
        <f t="shared" si="51"/>
        <v>0</v>
      </c>
      <c r="R414" s="8">
        <f t="shared" si="52"/>
        <v>53</v>
      </c>
      <c r="S414" s="8">
        <f t="shared" ca="1" si="53"/>
        <v>53</v>
      </c>
      <c r="T414">
        <f t="shared" ca="1" si="54"/>
        <v>9.090054769974401</v>
      </c>
      <c r="U414" s="8">
        <f t="shared" ca="1" si="55"/>
        <v>1.0171798691840002</v>
      </c>
      <c r="V414" s="8">
        <f ca="1">RawData[[#This Row],[Z (smoothed demand size)]]/RawData[[#This Row],[X (smoothed interval)]]</f>
        <v>8.9365264152018717</v>
      </c>
    </row>
    <row r="415" spans="1:22">
      <c r="A415" t="s">
        <v>23</v>
      </c>
      <c r="B415" t="s">
        <v>14</v>
      </c>
      <c r="C415">
        <v>28</v>
      </c>
      <c r="D415" t="s">
        <v>22</v>
      </c>
      <c r="E415" t="s">
        <v>16</v>
      </c>
      <c r="F415" s="1">
        <v>44567</v>
      </c>
      <c r="G415">
        <v>0</v>
      </c>
      <c r="H415">
        <v>0</v>
      </c>
      <c r="I415">
        <v>12</v>
      </c>
      <c r="J415">
        <v>12</v>
      </c>
      <c r="K415">
        <v>0</v>
      </c>
      <c r="L415">
        <v>483</v>
      </c>
      <c r="M415">
        <v>15</v>
      </c>
      <c r="N415" s="1">
        <f t="shared" si="48"/>
        <v>44938</v>
      </c>
      <c r="O415" s="1">
        <f t="shared" si="49"/>
        <v>43101</v>
      </c>
      <c r="P415" s="1">
        <f t="shared" si="50"/>
        <v>44713</v>
      </c>
      <c r="Q415" s="8">
        <f t="shared" si="51"/>
        <v>0</v>
      </c>
      <c r="R415" s="8">
        <f t="shared" si="52"/>
        <v>54</v>
      </c>
      <c r="S415" s="8">
        <f t="shared" ca="1" si="53"/>
        <v>53</v>
      </c>
      <c r="T415">
        <f t="shared" ca="1" si="54"/>
        <v>9.090054769974401</v>
      </c>
      <c r="U415" s="8">
        <f t="shared" ca="1" si="55"/>
        <v>1.0171798691840002</v>
      </c>
      <c r="V415" s="8">
        <f ca="1">RawData[[#This Row],[Z (smoothed demand size)]]/RawData[[#This Row],[X (smoothed interval)]]</f>
        <v>8.9365264152018717</v>
      </c>
    </row>
    <row r="416" spans="1:22">
      <c r="A416" t="s">
        <v>23</v>
      </c>
      <c r="B416" t="s">
        <v>14</v>
      </c>
      <c r="C416">
        <v>28</v>
      </c>
      <c r="D416" t="s">
        <v>22</v>
      </c>
      <c r="E416" t="s">
        <v>16</v>
      </c>
      <c r="F416" s="1">
        <v>44568</v>
      </c>
      <c r="G416">
        <v>9</v>
      </c>
      <c r="H416">
        <v>9</v>
      </c>
      <c r="I416">
        <v>12</v>
      </c>
      <c r="J416">
        <v>3</v>
      </c>
      <c r="K416">
        <v>0</v>
      </c>
      <c r="L416">
        <v>499</v>
      </c>
      <c r="M416">
        <v>30</v>
      </c>
      <c r="N416" s="1">
        <f t="shared" si="48"/>
        <v>44938</v>
      </c>
      <c r="O416" s="1">
        <f t="shared" si="49"/>
        <v>43101</v>
      </c>
      <c r="P416" s="1">
        <f t="shared" si="50"/>
        <v>44743</v>
      </c>
      <c r="Q416" s="8">
        <f t="shared" si="51"/>
        <v>0</v>
      </c>
      <c r="R416" s="8">
        <f t="shared" si="52"/>
        <v>55</v>
      </c>
      <c r="S416" s="8">
        <f t="shared" ca="1" si="53"/>
        <v>55</v>
      </c>
      <c r="T416">
        <f t="shared" ca="1" si="54"/>
        <v>9.0720438159795211</v>
      </c>
      <c r="U416" s="8">
        <f t="shared" ca="1" si="55"/>
        <v>1.2137438953472002</v>
      </c>
      <c r="V416" s="8">
        <f ca="1">RawData[[#This Row],[Z (smoothed demand size)]]/RawData[[#This Row],[X (smoothed interval)]]</f>
        <v>7.4744300265950239</v>
      </c>
    </row>
    <row r="417" spans="1:22">
      <c r="A417" t="s">
        <v>23</v>
      </c>
      <c r="B417" t="s">
        <v>14</v>
      </c>
      <c r="C417">
        <v>28</v>
      </c>
      <c r="D417" t="s">
        <v>22</v>
      </c>
      <c r="E417" t="s">
        <v>16</v>
      </c>
      <c r="F417" s="1">
        <v>44569</v>
      </c>
      <c r="G417">
        <v>14</v>
      </c>
      <c r="H417">
        <v>13</v>
      </c>
      <c r="I417">
        <v>13</v>
      </c>
      <c r="J417">
        <v>0</v>
      </c>
      <c r="K417">
        <v>1</v>
      </c>
      <c r="L417">
        <v>495</v>
      </c>
      <c r="M417">
        <v>45</v>
      </c>
      <c r="N417" s="1">
        <f t="shared" si="48"/>
        <v>44938</v>
      </c>
      <c r="O417" s="1">
        <f t="shared" si="49"/>
        <v>43101</v>
      </c>
      <c r="P417" s="1">
        <f t="shared" si="50"/>
        <v>44774</v>
      </c>
      <c r="Q417" s="8">
        <f t="shared" si="51"/>
        <v>0</v>
      </c>
      <c r="R417" s="8">
        <f t="shared" si="52"/>
        <v>56</v>
      </c>
      <c r="S417" s="8">
        <f t="shared" ca="1" si="53"/>
        <v>56</v>
      </c>
      <c r="T417">
        <f t="shared" ca="1" si="54"/>
        <v>10.057635052783617</v>
      </c>
      <c r="U417" s="8">
        <f t="shared" ca="1" si="55"/>
        <v>1.1709951162777601</v>
      </c>
      <c r="V417" s="8">
        <f ca="1">RawData[[#This Row],[Z (smoothed demand size)]]/RawData[[#This Row],[X (smoothed interval)]]</f>
        <v>8.5889641322790506</v>
      </c>
    </row>
    <row r="418" spans="1:22">
      <c r="A418" t="s">
        <v>23</v>
      </c>
      <c r="B418" t="s">
        <v>14</v>
      </c>
      <c r="C418">
        <v>28</v>
      </c>
      <c r="D418" t="s">
        <v>22</v>
      </c>
      <c r="E418" t="s">
        <v>16</v>
      </c>
      <c r="F418" s="1">
        <v>44570</v>
      </c>
      <c r="G418">
        <v>7</v>
      </c>
      <c r="H418">
        <v>0</v>
      </c>
      <c r="I418">
        <v>0</v>
      </c>
      <c r="J418">
        <v>0</v>
      </c>
      <c r="K418">
        <v>1</v>
      </c>
      <c r="L418">
        <v>430</v>
      </c>
      <c r="M418">
        <v>60</v>
      </c>
      <c r="N418" s="1">
        <f t="shared" si="48"/>
        <v>44938</v>
      </c>
      <c r="O418" s="1">
        <f t="shared" si="49"/>
        <v>43101</v>
      </c>
      <c r="P418" s="1">
        <f t="shared" si="50"/>
        <v>44805</v>
      </c>
      <c r="Q418" s="8">
        <f t="shared" si="51"/>
        <v>0</v>
      </c>
      <c r="R418" s="8">
        <f t="shared" si="52"/>
        <v>57</v>
      </c>
      <c r="S418" s="8">
        <f t="shared" ca="1" si="53"/>
        <v>57</v>
      </c>
      <c r="T418">
        <f t="shared" ca="1" si="54"/>
        <v>9.4461080422268946</v>
      </c>
      <c r="U418" s="8">
        <f t="shared" ca="1" si="55"/>
        <v>1.1367960930222081</v>
      </c>
      <c r="V418" s="8">
        <f ca="1">RawData[[#This Row],[Z (smoothed demand size)]]/RawData[[#This Row],[X (smoothed interval)]]</f>
        <v>8.3094128315607776</v>
      </c>
    </row>
    <row r="419" spans="1:22">
      <c r="A419" t="s">
        <v>23</v>
      </c>
      <c r="B419" t="s">
        <v>14</v>
      </c>
      <c r="C419">
        <v>28</v>
      </c>
      <c r="D419" t="s">
        <v>22</v>
      </c>
      <c r="E419" t="s">
        <v>16</v>
      </c>
      <c r="F419" s="1">
        <v>44571</v>
      </c>
      <c r="G419">
        <v>12</v>
      </c>
      <c r="H419">
        <v>10</v>
      </c>
      <c r="I419">
        <v>10</v>
      </c>
      <c r="J419">
        <v>0</v>
      </c>
      <c r="K419">
        <v>1</v>
      </c>
      <c r="L419">
        <v>419</v>
      </c>
      <c r="M419">
        <v>45</v>
      </c>
      <c r="N419" s="1">
        <f t="shared" si="48"/>
        <v>44938</v>
      </c>
      <c r="O419" s="1">
        <f t="shared" si="49"/>
        <v>43101</v>
      </c>
      <c r="P419" s="1">
        <f t="shared" si="50"/>
        <v>44835</v>
      </c>
      <c r="Q419" s="8">
        <f t="shared" si="51"/>
        <v>0</v>
      </c>
      <c r="R419" s="8">
        <f t="shared" si="52"/>
        <v>58</v>
      </c>
      <c r="S419" s="8">
        <f t="shared" ca="1" si="53"/>
        <v>58</v>
      </c>
      <c r="T419">
        <f t="shared" ca="1" si="54"/>
        <v>9.9568864337815164</v>
      </c>
      <c r="U419" s="8">
        <f t="shared" ca="1" si="55"/>
        <v>1.1094368744177665</v>
      </c>
      <c r="V419" s="8">
        <f ca="1">RawData[[#This Row],[Z (smoothed demand size)]]/RawData[[#This Row],[X (smoothed interval)]]</f>
        <v>8.9747210169185152</v>
      </c>
    </row>
    <row r="420" spans="1:22">
      <c r="A420" t="s">
        <v>23</v>
      </c>
      <c r="B420" t="s">
        <v>14</v>
      </c>
      <c r="C420">
        <v>28</v>
      </c>
      <c r="D420" t="s">
        <v>22</v>
      </c>
      <c r="E420" t="s">
        <v>16</v>
      </c>
      <c r="F420" s="1">
        <v>44572</v>
      </c>
      <c r="G420">
        <v>9</v>
      </c>
      <c r="H420">
        <v>0</v>
      </c>
      <c r="I420">
        <v>0</v>
      </c>
      <c r="J420">
        <v>0</v>
      </c>
      <c r="K420">
        <v>1</v>
      </c>
      <c r="L420">
        <v>423</v>
      </c>
      <c r="M420">
        <v>60</v>
      </c>
      <c r="N420" s="1">
        <f t="shared" si="48"/>
        <v>44938</v>
      </c>
      <c r="O420" s="1">
        <f t="shared" si="49"/>
        <v>43101</v>
      </c>
      <c r="P420" s="1">
        <f t="shared" si="50"/>
        <v>44866</v>
      </c>
      <c r="Q420" s="8">
        <f t="shared" si="51"/>
        <v>0</v>
      </c>
      <c r="R420" s="8">
        <f t="shared" si="52"/>
        <v>59</v>
      </c>
      <c r="S420" s="8">
        <f t="shared" ca="1" si="53"/>
        <v>59</v>
      </c>
      <c r="T420">
        <f t="shared" ca="1" si="54"/>
        <v>9.7655091470252131</v>
      </c>
      <c r="U420" s="8">
        <f t="shared" ca="1" si="55"/>
        <v>1.0875494995342132</v>
      </c>
      <c r="V420" s="8">
        <f ca="1">RawData[[#This Row],[Z (smoothed demand size)]]/RawData[[#This Row],[X (smoothed interval)]]</f>
        <v>8.9793698137029025</v>
      </c>
    </row>
    <row r="421" spans="1:22">
      <c r="A421" t="s">
        <v>23</v>
      </c>
      <c r="B421" t="s">
        <v>14</v>
      </c>
      <c r="C421">
        <v>28</v>
      </c>
      <c r="D421" t="s">
        <v>22</v>
      </c>
      <c r="E421" t="s">
        <v>16</v>
      </c>
      <c r="F421" s="1">
        <v>44573</v>
      </c>
      <c r="G421">
        <v>12</v>
      </c>
      <c r="H421">
        <v>11</v>
      </c>
      <c r="I421">
        <v>11</v>
      </c>
      <c r="J421">
        <v>0</v>
      </c>
      <c r="K421">
        <v>1</v>
      </c>
      <c r="L421">
        <v>498</v>
      </c>
      <c r="M421">
        <v>15</v>
      </c>
      <c r="N421" s="1">
        <f t="shared" si="48"/>
        <v>44938</v>
      </c>
      <c r="O421" s="1">
        <f t="shared" si="49"/>
        <v>43101</v>
      </c>
      <c r="P421" s="1">
        <f t="shared" si="50"/>
        <v>44896</v>
      </c>
      <c r="Q421" s="8">
        <f t="shared" si="51"/>
        <v>0</v>
      </c>
      <c r="R421" s="8">
        <f t="shared" si="52"/>
        <v>60</v>
      </c>
      <c r="S421" s="8">
        <f t="shared" ca="1" si="53"/>
        <v>60</v>
      </c>
      <c r="T421">
        <f t="shared" ca="1" si="54"/>
        <v>10.212407317620171</v>
      </c>
      <c r="U421" s="8">
        <f t="shared" ca="1" si="55"/>
        <v>1.0700395996273706</v>
      </c>
      <c r="V421" s="8">
        <f ca="1">RawData[[#This Row],[Z (smoothed demand size)]]/RawData[[#This Row],[X (smoothed interval)]]</f>
        <v>9.5439526921961839</v>
      </c>
    </row>
    <row r="422" spans="1:22">
      <c r="A422" t="s">
        <v>23</v>
      </c>
      <c r="B422" t="s">
        <v>14</v>
      </c>
      <c r="C422">
        <v>28</v>
      </c>
      <c r="D422" t="s">
        <v>22</v>
      </c>
      <c r="E422" t="s">
        <v>16</v>
      </c>
      <c r="F422" s="1">
        <v>44927</v>
      </c>
      <c r="G422">
        <v>3</v>
      </c>
      <c r="H422">
        <v>3</v>
      </c>
      <c r="I422">
        <v>10</v>
      </c>
      <c r="J422">
        <v>7</v>
      </c>
      <c r="K422">
        <v>0</v>
      </c>
      <c r="L422">
        <v>443</v>
      </c>
      <c r="M422">
        <v>30</v>
      </c>
      <c r="N422" s="1">
        <f t="shared" si="48"/>
        <v>44938</v>
      </c>
      <c r="O422" s="1">
        <f t="shared" si="49"/>
        <v>43101</v>
      </c>
      <c r="P422" s="1">
        <f t="shared" si="50"/>
        <v>44927</v>
      </c>
      <c r="Q422" s="8">
        <f t="shared" si="51"/>
        <v>0</v>
      </c>
      <c r="R422" s="8">
        <f t="shared" si="52"/>
        <v>61</v>
      </c>
      <c r="S422" s="8">
        <f t="shared" ca="1" si="53"/>
        <v>61</v>
      </c>
      <c r="T422">
        <f t="shared" ca="1" si="54"/>
        <v>8.7699258540961367</v>
      </c>
      <c r="U422" s="8">
        <f t="shared" ca="1" si="55"/>
        <v>1.0560316797018965</v>
      </c>
      <c r="V422" s="8">
        <f ca="1">RawData[[#This Row],[Z (smoothed demand size)]]/RawData[[#This Row],[X (smoothed interval)]]</f>
        <v>8.3046048926976965</v>
      </c>
    </row>
    <row r="423" spans="1:22">
      <c r="A423" t="s">
        <v>23</v>
      </c>
      <c r="B423" t="s">
        <v>14</v>
      </c>
      <c r="C423">
        <v>28</v>
      </c>
      <c r="D423" t="s">
        <v>22</v>
      </c>
      <c r="E423" t="s">
        <v>16</v>
      </c>
      <c r="F423" s="1">
        <v>44928</v>
      </c>
      <c r="G423">
        <v>7</v>
      </c>
      <c r="H423">
        <v>7</v>
      </c>
      <c r="I423">
        <v>19</v>
      </c>
      <c r="J423">
        <v>12</v>
      </c>
      <c r="K423">
        <v>0</v>
      </c>
      <c r="L423">
        <v>431</v>
      </c>
      <c r="M423">
        <v>45</v>
      </c>
      <c r="N423" s="1">
        <f t="shared" si="48"/>
        <v>44938</v>
      </c>
      <c r="O423" s="1">
        <f t="shared" si="49"/>
        <v>43101</v>
      </c>
      <c r="P423" s="1">
        <f t="shared" si="50"/>
        <v>44958</v>
      </c>
      <c r="Q423" s="8">
        <f t="shared" si="51"/>
        <v>0</v>
      </c>
      <c r="R423" s="8">
        <f t="shared" si="52"/>
        <v>62</v>
      </c>
      <c r="S423" s="8">
        <f t="shared" ca="1" si="53"/>
        <v>62</v>
      </c>
      <c r="T423">
        <f t="shared" ca="1" si="54"/>
        <v>8.4159406832769097</v>
      </c>
      <c r="U423" s="8">
        <f t="shared" ca="1" si="55"/>
        <v>1.0448253437615171</v>
      </c>
      <c r="V423" s="8">
        <f ca="1">RawData[[#This Row],[Z (smoothed demand size)]]/RawData[[#This Row],[X (smoothed interval)]]</f>
        <v>8.0548780076279041</v>
      </c>
    </row>
    <row r="424" spans="1:22">
      <c r="A424" t="s">
        <v>23</v>
      </c>
      <c r="B424" t="s">
        <v>14</v>
      </c>
      <c r="C424">
        <v>28</v>
      </c>
      <c r="D424" t="s">
        <v>22</v>
      </c>
      <c r="E424" t="s">
        <v>16</v>
      </c>
      <c r="F424" s="1">
        <v>44929</v>
      </c>
      <c r="G424">
        <v>13</v>
      </c>
      <c r="H424">
        <v>12</v>
      </c>
      <c r="I424">
        <v>12</v>
      </c>
      <c r="J424">
        <v>0</v>
      </c>
      <c r="K424">
        <v>1</v>
      </c>
      <c r="L424">
        <v>430</v>
      </c>
      <c r="M424">
        <v>45</v>
      </c>
      <c r="N424" s="1">
        <f t="shared" si="48"/>
        <v>44938</v>
      </c>
      <c r="O424" s="1">
        <f t="shared" si="49"/>
        <v>43101</v>
      </c>
      <c r="P424" s="1">
        <f t="shared" si="50"/>
        <v>44986</v>
      </c>
      <c r="Q424" s="8">
        <f t="shared" si="51"/>
        <v>0</v>
      </c>
      <c r="R424" s="8">
        <f t="shared" si="52"/>
        <v>63</v>
      </c>
      <c r="S424" s="8">
        <f t="shared" ca="1" si="53"/>
        <v>63</v>
      </c>
      <c r="T424">
        <f t="shared" ca="1" si="54"/>
        <v>9.3327525466215278</v>
      </c>
      <c r="U424" s="8">
        <f t="shared" ca="1" si="55"/>
        <v>1.0358602750092138</v>
      </c>
      <c r="V424" s="8">
        <f ca="1">RawData[[#This Row],[Z (smoothed demand size)]]/RawData[[#This Row],[X (smoothed interval)]]</f>
        <v>9.0096635345326987</v>
      </c>
    </row>
    <row r="425" spans="1:22">
      <c r="A425" t="s">
        <v>23</v>
      </c>
      <c r="B425" t="s">
        <v>14</v>
      </c>
      <c r="C425">
        <v>28</v>
      </c>
      <c r="D425" t="s">
        <v>22</v>
      </c>
      <c r="E425" t="s">
        <v>16</v>
      </c>
      <c r="F425" s="1">
        <v>44930</v>
      </c>
      <c r="G425">
        <v>9</v>
      </c>
      <c r="H425">
        <v>0</v>
      </c>
      <c r="I425">
        <v>0</v>
      </c>
      <c r="J425">
        <v>0</v>
      </c>
      <c r="K425">
        <v>1</v>
      </c>
      <c r="L425">
        <v>428</v>
      </c>
      <c r="M425">
        <v>15</v>
      </c>
      <c r="N425" s="1">
        <f t="shared" si="48"/>
        <v>44938</v>
      </c>
      <c r="O425" s="1">
        <f t="shared" si="49"/>
        <v>43101</v>
      </c>
      <c r="P425" s="1">
        <f t="shared" si="50"/>
        <v>45017</v>
      </c>
      <c r="Q425" s="8">
        <f t="shared" si="51"/>
        <v>0</v>
      </c>
      <c r="R425" s="8">
        <f t="shared" si="52"/>
        <v>64</v>
      </c>
      <c r="S425" s="8">
        <f t="shared" ca="1" si="53"/>
        <v>64</v>
      </c>
      <c r="T425">
        <f t="shared" ca="1" si="54"/>
        <v>9.2662020372972229</v>
      </c>
      <c r="U425" s="8">
        <f t="shared" ca="1" si="55"/>
        <v>1.028688220007371</v>
      </c>
      <c r="V425" s="8">
        <f ca="1">RawData[[#This Row],[Z (smoothed demand size)]]/RawData[[#This Row],[X (smoothed interval)]]</f>
        <v>9.0077847272624805</v>
      </c>
    </row>
    <row r="426" spans="1:22">
      <c r="A426" t="s">
        <v>23</v>
      </c>
      <c r="B426" t="s">
        <v>14</v>
      </c>
      <c r="C426">
        <v>28</v>
      </c>
      <c r="D426" t="s">
        <v>22</v>
      </c>
      <c r="E426" t="s">
        <v>16</v>
      </c>
      <c r="F426" s="1">
        <v>44931</v>
      </c>
      <c r="G426">
        <v>11</v>
      </c>
      <c r="H426">
        <v>11</v>
      </c>
      <c r="I426">
        <v>11</v>
      </c>
      <c r="J426">
        <v>0</v>
      </c>
      <c r="K426">
        <v>0</v>
      </c>
      <c r="L426">
        <v>422</v>
      </c>
      <c r="M426">
        <v>45</v>
      </c>
      <c r="N426" s="1">
        <f t="shared" si="48"/>
        <v>44938</v>
      </c>
      <c r="O426" s="1">
        <f t="shared" si="49"/>
        <v>43101</v>
      </c>
      <c r="P426" s="1">
        <f t="shared" si="50"/>
        <v>45047</v>
      </c>
      <c r="Q426" s="8">
        <f t="shared" si="51"/>
        <v>0</v>
      </c>
      <c r="R426" s="8">
        <f t="shared" si="52"/>
        <v>65</v>
      </c>
      <c r="S426" s="8">
        <f t="shared" ca="1" si="53"/>
        <v>65</v>
      </c>
      <c r="T426">
        <f t="shared" ca="1" si="54"/>
        <v>9.6129616298377787</v>
      </c>
      <c r="U426" s="8">
        <f t="shared" ca="1" si="55"/>
        <v>1.0229505760058968</v>
      </c>
      <c r="V426" s="8">
        <f ca="1">RawData[[#This Row],[Z (smoothed demand size)]]/RawData[[#This Row],[X (smoothed interval)]]</f>
        <v>9.3972884470836497</v>
      </c>
    </row>
    <row r="427" spans="1:22">
      <c r="A427" t="s">
        <v>23</v>
      </c>
      <c r="B427" t="s">
        <v>14</v>
      </c>
      <c r="C427">
        <v>28</v>
      </c>
      <c r="D427" t="s">
        <v>22</v>
      </c>
      <c r="E427" t="s">
        <v>16</v>
      </c>
      <c r="F427" s="1">
        <v>44932</v>
      </c>
      <c r="G427">
        <v>14</v>
      </c>
      <c r="H427">
        <v>0</v>
      </c>
      <c r="I427">
        <v>0</v>
      </c>
      <c r="J427">
        <v>0</v>
      </c>
      <c r="K427">
        <v>1</v>
      </c>
      <c r="L427">
        <v>494</v>
      </c>
      <c r="M427">
        <v>60</v>
      </c>
      <c r="N427" s="1">
        <f t="shared" si="48"/>
        <v>44938</v>
      </c>
      <c r="O427" s="1">
        <f t="shared" si="49"/>
        <v>43101</v>
      </c>
      <c r="P427" s="1">
        <f t="shared" si="50"/>
        <v>45078</v>
      </c>
      <c r="Q427" s="8">
        <f t="shared" si="51"/>
        <v>0</v>
      </c>
      <c r="R427" s="8">
        <f t="shared" si="52"/>
        <v>66</v>
      </c>
      <c r="S427" s="8">
        <f t="shared" ca="1" si="53"/>
        <v>66</v>
      </c>
      <c r="T427">
        <f t="shared" ca="1" si="54"/>
        <v>10.490369303870224</v>
      </c>
      <c r="U427" s="8">
        <f t="shared" ca="1" si="55"/>
        <v>1.0183604608047174</v>
      </c>
      <c r="V427" s="8">
        <f ca="1">RawData[[#This Row],[Z (smoothed demand size)]]/RawData[[#This Row],[X (smoothed interval)]]</f>
        <v>10.301233902562009</v>
      </c>
    </row>
    <row r="428" spans="1:22">
      <c r="A428" t="s">
        <v>23</v>
      </c>
      <c r="B428" t="s">
        <v>14</v>
      </c>
      <c r="C428">
        <v>28</v>
      </c>
      <c r="D428" t="s">
        <v>22</v>
      </c>
      <c r="E428" t="s">
        <v>16</v>
      </c>
      <c r="F428" s="1">
        <v>44933</v>
      </c>
      <c r="G428">
        <v>4</v>
      </c>
      <c r="H428">
        <v>4</v>
      </c>
      <c r="I428">
        <v>11</v>
      </c>
      <c r="J428">
        <v>7</v>
      </c>
      <c r="K428">
        <v>0</v>
      </c>
      <c r="L428">
        <v>484</v>
      </c>
      <c r="M428">
        <v>15</v>
      </c>
      <c r="N428" s="1">
        <f t="shared" si="48"/>
        <v>44938</v>
      </c>
      <c r="O428" s="1">
        <f t="shared" si="49"/>
        <v>43101</v>
      </c>
      <c r="P428" s="1">
        <f t="shared" si="50"/>
        <v>45108</v>
      </c>
      <c r="Q428" s="8">
        <f t="shared" si="51"/>
        <v>0</v>
      </c>
      <c r="R428" s="8">
        <f t="shared" si="52"/>
        <v>67</v>
      </c>
      <c r="S428" s="8">
        <f t="shared" ca="1" si="53"/>
        <v>67</v>
      </c>
      <c r="T428">
        <f t="shared" ca="1" si="54"/>
        <v>9.1922954430961799</v>
      </c>
      <c r="U428" s="8">
        <f t="shared" ca="1" si="55"/>
        <v>1.014688368643774</v>
      </c>
      <c r="V428" s="8">
        <f ca="1">RawData[[#This Row],[Z (smoothed demand size)]]/RawData[[#This Row],[X (smoothed interval)]]</f>
        <v>9.059230131298877</v>
      </c>
    </row>
    <row r="429" spans="1:22">
      <c r="A429" t="s">
        <v>23</v>
      </c>
      <c r="B429" t="s">
        <v>14</v>
      </c>
      <c r="C429">
        <v>28</v>
      </c>
      <c r="D429" t="s">
        <v>22</v>
      </c>
      <c r="E429" t="s">
        <v>16</v>
      </c>
      <c r="F429" s="1">
        <v>44934</v>
      </c>
      <c r="G429">
        <v>14</v>
      </c>
      <c r="H429">
        <v>14</v>
      </c>
      <c r="I429">
        <v>19</v>
      </c>
      <c r="J429">
        <v>5</v>
      </c>
      <c r="K429">
        <v>0</v>
      </c>
      <c r="L429">
        <v>483</v>
      </c>
      <c r="M429">
        <v>15</v>
      </c>
      <c r="N429" s="1">
        <f t="shared" si="48"/>
        <v>44938</v>
      </c>
      <c r="O429" s="1">
        <f t="shared" si="49"/>
        <v>43101</v>
      </c>
      <c r="P429" s="1">
        <f t="shared" si="50"/>
        <v>45139</v>
      </c>
      <c r="Q429" s="8">
        <f t="shared" si="51"/>
        <v>0</v>
      </c>
      <c r="R429" s="8">
        <f t="shared" si="52"/>
        <v>68</v>
      </c>
      <c r="S429" s="8">
        <f t="shared" ca="1" si="53"/>
        <v>68</v>
      </c>
      <c r="T429">
        <f t="shared" ca="1" si="54"/>
        <v>10.153836354476944</v>
      </c>
      <c r="U429" s="8">
        <f t="shared" ca="1" si="55"/>
        <v>1.0117506949150192</v>
      </c>
      <c r="V429" s="8">
        <f ca="1">RawData[[#This Row],[Z (smoothed demand size)]]/RawData[[#This Row],[X (smoothed interval)]]</f>
        <v>10.035907467629468</v>
      </c>
    </row>
    <row r="430" spans="1:22">
      <c r="A430" t="s">
        <v>23</v>
      </c>
      <c r="B430" t="s">
        <v>14</v>
      </c>
      <c r="C430">
        <v>28</v>
      </c>
      <c r="D430" t="s">
        <v>22</v>
      </c>
      <c r="E430" t="s">
        <v>16</v>
      </c>
      <c r="F430" s="1">
        <v>44935</v>
      </c>
      <c r="G430">
        <v>7</v>
      </c>
      <c r="H430">
        <v>7</v>
      </c>
      <c r="I430">
        <v>13</v>
      </c>
      <c r="J430">
        <v>6</v>
      </c>
      <c r="K430">
        <v>0</v>
      </c>
      <c r="L430">
        <v>420</v>
      </c>
      <c r="M430">
        <v>60</v>
      </c>
      <c r="N430" s="1">
        <f t="shared" si="48"/>
        <v>44938</v>
      </c>
      <c r="O430" s="1">
        <f t="shared" si="49"/>
        <v>43101</v>
      </c>
      <c r="P430" s="1">
        <f t="shared" si="50"/>
        <v>45170</v>
      </c>
      <c r="Q430" s="8">
        <f t="shared" si="51"/>
        <v>0</v>
      </c>
      <c r="R430" s="8">
        <f t="shared" si="52"/>
        <v>69</v>
      </c>
      <c r="S430" s="8">
        <f t="shared" ca="1" si="53"/>
        <v>69</v>
      </c>
      <c r="T430">
        <f t="shared" ca="1" si="54"/>
        <v>9.5230690835815555</v>
      </c>
      <c r="U430" s="8">
        <f t="shared" ca="1" si="55"/>
        <v>1.0094005559320154</v>
      </c>
      <c r="V430" s="8">
        <f ca="1">RawData[[#This Row],[Z (smoothed demand size)]]/RawData[[#This Row],[X (smoothed interval)]]</f>
        <v>9.4343806604986131</v>
      </c>
    </row>
    <row r="431" spans="1:22">
      <c r="A431" t="s">
        <v>23</v>
      </c>
      <c r="B431" t="s">
        <v>14</v>
      </c>
      <c r="C431">
        <v>28</v>
      </c>
      <c r="D431" t="s">
        <v>22</v>
      </c>
      <c r="E431" t="s">
        <v>16</v>
      </c>
      <c r="F431" s="1">
        <v>44936</v>
      </c>
      <c r="G431">
        <v>7</v>
      </c>
      <c r="H431">
        <v>6</v>
      </c>
      <c r="I431">
        <v>6</v>
      </c>
      <c r="J431">
        <v>0</v>
      </c>
      <c r="K431">
        <v>1</v>
      </c>
      <c r="L431">
        <v>430</v>
      </c>
      <c r="M431">
        <v>45</v>
      </c>
      <c r="N431" s="1">
        <f t="shared" si="48"/>
        <v>44938</v>
      </c>
      <c r="O431" s="1">
        <f t="shared" si="49"/>
        <v>43101</v>
      </c>
      <c r="P431" s="1">
        <f t="shared" si="50"/>
        <v>45200</v>
      </c>
      <c r="Q431" s="8">
        <f t="shared" si="51"/>
        <v>0</v>
      </c>
      <c r="R431" s="8">
        <f t="shared" si="52"/>
        <v>70</v>
      </c>
      <c r="S431" s="8">
        <f t="shared" ca="1" si="53"/>
        <v>70</v>
      </c>
      <c r="T431">
        <f t="shared" ca="1" si="54"/>
        <v>9.018455266865244</v>
      </c>
      <c r="U431" s="8">
        <f t="shared" ca="1" si="55"/>
        <v>1.0075204447456123</v>
      </c>
      <c r="V431" s="8">
        <f ca="1">RawData[[#This Row],[Z (smoothed demand size)]]/RawData[[#This Row],[X (smoothed interval)]]</f>
        <v>8.9511387226909367</v>
      </c>
    </row>
    <row r="432" spans="1:22">
      <c r="A432" t="s">
        <v>23</v>
      </c>
      <c r="B432" t="s">
        <v>14</v>
      </c>
      <c r="C432">
        <v>28</v>
      </c>
      <c r="D432" t="s">
        <v>22</v>
      </c>
      <c r="E432" t="s">
        <v>16</v>
      </c>
      <c r="F432" s="1">
        <v>44937</v>
      </c>
      <c r="G432">
        <v>10</v>
      </c>
      <c r="H432">
        <v>10</v>
      </c>
      <c r="I432">
        <v>10</v>
      </c>
      <c r="J432">
        <v>0</v>
      </c>
      <c r="K432">
        <v>0</v>
      </c>
      <c r="L432">
        <v>425</v>
      </c>
      <c r="M432">
        <v>45</v>
      </c>
      <c r="N432" s="1">
        <f t="shared" si="48"/>
        <v>44938</v>
      </c>
      <c r="O432" s="1">
        <f t="shared" si="49"/>
        <v>43101</v>
      </c>
      <c r="P432" s="1">
        <f t="shared" si="50"/>
        <v>45231</v>
      </c>
      <c r="Q432" s="8">
        <f t="shared" si="51"/>
        <v>0</v>
      </c>
      <c r="R432" s="8">
        <f t="shared" si="52"/>
        <v>71</v>
      </c>
      <c r="S432" s="8">
        <f t="shared" ca="1" si="53"/>
        <v>71</v>
      </c>
      <c r="T432">
        <f t="shared" ca="1" si="54"/>
        <v>9.2147642134921952</v>
      </c>
      <c r="U432" s="8">
        <f t="shared" ca="1" si="55"/>
        <v>1.0060163557964898</v>
      </c>
      <c r="V432" s="8">
        <f ca="1">RawData[[#This Row],[Z (smoothed demand size)]]/RawData[[#This Row],[X (smoothed interval)]]</f>
        <v>9.159656461247712</v>
      </c>
    </row>
    <row r="433" spans="1:22">
      <c r="A433" t="s">
        <v>23</v>
      </c>
      <c r="B433" t="s">
        <v>14</v>
      </c>
      <c r="C433">
        <v>28</v>
      </c>
      <c r="D433" t="s">
        <v>22</v>
      </c>
      <c r="E433" t="s">
        <v>16</v>
      </c>
      <c r="F433" s="1">
        <v>44938</v>
      </c>
      <c r="G433">
        <v>8</v>
      </c>
      <c r="H433">
        <v>0</v>
      </c>
      <c r="I433">
        <v>0</v>
      </c>
      <c r="J433">
        <v>0</v>
      </c>
      <c r="K433">
        <v>1</v>
      </c>
      <c r="L433">
        <v>490</v>
      </c>
      <c r="M433">
        <v>15</v>
      </c>
      <c r="N433" s="1">
        <f t="shared" si="48"/>
        <v>44938</v>
      </c>
      <c r="O433" s="1">
        <f t="shared" si="49"/>
        <v>43101</v>
      </c>
      <c r="P433" s="1">
        <f t="shared" si="50"/>
        <v>45261</v>
      </c>
      <c r="Q433" s="8">
        <f t="shared" si="51"/>
        <v>0</v>
      </c>
      <c r="R433" s="8">
        <f t="shared" si="52"/>
        <v>72</v>
      </c>
      <c r="S433" s="8">
        <f t="shared" ca="1" si="53"/>
        <v>72</v>
      </c>
      <c r="T433">
        <f t="shared" ca="1" si="54"/>
        <v>8.9718113707937572</v>
      </c>
      <c r="U433" s="8">
        <f t="shared" ca="1" si="55"/>
        <v>1.0048130846371919</v>
      </c>
      <c r="V433" s="8">
        <f ca="1">RawData[[#This Row],[Z (smoothed demand size)]]/RawData[[#This Row],[X (smoothed interval)]]</f>
        <v>8.9288361268038337</v>
      </c>
    </row>
    <row r="434" spans="1:22">
      <c r="A434" t="s">
        <v>24</v>
      </c>
      <c r="B434" t="s">
        <v>14</v>
      </c>
      <c r="C434">
        <v>27</v>
      </c>
      <c r="D434" t="s">
        <v>22</v>
      </c>
      <c r="E434" t="s">
        <v>16</v>
      </c>
      <c r="F434" s="1">
        <v>43101</v>
      </c>
      <c r="G434">
        <v>9</v>
      </c>
      <c r="H434">
        <v>9</v>
      </c>
      <c r="I434">
        <v>21</v>
      </c>
      <c r="J434">
        <v>12</v>
      </c>
      <c r="K434">
        <v>0</v>
      </c>
      <c r="L434">
        <v>546</v>
      </c>
      <c r="M434">
        <v>60</v>
      </c>
      <c r="N434" s="1">
        <f t="shared" si="48"/>
        <v>44938</v>
      </c>
      <c r="O434" s="1">
        <f t="shared" si="49"/>
        <v>43101</v>
      </c>
      <c r="P434" s="1">
        <f t="shared" si="50"/>
        <v>43101</v>
      </c>
      <c r="Q434" s="8">
        <f t="shared" si="51"/>
        <v>1</v>
      </c>
      <c r="R434" s="8">
        <f t="shared" si="52"/>
        <v>1</v>
      </c>
      <c r="S434" s="8">
        <f t="shared" ca="1" si="53"/>
        <v>1</v>
      </c>
      <c r="T434">
        <f t="shared" ca="1" si="54"/>
        <v>9</v>
      </c>
      <c r="U434" s="8">
        <f t="shared" ca="1" si="55"/>
        <v>1</v>
      </c>
      <c r="V434" s="8">
        <f ca="1">RawData[[#This Row],[Z (smoothed demand size)]]/RawData[[#This Row],[X (smoothed interval)]]</f>
        <v>9</v>
      </c>
    </row>
    <row r="435" spans="1:22">
      <c r="A435" t="s">
        <v>24</v>
      </c>
      <c r="B435" t="s">
        <v>14</v>
      </c>
      <c r="C435">
        <v>27</v>
      </c>
      <c r="D435" t="s">
        <v>22</v>
      </c>
      <c r="E435" t="s">
        <v>16</v>
      </c>
      <c r="F435" s="1">
        <v>43102</v>
      </c>
      <c r="G435">
        <v>8</v>
      </c>
      <c r="H435">
        <v>8</v>
      </c>
      <c r="I435">
        <v>12</v>
      </c>
      <c r="J435">
        <v>4</v>
      </c>
      <c r="K435">
        <v>0</v>
      </c>
      <c r="L435">
        <v>553</v>
      </c>
      <c r="M435">
        <v>45</v>
      </c>
      <c r="N435" s="1">
        <f t="shared" si="48"/>
        <v>44938</v>
      </c>
      <c r="O435" s="1">
        <f t="shared" si="49"/>
        <v>43101</v>
      </c>
      <c r="P435" s="1">
        <f t="shared" si="50"/>
        <v>43132</v>
      </c>
      <c r="Q435" s="8">
        <f t="shared" si="51"/>
        <v>0</v>
      </c>
      <c r="R435" s="8">
        <f t="shared" si="52"/>
        <v>2</v>
      </c>
      <c r="S435" s="8">
        <f t="shared" ca="1" si="53"/>
        <v>2</v>
      </c>
      <c r="T435">
        <f t="shared" ca="1" si="54"/>
        <v>8.8000000000000007</v>
      </c>
      <c r="U435" s="8">
        <f t="shared" ca="1" si="55"/>
        <v>1</v>
      </c>
      <c r="V435" s="8">
        <f ca="1">RawData[[#This Row],[Z (smoothed demand size)]]/RawData[[#This Row],[X (smoothed interval)]]</f>
        <v>8.8000000000000007</v>
      </c>
    </row>
    <row r="436" spans="1:22">
      <c r="A436" t="s">
        <v>24</v>
      </c>
      <c r="B436" t="s">
        <v>14</v>
      </c>
      <c r="C436">
        <v>27</v>
      </c>
      <c r="D436" t="s">
        <v>22</v>
      </c>
      <c r="E436" t="s">
        <v>16</v>
      </c>
      <c r="F436" s="1">
        <v>43103</v>
      </c>
      <c r="G436">
        <v>6</v>
      </c>
      <c r="H436">
        <v>4</v>
      </c>
      <c r="I436">
        <v>4</v>
      </c>
      <c r="J436">
        <v>0</v>
      </c>
      <c r="K436">
        <v>1</v>
      </c>
      <c r="L436">
        <v>552</v>
      </c>
      <c r="M436">
        <v>30</v>
      </c>
      <c r="N436" s="1">
        <f t="shared" si="48"/>
        <v>44938</v>
      </c>
      <c r="O436" s="1">
        <f t="shared" si="49"/>
        <v>43101</v>
      </c>
      <c r="P436" s="1">
        <f t="shared" si="50"/>
        <v>43160</v>
      </c>
      <c r="Q436" s="8">
        <f t="shared" si="51"/>
        <v>0</v>
      </c>
      <c r="R436" s="8">
        <f t="shared" si="52"/>
        <v>3</v>
      </c>
      <c r="S436" s="8">
        <f t="shared" ca="1" si="53"/>
        <v>3</v>
      </c>
      <c r="T436">
        <f t="shared" ca="1" si="54"/>
        <v>8.240000000000002</v>
      </c>
      <c r="U436" s="8">
        <f t="shared" ca="1" si="55"/>
        <v>1</v>
      </c>
      <c r="V436" s="8">
        <f ca="1">RawData[[#This Row],[Z (smoothed demand size)]]/RawData[[#This Row],[X (smoothed interval)]]</f>
        <v>8.240000000000002</v>
      </c>
    </row>
    <row r="437" spans="1:22">
      <c r="A437" t="s">
        <v>24</v>
      </c>
      <c r="B437" t="s">
        <v>14</v>
      </c>
      <c r="C437">
        <v>27</v>
      </c>
      <c r="D437" t="s">
        <v>22</v>
      </c>
      <c r="E437" t="s">
        <v>16</v>
      </c>
      <c r="F437" s="1">
        <v>43104</v>
      </c>
      <c r="G437">
        <v>4</v>
      </c>
      <c r="H437">
        <v>4</v>
      </c>
      <c r="I437">
        <v>12</v>
      </c>
      <c r="J437">
        <v>8</v>
      </c>
      <c r="K437">
        <v>0</v>
      </c>
      <c r="L437">
        <v>564</v>
      </c>
      <c r="M437">
        <v>15</v>
      </c>
      <c r="N437" s="1">
        <f t="shared" si="48"/>
        <v>44938</v>
      </c>
      <c r="O437" s="1">
        <f t="shared" si="49"/>
        <v>43101</v>
      </c>
      <c r="P437" s="1">
        <f t="shared" si="50"/>
        <v>43191</v>
      </c>
      <c r="Q437" s="8">
        <f t="shared" si="51"/>
        <v>0</v>
      </c>
      <c r="R437" s="8">
        <f t="shared" si="52"/>
        <v>4</v>
      </c>
      <c r="S437" s="8">
        <f t="shared" ca="1" si="53"/>
        <v>4</v>
      </c>
      <c r="T437">
        <f t="shared" ca="1" si="54"/>
        <v>7.3920000000000021</v>
      </c>
      <c r="U437" s="8">
        <f t="shared" ca="1" si="55"/>
        <v>1</v>
      </c>
      <c r="V437" s="8">
        <f ca="1">RawData[[#This Row],[Z (smoothed demand size)]]/RawData[[#This Row],[X (smoothed interval)]]</f>
        <v>7.3920000000000021</v>
      </c>
    </row>
    <row r="438" spans="1:22">
      <c r="A438" t="s">
        <v>24</v>
      </c>
      <c r="B438" t="s">
        <v>14</v>
      </c>
      <c r="C438">
        <v>27</v>
      </c>
      <c r="D438" t="s">
        <v>22</v>
      </c>
      <c r="E438" t="s">
        <v>16</v>
      </c>
      <c r="F438" s="1">
        <v>43105</v>
      </c>
      <c r="G438">
        <v>3</v>
      </c>
      <c r="H438">
        <v>3</v>
      </c>
      <c r="I438">
        <v>15</v>
      </c>
      <c r="J438">
        <v>12</v>
      </c>
      <c r="K438">
        <v>0</v>
      </c>
      <c r="L438">
        <v>556</v>
      </c>
      <c r="M438">
        <v>45</v>
      </c>
      <c r="N438" s="1">
        <f t="shared" si="48"/>
        <v>44938</v>
      </c>
      <c r="O438" s="1">
        <f t="shared" si="49"/>
        <v>43101</v>
      </c>
      <c r="P438" s="1">
        <f t="shared" si="50"/>
        <v>43221</v>
      </c>
      <c r="Q438" s="8">
        <f t="shared" si="51"/>
        <v>0</v>
      </c>
      <c r="R438" s="8">
        <f t="shared" si="52"/>
        <v>5</v>
      </c>
      <c r="S438" s="8">
        <f t="shared" ca="1" si="53"/>
        <v>5</v>
      </c>
      <c r="T438">
        <f t="shared" ca="1" si="54"/>
        <v>6.5136000000000021</v>
      </c>
      <c r="U438" s="8">
        <f t="shared" ca="1" si="55"/>
        <v>1</v>
      </c>
      <c r="V438" s="8">
        <f ca="1">RawData[[#This Row],[Z (smoothed demand size)]]/RawData[[#This Row],[X (smoothed interval)]]</f>
        <v>6.5136000000000021</v>
      </c>
    </row>
    <row r="439" spans="1:22">
      <c r="A439" t="s">
        <v>24</v>
      </c>
      <c r="B439" t="s">
        <v>14</v>
      </c>
      <c r="C439">
        <v>27</v>
      </c>
      <c r="D439" t="s">
        <v>22</v>
      </c>
      <c r="E439" t="s">
        <v>16</v>
      </c>
      <c r="F439" s="1">
        <v>43106</v>
      </c>
      <c r="G439">
        <v>6</v>
      </c>
      <c r="H439">
        <v>6</v>
      </c>
      <c r="I439">
        <v>12</v>
      </c>
      <c r="J439">
        <v>6</v>
      </c>
      <c r="K439">
        <v>0</v>
      </c>
      <c r="L439">
        <v>625</v>
      </c>
      <c r="M439">
        <v>15</v>
      </c>
      <c r="N439" s="1">
        <f t="shared" si="48"/>
        <v>44938</v>
      </c>
      <c r="O439" s="1">
        <f t="shared" si="49"/>
        <v>43101</v>
      </c>
      <c r="P439" s="1">
        <f t="shared" si="50"/>
        <v>43252</v>
      </c>
      <c r="Q439" s="8">
        <f t="shared" si="51"/>
        <v>0</v>
      </c>
      <c r="R439" s="8">
        <f t="shared" si="52"/>
        <v>6</v>
      </c>
      <c r="S439" s="8">
        <f t="shared" ca="1" si="53"/>
        <v>6</v>
      </c>
      <c r="T439">
        <f t="shared" ca="1" si="54"/>
        <v>6.4108800000000024</v>
      </c>
      <c r="U439" s="8">
        <f t="shared" ca="1" si="55"/>
        <v>1</v>
      </c>
      <c r="V439" s="8">
        <f ca="1">RawData[[#This Row],[Z (smoothed demand size)]]/RawData[[#This Row],[X (smoothed interval)]]</f>
        <v>6.4108800000000024</v>
      </c>
    </row>
    <row r="440" spans="1:22">
      <c r="A440" t="s">
        <v>24</v>
      </c>
      <c r="B440" t="s">
        <v>14</v>
      </c>
      <c r="C440">
        <v>27</v>
      </c>
      <c r="D440" t="s">
        <v>22</v>
      </c>
      <c r="E440" t="s">
        <v>16</v>
      </c>
      <c r="F440" s="1">
        <v>43107</v>
      </c>
      <c r="G440">
        <v>7</v>
      </c>
      <c r="H440">
        <v>7</v>
      </c>
      <c r="I440">
        <v>15</v>
      </c>
      <c r="J440">
        <v>8</v>
      </c>
      <c r="K440">
        <v>0</v>
      </c>
      <c r="L440">
        <v>630</v>
      </c>
      <c r="M440">
        <v>30</v>
      </c>
      <c r="N440" s="1">
        <f t="shared" si="48"/>
        <v>44938</v>
      </c>
      <c r="O440" s="1">
        <f t="shared" si="49"/>
        <v>43101</v>
      </c>
      <c r="P440" s="1">
        <f t="shared" si="50"/>
        <v>43282</v>
      </c>
      <c r="Q440" s="8">
        <f t="shared" si="51"/>
        <v>0</v>
      </c>
      <c r="R440" s="8">
        <f t="shared" si="52"/>
        <v>7</v>
      </c>
      <c r="S440" s="8">
        <f t="shared" ca="1" si="53"/>
        <v>7</v>
      </c>
      <c r="T440">
        <f t="shared" ca="1" si="54"/>
        <v>6.5287040000000029</v>
      </c>
      <c r="U440" s="8">
        <f t="shared" ca="1" si="55"/>
        <v>1</v>
      </c>
      <c r="V440" s="8">
        <f ca="1">RawData[[#This Row],[Z (smoothed demand size)]]/RawData[[#This Row],[X (smoothed interval)]]</f>
        <v>6.5287040000000029</v>
      </c>
    </row>
    <row r="441" spans="1:22">
      <c r="A441" t="s">
        <v>24</v>
      </c>
      <c r="B441" t="s">
        <v>14</v>
      </c>
      <c r="C441">
        <v>27</v>
      </c>
      <c r="D441" t="s">
        <v>22</v>
      </c>
      <c r="E441" t="s">
        <v>16</v>
      </c>
      <c r="F441" s="1">
        <v>43108</v>
      </c>
      <c r="G441">
        <v>6</v>
      </c>
      <c r="H441">
        <v>6</v>
      </c>
      <c r="I441">
        <v>20</v>
      </c>
      <c r="J441">
        <v>14</v>
      </c>
      <c r="K441">
        <v>0</v>
      </c>
      <c r="L441">
        <v>632</v>
      </c>
      <c r="M441">
        <v>60</v>
      </c>
      <c r="N441" s="1">
        <f t="shared" si="48"/>
        <v>44938</v>
      </c>
      <c r="O441" s="1">
        <f t="shared" si="49"/>
        <v>43101</v>
      </c>
      <c r="P441" s="1">
        <f t="shared" si="50"/>
        <v>43313</v>
      </c>
      <c r="Q441" s="8">
        <f t="shared" si="51"/>
        <v>0</v>
      </c>
      <c r="R441" s="8">
        <f t="shared" si="52"/>
        <v>8</v>
      </c>
      <c r="S441" s="8">
        <f t="shared" ca="1" si="53"/>
        <v>8</v>
      </c>
      <c r="T441">
        <f t="shared" ca="1" si="54"/>
        <v>6.4229632000000025</v>
      </c>
      <c r="U441" s="8">
        <f t="shared" ca="1" si="55"/>
        <v>1</v>
      </c>
      <c r="V441" s="8">
        <f ca="1">RawData[[#This Row],[Z (smoothed demand size)]]/RawData[[#This Row],[X (smoothed interval)]]</f>
        <v>6.4229632000000025</v>
      </c>
    </row>
    <row r="442" spans="1:22">
      <c r="A442" t="s">
        <v>24</v>
      </c>
      <c r="B442" t="s">
        <v>14</v>
      </c>
      <c r="C442">
        <v>27</v>
      </c>
      <c r="D442" t="s">
        <v>22</v>
      </c>
      <c r="E442" t="s">
        <v>16</v>
      </c>
      <c r="F442" s="1">
        <v>43109</v>
      </c>
      <c r="G442">
        <v>8</v>
      </c>
      <c r="H442">
        <v>8</v>
      </c>
      <c r="I442">
        <v>14</v>
      </c>
      <c r="J442">
        <v>6</v>
      </c>
      <c r="K442">
        <v>0</v>
      </c>
      <c r="L442">
        <v>560</v>
      </c>
      <c r="M442">
        <v>30</v>
      </c>
      <c r="N442" s="1">
        <f t="shared" si="48"/>
        <v>44938</v>
      </c>
      <c r="O442" s="1">
        <f t="shared" si="49"/>
        <v>43101</v>
      </c>
      <c r="P442" s="1">
        <f t="shared" si="50"/>
        <v>43344</v>
      </c>
      <c r="Q442" s="8">
        <f t="shared" si="51"/>
        <v>0</v>
      </c>
      <c r="R442" s="8">
        <f t="shared" si="52"/>
        <v>9</v>
      </c>
      <c r="S442" s="8">
        <f t="shared" ca="1" si="53"/>
        <v>9</v>
      </c>
      <c r="T442">
        <f t="shared" ca="1" si="54"/>
        <v>6.7383705600000017</v>
      </c>
      <c r="U442" s="8">
        <f t="shared" ca="1" si="55"/>
        <v>1</v>
      </c>
      <c r="V442" s="8">
        <f ca="1">RawData[[#This Row],[Z (smoothed demand size)]]/RawData[[#This Row],[X (smoothed interval)]]</f>
        <v>6.7383705600000017</v>
      </c>
    </row>
    <row r="443" spans="1:22">
      <c r="A443" t="s">
        <v>24</v>
      </c>
      <c r="B443" t="s">
        <v>14</v>
      </c>
      <c r="C443">
        <v>27</v>
      </c>
      <c r="D443" t="s">
        <v>22</v>
      </c>
      <c r="E443" t="s">
        <v>16</v>
      </c>
      <c r="F443" s="1">
        <v>43110</v>
      </c>
      <c r="G443">
        <v>8</v>
      </c>
      <c r="H443">
        <v>8</v>
      </c>
      <c r="I443">
        <v>16</v>
      </c>
      <c r="J443">
        <v>8</v>
      </c>
      <c r="K443">
        <v>0</v>
      </c>
      <c r="L443">
        <v>559</v>
      </c>
      <c r="M443">
        <v>30</v>
      </c>
      <c r="N443" s="1">
        <f t="shared" si="48"/>
        <v>44938</v>
      </c>
      <c r="O443" s="1">
        <f t="shared" si="49"/>
        <v>43101</v>
      </c>
      <c r="P443" s="1">
        <f t="shared" si="50"/>
        <v>43374</v>
      </c>
      <c r="Q443" s="8">
        <f t="shared" si="51"/>
        <v>0</v>
      </c>
      <c r="R443" s="8">
        <f t="shared" si="52"/>
        <v>10</v>
      </c>
      <c r="S443" s="8">
        <f t="shared" ca="1" si="53"/>
        <v>10</v>
      </c>
      <c r="T443">
        <f t="shared" ca="1" si="54"/>
        <v>6.9906964480000013</v>
      </c>
      <c r="U443" s="8">
        <f t="shared" ca="1" si="55"/>
        <v>1</v>
      </c>
      <c r="V443" s="8">
        <f ca="1">RawData[[#This Row],[Z (smoothed demand size)]]/RawData[[#This Row],[X (smoothed interval)]]</f>
        <v>6.9906964480000013</v>
      </c>
    </row>
    <row r="444" spans="1:22">
      <c r="A444" t="s">
        <v>24</v>
      </c>
      <c r="B444" t="s">
        <v>14</v>
      </c>
      <c r="C444">
        <v>27</v>
      </c>
      <c r="D444" t="s">
        <v>22</v>
      </c>
      <c r="E444" t="s">
        <v>16</v>
      </c>
      <c r="F444" s="1">
        <v>43111</v>
      </c>
      <c r="G444">
        <v>10</v>
      </c>
      <c r="H444">
        <v>10</v>
      </c>
      <c r="I444">
        <v>19</v>
      </c>
      <c r="J444">
        <v>9</v>
      </c>
      <c r="K444">
        <v>0</v>
      </c>
      <c r="L444">
        <v>553</v>
      </c>
      <c r="M444">
        <v>30</v>
      </c>
      <c r="N444" s="1">
        <f t="shared" si="48"/>
        <v>44938</v>
      </c>
      <c r="O444" s="1">
        <f t="shared" si="49"/>
        <v>43101</v>
      </c>
      <c r="P444" s="1">
        <f t="shared" si="50"/>
        <v>43405</v>
      </c>
      <c r="Q444" s="8">
        <f t="shared" si="51"/>
        <v>0</v>
      </c>
      <c r="R444" s="8">
        <f t="shared" si="52"/>
        <v>11</v>
      </c>
      <c r="S444" s="8">
        <f t="shared" ca="1" si="53"/>
        <v>11</v>
      </c>
      <c r="T444">
        <f t="shared" ca="1" si="54"/>
        <v>7.5925571584000018</v>
      </c>
      <c r="U444" s="8">
        <f t="shared" ca="1" si="55"/>
        <v>1</v>
      </c>
      <c r="V444" s="8">
        <f ca="1">RawData[[#This Row],[Z (smoothed demand size)]]/RawData[[#This Row],[X (smoothed interval)]]</f>
        <v>7.5925571584000018</v>
      </c>
    </row>
    <row r="445" spans="1:22">
      <c r="A445" t="s">
        <v>24</v>
      </c>
      <c r="B445" t="s">
        <v>14</v>
      </c>
      <c r="C445">
        <v>27</v>
      </c>
      <c r="D445" t="s">
        <v>22</v>
      </c>
      <c r="E445" t="s">
        <v>16</v>
      </c>
      <c r="F445" s="1">
        <v>43112</v>
      </c>
      <c r="G445">
        <v>10</v>
      </c>
      <c r="H445">
        <v>9</v>
      </c>
      <c r="I445">
        <v>9</v>
      </c>
      <c r="J445">
        <v>0</v>
      </c>
      <c r="K445">
        <v>1</v>
      </c>
      <c r="L445">
        <v>635</v>
      </c>
      <c r="M445">
        <v>45</v>
      </c>
      <c r="N445" s="1">
        <f t="shared" si="48"/>
        <v>44938</v>
      </c>
      <c r="O445" s="1">
        <f t="shared" si="49"/>
        <v>43101</v>
      </c>
      <c r="P445" s="1">
        <f t="shared" si="50"/>
        <v>43435</v>
      </c>
      <c r="Q445" s="8">
        <f t="shared" si="51"/>
        <v>0</v>
      </c>
      <c r="R445" s="8">
        <f t="shared" si="52"/>
        <v>12</v>
      </c>
      <c r="S445" s="8">
        <f t="shared" ca="1" si="53"/>
        <v>12</v>
      </c>
      <c r="T445">
        <f t="shared" ca="1" si="54"/>
        <v>8.0740457267200014</v>
      </c>
      <c r="U445" s="8">
        <f t="shared" ca="1" si="55"/>
        <v>1</v>
      </c>
      <c r="V445" s="8">
        <f ca="1">RawData[[#This Row],[Z (smoothed demand size)]]/RawData[[#This Row],[X (smoothed interval)]]</f>
        <v>8.0740457267200014</v>
      </c>
    </row>
    <row r="446" spans="1:22">
      <c r="A446" t="s">
        <v>24</v>
      </c>
      <c r="B446" t="s">
        <v>14</v>
      </c>
      <c r="C446">
        <v>27</v>
      </c>
      <c r="D446" t="s">
        <v>22</v>
      </c>
      <c r="E446" t="s">
        <v>16</v>
      </c>
      <c r="F446" s="1">
        <v>43466</v>
      </c>
      <c r="G446">
        <v>12</v>
      </c>
      <c r="H446">
        <v>0</v>
      </c>
      <c r="I446">
        <v>0</v>
      </c>
      <c r="J446">
        <v>0</v>
      </c>
      <c r="K446">
        <v>1</v>
      </c>
      <c r="L446">
        <v>557</v>
      </c>
      <c r="M446">
        <v>15</v>
      </c>
      <c r="N446" s="1">
        <f t="shared" si="48"/>
        <v>44938</v>
      </c>
      <c r="O446" s="1">
        <f t="shared" si="49"/>
        <v>43101</v>
      </c>
      <c r="P446" s="1">
        <f t="shared" si="50"/>
        <v>43466</v>
      </c>
      <c r="Q446" s="8">
        <f t="shared" si="51"/>
        <v>0</v>
      </c>
      <c r="R446" s="8">
        <f t="shared" si="52"/>
        <v>13</v>
      </c>
      <c r="S446" s="8">
        <f t="shared" ca="1" si="53"/>
        <v>13</v>
      </c>
      <c r="T446">
        <f t="shared" ca="1" si="54"/>
        <v>8.8592365813760026</v>
      </c>
      <c r="U446" s="8">
        <f t="shared" ca="1" si="55"/>
        <v>1</v>
      </c>
      <c r="V446" s="8">
        <f ca="1">RawData[[#This Row],[Z (smoothed demand size)]]/RawData[[#This Row],[X (smoothed interval)]]</f>
        <v>8.8592365813760026</v>
      </c>
    </row>
    <row r="447" spans="1:22">
      <c r="A447" t="s">
        <v>24</v>
      </c>
      <c r="B447" t="s">
        <v>14</v>
      </c>
      <c r="C447">
        <v>27</v>
      </c>
      <c r="D447" t="s">
        <v>22</v>
      </c>
      <c r="E447" t="s">
        <v>16</v>
      </c>
      <c r="F447" s="1">
        <v>43467</v>
      </c>
      <c r="G447">
        <v>9</v>
      </c>
      <c r="H447">
        <v>9</v>
      </c>
      <c r="I447">
        <v>12</v>
      </c>
      <c r="J447">
        <v>3</v>
      </c>
      <c r="K447">
        <v>0</v>
      </c>
      <c r="L447">
        <v>547</v>
      </c>
      <c r="M447">
        <v>15</v>
      </c>
      <c r="N447" s="1">
        <f t="shared" si="48"/>
        <v>44938</v>
      </c>
      <c r="O447" s="1">
        <f t="shared" si="49"/>
        <v>43101</v>
      </c>
      <c r="P447" s="1">
        <f t="shared" si="50"/>
        <v>43497</v>
      </c>
      <c r="Q447" s="8">
        <f t="shared" si="51"/>
        <v>0</v>
      </c>
      <c r="R447" s="8">
        <f t="shared" si="52"/>
        <v>14</v>
      </c>
      <c r="S447" s="8">
        <f t="shared" ca="1" si="53"/>
        <v>14</v>
      </c>
      <c r="T447">
        <f t="shared" ca="1" si="54"/>
        <v>8.8873892651008024</v>
      </c>
      <c r="U447" s="8">
        <f t="shared" ca="1" si="55"/>
        <v>1</v>
      </c>
      <c r="V447" s="8">
        <f ca="1">RawData[[#This Row],[Z (smoothed demand size)]]/RawData[[#This Row],[X (smoothed interval)]]</f>
        <v>8.8873892651008024</v>
      </c>
    </row>
    <row r="448" spans="1:22">
      <c r="A448" t="s">
        <v>24</v>
      </c>
      <c r="B448" t="s">
        <v>14</v>
      </c>
      <c r="C448">
        <v>27</v>
      </c>
      <c r="D448" t="s">
        <v>22</v>
      </c>
      <c r="E448" t="s">
        <v>16</v>
      </c>
      <c r="F448" s="1">
        <v>43468</v>
      </c>
      <c r="G448">
        <v>11</v>
      </c>
      <c r="H448">
        <v>11</v>
      </c>
      <c r="I448">
        <v>12</v>
      </c>
      <c r="J448">
        <v>1</v>
      </c>
      <c r="K448">
        <v>0</v>
      </c>
      <c r="L448">
        <v>556</v>
      </c>
      <c r="M448">
        <v>60</v>
      </c>
      <c r="N448" s="1">
        <f t="shared" si="48"/>
        <v>44938</v>
      </c>
      <c r="O448" s="1">
        <f t="shared" si="49"/>
        <v>43101</v>
      </c>
      <c r="P448" s="1">
        <f t="shared" si="50"/>
        <v>43525</v>
      </c>
      <c r="Q448" s="8">
        <f t="shared" si="51"/>
        <v>0</v>
      </c>
      <c r="R448" s="8">
        <f t="shared" si="52"/>
        <v>15</v>
      </c>
      <c r="S448" s="8">
        <f t="shared" ca="1" si="53"/>
        <v>15</v>
      </c>
      <c r="T448">
        <f t="shared" ca="1" si="54"/>
        <v>9.3099114120806412</v>
      </c>
      <c r="U448" s="8">
        <f t="shared" ca="1" si="55"/>
        <v>1</v>
      </c>
      <c r="V448" s="8">
        <f ca="1">RawData[[#This Row],[Z (smoothed demand size)]]/RawData[[#This Row],[X (smoothed interval)]]</f>
        <v>9.3099114120806412</v>
      </c>
    </row>
    <row r="449" spans="1:22">
      <c r="A449" t="s">
        <v>24</v>
      </c>
      <c r="B449" t="s">
        <v>14</v>
      </c>
      <c r="C449">
        <v>27</v>
      </c>
      <c r="D449" t="s">
        <v>22</v>
      </c>
      <c r="E449" t="s">
        <v>16</v>
      </c>
      <c r="F449" s="1">
        <v>43469</v>
      </c>
      <c r="G449">
        <v>8</v>
      </c>
      <c r="H449">
        <v>1</v>
      </c>
      <c r="I449">
        <v>1</v>
      </c>
      <c r="J449">
        <v>0</v>
      </c>
      <c r="K449">
        <v>1</v>
      </c>
      <c r="L449">
        <v>555</v>
      </c>
      <c r="M449">
        <v>15</v>
      </c>
      <c r="N449" s="1">
        <f t="shared" si="48"/>
        <v>44938</v>
      </c>
      <c r="O449" s="1">
        <f t="shared" si="49"/>
        <v>43101</v>
      </c>
      <c r="P449" s="1">
        <f t="shared" si="50"/>
        <v>43556</v>
      </c>
      <c r="Q449" s="8">
        <f t="shared" si="51"/>
        <v>0</v>
      </c>
      <c r="R449" s="8">
        <f t="shared" si="52"/>
        <v>16</v>
      </c>
      <c r="S449" s="8">
        <f t="shared" ca="1" si="53"/>
        <v>16</v>
      </c>
      <c r="T449">
        <f t="shared" ca="1" si="54"/>
        <v>9.0479291296645137</v>
      </c>
      <c r="U449" s="8">
        <f t="shared" ca="1" si="55"/>
        <v>1</v>
      </c>
      <c r="V449" s="8">
        <f ca="1">RawData[[#This Row],[Z (smoothed demand size)]]/RawData[[#This Row],[X (smoothed interval)]]</f>
        <v>9.0479291296645137</v>
      </c>
    </row>
    <row r="450" spans="1:22">
      <c r="A450" t="s">
        <v>24</v>
      </c>
      <c r="B450" t="s">
        <v>14</v>
      </c>
      <c r="C450">
        <v>27</v>
      </c>
      <c r="D450" t="s">
        <v>22</v>
      </c>
      <c r="E450" t="s">
        <v>16</v>
      </c>
      <c r="F450" s="1">
        <v>43470</v>
      </c>
      <c r="G450">
        <v>6</v>
      </c>
      <c r="H450">
        <v>6</v>
      </c>
      <c r="I450">
        <v>10</v>
      </c>
      <c r="J450">
        <v>4</v>
      </c>
      <c r="K450">
        <v>0</v>
      </c>
      <c r="L450">
        <v>552</v>
      </c>
      <c r="M450">
        <v>30</v>
      </c>
      <c r="N450" s="1">
        <f t="shared" ref="N450:N513" si="56">MAX(F:F)</f>
        <v>44938</v>
      </c>
      <c r="O450" s="1">
        <f t="shared" ref="O450:O513" si="57">MIN(F:F)</f>
        <v>43101</v>
      </c>
      <c r="P450" s="1">
        <f t="shared" ref="P450:P513" si="58">DATE(YEAR(F450), DAY(F450), 1)</f>
        <v>43586</v>
      </c>
      <c r="Q450" s="8">
        <f t="shared" ref="Q450:Q513" si="59" xml:space="preserve"> IF(A450&lt;&gt;A449, 1, 0)</f>
        <v>0</v>
      </c>
      <c r="R450" s="8">
        <f t="shared" ref="R450:R513" si="60">IF(Q450=1,1,R449+1)</f>
        <v>17</v>
      </c>
      <c r="S450" s="8">
        <f t="shared" ref="S450:S513" ca="1" si="61" xml:space="preserve"> IF(Q450=1, IF(G450&gt;0, R450, 0), IF(G450&gt;0, R450, OFFSET(S450,-1,0)))</f>
        <v>17</v>
      </c>
      <c r="T450">
        <f t="shared" ref="T450:T513" ca="1" si="62" xml:space="preserve"> IF(Q450=1, IF(G450&gt;0, G450, 0), IF(G450&gt;0, $X$1*G450+(1-$X$1)*OFFSET(T450,-1,0), OFFSET(T450,-1,0)))</f>
        <v>8.4383433037316102</v>
      </c>
      <c r="U450" s="8">
        <f t="shared" ref="U450:U513" ca="1" si="63" xml:space="preserve"> IF(Q450=1, 1, IF(G450&gt;0, $X$1*(R450-OFFSET(S450,-1,0))+(1-$X$1)*OFFSET(U450,-1,0), OFFSET(U450,-1,0)))</f>
        <v>1</v>
      </c>
      <c r="V450" s="8">
        <f ca="1">RawData[[#This Row],[Z (smoothed demand size)]]/RawData[[#This Row],[X (smoothed interval)]]</f>
        <v>8.4383433037316102</v>
      </c>
    </row>
    <row r="451" spans="1:22">
      <c r="A451" t="s">
        <v>24</v>
      </c>
      <c r="B451" t="s">
        <v>14</v>
      </c>
      <c r="C451">
        <v>27</v>
      </c>
      <c r="D451" t="s">
        <v>22</v>
      </c>
      <c r="E451" t="s">
        <v>16</v>
      </c>
      <c r="F451" s="1">
        <v>43471</v>
      </c>
      <c r="G451">
        <v>5</v>
      </c>
      <c r="H451">
        <v>5</v>
      </c>
      <c r="I451">
        <v>14</v>
      </c>
      <c r="J451">
        <v>9</v>
      </c>
      <c r="K451">
        <v>0</v>
      </c>
      <c r="L451">
        <v>639</v>
      </c>
      <c r="M451">
        <v>60</v>
      </c>
      <c r="N451" s="1">
        <f t="shared" si="56"/>
        <v>44938</v>
      </c>
      <c r="O451" s="1">
        <f t="shared" si="57"/>
        <v>43101</v>
      </c>
      <c r="P451" s="1">
        <f t="shared" si="58"/>
        <v>43617</v>
      </c>
      <c r="Q451" s="8">
        <f t="shared" si="59"/>
        <v>0</v>
      </c>
      <c r="R451" s="8">
        <f t="shared" si="60"/>
        <v>18</v>
      </c>
      <c r="S451" s="8">
        <f t="shared" ca="1" si="61"/>
        <v>18</v>
      </c>
      <c r="T451">
        <f t="shared" ca="1" si="62"/>
        <v>7.7506746429852882</v>
      </c>
      <c r="U451" s="8">
        <f t="shared" ca="1" si="63"/>
        <v>1</v>
      </c>
      <c r="V451" s="8">
        <f ca="1">RawData[[#This Row],[Z (smoothed demand size)]]/RawData[[#This Row],[X (smoothed interval)]]</f>
        <v>7.7506746429852882</v>
      </c>
    </row>
    <row r="452" spans="1:22">
      <c r="A452" t="s">
        <v>24</v>
      </c>
      <c r="B452" t="s">
        <v>14</v>
      </c>
      <c r="C452">
        <v>27</v>
      </c>
      <c r="D452" t="s">
        <v>22</v>
      </c>
      <c r="E452" t="s">
        <v>16</v>
      </c>
      <c r="F452" s="1">
        <v>43472</v>
      </c>
      <c r="G452">
        <v>9</v>
      </c>
      <c r="H452">
        <v>9</v>
      </c>
      <c r="I452">
        <v>9</v>
      </c>
      <c r="J452">
        <v>0</v>
      </c>
      <c r="K452">
        <v>0</v>
      </c>
      <c r="L452">
        <v>637</v>
      </c>
      <c r="M452">
        <v>30</v>
      </c>
      <c r="N452" s="1">
        <f t="shared" si="56"/>
        <v>44938</v>
      </c>
      <c r="O452" s="1">
        <f t="shared" si="57"/>
        <v>43101</v>
      </c>
      <c r="P452" s="1">
        <f t="shared" si="58"/>
        <v>43647</v>
      </c>
      <c r="Q452" s="8">
        <f t="shared" si="59"/>
        <v>0</v>
      </c>
      <c r="R452" s="8">
        <f t="shared" si="60"/>
        <v>19</v>
      </c>
      <c r="S452" s="8">
        <f t="shared" ca="1" si="61"/>
        <v>19</v>
      </c>
      <c r="T452">
        <f t="shared" ca="1" si="62"/>
        <v>8.000539714388232</v>
      </c>
      <c r="U452" s="8">
        <f t="shared" ca="1" si="63"/>
        <v>1</v>
      </c>
      <c r="V452" s="8">
        <f ca="1">RawData[[#This Row],[Z (smoothed demand size)]]/RawData[[#This Row],[X (smoothed interval)]]</f>
        <v>8.000539714388232</v>
      </c>
    </row>
    <row r="453" spans="1:22">
      <c r="A453" t="s">
        <v>24</v>
      </c>
      <c r="B453" t="s">
        <v>14</v>
      </c>
      <c r="C453">
        <v>27</v>
      </c>
      <c r="D453" t="s">
        <v>22</v>
      </c>
      <c r="E453" t="s">
        <v>16</v>
      </c>
      <c r="F453" s="1">
        <v>43473</v>
      </c>
      <c r="G453">
        <v>4</v>
      </c>
      <c r="H453">
        <v>4</v>
      </c>
      <c r="I453">
        <v>7</v>
      </c>
      <c r="J453">
        <v>3</v>
      </c>
      <c r="K453">
        <v>0</v>
      </c>
      <c r="L453">
        <v>640</v>
      </c>
      <c r="M453">
        <v>15</v>
      </c>
      <c r="N453" s="1">
        <f t="shared" si="56"/>
        <v>44938</v>
      </c>
      <c r="O453" s="1">
        <f t="shared" si="57"/>
        <v>43101</v>
      </c>
      <c r="P453" s="1">
        <f t="shared" si="58"/>
        <v>43678</v>
      </c>
      <c r="Q453" s="8">
        <f t="shared" si="59"/>
        <v>0</v>
      </c>
      <c r="R453" s="8">
        <f t="shared" si="60"/>
        <v>20</v>
      </c>
      <c r="S453" s="8">
        <f t="shared" ca="1" si="61"/>
        <v>20</v>
      </c>
      <c r="T453">
        <f t="shared" ca="1" si="62"/>
        <v>7.2004317715105861</v>
      </c>
      <c r="U453" s="8">
        <f t="shared" ca="1" si="63"/>
        <v>1</v>
      </c>
      <c r="V453" s="8">
        <f ca="1">RawData[[#This Row],[Z (smoothed demand size)]]/RawData[[#This Row],[X (smoothed interval)]]</f>
        <v>7.2004317715105861</v>
      </c>
    </row>
    <row r="454" spans="1:22">
      <c r="A454" t="s">
        <v>24</v>
      </c>
      <c r="B454" t="s">
        <v>14</v>
      </c>
      <c r="C454">
        <v>27</v>
      </c>
      <c r="D454" t="s">
        <v>22</v>
      </c>
      <c r="E454" t="s">
        <v>16</v>
      </c>
      <c r="F454" s="1">
        <v>43474</v>
      </c>
      <c r="G454">
        <v>8</v>
      </c>
      <c r="H454">
        <v>8</v>
      </c>
      <c r="I454">
        <v>10</v>
      </c>
      <c r="J454">
        <v>2</v>
      </c>
      <c r="K454">
        <v>0</v>
      </c>
      <c r="L454">
        <v>546</v>
      </c>
      <c r="M454">
        <v>15</v>
      </c>
      <c r="N454" s="1">
        <f t="shared" si="56"/>
        <v>44938</v>
      </c>
      <c r="O454" s="1">
        <f t="shared" si="57"/>
        <v>43101</v>
      </c>
      <c r="P454" s="1">
        <f t="shared" si="58"/>
        <v>43709</v>
      </c>
      <c r="Q454" s="8">
        <f t="shared" si="59"/>
        <v>0</v>
      </c>
      <c r="R454" s="8">
        <f t="shared" si="60"/>
        <v>21</v>
      </c>
      <c r="S454" s="8">
        <f t="shared" ca="1" si="61"/>
        <v>21</v>
      </c>
      <c r="T454">
        <f t="shared" ca="1" si="62"/>
        <v>7.3603454172084692</v>
      </c>
      <c r="U454" s="8">
        <f t="shared" ca="1" si="63"/>
        <v>1</v>
      </c>
      <c r="V454" s="8">
        <f ca="1">RawData[[#This Row],[Z (smoothed demand size)]]/RawData[[#This Row],[X (smoothed interval)]]</f>
        <v>7.3603454172084692</v>
      </c>
    </row>
    <row r="455" spans="1:22">
      <c r="A455" t="s">
        <v>24</v>
      </c>
      <c r="B455" t="s">
        <v>14</v>
      </c>
      <c r="C455">
        <v>27</v>
      </c>
      <c r="D455" t="s">
        <v>22</v>
      </c>
      <c r="E455" t="s">
        <v>16</v>
      </c>
      <c r="F455" s="1">
        <v>43475</v>
      </c>
      <c r="G455">
        <v>3</v>
      </c>
      <c r="H455">
        <v>3</v>
      </c>
      <c r="I455">
        <v>11</v>
      </c>
      <c r="J455">
        <v>8</v>
      </c>
      <c r="K455">
        <v>0</v>
      </c>
      <c r="L455">
        <v>557</v>
      </c>
      <c r="M455">
        <v>30</v>
      </c>
      <c r="N455" s="1">
        <f t="shared" si="56"/>
        <v>44938</v>
      </c>
      <c r="O455" s="1">
        <f t="shared" si="57"/>
        <v>43101</v>
      </c>
      <c r="P455" s="1">
        <f t="shared" si="58"/>
        <v>43739</v>
      </c>
      <c r="Q455" s="8">
        <f t="shared" si="59"/>
        <v>0</v>
      </c>
      <c r="R455" s="8">
        <f t="shared" si="60"/>
        <v>22</v>
      </c>
      <c r="S455" s="8">
        <f t="shared" ca="1" si="61"/>
        <v>22</v>
      </c>
      <c r="T455">
        <f t="shared" ca="1" si="62"/>
        <v>6.488276333766775</v>
      </c>
      <c r="U455" s="8">
        <f t="shared" ca="1" si="63"/>
        <v>1</v>
      </c>
      <c r="V455" s="8">
        <f ca="1">RawData[[#This Row],[Z (smoothed demand size)]]/RawData[[#This Row],[X (smoothed interval)]]</f>
        <v>6.488276333766775</v>
      </c>
    </row>
    <row r="456" spans="1:22">
      <c r="A456" t="s">
        <v>24</v>
      </c>
      <c r="B456" t="s">
        <v>14</v>
      </c>
      <c r="C456">
        <v>27</v>
      </c>
      <c r="D456" t="s">
        <v>22</v>
      </c>
      <c r="E456" t="s">
        <v>16</v>
      </c>
      <c r="F456" s="1">
        <v>43476</v>
      </c>
      <c r="G456">
        <v>6</v>
      </c>
      <c r="H456">
        <v>6</v>
      </c>
      <c r="I456">
        <v>16</v>
      </c>
      <c r="J456">
        <v>10</v>
      </c>
      <c r="K456">
        <v>0</v>
      </c>
      <c r="L456">
        <v>559</v>
      </c>
      <c r="M456">
        <v>60</v>
      </c>
      <c r="N456" s="1">
        <f t="shared" si="56"/>
        <v>44938</v>
      </c>
      <c r="O456" s="1">
        <f t="shared" si="57"/>
        <v>43101</v>
      </c>
      <c r="P456" s="1">
        <f t="shared" si="58"/>
        <v>43770</v>
      </c>
      <c r="Q456" s="8">
        <f t="shared" si="59"/>
        <v>0</v>
      </c>
      <c r="R456" s="8">
        <f t="shared" si="60"/>
        <v>23</v>
      </c>
      <c r="S456" s="8">
        <f t="shared" ca="1" si="61"/>
        <v>23</v>
      </c>
      <c r="T456">
        <f t="shared" ca="1" si="62"/>
        <v>6.3906210670134209</v>
      </c>
      <c r="U456" s="8">
        <f t="shared" ca="1" si="63"/>
        <v>1</v>
      </c>
      <c r="V456" s="8">
        <f ca="1">RawData[[#This Row],[Z (smoothed demand size)]]/RawData[[#This Row],[X (smoothed interval)]]</f>
        <v>6.3906210670134209</v>
      </c>
    </row>
    <row r="457" spans="1:22">
      <c r="A457" t="s">
        <v>24</v>
      </c>
      <c r="B457" t="s">
        <v>14</v>
      </c>
      <c r="C457">
        <v>27</v>
      </c>
      <c r="D457" t="s">
        <v>22</v>
      </c>
      <c r="E457" t="s">
        <v>16</v>
      </c>
      <c r="F457" s="1">
        <v>43477</v>
      </c>
      <c r="G457">
        <v>0</v>
      </c>
      <c r="H457">
        <v>0</v>
      </c>
      <c r="I457">
        <v>10</v>
      </c>
      <c r="J457">
        <v>10</v>
      </c>
      <c r="K457">
        <v>0</v>
      </c>
      <c r="L457">
        <v>638</v>
      </c>
      <c r="M457">
        <v>30</v>
      </c>
      <c r="N457" s="1">
        <f t="shared" si="56"/>
        <v>44938</v>
      </c>
      <c r="O457" s="1">
        <f t="shared" si="57"/>
        <v>43101</v>
      </c>
      <c r="P457" s="1">
        <f t="shared" si="58"/>
        <v>43800</v>
      </c>
      <c r="Q457" s="8">
        <f t="shared" si="59"/>
        <v>0</v>
      </c>
      <c r="R457" s="8">
        <f t="shared" si="60"/>
        <v>24</v>
      </c>
      <c r="S457" s="8">
        <f t="shared" ca="1" si="61"/>
        <v>23</v>
      </c>
      <c r="T457">
        <f t="shared" ca="1" si="62"/>
        <v>6.3906210670134209</v>
      </c>
      <c r="U457" s="8">
        <f t="shared" ca="1" si="63"/>
        <v>1</v>
      </c>
      <c r="V457" s="8">
        <f ca="1">RawData[[#This Row],[Z (smoothed demand size)]]/RawData[[#This Row],[X (smoothed interval)]]</f>
        <v>6.3906210670134209</v>
      </c>
    </row>
    <row r="458" spans="1:22">
      <c r="A458" t="s">
        <v>24</v>
      </c>
      <c r="B458" t="s">
        <v>14</v>
      </c>
      <c r="C458">
        <v>27</v>
      </c>
      <c r="D458" t="s">
        <v>22</v>
      </c>
      <c r="E458" t="s">
        <v>16</v>
      </c>
      <c r="F458" s="1">
        <v>43831</v>
      </c>
      <c r="G458">
        <v>9</v>
      </c>
      <c r="H458">
        <v>9</v>
      </c>
      <c r="I458">
        <v>10</v>
      </c>
      <c r="J458">
        <v>1</v>
      </c>
      <c r="K458">
        <v>0</v>
      </c>
      <c r="L458">
        <v>555</v>
      </c>
      <c r="M458">
        <v>45</v>
      </c>
      <c r="N458" s="1">
        <f t="shared" si="56"/>
        <v>44938</v>
      </c>
      <c r="O458" s="1">
        <f t="shared" si="57"/>
        <v>43101</v>
      </c>
      <c r="P458" s="1">
        <f t="shared" si="58"/>
        <v>43831</v>
      </c>
      <c r="Q458" s="8">
        <f t="shared" si="59"/>
        <v>0</v>
      </c>
      <c r="R458" s="8">
        <f t="shared" si="60"/>
        <v>25</v>
      </c>
      <c r="S458" s="8">
        <f t="shared" ca="1" si="61"/>
        <v>25</v>
      </c>
      <c r="T458">
        <f t="shared" ca="1" si="62"/>
        <v>6.9124968536107367</v>
      </c>
      <c r="U458" s="8">
        <f t="shared" ca="1" si="63"/>
        <v>1.2000000000000002</v>
      </c>
      <c r="V458" s="8">
        <f ca="1">RawData[[#This Row],[Z (smoothed demand size)]]/RawData[[#This Row],[X (smoothed interval)]]</f>
        <v>5.7604140446756134</v>
      </c>
    </row>
    <row r="459" spans="1:22">
      <c r="A459" t="s">
        <v>24</v>
      </c>
      <c r="B459" t="s">
        <v>14</v>
      </c>
      <c r="C459">
        <v>27</v>
      </c>
      <c r="D459" t="s">
        <v>22</v>
      </c>
      <c r="E459" t="s">
        <v>16</v>
      </c>
      <c r="F459" s="1">
        <v>43832</v>
      </c>
      <c r="G459">
        <v>9</v>
      </c>
      <c r="H459">
        <v>1</v>
      </c>
      <c r="I459">
        <v>1</v>
      </c>
      <c r="J459">
        <v>0</v>
      </c>
      <c r="K459">
        <v>1</v>
      </c>
      <c r="L459">
        <v>551</v>
      </c>
      <c r="M459">
        <v>15</v>
      </c>
      <c r="N459" s="1">
        <f t="shared" si="56"/>
        <v>44938</v>
      </c>
      <c r="O459" s="1">
        <f t="shared" si="57"/>
        <v>43101</v>
      </c>
      <c r="P459" s="1">
        <f t="shared" si="58"/>
        <v>43862</v>
      </c>
      <c r="Q459" s="8">
        <f t="shared" si="59"/>
        <v>0</v>
      </c>
      <c r="R459" s="8">
        <f t="shared" si="60"/>
        <v>26</v>
      </c>
      <c r="S459" s="8">
        <f t="shared" ca="1" si="61"/>
        <v>26</v>
      </c>
      <c r="T459">
        <f t="shared" ca="1" si="62"/>
        <v>7.3299974828885892</v>
      </c>
      <c r="U459" s="8">
        <f t="shared" ca="1" si="63"/>
        <v>1.1600000000000001</v>
      </c>
      <c r="V459" s="8">
        <f ca="1">RawData[[#This Row],[Z (smoothed demand size)]]/RawData[[#This Row],[X (smoothed interval)]]</f>
        <v>6.3189633473177489</v>
      </c>
    </row>
    <row r="460" spans="1:22">
      <c r="A460" t="s">
        <v>24</v>
      </c>
      <c r="B460" t="s">
        <v>14</v>
      </c>
      <c r="C460">
        <v>27</v>
      </c>
      <c r="D460" t="s">
        <v>22</v>
      </c>
      <c r="E460" t="s">
        <v>16</v>
      </c>
      <c r="F460" s="1">
        <v>43833</v>
      </c>
      <c r="G460">
        <v>10</v>
      </c>
      <c r="H460">
        <v>10</v>
      </c>
      <c r="I460">
        <v>10</v>
      </c>
      <c r="J460">
        <v>0</v>
      </c>
      <c r="K460">
        <v>0</v>
      </c>
      <c r="L460">
        <v>557</v>
      </c>
      <c r="M460">
        <v>60</v>
      </c>
      <c r="N460" s="1">
        <f t="shared" si="56"/>
        <v>44938</v>
      </c>
      <c r="O460" s="1">
        <f t="shared" si="57"/>
        <v>43101</v>
      </c>
      <c r="P460" s="1">
        <f t="shared" si="58"/>
        <v>43891</v>
      </c>
      <c r="Q460" s="8">
        <f t="shared" si="59"/>
        <v>0</v>
      </c>
      <c r="R460" s="8">
        <f t="shared" si="60"/>
        <v>27</v>
      </c>
      <c r="S460" s="8">
        <f t="shared" ca="1" si="61"/>
        <v>27</v>
      </c>
      <c r="T460">
        <f t="shared" ca="1" si="62"/>
        <v>7.8639979863108715</v>
      </c>
      <c r="U460" s="8">
        <f t="shared" ca="1" si="63"/>
        <v>1.1280000000000001</v>
      </c>
      <c r="V460" s="8">
        <f ca="1">RawData[[#This Row],[Z (smoothed demand size)]]/RawData[[#This Row],[X (smoothed interval)]]</f>
        <v>6.9716294204883607</v>
      </c>
    </row>
    <row r="461" spans="1:22">
      <c r="A461" t="s">
        <v>24</v>
      </c>
      <c r="B461" t="s">
        <v>14</v>
      </c>
      <c r="C461">
        <v>27</v>
      </c>
      <c r="D461" t="s">
        <v>22</v>
      </c>
      <c r="E461" t="s">
        <v>16</v>
      </c>
      <c r="F461" s="1">
        <v>43834</v>
      </c>
      <c r="G461">
        <v>6</v>
      </c>
      <c r="H461">
        <v>0</v>
      </c>
      <c r="I461">
        <v>0</v>
      </c>
      <c r="J461">
        <v>0</v>
      </c>
      <c r="K461">
        <v>1</v>
      </c>
      <c r="L461">
        <v>552</v>
      </c>
      <c r="M461">
        <v>60</v>
      </c>
      <c r="N461" s="1">
        <f t="shared" si="56"/>
        <v>44938</v>
      </c>
      <c r="O461" s="1">
        <f t="shared" si="57"/>
        <v>43101</v>
      </c>
      <c r="P461" s="1">
        <f t="shared" si="58"/>
        <v>43922</v>
      </c>
      <c r="Q461" s="8">
        <f t="shared" si="59"/>
        <v>0</v>
      </c>
      <c r="R461" s="8">
        <f t="shared" si="60"/>
        <v>28</v>
      </c>
      <c r="S461" s="8">
        <f t="shared" ca="1" si="61"/>
        <v>28</v>
      </c>
      <c r="T461">
        <f t="shared" ca="1" si="62"/>
        <v>7.4911983890486979</v>
      </c>
      <c r="U461" s="8">
        <f t="shared" ca="1" si="63"/>
        <v>1.1024</v>
      </c>
      <c r="V461" s="8">
        <f ca="1">RawData[[#This Row],[Z (smoothed demand size)]]/RawData[[#This Row],[X (smoothed interval)]]</f>
        <v>6.7953541264955533</v>
      </c>
    </row>
    <row r="462" spans="1:22">
      <c r="A462" t="s">
        <v>24</v>
      </c>
      <c r="B462" t="s">
        <v>14</v>
      </c>
      <c r="C462">
        <v>27</v>
      </c>
      <c r="D462" t="s">
        <v>22</v>
      </c>
      <c r="E462" t="s">
        <v>16</v>
      </c>
      <c r="F462" s="1">
        <v>43835</v>
      </c>
      <c r="G462">
        <v>9</v>
      </c>
      <c r="H462">
        <v>9</v>
      </c>
      <c r="I462">
        <v>9</v>
      </c>
      <c r="J462">
        <v>0</v>
      </c>
      <c r="K462">
        <v>0</v>
      </c>
      <c r="L462">
        <v>545</v>
      </c>
      <c r="M462">
        <v>15</v>
      </c>
      <c r="N462" s="1">
        <f t="shared" si="56"/>
        <v>44938</v>
      </c>
      <c r="O462" s="1">
        <f t="shared" si="57"/>
        <v>43101</v>
      </c>
      <c r="P462" s="1">
        <f t="shared" si="58"/>
        <v>43952</v>
      </c>
      <c r="Q462" s="8">
        <f t="shared" si="59"/>
        <v>0</v>
      </c>
      <c r="R462" s="8">
        <f t="shared" si="60"/>
        <v>29</v>
      </c>
      <c r="S462" s="8">
        <f t="shared" ca="1" si="61"/>
        <v>29</v>
      </c>
      <c r="T462">
        <f t="shared" ca="1" si="62"/>
        <v>7.7929587112389589</v>
      </c>
      <c r="U462" s="8">
        <f t="shared" ca="1" si="63"/>
        <v>1.08192</v>
      </c>
      <c r="V462" s="8">
        <f ca="1">RawData[[#This Row],[Z (smoothed demand size)]]/RawData[[#This Row],[X (smoothed interval)]]</f>
        <v>7.2028973595450303</v>
      </c>
    </row>
    <row r="463" spans="1:22">
      <c r="A463" t="s">
        <v>24</v>
      </c>
      <c r="B463" t="s">
        <v>14</v>
      </c>
      <c r="C463">
        <v>27</v>
      </c>
      <c r="D463" t="s">
        <v>22</v>
      </c>
      <c r="E463" t="s">
        <v>16</v>
      </c>
      <c r="F463" s="1">
        <v>43836</v>
      </c>
      <c r="G463">
        <v>6</v>
      </c>
      <c r="H463">
        <v>6</v>
      </c>
      <c r="I463">
        <v>12</v>
      </c>
      <c r="J463">
        <v>6</v>
      </c>
      <c r="K463">
        <v>0</v>
      </c>
      <c r="L463">
        <v>640</v>
      </c>
      <c r="M463">
        <v>45</v>
      </c>
      <c r="N463" s="1">
        <f t="shared" si="56"/>
        <v>44938</v>
      </c>
      <c r="O463" s="1">
        <f t="shared" si="57"/>
        <v>43101</v>
      </c>
      <c r="P463" s="1">
        <f t="shared" si="58"/>
        <v>43983</v>
      </c>
      <c r="Q463" s="8">
        <f t="shared" si="59"/>
        <v>0</v>
      </c>
      <c r="R463" s="8">
        <f t="shared" si="60"/>
        <v>30</v>
      </c>
      <c r="S463" s="8">
        <f t="shared" ca="1" si="61"/>
        <v>30</v>
      </c>
      <c r="T463">
        <f t="shared" ca="1" si="62"/>
        <v>7.434366968991168</v>
      </c>
      <c r="U463" s="8">
        <f t="shared" ca="1" si="63"/>
        <v>1.065536</v>
      </c>
      <c r="V463" s="8">
        <f ca="1">RawData[[#This Row],[Z (smoothed demand size)]]/RawData[[#This Row],[X (smoothed interval)]]</f>
        <v>6.9771147750908158</v>
      </c>
    </row>
    <row r="464" spans="1:22">
      <c r="A464" t="s">
        <v>24</v>
      </c>
      <c r="B464" t="s">
        <v>14</v>
      </c>
      <c r="C464">
        <v>27</v>
      </c>
      <c r="D464" t="s">
        <v>22</v>
      </c>
      <c r="E464" t="s">
        <v>16</v>
      </c>
      <c r="F464" s="1">
        <v>43837</v>
      </c>
      <c r="G464">
        <v>7</v>
      </c>
      <c r="H464">
        <v>6</v>
      </c>
      <c r="I464">
        <v>6</v>
      </c>
      <c r="J464">
        <v>0</v>
      </c>
      <c r="K464">
        <v>1</v>
      </c>
      <c r="L464">
        <v>624</v>
      </c>
      <c r="M464">
        <v>60</v>
      </c>
      <c r="N464" s="1">
        <f t="shared" si="56"/>
        <v>44938</v>
      </c>
      <c r="O464" s="1">
        <f t="shared" si="57"/>
        <v>43101</v>
      </c>
      <c r="P464" s="1">
        <f t="shared" si="58"/>
        <v>44013</v>
      </c>
      <c r="Q464" s="8">
        <f t="shared" si="59"/>
        <v>0</v>
      </c>
      <c r="R464" s="8">
        <f t="shared" si="60"/>
        <v>31</v>
      </c>
      <c r="S464" s="8">
        <f t="shared" ca="1" si="61"/>
        <v>31</v>
      </c>
      <c r="T464">
        <f t="shared" ca="1" si="62"/>
        <v>7.3474935751929351</v>
      </c>
      <c r="U464" s="8">
        <f t="shared" ca="1" si="63"/>
        <v>1.0524288000000002</v>
      </c>
      <c r="V464" s="8">
        <f ca="1">RawData[[#This Row],[Z (smoothed demand size)]]/RawData[[#This Row],[X (smoothed interval)]]</f>
        <v>6.9814638056208018</v>
      </c>
    </row>
    <row r="465" spans="1:22">
      <c r="A465" t="s">
        <v>24</v>
      </c>
      <c r="B465" t="s">
        <v>14</v>
      </c>
      <c r="C465">
        <v>27</v>
      </c>
      <c r="D465" t="s">
        <v>22</v>
      </c>
      <c r="E465" t="s">
        <v>16</v>
      </c>
      <c r="F465" s="1">
        <v>43838</v>
      </c>
      <c r="G465">
        <v>16</v>
      </c>
      <c r="H465">
        <v>8</v>
      </c>
      <c r="I465">
        <v>8</v>
      </c>
      <c r="J465">
        <v>0</v>
      </c>
      <c r="K465">
        <v>1</v>
      </c>
      <c r="L465">
        <v>636</v>
      </c>
      <c r="M465">
        <v>45</v>
      </c>
      <c r="N465" s="1">
        <f t="shared" si="56"/>
        <v>44938</v>
      </c>
      <c r="O465" s="1">
        <f t="shared" si="57"/>
        <v>43101</v>
      </c>
      <c r="P465" s="1">
        <f t="shared" si="58"/>
        <v>44044</v>
      </c>
      <c r="Q465" s="8">
        <f t="shared" si="59"/>
        <v>0</v>
      </c>
      <c r="R465" s="8">
        <f t="shared" si="60"/>
        <v>32</v>
      </c>
      <c r="S465" s="8">
        <f t="shared" ca="1" si="61"/>
        <v>32</v>
      </c>
      <c r="T465">
        <f t="shared" ca="1" si="62"/>
        <v>9.0779948601543481</v>
      </c>
      <c r="U465" s="8">
        <f t="shared" ca="1" si="63"/>
        <v>1.0419430400000003</v>
      </c>
      <c r="V465" s="8">
        <f ca="1">RawData[[#This Row],[Z (smoothed demand size)]]/RawData[[#This Row],[X (smoothed interval)]]</f>
        <v>8.7125634623504435</v>
      </c>
    </row>
    <row r="466" spans="1:22">
      <c r="A466" t="s">
        <v>24</v>
      </c>
      <c r="B466" t="s">
        <v>14</v>
      </c>
      <c r="C466">
        <v>27</v>
      </c>
      <c r="D466" t="s">
        <v>22</v>
      </c>
      <c r="E466" t="s">
        <v>16</v>
      </c>
      <c r="F466" s="1">
        <v>43839</v>
      </c>
      <c r="G466">
        <v>6</v>
      </c>
      <c r="H466">
        <v>0</v>
      </c>
      <c r="I466">
        <v>0</v>
      </c>
      <c r="J466">
        <v>0</v>
      </c>
      <c r="K466">
        <v>1</v>
      </c>
      <c r="L466">
        <v>550</v>
      </c>
      <c r="M466">
        <v>15</v>
      </c>
      <c r="N466" s="1">
        <f t="shared" si="56"/>
        <v>44938</v>
      </c>
      <c r="O466" s="1">
        <f t="shared" si="57"/>
        <v>43101</v>
      </c>
      <c r="P466" s="1">
        <f t="shared" si="58"/>
        <v>44075</v>
      </c>
      <c r="Q466" s="8">
        <f t="shared" si="59"/>
        <v>0</v>
      </c>
      <c r="R466" s="8">
        <f t="shared" si="60"/>
        <v>33</v>
      </c>
      <c r="S466" s="8">
        <f t="shared" ca="1" si="61"/>
        <v>33</v>
      </c>
      <c r="T466">
        <f t="shared" ca="1" si="62"/>
        <v>8.4623958881234778</v>
      </c>
      <c r="U466" s="8">
        <f t="shared" ca="1" si="63"/>
        <v>1.0335544320000003</v>
      </c>
      <c r="V466" s="8">
        <f ca="1">RawData[[#This Row],[Z (smoothed demand size)]]/RawData[[#This Row],[X (smoothed interval)]]</f>
        <v>8.187663490299343</v>
      </c>
    </row>
    <row r="467" spans="1:22">
      <c r="A467" t="s">
        <v>24</v>
      </c>
      <c r="B467" t="s">
        <v>14</v>
      </c>
      <c r="C467">
        <v>27</v>
      </c>
      <c r="D467" t="s">
        <v>22</v>
      </c>
      <c r="E467" t="s">
        <v>16</v>
      </c>
      <c r="F467" s="1">
        <v>43840</v>
      </c>
      <c r="G467">
        <v>17</v>
      </c>
      <c r="H467">
        <v>12</v>
      </c>
      <c r="I467">
        <v>12</v>
      </c>
      <c r="J467">
        <v>0</v>
      </c>
      <c r="K467">
        <v>1</v>
      </c>
      <c r="L467">
        <v>549</v>
      </c>
      <c r="M467">
        <v>60</v>
      </c>
      <c r="N467" s="1">
        <f t="shared" si="56"/>
        <v>44938</v>
      </c>
      <c r="O467" s="1">
        <f t="shared" si="57"/>
        <v>43101</v>
      </c>
      <c r="P467" s="1">
        <f t="shared" si="58"/>
        <v>44105</v>
      </c>
      <c r="Q467" s="8">
        <f t="shared" si="59"/>
        <v>0</v>
      </c>
      <c r="R467" s="8">
        <f t="shared" si="60"/>
        <v>34</v>
      </c>
      <c r="S467" s="8">
        <f t="shared" ca="1" si="61"/>
        <v>34</v>
      </c>
      <c r="T467">
        <f t="shared" ca="1" si="62"/>
        <v>10.169916710498782</v>
      </c>
      <c r="U467" s="8">
        <f t="shared" ca="1" si="63"/>
        <v>1.0268435456000002</v>
      </c>
      <c r="V467" s="8">
        <f ca="1">RawData[[#This Row],[Z (smoothed demand size)]]/RawData[[#This Row],[X (smoothed interval)]]</f>
        <v>9.9040567125114922</v>
      </c>
    </row>
    <row r="468" spans="1:22">
      <c r="A468" t="s">
        <v>24</v>
      </c>
      <c r="B468" t="s">
        <v>14</v>
      </c>
      <c r="C468">
        <v>27</v>
      </c>
      <c r="D468" t="s">
        <v>22</v>
      </c>
      <c r="E468" t="s">
        <v>16</v>
      </c>
      <c r="F468" s="1">
        <v>43841</v>
      </c>
      <c r="G468">
        <v>6</v>
      </c>
      <c r="H468">
        <v>0</v>
      </c>
      <c r="I468">
        <v>0</v>
      </c>
      <c r="J468">
        <v>0</v>
      </c>
      <c r="K468">
        <v>1</v>
      </c>
      <c r="L468">
        <v>553</v>
      </c>
      <c r="M468">
        <v>30</v>
      </c>
      <c r="N468" s="1">
        <f t="shared" si="56"/>
        <v>44938</v>
      </c>
      <c r="O468" s="1">
        <f t="shared" si="57"/>
        <v>43101</v>
      </c>
      <c r="P468" s="1">
        <f t="shared" si="58"/>
        <v>44136</v>
      </c>
      <c r="Q468" s="8">
        <f t="shared" si="59"/>
        <v>0</v>
      </c>
      <c r="R468" s="8">
        <f t="shared" si="60"/>
        <v>35</v>
      </c>
      <c r="S468" s="8">
        <f t="shared" ca="1" si="61"/>
        <v>35</v>
      </c>
      <c r="T468">
        <f t="shared" ca="1" si="62"/>
        <v>9.3359333683990258</v>
      </c>
      <c r="U468" s="8">
        <f t="shared" ca="1" si="63"/>
        <v>1.0214748364800001</v>
      </c>
      <c r="V468" s="8">
        <f ca="1">RawData[[#This Row],[Z (smoothed demand size)]]/RawData[[#This Row],[X (smoothed interval)]]</f>
        <v>9.1396606504479632</v>
      </c>
    </row>
    <row r="469" spans="1:22">
      <c r="A469" t="s">
        <v>24</v>
      </c>
      <c r="B469" t="s">
        <v>14</v>
      </c>
      <c r="C469">
        <v>27</v>
      </c>
      <c r="D469" t="s">
        <v>22</v>
      </c>
      <c r="E469" t="s">
        <v>16</v>
      </c>
      <c r="F469" s="1">
        <v>43842</v>
      </c>
      <c r="G469">
        <v>7</v>
      </c>
      <c r="H469">
        <v>7</v>
      </c>
      <c r="I469">
        <v>11</v>
      </c>
      <c r="J469">
        <v>4</v>
      </c>
      <c r="K469">
        <v>0</v>
      </c>
      <c r="L469">
        <v>630</v>
      </c>
      <c r="M469">
        <v>30</v>
      </c>
      <c r="N469" s="1">
        <f t="shared" si="56"/>
        <v>44938</v>
      </c>
      <c r="O469" s="1">
        <f t="shared" si="57"/>
        <v>43101</v>
      </c>
      <c r="P469" s="1">
        <f t="shared" si="58"/>
        <v>44166</v>
      </c>
      <c r="Q469" s="8">
        <f t="shared" si="59"/>
        <v>0</v>
      </c>
      <c r="R469" s="8">
        <f t="shared" si="60"/>
        <v>36</v>
      </c>
      <c r="S469" s="8">
        <f t="shared" ca="1" si="61"/>
        <v>36</v>
      </c>
      <c r="T469">
        <f t="shared" ca="1" si="62"/>
        <v>8.8687466947192206</v>
      </c>
      <c r="U469" s="8">
        <f t="shared" ca="1" si="63"/>
        <v>1.0171798691840002</v>
      </c>
      <c r="V469" s="8">
        <f ca="1">RawData[[#This Row],[Z (smoothed demand size)]]/RawData[[#This Row],[X (smoothed interval)]]</f>
        <v>8.7189561683263435</v>
      </c>
    </row>
    <row r="470" spans="1:22">
      <c r="A470" t="s">
        <v>24</v>
      </c>
      <c r="B470" t="s">
        <v>14</v>
      </c>
      <c r="C470">
        <v>27</v>
      </c>
      <c r="D470" t="s">
        <v>22</v>
      </c>
      <c r="E470" t="s">
        <v>16</v>
      </c>
      <c r="F470" s="1">
        <v>44197</v>
      </c>
      <c r="G470">
        <v>7</v>
      </c>
      <c r="H470">
        <v>7</v>
      </c>
      <c r="I470">
        <v>12</v>
      </c>
      <c r="J470">
        <v>5</v>
      </c>
      <c r="K470">
        <v>0</v>
      </c>
      <c r="L470">
        <v>553</v>
      </c>
      <c r="M470">
        <v>30</v>
      </c>
      <c r="N470" s="1">
        <f t="shared" si="56"/>
        <v>44938</v>
      </c>
      <c r="O470" s="1">
        <f t="shared" si="57"/>
        <v>43101</v>
      </c>
      <c r="P470" s="1">
        <f t="shared" si="58"/>
        <v>44197</v>
      </c>
      <c r="Q470" s="8">
        <f t="shared" si="59"/>
        <v>0</v>
      </c>
      <c r="R470" s="8">
        <f t="shared" si="60"/>
        <v>37</v>
      </c>
      <c r="S470" s="8">
        <f t="shared" ca="1" si="61"/>
        <v>37</v>
      </c>
      <c r="T470">
        <f t="shared" ca="1" si="62"/>
        <v>8.4949973557753768</v>
      </c>
      <c r="U470" s="8">
        <f t="shared" ca="1" si="63"/>
        <v>1.0137438953472002</v>
      </c>
      <c r="V470" s="8">
        <f ca="1">RawData[[#This Row],[Z (smoothed demand size)]]/RawData[[#This Row],[X (smoothed interval)]]</f>
        <v>8.3798259055023951</v>
      </c>
    </row>
    <row r="471" spans="1:22">
      <c r="A471" t="s">
        <v>24</v>
      </c>
      <c r="B471" t="s">
        <v>14</v>
      </c>
      <c r="C471">
        <v>27</v>
      </c>
      <c r="D471" t="s">
        <v>22</v>
      </c>
      <c r="E471" t="s">
        <v>16</v>
      </c>
      <c r="F471" s="1">
        <v>44198</v>
      </c>
      <c r="G471">
        <v>4</v>
      </c>
      <c r="H471">
        <v>4</v>
      </c>
      <c r="I471">
        <v>17</v>
      </c>
      <c r="J471">
        <v>13</v>
      </c>
      <c r="K471">
        <v>0</v>
      </c>
      <c r="L471">
        <v>550</v>
      </c>
      <c r="M471">
        <v>60</v>
      </c>
      <c r="N471" s="1">
        <f t="shared" si="56"/>
        <v>44938</v>
      </c>
      <c r="O471" s="1">
        <f t="shared" si="57"/>
        <v>43101</v>
      </c>
      <c r="P471" s="1">
        <f t="shared" si="58"/>
        <v>44228</v>
      </c>
      <c r="Q471" s="8">
        <f t="shared" si="59"/>
        <v>0</v>
      </c>
      <c r="R471" s="8">
        <f t="shared" si="60"/>
        <v>38</v>
      </c>
      <c r="S471" s="8">
        <f t="shared" ca="1" si="61"/>
        <v>38</v>
      </c>
      <c r="T471">
        <f t="shared" ca="1" si="62"/>
        <v>7.595997884620302</v>
      </c>
      <c r="U471" s="8">
        <f t="shared" ca="1" si="63"/>
        <v>1.0109951162777602</v>
      </c>
      <c r="V471" s="8">
        <f ca="1">RawData[[#This Row],[Z (smoothed demand size)]]/RawData[[#This Row],[X (smoothed interval)]]</f>
        <v>7.5133873174253614</v>
      </c>
    </row>
    <row r="472" spans="1:22">
      <c r="A472" t="s">
        <v>24</v>
      </c>
      <c r="B472" t="s">
        <v>14</v>
      </c>
      <c r="C472">
        <v>27</v>
      </c>
      <c r="D472" t="s">
        <v>22</v>
      </c>
      <c r="E472" t="s">
        <v>16</v>
      </c>
      <c r="F472" s="1">
        <v>44199</v>
      </c>
      <c r="G472">
        <v>7</v>
      </c>
      <c r="H472">
        <v>7</v>
      </c>
      <c r="I472">
        <v>13</v>
      </c>
      <c r="J472">
        <v>6</v>
      </c>
      <c r="K472">
        <v>0</v>
      </c>
      <c r="L472">
        <v>547</v>
      </c>
      <c r="M472">
        <v>15</v>
      </c>
      <c r="N472" s="1">
        <f t="shared" si="56"/>
        <v>44938</v>
      </c>
      <c r="O472" s="1">
        <f t="shared" si="57"/>
        <v>43101</v>
      </c>
      <c r="P472" s="1">
        <f t="shared" si="58"/>
        <v>44256</v>
      </c>
      <c r="Q472" s="8">
        <f t="shared" si="59"/>
        <v>0</v>
      </c>
      <c r="R472" s="8">
        <f t="shared" si="60"/>
        <v>39</v>
      </c>
      <c r="S472" s="8">
        <f t="shared" ca="1" si="61"/>
        <v>39</v>
      </c>
      <c r="T472">
        <f t="shared" ca="1" si="62"/>
        <v>7.4767983076962423</v>
      </c>
      <c r="U472" s="8">
        <f t="shared" ca="1" si="63"/>
        <v>1.0087960930222082</v>
      </c>
      <c r="V472" s="8">
        <f ca="1">RawData[[#This Row],[Z (smoothed demand size)]]/RawData[[#This Row],[X (smoothed interval)]]</f>
        <v>7.4116051394458005</v>
      </c>
    </row>
    <row r="473" spans="1:22">
      <c r="A473" t="s">
        <v>24</v>
      </c>
      <c r="B473" t="s">
        <v>14</v>
      </c>
      <c r="C473">
        <v>27</v>
      </c>
      <c r="D473" t="s">
        <v>22</v>
      </c>
      <c r="E473" t="s">
        <v>16</v>
      </c>
      <c r="F473" s="1">
        <v>44200</v>
      </c>
      <c r="G473">
        <v>10</v>
      </c>
      <c r="H473">
        <v>10</v>
      </c>
      <c r="I473">
        <v>13</v>
      </c>
      <c r="J473">
        <v>3</v>
      </c>
      <c r="K473">
        <v>0</v>
      </c>
      <c r="L473">
        <v>557</v>
      </c>
      <c r="M473">
        <v>15</v>
      </c>
      <c r="N473" s="1">
        <f t="shared" si="56"/>
        <v>44938</v>
      </c>
      <c r="O473" s="1">
        <f t="shared" si="57"/>
        <v>43101</v>
      </c>
      <c r="P473" s="1">
        <f t="shared" si="58"/>
        <v>44287</v>
      </c>
      <c r="Q473" s="8">
        <f t="shared" si="59"/>
        <v>0</v>
      </c>
      <c r="R473" s="8">
        <f t="shared" si="60"/>
        <v>40</v>
      </c>
      <c r="S473" s="8">
        <f t="shared" ca="1" si="61"/>
        <v>40</v>
      </c>
      <c r="T473">
        <f t="shared" ca="1" si="62"/>
        <v>7.9814386461569944</v>
      </c>
      <c r="U473" s="8">
        <f t="shared" ca="1" si="63"/>
        <v>1.0070368744177667</v>
      </c>
      <c r="V473" s="8">
        <f ca="1">RawData[[#This Row],[Z (smoothed demand size)]]/RawData[[#This Row],[X (smoothed interval)]]</f>
        <v>7.9256667247379413</v>
      </c>
    </row>
    <row r="474" spans="1:22">
      <c r="A474" t="s">
        <v>24</v>
      </c>
      <c r="B474" t="s">
        <v>14</v>
      </c>
      <c r="C474">
        <v>27</v>
      </c>
      <c r="D474" t="s">
        <v>22</v>
      </c>
      <c r="E474" t="s">
        <v>16</v>
      </c>
      <c r="F474" s="1">
        <v>44201</v>
      </c>
      <c r="G474">
        <v>7</v>
      </c>
      <c r="H474">
        <v>7</v>
      </c>
      <c r="I474">
        <v>13</v>
      </c>
      <c r="J474">
        <v>6</v>
      </c>
      <c r="K474">
        <v>0</v>
      </c>
      <c r="L474">
        <v>551</v>
      </c>
      <c r="M474">
        <v>30</v>
      </c>
      <c r="N474" s="1">
        <f t="shared" si="56"/>
        <v>44938</v>
      </c>
      <c r="O474" s="1">
        <f t="shared" si="57"/>
        <v>43101</v>
      </c>
      <c r="P474" s="1">
        <f t="shared" si="58"/>
        <v>44317</v>
      </c>
      <c r="Q474" s="8">
        <f t="shared" si="59"/>
        <v>0</v>
      </c>
      <c r="R474" s="8">
        <f t="shared" si="60"/>
        <v>41</v>
      </c>
      <c r="S474" s="8">
        <f t="shared" ca="1" si="61"/>
        <v>41</v>
      </c>
      <c r="T474">
        <f t="shared" ca="1" si="62"/>
        <v>7.7851509169255966</v>
      </c>
      <c r="U474" s="8">
        <f t="shared" ca="1" si="63"/>
        <v>1.0056294995342134</v>
      </c>
      <c r="V474" s="8">
        <f ca="1">RawData[[#This Row],[Z (smoothed demand size)]]/RawData[[#This Row],[X (smoothed interval)]]</f>
        <v>7.7415697536036046</v>
      </c>
    </row>
    <row r="475" spans="1:22">
      <c r="A475" t="s">
        <v>24</v>
      </c>
      <c r="B475" t="s">
        <v>14</v>
      </c>
      <c r="C475">
        <v>27</v>
      </c>
      <c r="D475" t="s">
        <v>22</v>
      </c>
      <c r="E475" t="s">
        <v>16</v>
      </c>
      <c r="F475" s="1">
        <v>44202</v>
      </c>
      <c r="G475">
        <v>8</v>
      </c>
      <c r="H475">
        <v>8</v>
      </c>
      <c r="I475">
        <v>17</v>
      </c>
      <c r="J475">
        <v>9</v>
      </c>
      <c r="K475">
        <v>0</v>
      </c>
      <c r="L475">
        <v>636</v>
      </c>
      <c r="M475">
        <v>60</v>
      </c>
      <c r="N475" s="1">
        <f t="shared" si="56"/>
        <v>44938</v>
      </c>
      <c r="O475" s="1">
        <f t="shared" si="57"/>
        <v>43101</v>
      </c>
      <c r="P475" s="1">
        <f t="shared" si="58"/>
        <v>44348</v>
      </c>
      <c r="Q475" s="8">
        <f t="shared" si="59"/>
        <v>0</v>
      </c>
      <c r="R475" s="8">
        <f t="shared" si="60"/>
        <v>42</v>
      </c>
      <c r="S475" s="8">
        <f t="shared" ca="1" si="61"/>
        <v>42</v>
      </c>
      <c r="T475">
        <f t="shared" ca="1" si="62"/>
        <v>7.8281207335404783</v>
      </c>
      <c r="U475" s="8">
        <f t="shared" ca="1" si="63"/>
        <v>1.0045035996273708</v>
      </c>
      <c r="V475" s="8">
        <f ca="1">RawData[[#This Row],[Z (smoothed demand size)]]/RawData[[#This Row],[X (smoothed interval)]]</f>
        <v>7.7930240732281959</v>
      </c>
    </row>
    <row r="476" spans="1:22">
      <c r="A476" t="s">
        <v>24</v>
      </c>
      <c r="B476" t="s">
        <v>14</v>
      </c>
      <c r="C476">
        <v>27</v>
      </c>
      <c r="D476" t="s">
        <v>22</v>
      </c>
      <c r="E476" t="s">
        <v>16</v>
      </c>
      <c r="F476" s="1">
        <v>44203</v>
      </c>
      <c r="G476">
        <v>10</v>
      </c>
      <c r="H476">
        <v>9</v>
      </c>
      <c r="I476">
        <v>9</v>
      </c>
      <c r="J476">
        <v>0</v>
      </c>
      <c r="K476">
        <v>1</v>
      </c>
      <c r="L476">
        <v>641</v>
      </c>
      <c r="M476">
        <v>15</v>
      </c>
      <c r="N476" s="1">
        <f t="shared" si="56"/>
        <v>44938</v>
      </c>
      <c r="O476" s="1">
        <f t="shared" si="57"/>
        <v>43101</v>
      </c>
      <c r="P476" s="1">
        <f t="shared" si="58"/>
        <v>44378</v>
      </c>
      <c r="Q476" s="8">
        <f t="shared" si="59"/>
        <v>0</v>
      </c>
      <c r="R476" s="8">
        <f t="shared" si="60"/>
        <v>43</v>
      </c>
      <c r="S476" s="8">
        <f t="shared" ca="1" si="61"/>
        <v>43</v>
      </c>
      <c r="T476">
        <f t="shared" ca="1" si="62"/>
        <v>8.2624965868323841</v>
      </c>
      <c r="U476" s="8">
        <f t="shared" ca="1" si="63"/>
        <v>1.0036028797018968</v>
      </c>
      <c r="V476" s="8">
        <f ca="1">RawData[[#This Row],[Z (smoothed demand size)]]/RawData[[#This Row],[X (smoothed interval)]]</f>
        <v>8.2328346738967291</v>
      </c>
    </row>
    <row r="477" spans="1:22">
      <c r="A477" t="s">
        <v>24</v>
      </c>
      <c r="B477" t="s">
        <v>14</v>
      </c>
      <c r="C477">
        <v>27</v>
      </c>
      <c r="D477" t="s">
        <v>22</v>
      </c>
      <c r="E477" t="s">
        <v>16</v>
      </c>
      <c r="F477" s="1">
        <v>44204</v>
      </c>
      <c r="G477">
        <v>5</v>
      </c>
      <c r="H477">
        <v>5</v>
      </c>
      <c r="I477">
        <v>11</v>
      </c>
      <c r="J477">
        <v>6</v>
      </c>
      <c r="K477">
        <v>0</v>
      </c>
      <c r="L477">
        <v>641</v>
      </c>
      <c r="M477">
        <v>60</v>
      </c>
      <c r="N477" s="1">
        <f t="shared" si="56"/>
        <v>44938</v>
      </c>
      <c r="O477" s="1">
        <f t="shared" si="57"/>
        <v>43101</v>
      </c>
      <c r="P477" s="1">
        <f t="shared" si="58"/>
        <v>44409</v>
      </c>
      <c r="Q477" s="8">
        <f t="shared" si="59"/>
        <v>0</v>
      </c>
      <c r="R477" s="8">
        <f t="shared" si="60"/>
        <v>44</v>
      </c>
      <c r="S477" s="8">
        <f t="shared" ca="1" si="61"/>
        <v>44</v>
      </c>
      <c r="T477">
        <f t="shared" ca="1" si="62"/>
        <v>7.6099972694659073</v>
      </c>
      <c r="U477" s="8">
        <f t="shared" ca="1" si="63"/>
        <v>1.0028823037615175</v>
      </c>
      <c r="V477" s="8">
        <f ca="1">RawData[[#This Row],[Z (smoothed demand size)]]/RawData[[#This Row],[X (smoothed interval)]]</f>
        <v>7.5881259853953331</v>
      </c>
    </row>
    <row r="478" spans="1:22">
      <c r="A478" t="s">
        <v>24</v>
      </c>
      <c r="B478" t="s">
        <v>14</v>
      </c>
      <c r="C478">
        <v>27</v>
      </c>
      <c r="D478" t="s">
        <v>22</v>
      </c>
      <c r="E478" t="s">
        <v>16</v>
      </c>
      <c r="F478" s="1">
        <v>44205</v>
      </c>
      <c r="G478">
        <v>9</v>
      </c>
      <c r="H478">
        <v>6</v>
      </c>
      <c r="I478">
        <v>6</v>
      </c>
      <c r="J478">
        <v>0</v>
      </c>
      <c r="K478">
        <v>1</v>
      </c>
      <c r="L478">
        <v>553</v>
      </c>
      <c r="M478">
        <v>45</v>
      </c>
      <c r="N478" s="1">
        <f t="shared" si="56"/>
        <v>44938</v>
      </c>
      <c r="O478" s="1">
        <f t="shared" si="57"/>
        <v>43101</v>
      </c>
      <c r="P478" s="1">
        <f t="shared" si="58"/>
        <v>44440</v>
      </c>
      <c r="Q478" s="8">
        <f t="shared" si="59"/>
        <v>0</v>
      </c>
      <c r="R478" s="8">
        <f t="shared" si="60"/>
        <v>45</v>
      </c>
      <c r="S478" s="8">
        <f t="shared" ca="1" si="61"/>
        <v>45</v>
      </c>
      <c r="T478">
        <f t="shared" ca="1" si="62"/>
        <v>7.8879978155727262</v>
      </c>
      <c r="U478" s="8">
        <f t="shared" ca="1" si="63"/>
        <v>1.002305843009214</v>
      </c>
      <c r="V478" s="8">
        <f ca="1">RawData[[#This Row],[Z (smoothed demand size)]]/RawData[[#This Row],[X (smoothed interval)]]</f>
        <v>7.8698511742590069</v>
      </c>
    </row>
    <row r="479" spans="1:22">
      <c r="A479" t="s">
        <v>24</v>
      </c>
      <c r="B479" t="s">
        <v>14</v>
      </c>
      <c r="C479">
        <v>27</v>
      </c>
      <c r="D479" t="s">
        <v>22</v>
      </c>
      <c r="E479" t="s">
        <v>16</v>
      </c>
      <c r="F479" s="1">
        <v>44206</v>
      </c>
      <c r="G479">
        <v>7</v>
      </c>
      <c r="H479">
        <v>7</v>
      </c>
      <c r="I479">
        <v>12</v>
      </c>
      <c r="J479">
        <v>5</v>
      </c>
      <c r="K479">
        <v>0</v>
      </c>
      <c r="L479">
        <v>548</v>
      </c>
      <c r="M479">
        <v>30</v>
      </c>
      <c r="N479" s="1">
        <f t="shared" si="56"/>
        <v>44938</v>
      </c>
      <c r="O479" s="1">
        <f t="shared" si="57"/>
        <v>43101</v>
      </c>
      <c r="P479" s="1">
        <f t="shared" si="58"/>
        <v>44470</v>
      </c>
      <c r="Q479" s="8">
        <f t="shared" si="59"/>
        <v>0</v>
      </c>
      <c r="R479" s="8">
        <f t="shared" si="60"/>
        <v>46</v>
      </c>
      <c r="S479" s="8">
        <f t="shared" ca="1" si="61"/>
        <v>46</v>
      </c>
      <c r="T479">
        <f t="shared" ca="1" si="62"/>
        <v>7.710398252458182</v>
      </c>
      <c r="U479" s="8">
        <f t="shared" ca="1" si="63"/>
        <v>1.0018446744073712</v>
      </c>
      <c r="V479" s="8">
        <f ca="1">RawData[[#This Row],[Z (smoothed demand size)]]/RawData[[#This Row],[X (smoothed interval)]]</f>
        <v>7.6962012669470665</v>
      </c>
    </row>
    <row r="480" spans="1:22">
      <c r="A480" t="s">
        <v>24</v>
      </c>
      <c r="B480" t="s">
        <v>14</v>
      </c>
      <c r="C480">
        <v>27</v>
      </c>
      <c r="D480" t="s">
        <v>22</v>
      </c>
      <c r="E480" t="s">
        <v>16</v>
      </c>
      <c r="F480" s="1">
        <v>44207</v>
      </c>
      <c r="G480">
        <v>10</v>
      </c>
      <c r="H480">
        <v>10</v>
      </c>
      <c r="I480">
        <v>17</v>
      </c>
      <c r="J480">
        <v>7</v>
      </c>
      <c r="K480">
        <v>0</v>
      </c>
      <c r="L480">
        <v>542</v>
      </c>
      <c r="M480">
        <v>30</v>
      </c>
      <c r="N480" s="1">
        <f t="shared" si="56"/>
        <v>44938</v>
      </c>
      <c r="O480" s="1">
        <f t="shared" si="57"/>
        <v>43101</v>
      </c>
      <c r="P480" s="1">
        <f t="shared" si="58"/>
        <v>44501</v>
      </c>
      <c r="Q480" s="8">
        <f t="shared" si="59"/>
        <v>0</v>
      </c>
      <c r="R480" s="8">
        <f t="shared" si="60"/>
        <v>47</v>
      </c>
      <c r="S480" s="8">
        <f t="shared" ca="1" si="61"/>
        <v>47</v>
      </c>
      <c r="T480">
        <f t="shared" ca="1" si="62"/>
        <v>8.168318601966547</v>
      </c>
      <c r="U480" s="8">
        <f t="shared" ca="1" si="63"/>
        <v>1.0014757395258971</v>
      </c>
      <c r="V480" s="8">
        <f ca="1">RawData[[#This Row],[Z (smoothed demand size)]]/RawData[[#This Row],[X (smoothed interval)]]</f>
        <v>8.1562820541548664</v>
      </c>
    </row>
    <row r="481" spans="1:22">
      <c r="A481" t="s">
        <v>24</v>
      </c>
      <c r="B481" t="s">
        <v>14</v>
      </c>
      <c r="C481">
        <v>27</v>
      </c>
      <c r="D481" t="s">
        <v>22</v>
      </c>
      <c r="E481" t="s">
        <v>16</v>
      </c>
      <c r="F481" s="1">
        <v>44208</v>
      </c>
      <c r="G481">
        <v>10</v>
      </c>
      <c r="H481">
        <v>10</v>
      </c>
      <c r="I481">
        <v>18</v>
      </c>
      <c r="J481">
        <v>8</v>
      </c>
      <c r="K481">
        <v>0</v>
      </c>
      <c r="L481">
        <v>634</v>
      </c>
      <c r="M481">
        <v>30</v>
      </c>
      <c r="N481" s="1">
        <f t="shared" si="56"/>
        <v>44938</v>
      </c>
      <c r="O481" s="1">
        <f t="shared" si="57"/>
        <v>43101</v>
      </c>
      <c r="P481" s="1">
        <f t="shared" si="58"/>
        <v>44531</v>
      </c>
      <c r="Q481" s="8">
        <f t="shared" si="59"/>
        <v>0</v>
      </c>
      <c r="R481" s="8">
        <f t="shared" si="60"/>
        <v>48</v>
      </c>
      <c r="S481" s="8">
        <f t="shared" ca="1" si="61"/>
        <v>48</v>
      </c>
      <c r="T481">
        <f t="shared" ca="1" si="62"/>
        <v>8.534654881573239</v>
      </c>
      <c r="U481" s="8">
        <f t="shared" ca="1" si="63"/>
        <v>1.0011805916207177</v>
      </c>
      <c r="V481" s="8">
        <f ca="1">RawData[[#This Row],[Z (smoothed demand size)]]/RawData[[#This Row],[X (smoothed interval)]]</f>
        <v>8.5245908210798245</v>
      </c>
    </row>
    <row r="482" spans="1:22">
      <c r="A482" t="s">
        <v>24</v>
      </c>
      <c r="B482" t="s">
        <v>14</v>
      </c>
      <c r="C482">
        <v>27</v>
      </c>
      <c r="D482" t="s">
        <v>22</v>
      </c>
      <c r="E482" t="s">
        <v>16</v>
      </c>
      <c r="F482" s="1">
        <v>44562</v>
      </c>
      <c r="G482">
        <v>9</v>
      </c>
      <c r="H482">
        <v>9</v>
      </c>
      <c r="I482">
        <v>20</v>
      </c>
      <c r="J482">
        <v>11</v>
      </c>
      <c r="K482">
        <v>0</v>
      </c>
      <c r="L482">
        <v>554</v>
      </c>
      <c r="M482">
        <v>60</v>
      </c>
      <c r="N482" s="1">
        <f t="shared" si="56"/>
        <v>44938</v>
      </c>
      <c r="O482" s="1">
        <f t="shared" si="57"/>
        <v>43101</v>
      </c>
      <c r="P482" s="1">
        <f t="shared" si="58"/>
        <v>44562</v>
      </c>
      <c r="Q482" s="8">
        <f t="shared" si="59"/>
        <v>0</v>
      </c>
      <c r="R482" s="8">
        <f t="shared" si="60"/>
        <v>49</v>
      </c>
      <c r="S482" s="8">
        <f t="shared" ca="1" si="61"/>
        <v>49</v>
      </c>
      <c r="T482">
        <f t="shared" ca="1" si="62"/>
        <v>8.6277239052585912</v>
      </c>
      <c r="U482" s="8">
        <f t="shared" ca="1" si="63"/>
        <v>1.0009444732965742</v>
      </c>
      <c r="V482" s="8">
        <f ca="1">RawData[[#This Row],[Z (smoothed demand size)]]/RawData[[#This Row],[X (smoothed interval)]]</f>
        <v>8.6195829393447738</v>
      </c>
    </row>
    <row r="483" spans="1:22">
      <c r="A483" t="s">
        <v>24</v>
      </c>
      <c r="B483" t="s">
        <v>14</v>
      </c>
      <c r="C483">
        <v>27</v>
      </c>
      <c r="D483" t="s">
        <v>22</v>
      </c>
      <c r="E483" t="s">
        <v>16</v>
      </c>
      <c r="F483" s="1">
        <v>44563</v>
      </c>
      <c r="G483">
        <v>0</v>
      </c>
      <c r="H483">
        <v>0</v>
      </c>
      <c r="I483">
        <v>11</v>
      </c>
      <c r="J483">
        <v>11</v>
      </c>
      <c r="K483">
        <v>0</v>
      </c>
      <c r="L483">
        <v>550</v>
      </c>
      <c r="M483">
        <v>45</v>
      </c>
      <c r="N483" s="1">
        <f t="shared" si="56"/>
        <v>44938</v>
      </c>
      <c r="O483" s="1">
        <f t="shared" si="57"/>
        <v>43101</v>
      </c>
      <c r="P483" s="1">
        <f t="shared" si="58"/>
        <v>44593</v>
      </c>
      <c r="Q483" s="8">
        <f t="shared" si="59"/>
        <v>0</v>
      </c>
      <c r="R483" s="8">
        <f t="shared" si="60"/>
        <v>50</v>
      </c>
      <c r="S483" s="8">
        <f t="shared" ca="1" si="61"/>
        <v>49</v>
      </c>
      <c r="T483">
        <f t="shared" ca="1" si="62"/>
        <v>8.6277239052585912</v>
      </c>
      <c r="U483" s="8">
        <f t="shared" ca="1" si="63"/>
        <v>1.0009444732965742</v>
      </c>
      <c r="V483" s="8">
        <f ca="1">RawData[[#This Row],[Z (smoothed demand size)]]/RawData[[#This Row],[X (smoothed interval)]]</f>
        <v>8.6195829393447738</v>
      </c>
    </row>
    <row r="484" spans="1:22">
      <c r="A484" t="s">
        <v>24</v>
      </c>
      <c r="B484" t="s">
        <v>14</v>
      </c>
      <c r="C484">
        <v>27</v>
      </c>
      <c r="D484" t="s">
        <v>22</v>
      </c>
      <c r="E484" t="s">
        <v>16</v>
      </c>
      <c r="F484" s="1">
        <v>44564</v>
      </c>
      <c r="G484">
        <v>2</v>
      </c>
      <c r="H484">
        <v>2</v>
      </c>
      <c r="I484">
        <v>11</v>
      </c>
      <c r="J484">
        <v>9</v>
      </c>
      <c r="K484">
        <v>0</v>
      </c>
      <c r="L484">
        <v>529</v>
      </c>
      <c r="M484">
        <v>15</v>
      </c>
      <c r="N484" s="1">
        <f t="shared" si="56"/>
        <v>44938</v>
      </c>
      <c r="O484" s="1">
        <f t="shared" si="57"/>
        <v>43101</v>
      </c>
      <c r="P484" s="1">
        <f t="shared" si="58"/>
        <v>44621</v>
      </c>
      <c r="Q484" s="8">
        <f t="shared" si="59"/>
        <v>0</v>
      </c>
      <c r="R484" s="8">
        <f t="shared" si="60"/>
        <v>51</v>
      </c>
      <c r="S484" s="8">
        <f t="shared" ca="1" si="61"/>
        <v>51</v>
      </c>
      <c r="T484">
        <f t="shared" ca="1" si="62"/>
        <v>7.3021791242068739</v>
      </c>
      <c r="U484" s="8">
        <f t="shared" ca="1" si="63"/>
        <v>1.2007555786372595</v>
      </c>
      <c r="V484" s="8">
        <f ca="1">RawData[[#This Row],[Z (smoothed demand size)]]/RawData[[#This Row],[X (smoothed interval)]]</f>
        <v>6.0813201738309939</v>
      </c>
    </row>
    <row r="485" spans="1:22">
      <c r="A485" t="s">
        <v>24</v>
      </c>
      <c r="B485" t="s">
        <v>14</v>
      </c>
      <c r="C485">
        <v>27</v>
      </c>
      <c r="D485" t="s">
        <v>22</v>
      </c>
      <c r="E485" t="s">
        <v>16</v>
      </c>
      <c r="F485" s="1">
        <v>44565</v>
      </c>
      <c r="G485">
        <v>13</v>
      </c>
      <c r="H485">
        <v>9</v>
      </c>
      <c r="I485">
        <v>9</v>
      </c>
      <c r="J485">
        <v>0</v>
      </c>
      <c r="K485">
        <v>1</v>
      </c>
      <c r="L485">
        <v>553</v>
      </c>
      <c r="M485">
        <v>15</v>
      </c>
      <c r="N485" s="1">
        <f t="shared" si="56"/>
        <v>44938</v>
      </c>
      <c r="O485" s="1">
        <f t="shared" si="57"/>
        <v>43101</v>
      </c>
      <c r="P485" s="1">
        <f t="shared" si="58"/>
        <v>44652</v>
      </c>
      <c r="Q485" s="8">
        <f t="shared" si="59"/>
        <v>0</v>
      </c>
      <c r="R485" s="8">
        <f t="shared" si="60"/>
        <v>52</v>
      </c>
      <c r="S485" s="8">
        <f t="shared" ca="1" si="61"/>
        <v>52</v>
      </c>
      <c r="T485">
        <f t="shared" ca="1" si="62"/>
        <v>8.4417432993655002</v>
      </c>
      <c r="U485" s="8">
        <f t="shared" ca="1" si="63"/>
        <v>1.1606044629098076</v>
      </c>
      <c r="V485" s="8">
        <f ca="1">RawData[[#This Row],[Z (smoothed demand size)]]/RawData[[#This Row],[X (smoothed interval)]]</f>
        <v>7.2735747355311711</v>
      </c>
    </row>
    <row r="486" spans="1:22">
      <c r="A486" t="s">
        <v>24</v>
      </c>
      <c r="B486" t="s">
        <v>14</v>
      </c>
      <c r="C486">
        <v>27</v>
      </c>
      <c r="D486" t="s">
        <v>22</v>
      </c>
      <c r="E486" t="s">
        <v>16</v>
      </c>
      <c r="F486" s="1">
        <v>44566</v>
      </c>
      <c r="G486">
        <v>7</v>
      </c>
      <c r="H486">
        <v>7</v>
      </c>
      <c r="I486">
        <v>12</v>
      </c>
      <c r="J486">
        <v>5</v>
      </c>
      <c r="K486">
        <v>0</v>
      </c>
      <c r="L486">
        <v>553</v>
      </c>
      <c r="M486">
        <v>60</v>
      </c>
      <c r="N486" s="1">
        <f t="shared" si="56"/>
        <v>44938</v>
      </c>
      <c r="O486" s="1">
        <f t="shared" si="57"/>
        <v>43101</v>
      </c>
      <c r="P486" s="1">
        <f t="shared" si="58"/>
        <v>44682</v>
      </c>
      <c r="Q486" s="8">
        <f t="shared" si="59"/>
        <v>0</v>
      </c>
      <c r="R486" s="8">
        <f t="shared" si="60"/>
        <v>53</v>
      </c>
      <c r="S486" s="8">
        <f t="shared" ca="1" si="61"/>
        <v>53</v>
      </c>
      <c r="T486">
        <f t="shared" ca="1" si="62"/>
        <v>8.1533946394924008</v>
      </c>
      <c r="U486" s="8">
        <f t="shared" ca="1" si="63"/>
        <v>1.1284835703278462</v>
      </c>
      <c r="V486" s="8">
        <f ca="1">RawData[[#This Row],[Z (smoothed demand size)]]/RawData[[#This Row],[X (smoothed interval)]]</f>
        <v>7.2250893622879087</v>
      </c>
    </row>
    <row r="487" spans="1:22">
      <c r="A487" t="s">
        <v>24</v>
      </c>
      <c r="B487" t="s">
        <v>14</v>
      </c>
      <c r="C487">
        <v>27</v>
      </c>
      <c r="D487" t="s">
        <v>22</v>
      </c>
      <c r="E487" t="s">
        <v>16</v>
      </c>
      <c r="F487" s="1">
        <v>44567</v>
      </c>
      <c r="G487">
        <v>8</v>
      </c>
      <c r="H487">
        <v>5</v>
      </c>
      <c r="I487">
        <v>5</v>
      </c>
      <c r="J487">
        <v>0</v>
      </c>
      <c r="K487">
        <v>1</v>
      </c>
      <c r="L487">
        <v>629</v>
      </c>
      <c r="M487">
        <v>60</v>
      </c>
      <c r="N487" s="1">
        <f t="shared" si="56"/>
        <v>44938</v>
      </c>
      <c r="O487" s="1">
        <f t="shared" si="57"/>
        <v>43101</v>
      </c>
      <c r="P487" s="1">
        <f t="shared" si="58"/>
        <v>44713</v>
      </c>
      <c r="Q487" s="8">
        <f t="shared" si="59"/>
        <v>0</v>
      </c>
      <c r="R487" s="8">
        <f t="shared" si="60"/>
        <v>54</v>
      </c>
      <c r="S487" s="8">
        <f t="shared" ca="1" si="61"/>
        <v>54</v>
      </c>
      <c r="T487">
        <f t="shared" ca="1" si="62"/>
        <v>8.122715711593921</v>
      </c>
      <c r="U487" s="8">
        <f t="shared" ca="1" si="63"/>
        <v>1.1027868562622769</v>
      </c>
      <c r="V487" s="8">
        <f ca="1">RawData[[#This Row],[Z (smoothed demand size)]]/RawData[[#This Row],[X (smoothed interval)]]</f>
        <v>7.3656261547445281</v>
      </c>
    </row>
    <row r="488" spans="1:22">
      <c r="A488" t="s">
        <v>24</v>
      </c>
      <c r="B488" t="s">
        <v>14</v>
      </c>
      <c r="C488">
        <v>27</v>
      </c>
      <c r="D488" t="s">
        <v>22</v>
      </c>
      <c r="E488" t="s">
        <v>16</v>
      </c>
      <c r="F488" s="1">
        <v>44568</v>
      </c>
      <c r="G488">
        <v>6</v>
      </c>
      <c r="H488">
        <v>6</v>
      </c>
      <c r="I488">
        <v>10</v>
      </c>
      <c r="J488">
        <v>4</v>
      </c>
      <c r="K488">
        <v>0</v>
      </c>
      <c r="L488">
        <v>637</v>
      </c>
      <c r="M488">
        <v>60</v>
      </c>
      <c r="N488" s="1">
        <f t="shared" si="56"/>
        <v>44938</v>
      </c>
      <c r="O488" s="1">
        <f t="shared" si="57"/>
        <v>43101</v>
      </c>
      <c r="P488" s="1">
        <f t="shared" si="58"/>
        <v>44743</v>
      </c>
      <c r="Q488" s="8">
        <f t="shared" si="59"/>
        <v>0</v>
      </c>
      <c r="R488" s="8">
        <f t="shared" si="60"/>
        <v>55</v>
      </c>
      <c r="S488" s="8">
        <f t="shared" ca="1" si="61"/>
        <v>55</v>
      </c>
      <c r="T488">
        <f t="shared" ca="1" si="62"/>
        <v>7.6981725692751377</v>
      </c>
      <c r="U488" s="8">
        <f t="shared" ca="1" si="63"/>
        <v>1.0822294850098215</v>
      </c>
      <c r="V488" s="8">
        <f ca="1">RawData[[#This Row],[Z (smoothed demand size)]]/RawData[[#This Row],[X (smoothed interval)]]</f>
        <v>7.1132534050347695</v>
      </c>
    </row>
    <row r="489" spans="1:22">
      <c r="A489" t="s">
        <v>24</v>
      </c>
      <c r="B489" t="s">
        <v>14</v>
      </c>
      <c r="C489">
        <v>27</v>
      </c>
      <c r="D489" t="s">
        <v>22</v>
      </c>
      <c r="E489" t="s">
        <v>16</v>
      </c>
      <c r="F489" s="1">
        <v>44569</v>
      </c>
      <c r="G489">
        <v>8</v>
      </c>
      <c r="H489">
        <v>4</v>
      </c>
      <c r="I489">
        <v>4</v>
      </c>
      <c r="J489">
        <v>0</v>
      </c>
      <c r="K489">
        <v>1</v>
      </c>
      <c r="L489">
        <v>635</v>
      </c>
      <c r="M489">
        <v>60</v>
      </c>
      <c r="N489" s="1">
        <f t="shared" si="56"/>
        <v>44938</v>
      </c>
      <c r="O489" s="1">
        <f t="shared" si="57"/>
        <v>43101</v>
      </c>
      <c r="P489" s="1">
        <f t="shared" si="58"/>
        <v>44774</v>
      </c>
      <c r="Q489" s="8">
        <f t="shared" si="59"/>
        <v>0</v>
      </c>
      <c r="R489" s="8">
        <f t="shared" si="60"/>
        <v>56</v>
      </c>
      <c r="S489" s="8">
        <f t="shared" ca="1" si="61"/>
        <v>56</v>
      </c>
      <c r="T489">
        <f t="shared" ca="1" si="62"/>
        <v>7.7585380554201109</v>
      </c>
      <c r="U489" s="8">
        <f t="shared" ca="1" si="63"/>
        <v>1.0657835880078572</v>
      </c>
      <c r="V489" s="8">
        <f ca="1">RawData[[#This Row],[Z (smoothed demand size)]]/RawData[[#This Row],[X (smoothed interval)]]</f>
        <v>7.2796561541374691</v>
      </c>
    </row>
    <row r="490" spans="1:22">
      <c r="A490" t="s">
        <v>24</v>
      </c>
      <c r="B490" t="s">
        <v>14</v>
      </c>
      <c r="C490">
        <v>27</v>
      </c>
      <c r="D490" t="s">
        <v>22</v>
      </c>
      <c r="E490" t="s">
        <v>16</v>
      </c>
      <c r="F490" s="1">
        <v>44570</v>
      </c>
      <c r="G490">
        <v>8</v>
      </c>
      <c r="H490">
        <v>8</v>
      </c>
      <c r="I490">
        <v>9</v>
      </c>
      <c r="J490">
        <v>1</v>
      </c>
      <c r="K490">
        <v>0</v>
      </c>
      <c r="L490">
        <v>545</v>
      </c>
      <c r="M490">
        <v>60</v>
      </c>
      <c r="N490" s="1">
        <f t="shared" si="56"/>
        <v>44938</v>
      </c>
      <c r="O490" s="1">
        <f t="shared" si="57"/>
        <v>43101</v>
      </c>
      <c r="P490" s="1">
        <f t="shared" si="58"/>
        <v>44805</v>
      </c>
      <c r="Q490" s="8">
        <f t="shared" si="59"/>
        <v>0</v>
      </c>
      <c r="R490" s="8">
        <f t="shared" si="60"/>
        <v>57</v>
      </c>
      <c r="S490" s="8">
        <f t="shared" ca="1" si="61"/>
        <v>57</v>
      </c>
      <c r="T490">
        <f t="shared" ca="1" si="62"/>
        <v>7.8068304443360894</v>
      </c>
      <c r="U490" s="8">
        <f t="shared" ca="1" si="63"/>
        <v>1.0526268704062858</v>
      </c>
      <c r="V490" s="8">
        <f ca="1">RawData[[#This Row],[Z (smoothed demand size)]]/RawData[[#This Row],[X (smoothed interval)]]</f>
        <v>7.4165220970683201</v>
      </c>
    </row>
    <row r="491" spans="1:22">
      <c r="A491" t="s">
        <v>24</v>
      </c>
      <c r="B491" t="s">
        <v>14</v>
      </c>
      <c r="C491">
        <v>27</v>
      </c>
      <c r="D491" t="s">
        <v>22</v>
      </c>
      <c r="E491" t="s">
        <v>16</v>
      </c>
      <c r="F491" s="1">
        <v>44571</v>
      </c>
      <c r="G491">
        <v>10</v>
      </c>
      <c r="H491">
        <v>1</v>
      </c>
      <c r="I491">
        <v>1</v>
      </c>
      <c r="J491">
        <v>0</v>
      </c>
      <c r="K491">
        <v>1</v>
      </c>
      <c r="L491">
        <v>555</v>
      </c>
      <c r="M491">
        <v>15</v>
      </c>
      <c r="N491" s="1">
        <f t="shared" si="56"/>
        <v>44938</v>
      </c>
      <c r="O491" s="1">
        <f t="shared" si="57"/>
        <v>43101</v>
      </c>
      <c r="P491" s="1">
        <f t="shared" si="58"/>
        <v>44835</v>
      </c>
      <c r="Q491" s="8">
        <f t="shared" si="59"/>
        <v>0</v>
      </c>
      <c r="R491" s="8">
        <f t="shared" si="60"/>
        <v>58</v>
      </c>
      <c r="S491" s="8">
        <f t="shared" ca="1" si="61"/>
        <v>58</v>
      </c>
      <c r="T491">
        <f t="shared" ca="1" si="62"/>
        <v>8.2454643554688722</v>
      </c>
      <c r="U491" s="8">
        <f t="shared" ca="1" si="63"/>
        <v>1.0421014963250286</v>
      </c>
      <c r="V491" s="8">
        <f ca="1">RawData[[#This Row],[Z (smoothed demand size)]]/RawData[[#This Row],[X (smoothed interval)]]</f>
        <v>7.9123428807525045</v>
      </c>
    </row>
    <row r="492" spans="1:22">
      <c r="A492" t="s">
        <v>24</v>
      </c>
      <c r="B492" t="s">
        <v>14</v>
      </c>
      <c r="C492">
        <v>27</v>
      </c>
      <c r="D492" t="s">
        <v>22</v>
      </c>
      <c r="E492" t="s">
        <v>16</v>
      </c>
      <c r="F492" s="1">
        <v>44572</v>
      </c>
      <c r="G492">
        <v>7</v>
      </c>
      <c r="H492">
        <v>7</v>
      </c>
      <c r="I492">
        <v>9</v>
      </c>
      <c r="J492">
        <v>2</v>
      </c>
      <c r="K492">
        <v>0</v>
      </c>
      <c r="L492">
        <v>541</v>
      </c>
      <c r="M492">
        <v>45</v>
      </c>
      <c r="N492" s="1">
        <f t="shared" si="56"/>
        <v>44938</v>
      </c>
      <c r="O492" s="1">
        <f t="shared" si="57"/>
        <v>43101</v>
      </c>
      <c r="P492" s="1">
        <f t="shared" si="58"/>
        <v>44866</v>
      </c>
      <c r="Q492" s="8">
        <f t="shared" si="59"/>
        <v>0</v>
      </c>
      <c r="R492" s="8">
        <f t="shared" si="60"/>
        <v>59</v>
      </c>
      <c r="S492" s="8">
        <f t="shared" ca="1" si="61"/>
        <v>59</v>
      </c>
      <c r="T492">
        <f t="shared" ca="1" si="62"/>
        <v>7.9963714843750981</v>
      </c>
      <c r="U492" s="8">
        <f t="shared" ca="1" si="63"/>
        <v>1.0336811970600228</v>
      </c>
      <c r="V492" s="8">
        <f ca="1">RawData[[#This Row],[Z (smoothed demand size)]]/RawData[[#This Row],[X (smoothed interval)]]</f>
        <v>7.73581981283807</v>
      </c>
    </row>
    <row r="493" spans="1:22">
      <c r="A493" t="s">
        <v>24</v>
      </c>
      <c r="B493" t="s">
        <v>14</v>
      </c>
      <c r="C493">
        <v>27</v>
      </c>
      <c r="D493" t="s">
        <v>22</v>
      </c>
      <c r="E493" t="s">
        <v>16</v>
      </c>
      <c r="F493" s="1">
        <v>44573</v>
      </c>
      <c r="G493">
        <v>14</v>
      </c>
      <c r="H493">
        <v>2</v>
      </c>
      <c r="I493">
        <v>2</v>
      </c>
      <c r="J493">
        <v>0</v>
      </c>
      <c r="K493">
        <v>1</v>
      </c>
      <c r="L493">
        <v>630</v>
      </c>
      <c r="M493">
        <v>30</v>
      </c>
      <c r="N493" s="1">
        <f t="shared" si="56"/>
        <v>44938</v>
      </c>
      <c r="O493" s="1">
        <f t="shared" si="57"/>
        <v>43101</v>
      </c>
      <c r="P493" s="1">
        <f t="shared" si="58"/>
        <v>44896</v>
      </c>
      <c r="Q493" s="8">
        <f t="shared" si="59"/>
        <v>0</v>
      </c>
      <c r="R493" s="8">
        <f t="shared" si="60"/>
        <v>60</v>
      </c>
      <c r="S493" s="8">
        <f t="shared" ca="1" si="61"/>
        <v>60</v>
      </c>
      <c r="T493">
        <f t="shared" ca="1" si="62"/>
        <v>9.1970971875000789</v>
      </c>
      <c r="U493" s="8">
        <f t="shared" ca="1" si="63"/>
        <v>1.0269449576480183</v>
      </c>
      <c r="V493" s="8">
        <f ca="1">RawData[[#This Row],[Z (smoothed demand size)]]/RawData[[#This Row],[X (smoothed interval)]]</f>
        <v>8.9557839677833559</v>
      </c>
    </row>
    <row r="494" spans="1:22">
      <c r="A494" t="s">
        <v>24</v>
      </c>
      <c r="B494" t="s">
        <v>14</v>
      </c>
      <c r="C494">
        <v>27</v>
      </c>
      <c r="D494" t="s">
        <v>22</v>
      </c>
      <c r="E494" t="s">
        <v>16</v>
      </c>
      <c r="F494" s="1">
        <v>44927</v>
      </c>
      <c r="G494">
        <v>8</v>
      </c>
      <c r="H494">
        <v>8</v>
      </c>
      <c r="I494">
        <v>9</v>
      </c>
      <c r="J494">
        <v>1</v>
      </c>
      <c r="K494">
        <v>0</v>
      </c>
      <c r="L494">
        <v>546</v>
      </c>
      <c r="M494">
        <v>45</v>
      </c>
      <c r="N494" s="1">
        <f t="shared" si="56"/>
        <v>44938</v>
      </c>
      <c r="O494" s="1">
        <f t="shared" si="57"/>
        <v>43101</v>
      </c>
      <c r="P494" s="1">
        <f t="shared" si="58"/>
        <v>44927</v>
      </c>
      <c r="Q494" s="8">
        <f t="shared" si="59"/>
        <v>0</v>
      </c>
      <c r="R494" s="8">
        <f t="shared" si="60"/>
        <v>61</v>
      </c>
      <c r="S494" s="8">
        <f t="shared" ca="1" si="61"/>
        <v>61</v>
      </c>
      <c r="T494">
        <f t="shared" ca="1" si="62"/>
        <v>8.9576777500000642</v>
      </c>
      <c r="U494" s="8">
        <f t="shared" ca="1" si="63"/>
        <v>1.0215559661184146</v>
      </c>
      <c r="V494" s="8">
        <f ca="1">RawData[[#This Row],[Z (smoothed demand size)]]/RawData[[#This Row],[X (smoothed interval)]]</f>
        <v>8.7686607949991906</v>
      </c>
    </row>
    <row r="495" spans="1:22">
      <c r="A495" t="s">
        <v>24</v>
      </c>
      <c r="B495" t="s">
        <v>14</v>
      </c>
      <c r="C495">
        <v>27</v>
      </c>
      <c r="D495" t="s">
        <v>22</v>
      </c>
      <c r="E495" t="s">
        <v>16</v>
      </c>
      <c r="F495" s="1">
        <v>44928</v>
      </c>
      <c r="G495">
        <v>5</v>
      </c>
      <c r="H495">
        <v>1</v>
      </c>
      <c r="I495">
        <v>1</v>
      </c>
      <c r="J495">
        <v>0</v>
      </c>
      <c r="K495">
        <v>1</v>
      </c>
      <c r="L495">
        <v>542</v>
      </c>
      <c r="M495">
        <v>15</v>
      </c>
      <c r="N495" s="1">
        <f t="shared" si="56"/>
        <v>44938</v>
      </c>
      <c r="O495" s="1">
        <f t="shared" si="57"/>
        <v>43101</v>
      </c>
      <c r="P495" s="1">
        <f t="shared" si="58"/>
        <v>44958</v>
      </c>
      <c r="Q495" s="8">
        <f t="shared" si="59"/>
        <v>0</v>
      </c>
      <c r="R495" s="8">
        <f t="shared" si="60"/>
        <v>62</v>
      </c>
      <c r="S495" s="8">
        <f t="shared" ca="1" si="61"/>
        <v>62</v>
      </c>
      <c r="T495">
        <f t="shared" ca="1" si="62"/>
        <v>8.1661422000000528</v>
      </c>
      <c r="U495" s="8">
        <f t="shared" ca="1" si="63"/>
        <v>1.0172447728947318</v>
      </c>
      <c r="V495" s="8">
        <f ca="1">RawData[[#This Row],[Z (smoothed demand size)]]/RawData[[#This Row],[X (smoothed interval)]]</f>
        <v>8.0277062292116739</v>
      </c>
    </row>
    <row r="496" spans="1:22">
      <c r="A496" t="s">
        <v>24</v>
      </c>
      <c r="B496" t="s">
        <v>14</v>
      </c>
      <c r="C496">
        <v>27</v>
      </c>
      <c r="D496" t="s">
        <v>22</v>
      </c>
      <c r="E496" t="s">
        <v>16</v>
      </c>
      <c r="F496" s="1">
        <v>44929</v>
      </c>
      <c r="G496">
        <v>9</v>
      </c>
      <c r="H496">
        <v>9</v>
      </c>
      <c r="I496">
        <v>11</v>
      </c>
      <c r="J496">
        <v>2</v>
      </c>
      <c r="K496">
        <v>0</v>
      </c>
      <c r="L496">
        <v>548</v>
      </c>
      <c r="M496">
        <v>60</v>
      </c>
      <c r="N496" s="1">
        <f t="shared" si="56"/>
        <v>44938</v>
      </c>
      <c r="O496" s="1">
        <f t="shared" si="57"/>
        <v>43101</v>
      </c>
      <c r="P496" s="1">
        <f t="shared" si="58"/>
        <v>44986</v>
      </c>
      <c r="Q496" s="8">
        <f t="shared" si="59"/>
        <v>0</v>
      </c>
      <c r="R496" s="8">
        <f t="shared" si="60"/>
        <v>63</v>
      </c>
      <c r="S496" s="8">
        <f t="shared" ca="1" si="61"/>
        <v>63</v>
      </c>
      <c r="T496">
        <f t="shared" ca="1" si="62"/>
        <v>8.3329137600000429</v>
      </c>
      <c r="U496" s="8">
        <f t="shared" ca="1" si="63"/>
        <v>1.0137958183157856</v>
      </c>
      <c r="V496" s="8">
        <f ca="1">RawData[[#This Row],[Z (smoothed demand size)]]/RawData[[#This Row],[X (smoothed interval)]]</f>
        <v>8.2195187723731937</v>
      </c>
    </row>
    <row r="497" spans="1:22">
      <c r="A497" t="s">
        <v>24</v>
      </c>
      <c r="B497" t="s">
        <v>14</v>
      </c>
      <c r="C497">
        <v>27</v>
      </c>
      <c r="D497" t="s">
        <v>22</v>
      </c>
      <c r="E497" t="s">
        <v>16</v>
      </c>
      <c r="F497" s="1">
        <v>44930</v>
      </c>
      <c r="G497">
        <v>3</v>
      </c>
      <c r="H497">
        <v>2</v>
      </c>
      <c r="I497">
        <v>2</v>
      </c>
      <c r="J497">
        <v>0</v>
      </c>
      <c r="K497">
        <v>1</v>
      </c>
      <c r="L497">
        <v>554</v>
      </c>
      <c r="M497">
        <v>45</v>
      </c>
      <c r="N497" s="1">
        <f t="shared" si="56"/>
        <v>44938</v>
      </c>
      <c r="O497" s="1">
        <f t="shared" si="57"/>
        <v>43101</v>
      </c>
      <c r="P497" s="1">
        <f t="shared" si="58"/>
        <v>45017</v>
      </c>
      <c r="Q497" s="8">
        <f t="shared" si="59"/>
        <v>0</v>
      </c>
      <c r="R497" s="8">
        <f t="shared" si="60"/>
        <v>64</v>
      </c>
      <c r="S497" s="8">
        <f t="shared" ca="1" si="61"/>
        <v>64</v>
      </c>
      <c r="T497">
        <f t="shared" ca="1" si="62"/>
        <v>7.2663310080000354</v>
      </c>
      <c r="U497" s="8">
        <f t="shared" ca="1" si="63"/>
        <v>1.0110366546526286</v>
      </c>
      <c r="V497" s="8">
        <f ca="1">RawData[[#This Row],[Z (smoothed demand size)]]/RawData[[#This Row],[X (smoothed interval)]]</f>
        <v>7.1870104556165648</v>
      </c>
    </row>
    <row r="498" spans="1:22">
      <c r="A498" t="s">
        <v>24</v>
      </c>
      <c r="B498" t="s">
        <v>14</v>
      </c>
      <c r="C498">
        <v>27</v>
      </c>
      <c r="D498" t="s">
        <v>22</v>
      </c>
      <c r="E498" t="s">
        <v>16</v>
      </c>
      <c r="F498" s="1">
        <v>44931</v>
      </c>
      <c r="G498">
        <v>8</v>
      </c>
      <c r="H498">
        <v>8</v>
      </c>
      <c r="I498">
        <v>8</v>
      </c>
      <c r="J498">
        <v>0</v>
      </c>
      <c r="K498">
        <v>0</v>
      </c>
      <c r="L498">
        <v>553</v>
      </c>
      <c r="M498">
        <v>60</v>
      </c>
      <c r="N498" s="1">
        <f t="shared" si="56"/>
        <v>44938</v>
      </c>
      <c r="O498" s="1">
        <f t="shared" si="57"/>
        <v>43101</v>
      </c>
      <c r="P498" s="1">
        <f t="shared" si="58"/>
        <v>45047</v>
      </c>
      <c r="Q498" s="8">
        <f t="shared" si="59"/>
        <v>0</v>
      </c>
      <c r="R498" s="8">
        <f t="shared" si="60"/>
        <v>65</v>
      </c>
      <c r="S498" s="8">
        <f t="shared" ca="1" si="61"/>
        <v>65</v>
      </c>
      <c r="T498">
        <f t="shared" ca="1" si="62"/>
        <v>7.413064806400028</v>
      </c>
      <c r="U498" s="8">
        <f t="shared" ca="1" si="63"/>
        <v>1.0088293237221029</v>
      </c>
      <c r="V498" s="8">
        <f ca="1">RawData[[#This Row],[Z (smoothed demand size)]]/RawData[[#This Row],[X (smoothed interval)]]</f>
        <v>7.3481852996196881</v>
      </c>
    </row>
    <row r="499" spans="1:22">
      <c r="A499" t="s">
        <v>24</v>
      </c>
      <c r="B499" t="s">
        <v>14</v>
      </c>
      <c r="C499">
        <v>27</v>
      </c>
      <c r="D499" t="s">
        <v>22</v>
      </c>
      <c r="E499" t="s">
        <v>16</v>
      </c>
      <c r="F499" s="1">
        <v>44932</v>
      </c>
      <c r="G499">
        <v>8</v>
      </c>
      <c r="H499">
        <v>0</v>
      </c>
      <c r="I499">
        <v>0</v>
      </c>
      <c r="J499">
        <v>0</v>
      </c>
      <c r="K499">
        <v>1</v>
      </c>
      <c r="L499">
        <v>633</v>
      </c>
      <c r="M499">
        <v>15</v>
      </c>
      <c r="N499" s="1">
        <f t="shared" si="56"/>
        <v>44938</v>
      </c>
      <c r="O499" s="1">
        <f t="shared" si="57"/>
        <v>43101</v>
      </c>
      <c r="P499" s="1">
        <f t="shared" si="58"/>
        <v>45078</v>
      </c>
      <c r="Q499" s="8">
        <f t="shared" si="59"/>
        <v>0</v>
      </c>
      <c r="R499" s="8">
        <f t="shared" si="60"/>
        <v>66</v>
      </c>
      <c r="S499" s="8">
        <f t="shared" ca="1" si="61"/>
        <v>66</v>
      </c>
      <c r="T499">
        <f t="shared" ca="1" si="62"/>
        <v>7.5304518451200231</v>
      </c>
      <c r="U499" s="8">
        <f t="shared" ca="1" si="63"/>
        <v>1.0070634589776823</v>
      </c>
      <c r="V499" s="8">
        <f ca="1">RawData[[#This Row],[Z (smoothed demand size)]]/RawData[[#This Row],[X (smoothed interval)]]</f>
        <v>7.4776338849237369</v>
      </c>
    </row>
    <row r="500" spans="1:22">
      <c r="A500" t="s">
        <v>24</v>
      </c>
      <c r="B500" t="s">
        <v>14</v>
      </c>
      <c r="C500">
        <v>27</v>
      </c>
      <c r="D500" t="s">
        <v>22</v>
      </c>
      <c r="E500" t="s">
        <v>16</v>
      </c>
      <c r="F500" s="1">
        <v>44933</v>
      </c>
      <c r="G500">
        <v>11</v>
      </c>
      <c r="H500">
        <v>8</v>
      </c>
      <c r="I500">
        <v>8</v>
      </c>
      <c r="J500">
        <v>0</v>
      </c>
      <c r="K500">
        <v>1</v>
      </c>
      <c r="L500">
        <v>618</v>
      </c>
      <c r="M500">
        <v>60</v>
      </c>
      <c r="N500" s="1">
        <f t="shared" si="56"/>
        <v>44938</v>
      </c>
      <c r="O500" s="1">
        <f t="shared" si="57"/>
        <v>43101</v>
      </c>
      <c r="P500" s="1">
        <f t="shared" si="58"/>
        <v>45108</v>
      </c>
      <c r="Q500" s="8">
        <f t="shared" si="59"/>
        <v>0</v>
      </c>
      <c r="R500" s="8">
        <f t="shared" si="60"/>
        <v>67</v>
      </c>
      <c r="S500" s="8">
        <f t="shared" ca="1" si="61"/>
        <v>67</v>
      </c>
      <c r="T500">
        <f t="shared" ca="1" si="62"/>
        <v>8.2243614760960178</v>
      </c>
      <c r="U500" s="8">
        <f t="shared" ca="1" si="63"/>
        <v>1.005650767182146</v>
      </c>
      <c r="V500" s="8">
        <f ca="1">RawData[[#This Row],[Z (smoothed demand size)]]/RawData[[#This Row],[X (smoothed interval)]]</f>
        <v>8.1781486620259312</v>
      </c>
    </row>
    <row r="501" spans="1:22">
      <c r="A501" t="s">
        <v>24</v>
      </c>
      <c r="B501" t="s">
        <v>14</v>
      </c>
      <c r="C501">
        <v>27</v>
      </c>
      <c r="D501" t="s">
        <v>22</v>
      </c>
      <c r="E501" t="s">
        <v>16</v>
      </c>
      <c r="F501" s="1">
        <v>44934</v>
      </c>
      <c r="G501">
        <v>9</v>
      </c>
      <c r="H501">
        <v>0</v>
      </c>
      <c r="I501">
        <v>0</v>
      </c>
      <c r="J501">
        <v>0</v>
      </c>
      <c r="K501">
        <v>1</v>
      </c>
      <c r="L501">
        <v>620</v>
      </c>
      <c r="M501">
        <v>60</v>
      </c>
      <c r="N501" s="1">
        <f t="shared" si="56"/>
        <v>44938</v>
      </c>
      <c r="O501" s="1">
        <f t="shared" si="57"/>
        <v>43101</v>
      </c>
      <c r="P501" s="1">
        <f t="shared" si="58"/>
        <v>45139</v>
      </c>
      <c r="Q501" s="8">
        <f t="shared" si="59"/>
        <v>0</v>
      </c>
      <c r="R501" s="8">
        <f t="shared" si="60"/>
        <v>68</v>
      </c>
      <c r="S501" s="8">
        <f t="shared" ca="1" si="61"/>
        <v>68</v>
      </c>
      <c r="T501">
        <f t="shared" ca="1" si="62"/>
        <v>8.3794891808768153</v>
      </c>
      <c r="U501" s="8">
        <f t="shared" ca="1" si="63"/>
        <v>1.0045206137457168</v>
      </c>
      <c r="V501" s="8">
        <f ca="1">RawData[[#This Row],[Z (smoothed demand size)]]/RawData[[#This Row],[X (smoothed interval)]]</f>
        <v>8.3417792190753293</v>
      </c>
    </row>
    <row r="502" spans="1:22">
      <c r="A502" t="s">
        <v>24</v>
      </c>
      <c r="B502" t="s">
        <v>14</v>
      </c>
      <c r="C502">
        <v>27</v>
      </c>
      <c r="D502" t="s">
        <v>22</v>
      </c>
      <c r="E502" t="s">
        <v>16</v>
      </c>
      <c r="F502" s="1">
        <v>44935</v>
      </c>
      <c r="G502">
        <v>10</v>
      </c>
      <c r="H502">
        <v>9</v>
      </c>
      <c r="I502">
        <v>9</v>
      </c>
      <c r="J502">
        <v>0</v>
      </c>
      <c r="K502">
        <v>1</v>
      </c>
      <c r="L502">
        <v>548</v>
      </c>
      <c r="M502">
        <v>30</v>
      </c>
      <c r="N502" s="1">
        <f t="shared" si="56"/>
        <v>44938</v>
      </c>
      <c r="O502" s="1">
        <f t="shared" si="57"/>
        <v>43101</v>
      </c>
      <c r="P502" s="1">
        <f t="shared" si="58"/>
        <v>45170</v>
      </c>
      <c r="Q502" s="8">
        <f t="shared" si="59"/>
        <v>0</v>
      </c>
      <c r="R502" s="8">
        <f t="shared" si="60"/>
        <v>69</v>
      </c>
      <c r="S502" s="8">
        <f t="shared" ca="1" si="61"/>
        <v>69</v>
      </c>
      <c r="T502">
        <f t="shared" ca="1" si="62"/>
        <v>8.7035913447014526</v>
      </c>
      <c r="U502" s="8">
        <f t="shared" ca="1" si="63"/>
        <v>1.0036164909965735</v>
      </c>
      <c r="V502" s="8">
        <f ca="1">RawData[[#This Row],[Z (smoothed demand size)]]/RawData[[#This Row],[X (smoothed interval)]]</f>
        <v>8.6722283091013583</v>
      </c>
    </row>
    <row r="503" spans="1:22">
      <c r="A503" t="s">
        <v>24</v>
      </c>
      <c r="B503" t="s">
        <v>14</v>
      </c>
      <c r="C503">
        <v>27</v>
      </c>
      <c r="D503" t="s">
        <v>22</v>
      </c>
      <c r="E503" t="s">
        <v>16</v>
      </c>
      <c r="F503" s="1">
        <v>44936</v>
      </c>
      <c r="G503">
        <v>8</v>
      </c>
      <c r="H503">
        <v>8</v>
      </c>
      <c r="I503">
        <v>10</v>
      </c>
      <c r="J503">
        <v>2</v>
      </c>
      <c r="K503">
        <v>0</v>
      </c>
      <c r="L503">
        <v>546</v>
      </c>
      <c r="M503">
        <v>45</v>
      </c>
      <c r="N503" s="1">
        <f t="shared" si="56"/>
        <v>44938</v>
      </c>
      <c r="O503" s="1">
        <f t="shared" si="57"/>
        <v>43101</v>
      </c>
      <c r="P503" s="1">
        <f t="shared" si="58"/>
        <v>45200</v>
      </c>
      <c r="Q503" s="8">
        <f t="shared" si="59"/>
        <v>0</v>
      </c>
      <c r="R503" s="8">
        <f t="shared" si="60"/>
        <v>70</v>
      </c>
      <c r="S503" s="8">
        <f t="shared" ca="1" si="61"/>
        <v>70</v>
      </c>
      <c r="T503">
        <f t="shared" ca="1" si="62"/>
        <v>8.5628730757611624</v>
      </c>
      <c r="U503" s="8">
        <f t="shared" ca="1" si="63"/>
        <v>1.0028931927972589</v>
      </c>
      <c r="V503" s="8">
        <f ca="1">RawData[[#This Row],[Z (smoothed demand size)]]/RawData[[#This Row],[X (smoothed interval)]]</f>
        <v>8.538170502361961</v>
      </c>
    </row>
    <row r="504" spans="1:22">
      <c r="A504" t="s">
        <v>24</v>
      </c>
      <c r="B504" t="s">
        <v>14</v>
      </c>
      <c r="C504">
        <v>27</v>
      </c>
      <c r="D504" t="s">
        <v>22</v>
      </c>
      <c r="E504" t="s">
        <v>16</v>
      </c>
      <c r="F504" s="1">
        <v>44937</v>
      </c>
      <c r="G504">
        <v>12</v>
      </c>
      <c r="H504">
        <v>2</v>
      </c>
      <c r="I504">
        <v>2</v>
      </c>
      <c r="J504">
        <v>0</v>
      </c>
      <c r="K504">
        <v>1</v>
      </c>
      <c r="L504">
        <v>544</v>
      </c>
      <c r="M504">
        <v>45</v>
      </c>
      <c r="N504" s="1">
        <f t="shared" si="56"/>
        <v>44938</v>
      </c>
      <c r="O504" s="1">
        <f t="shared" si="57"/>
        <v>43101</v>
      </c>
      <c r="P504" s="1">
        <f t="shared" si="58"/>
        <v>45231</v>
      </c>
      <c r="Q504" s="8">
        <f t="shared" si="59"/>
        <v>0</v>
      </c>
      <c r="R504" s="8">
        <f t="shared" si="60"/>
        <v>71</v>
      </c>
      <c r="S504" s="8">
        <f t="shared" ca="1" si="61"/>
        <v>71</v>
      </c>
      <c r="T504">
        <f t="shared" ca="1" si="62"/>
        <v>9.2502984606089314</v>
      </c>
      <c r="U504" s="8">
        <f t="shared" ca="1" si="63"/>
        <v>1.0023145542378071</v>
      </c>
      <c r="V504" s="8">
        <f ca="1">RawData[[#This Row],[Z (smoothed demand size)]]/RawData[[#This Row],[X (smoothed interval)]]</f>
        <v>9.228937584013396</v>
      </c>
    </row>
    <row r="505" spans="1:22">
      <c r="A505" t="s">
        <v>24</v>
      </c>
      <c r="B505" t="s">
        <v>14</v>
      </c>
      <c r="C505">
        <v>27</v>
      </c>
      <c r="D505" t="s">
        <v>22</v>
      </c>
      <c r="E505" t="s">
        <v>16</v>
      </c>
      <c r="F505" s="1">
        <v>44938</v>
      </c>
      <c r="G505">
        <v>4</v>
      </c>
      <c r="H505">
        <v>4</v>
      </c>
      <c r="I505">
        <v>12</v>
      </c>
      <c r="J505">
        <v>8</v>
      </c>
      <c r="K505">
        <v>0</v>
      </c>
      <c r="L505">
        <v>641</v>
      </c>
      <c r="M505">
        <v>45</v>
      </c>
      <c r="N505" s="1">
        <f t="shared" si="56"/>
        <v>44938</v>
      </c>
      <c r="O505" s="1">
        <f t="shared" si="57"/>
        <v>43101</v>
      </c>
      <c r="P505" s="1">
        <f t="shared" si="58"/>
        <v>45261</v>
      </c>
      <c r="Q505" s="8">
        <f t="shared" si="59"/>
        <v>0</v>
      </c>
      <c r="R505" s="8">
        <f t="shared" si="60"/>
        <v>72</v>
      </c>
      <c r="S505" s="8">
        <f t="shared" ca="1" si="61"/>
        <v>72</v>
      </c>
      <c r="T505">
        <f t="shared" ca="1" si="62"/>
        <v>8.2002387684871465</v>
      </c>
      <c r="U505" s="8">
        <f t="shared" ca="1" si="63"/>
        <v>1.0018516433902458</v>
      </c>
      <c r="V505" s="8">
        <f ca="1">RawData[[#This Row],[Z (smoothed demand size)]]/RawData[[#This Row],[X (smoothed interval)]]</f>
        <v>8.1850829138111738</v>
      </c>
    </row>
    <row r="506" spans="1:22">
      <c r="A506" t="s">
        <v>25</v>
      </c>
      <c r="B506" t="s">
        <v>14</v>
      </c>
      <c r="C506">
        <v>24</v>
      </c>
      <c r="D506" t="s">
        <v>18</v>
      </c>
      <c r="E506" t="s">
        <v>16</v>
      </c>
      <c r="F506" s="1">
        <v>43101</v>
      </c>
      <c r="G506">
        <v>8</v>
      </c>
      <c r="H506">
        <v>8</v>
      </c>
      <c r="I506">
        <v>24</v>
      </c>
      <c r="J506">
        <v>16</v>
      </c>
      <c r="K506">
        <v>0</v>
      </c>
      <c r="L506">
        <v>682</v>
      </c>
      <c r="M506">
        <v>60</v>
      </c>
      <c r="N506" s="1">
        <f t="shared" si="56"/>
        <v>44938</v>
      </c>
      <c r="O506" s="1">
        <f t="shared" si="57"/>
        <v>43101</v>
      </c>
      <c r="P506" s="1">
        <f t="shared" si="58"/>
        <v>43101</v>
      </c>
      <c r="Q506" s="8">
        <f t="shared" si="59"/>
        <v>1</v>
      </c>
      <c r="R506" s="8">
        <f t="shared" si="60"/>
        <v>1</v>
      </c>
      <c r="S506" s="8">
        <f t="shared" ca="1" si="61"/>
        <v>1</v>
      </c>
      <c r="T506">
        <f t="shared" ca="1" si="62"/>
        <v>8</v>
      </c>
      <c r="U506" s="8">
        <f t="shared" ca="1" si="63"/>
        <v>1</v>
      </c>
      <c r="V506" s="8">
        <f ca="1">RawData[[#This Row],[Z (smoothed demand size)]]/RawData[[#This Row],[X (smoothed interval)]]</f>
        <v>8</v>
      </c>
    </row>
    <row r="507" spans="1:22">
      <c r="A507" t="s">
        <v>25</v>
      </c>
      <c r="B507" t="s">
        <v>14</v>
      </c>
      <c r="C507">
        <v>24</v>
      </c>
      <c r="D507" t="s">
        <v>18</v>
      </c>
      <c r="E507" t="s">
        <v>16</v>
      </c>
      <c r="F507" s="1">
        <v>43102</v>
      </c>
      <c r="G507">
        <v>7</v>
      </c>
      <c r="H507">
        <v>7</v>
      </c>
      <c r="I507">
        <v>16</v>
      </c>
      <c r="J507">
        <v>9</v>
      </c>
      <c r="K507">
        <v>0</v>
      </c>
      <c r="L507">
        <v>693</v>
      </c>
      <c r="M507">
        <v>30</v>
      </c>
      <c r="N507" s="1">
        <f t="shared" si="56"/>
        <v>44938</v>
      </c>
      <c r="O507" s="1">
        <f t="shared" si="57"/>
        <v>43101</v>
      </c>
      <c r="P507" s="1">
        <f t="shared" si="58"/>
        <v>43132</v>
      </c>
      <c r="Q507" s="8">
        <f t="shared" si="59"/>
        <v>0</v>
      </c>
      <c r="R507" s="8">
        <f t="shared" si="60"/>
        <v>2</v>
      </c>
      <c r="S507" s="8">
        <f t="shared" ca="1" si="61"/>
        <v>2</v>
      </c>
      <c r="T507">
        <f t="shared" ca="1" si="62"/>
        <v>7.8000000000000007</v>
      </c>
      <c r="U507" s="8">
        <f t="shared" ca="1" si="63"/>
        <v>1</v>
      </c>
      <c r="V507" s="8">
        <f ca="1">RawData[[#This Row],[Z (smoothed demand size)]]/RawData[[#This Row],[X (smoothed interval)]]</f>
        <v>7.8000000000000007</v>
      </c>
    </row>
    <row r="508" spans="1:22">
      <c r="A508" t="s">
        <v>25</v>
      </c>
      <c r="B508" t="s">
        <v>14</v>
      </c>
      <c r="C508">
        <v>24</v>
      </c>
      <c r="D508" t="s">
        <v>18</v>
      </c>
      <c r="E508" t="s">
        <v>16</v>
      </c>
      <c r="F508" s="1">
        <v>43103</v>
      </c>
      <c r="G508">
        <v>5</v>
      </c>
      <c r="H508">
        <v>5</v>
      </c>
      <c r="I508">
        <v>9</v>
      </c>
      <c r="J508">
        <v>4</v>
      </c>
      <c r="K508">
        <v>0</v>
      </c>
      <c r="L508">
        <v>705</v>
      </c>
      <c r="M508">
        <v>15</v>
      </c>
      <c r="N508" s="1">
        <f t="shared" si="56"/>
        <v>44938</v>
      </c>
      <c r="O508" s="1">
        <f t="shared" si="57"/>
        <v>43101</v>
      </c>
      <c r="P508" s="1">
        <f t="shared" si="58"/>
        <v>43160</v>
      </c>
      <c r="Q508" s="8">
        <f t="shared" si="59"/>
        <v>0</v>
      </c>
      <c r="R508" s="8">
        <f t="shared" si="60"/>
        <v>3</v>
      </c>
      <c r="S508" s="8">
        <f t="shared" ca="1" si="61"/>
        <v>3</v>
      </c>
      <c r="T508">
        <f t="shared" ca="1" si="62"/>
        <v>7.2400000000000011</v>
      </c>
      <c r="U508" s="8">
        <f t="shared" ca="1" si="63"/>
        <v>1</v>
      </c>
      <c r="V508" s="8">
        <f ca="1">RawData[[#This Row],[Z (smoothed demand size)]]/RawData[[#This Row],[X (smoothed interval)]]</f>
        <v>7.2400000000000011</v>
      </c>
    </row>
    <row r="509" spans="1:22">
      <c r="A509" t="s">
        <v>25</v>
      </c>
      <c r="B509" t="s">
        <v>14</v>
      </c>
      <c r="C509">
        <v>24</v>
      </c>
      <c r="D509" t="s">
        <v>18</v>
      </c>
      <c r="E509" t="s">
        <v>16</v>
      </c>
      <c r="F509" s="1">
        <v>43104</v>
      </c>
      <c r="G509">
        <v>10</v>
      </c>
      <c r="H509">
        <v>10</v>
      </c>
      <c r="I509">
        <v>16</v>
      </c>
      <c r="J509">
        <v>6</v>
      </c>
      <c r="K509">
        <v>0</v>
      </c>
      <c r="L509">
        <v>693</v>
      </c>
      <c r="M509">
        <v>60</v>
      </c>
      <c r="N509" s="1">
        <f t="shared" si="56"/>
        <v>44938</v>
      </c>
      <c r="O509" s="1">
        <f t="shared" si="57"/>
        <v>43101</v>
      </c>
      <c r="P509" s="1">
        <f t="shared" si="58"/>
        <v>43191</v>
      </c>
      <c r="Q509" s="8">
        <f t="shared" si="59"/>
        <v>0</v>
      </c>
      <c r="R509" s="8">
        <f t="shared" si="60"/>
        <v>4</v>
      </c>
      <c r="S509" s="8">
        <f t="shared" ca="1" si="61"/>
        <v>4</v>
      </c>
      <c r="T509">
        <f t="shared" ca="1" si="62"/>
        <v>7.7920000000000016</v>
      </c>
      <c r="U509" s="8">
        <f t="shared" ca="1" si="63"/>
        <v>1</v>
      </c>
      <c r="V509" s="8">
        <f ca="1">RawData[[#This Row],[Z (smoothed demand size)]]/RawData[[#This Row],[X (smoothed interval)]]</f>
        <v>7.7920000000000016</v>
      </c>
    </row>
    <row r="510" spans="1:22">
      <c r="A510" t="s">
        <v>25</v>
      </c>
      <c r="B510" t="s">
        <v>14</v>
      </c>
      <c r="C510">
        <v>24</v>
      </c>
      <c r="D510" t="s">
        <v>18</v>
      </c>
      <c r="E510" t="s">
        <v>16</v>
      </c>
      <c r="F510" s="1">
        <v>43105</v>
      </c>
      <c r="G510">
        <v>8</v>
      </c>
      <c r="H510">
        <v>6</v>
      </c>
      <c r="I510">
        <v>6</v>
      </c>
      <c r="J510">
        <v>0</v>
      </c>
      <c r="K510">
        <v>1</v>
      </c>
      <c r="L510">
        <v>701</v>
      </c>
      <c r="M510">
        <v>15</v>
      </c>
      <c r="N510" s="1">
        <f t="shared" si="56"/>
        <v>44938</v>
      </c>
      <c r="O510" s="1">
        <f t="shared" si="57"/>
        <v>43101</v>
      </c>
      <c r="P510" s="1">
        <f t="shared" si="58"/>
        <v>43221</v>
      </c>
      <c r="Q510" s="8">
        <f t="shared" si="59"/>
        <v>0</v>
      </c>
      <c r="R510" s="8">
        <f t="shared" si="60"/>
        <v>5</v>
      </c>
      <c r="S510" s="8">
        <f t="shared" ca="1" si="61"/>
        <v>5</v>
      </c>
      <c r="T510">
        <f t="shared" ca="1" si="62"/>
        <v>7.8336000000000023</v>
      </c>
      <c r="U510" s="8">
        <f t="shared" ca="1" si="63"/>
        <v>1</v>
      </c>
      <c r="V510" s="8">
        <f ca="1">RawData[[#This Row],[Z (smoothed demand size)]]/RawData[[#This Row],[X (smoothed interval)]]</f>
        <v>7.8336000000000023</v>
      </c>
    </row>
    <row r="511" spans="1:22">
      <c r="A511" t="s">
        <v>25</v>
      </c>
      <c r="B511" t="s">
        <v>14</v>
      </c>
      <c r="C511">
        <v>24</v>
      </c>
      <c r="D511" t="s">
        <v>18</v>
      </c>
      <c r="E511" t="s">
        <v>16</v>
      </c>
      <c r="F511" s="1">
        <v>43106</v>
      </c>
      <c r="G511">
        <v>10</v>
      </c>
      <c r="H511">
        <v>9</v>
      </c>
      <c r="I511">
        <v>9</v>
      </c>
      <c r="J511">
        <v>0</v>
      </c>
      <c r="K511">
        <v>1</v>
      </c>
      <c r="L511">
        <v>801</v>
      </c>
      <c r="M511">
        <v>15</v>
      </c>
      <c r="N511" s="1">
        <f t="shared" si="56"/>
        <v>44938</v>
      </c>
      <c r="O511" s="1">
        <f t="shared" si="57"/>
        <v>43101</v>
      </c>
      <c r="P511" s="1">
        <f t="shared" si="58"/>
        <v>43252</v>
      </c>
      <c r="Q511" s="8">
        <f t="shared" si="59"/>
        <v>0</v>
      </c>
      <c r="R511" s="8">
        <f t="shared" si="60"/>
        <v>6</v>
      </c>
      <c r="S511" s="8">
        <f t="shared" ca="1" si="61"/>
        <v>6</v>
      </c>
      <c r="T511">
        <f t="shared" ca="1" si="62"/>
        <v>8.2668800000000022</v>
      </c>
      <c r="U511" s="8">
        <f t="shared" ca="1" si="63"/>
        <v>1</v>
      </c>
      <c r="V511" s="8">
        <f ca="1">RawData[[#This Row],[Z (smoothed demand size)]]/RawData[[#This Row],[X (smoothed interval)]]</f>
        <v>8.2668800000000022</v>
      </c>
    </row>
    <row r="512" spans="1:22">
      <c r="A512" t="s">
        <v>25</v>
      </c>
      <c r="B512" t="s">
        <v>14</v>
      </c>
      <c r="C512">
        <v>24</v>
      </c>
      <c r="D512" t="s">
        <v>18</v>
      </c>
      <c r="E512" t="s">
        <v>16</v>
      </c>
      <c r="F512" s="1">
        <v>43107</v>
      </c>
      <c r="G512">
        <v>9</v>
      </c>
      <c r="H512">
        <v>9</v>
      </c>
      <c r="I512">
        <v>10</v>
      </c>
      <c r="J512">
        <v>1</v>
      </c>
      <c r="K512">
        <v>0</v>
      </c>
      <c r="L512">
        <v>809</v>
      </c>
      <c r="M512">
        <v>15</v>
      </c>
      <c r="N512" s="1">
        <f t="shared" si="56"/>
        <v>44938</v>
      </c>
      <c r="O512" s="1">
        <f t="shared" si="57"/>
        <v>43101</v>
      </c>
      <c r="P512" s="1">
        <f t="shared" si="58"/>
        <v>43282</v>
      </c>
      <c r="Q512" s="8">
        <f t="shared" si="59"/>
        <v>0</v>
      </c>
      <c r="R512" s="8">
        <f t="shared" si="60"/>
        <v>7</v>
      </c>
      <c r="S512" s="8">
        <f t="shared" ca="1" si="61"/>
        <v>7</v>
      </c>
      <c r="T512">
        <f t="shared" ca="1" si="62"/>
        <v>8.4135040000000032</v>
      </c>
      <c r="U512" s="8">
        <f t="shared" ca="1" si="63"/>
        <v>1</v>
      </c>
      <c r="V512" s="8">
        <f ca="1">RawData[[#This Row],[Z (smoothed demand size)]]/RawData[[#This Row],[X (smoothed interval)]]</f>
        <v>8.4135040000000032</v>
      </c>
    </row>
    <row r="513" spans="1:22">
      <c r="A513" t="s">
        <v>25</v>
      </c>
      <c r="B513" t="s">
        <v>14</v>
      </c>
      <c r="C513">
        <v>24</v>
      </c>
      <c r="D513" t="s">
        <v>18</v>
      </c>
      <c r="E513" t="s">
        <v>16</v>
      </c>
      <c r="F513" s="1">
        <v>43108</v>
      </c>
      <c r="G513">
        <v>13</v>
      </c>
      <c r="H513">
        <v>9</v>
      </c>
      <c r="I513">
        <v>9</v>
      </c>
      <c r="J513">
        <v>0</v>
      </c>
      <c r="K513">
        <v>1</v>
      </c>
      <c r="L513">
        <v>802</v>
      </c>
      <c r="M513">
        <v>15</v>
      </c>
      <c r="N513" s="1">
        <f t="shared" si="56"/>
        <v>44938</v>
      </c>
      <c r="O513" s="1">
        <f t="shared" si="57"/>
        <v>43101</v>
      </c>
      <c r="P513" s="1">
        <f t="shared" si="58"/>
        <v>43313</v>
      </c>
      <c r="Q513" s="8">
        <f t="shared" si="59"/>
        <v>0</v>
      </c>
      <c r="R513" s="8">
        <f t="shared" si="60"/>
        <v>8</v>
      </c>
      <c r="S513" s="8">
        <f t="shared" ca="1" si="61"/>
        <v>8</v>
      </c>
      <c r="T513">
        <f t="shared" ca="1" si="62"/>
        <v>9.3308032000000036</v>
      </c>
      <c r="U513" s="8">
        <f t="shared" ca="1" si="63"/>
        <v>1</v>
      </c>
      <c r="V513" s="8">
        <f ca="1">RawData[[#This Row],[Z (smoothed demand size)]]/RawData[[#This Row],[X (smoothed interval)]]</f>
        <v>9.3308032000000036</v>
      </c>
    </row>
    <row r="514" spans="1:22">
      <c r="A514" t="s">
        <v>25</v>
      </c>
      <c r="B514" t="s">
        <v>14</v>
      </c>
      <c r="C514">
        <v>24</v>
      </c>
      <c r="D514" t="s">
        <v>18</v>
      </c>
      <c r="E514" t="s">
        <v>16</v>
      </c>
      <c r="F514" s="1">
        <v>43109</v>
      </c>
      <c r="G514">
        <v>4</v>
      </c>
      <c r="H514">
        <v>4</v>
      </c>
      <c r="I514">
        <v>12</v>
      </c>
      <c r="J514">
        <v>8</v>
      </c>
      <c r="K514">
        <v>0</v>
      </c>
      <c r="L514">
        <v>690</v>
      </c>
      <c r="M514">
        <v>30</v>
      </c>
      <c r="N514" s="1">
        <f t="shared" ref="N514:N577" si="64">MAX(F:F)</f>
        <v>44938</v>
      </c>
      <c r="O514" s="1">
        <f t="shared" ref="O514:O577" si="65">MIN(F:F)</f>
        <v>43101</v>
      </c>
      <c r="P514" s="1">
        <f t="shared" ref="P514:P577" si="66">DATE(YEAR(F514), DAY(F514), 1)</f>
        <v>43344</v>
      </c>
      <c r="Q514" s="8">
        <f t="shared" ref="Q514:Q577" si="67" xml:space="preserve"> IF(A514&lt;&gt;A513, 1, 0)</f>
        <v>0</v>
      </c>
      <c r="R514" s="8">
        <f t="shared" ref="R514:R577" si="68">IF(Q514=1,1,R513+1)</f>
        <v>9</v>
      </c>
      <c r="S514" s="8">
        <f t="shared" ref="S514:S577" ca="1" si="69" xml:space="preserve"> IF(Q514=1, IF(G514&gt;0, R514, 0), IF(G514&gt;0, R514, OFFSET(S514,-1,0)))</f>
        <v>9</v>
      </c>
      <c r="T514">
        <f t="shared" ref="T514:T577" ca="1" si="70" xml:space="preserve"> IF(Q514=1, IF(G514&gt;0, G514, 0), IF(G514&gt;0, $X$1*G514+(1-$X$1)*OFFSET(T514,-1,0), OFFSET(T514,-1,0)))</f>
        <v>8.264642560000004</v>
      </c>
      <c r="U514" s="8">
        <f t="shared" ref="U514:U577" ca="1" si="71" xml:space="preserve"> IF(Q514=1, 1, IF(G514&gt;0, $X$1*(R514-OFFSET(S514,-1,0))+(1-$X$1)*OFFSET(U514,-1,0), OFFSET(U514,-1,0)))</f>
        <v>1</v>
      </c>
      <c r="V514" s="8">
        <f ca="1">RawData[[#This Row],[Z (smoothed demand size)]]/RawData[[#This Row],[X (smoothed interval)]]</f>
        <v>8.264642560000004</v>
      </c>
    </row>
    <row r="515" spans="1:22">
      <c r="A515" t="s">
        <v>25</v>
      </c>
      <c r="B515" t="s">
        <v>14</v>
      </c>
      <c r="C515">
        <v>24</v>
      </c>
      <c r="D515" t="s">
        <v>18</v>
      </c>
      <c r="E515" t="s">
        <v>16</v>
      </c>
      <c r="F515" s="1">
        <v>43110</v>
      </c>
      <c r="G515">
        <v>5</v>
      </c>
      <c r="H515">
        <v>5</v>
      </c>
      <c r="I515">
        <v>17</v>
      </c>
      <c r="J515">
        <v>12</v>
      </c>
      <c r="K515">
        <v>0</v>
      </c>
      <c r="L515">
        <v>696</v>
      </c>
      <c r="M515">
        <v>30</v>
      </c>
      <c r="N515" s="1">
        <f t="shared" si="64"/>
        <v>44938</v>
      </c>
      <c r="O515" s="1">
        <f t="shared" si="65"/>
        <v>43101</v>
      </c>
      <c r="P515" s="1">
        <f t="shared" si="66"/>
        <v>43374</v>
      </c>
      <c r="Q515" s="8">
        <f t="shared" si="67"/>
        <v>0</v>
      </c>
      <c r="R515" s="8">
        <f t="shared" si="68"/>
        <v>10</v>
      </c>
      <c r="S515" s="8">
        <f t="shared" ca="1" si="69"/>
        <v>10</v>
      </c>
      <c r="T515">
        <f t="shared" ca="1" si="70"/>
        <v>7.6117140480000032</v>
      </c>
      <c r="U515" s="8">
        <f t="shared" ca="1" si="71"/>
        <v>1</v>
      </c>
      <c r="V515" s="8">
        <f ca="1">RawData[[#This Row],[Z (smoothed demand size)]]/RawData[[#This Row],[X (smoothed interval)]]</f>
        <v>7.6117140480000032</v>
      </c>
    </row>
    <row r="516" spans="1:22">
      <c r="A516" t="s">
        <v>25</v>
      </c>
      <c r="B516" t="s">
        <v>14</v>
      </c>
      <c r="C516">
        <v>24</v>
      </c>
      <c r="D516" t="s">
        <v>18</v>
      </c>
      <c r="E516" t="s">
        <v>16</v>
      </c>
      <c r="F516" s="1">
        <v>43111</v>
      </c>
      <c r="G516">
        <v>4</v>
      </c>
      <c r="H516">
        <v>4</v>
      </c>
      <c r="I516">
        <v>12</v>
      </c>
      <c r="J516">
        <v>8</v>
      </c>
      <c r="K516">
        <v>0</v>
      </c>
      <c r="L516">
        <v>707</v>
      </c>
      <c r="M516">
        <v>15</v>
      </c>
      <c r="N516" s="1">
        <f t="shared" si="64"/>
        <v>44938</v>
      </c>
      <c r="O516" s="1">
        <f t="shared" si="65"/>
        <v>43101</v>
      </c>
      <c r="P516" s="1">
        <f t="shared" si="66"/>
        <v>43405</v>
      </c>
      <c r="Q516" s="8">
        <f t="shared" si="67"/>
        <v>0</v>
      </c>
      <c r="R516" s="8">
        <f t="shared" si="68"/>
        <v>11</v>
      </c>
      <c r="S516" s="8">
        <f t="shared" ca="1" si="69"/>
        <v>11</v>
      </c>
      <c r="T516">
        <f t="shared" ca="1" si="70"/>
        <v>6.8893712384000025</v>
      </c>
      <c r="U516" s="8">
        <f t="shared" ca="1" si="71"/>
        <v>1</v>
      </c>
      <c r="V516" s="8">
        <f ca="1">RawData[[#This Row],[Z (smoothed demand size)]]/RawData[[#This Row],[X (smoothed interval)]]</f>
        <v>6.8893712384000025</v>
      </c>
    </row>
    <row r="517" spans="1:22">
      <c r="A517" t="s">
        <v>25</v>
      </c>
      <c r="B517" t="s">
        <v>14</v>
      </c>
      <c r="C517">
        <v>24</v>
      </c>
      <c r="D517" t="s">
        <v>18</v>
      </c>
      <c r="E517" t="s">
        <v>16</v>
      </c>
      <c r="F517" s="1">
        <v>43112</v>
      </c>
      <c r="G517">
        <v>10</v>
      </c>
      <c r="H517">
        <v>10</v>
      </c>
      <c r="I517">
        <v>18</v>
      </c>
      <c r="J517">
        <v>8</v>
      </c>
      <c r="K517">
        <v>0</v>
      </c>
      <c r="L517">
        <v>804</v>
      </c>
      <c r="M517">
        <v>60</v>
      </c>
      <c r="N517" s="1">
        <f t="shared" si="64"/>
        <v>44938</v>
      </c>
      <c r="O517" s="1">
        <f t="shared" si="65"/>
        <v>43101</v>
      </c>
      <c r="P517" s="1">
        <f t="shared" si="66"/>
        <v>43435</v>
      </c>
      <c r="Q517" s="8">
        <f t="shared" si="67"/>
        <v>0</v>
      </c>
      <c r="R517" s="8">
        <f t="shared" si="68"/>
        <v>12</v>
      </c>
      <c r="S517" s="8">
        <f t="shared" ca="1" si="69"/>
        <v>12</v>
      </c>
      <c r="T517">
        <f t="shared" ca="1" si="70"/>
        <v>7.5114969907200022</v>
      </c>
      <c r="U517" s="8">
        <f t="shared" ca="1" si="71"/>
        <v>1</v>
      </c>
      <c r="V517" s="8">
        <f ca="1">RawData[[#This Row],[Z (smoothed demand size)]]/RawData[[#This Row],[X (smoothed interval)]]</f>
        <v>7.5114969907200022</v>
      </c>
    </row>
    <row r="518" spans="1:22">
      <c r="A518" t="s">
        <v>25</v>
      </c>
      <c r="B518" t="s">
        <v>14</v>
      </c>
      <c r="C518">
        <v>24</v>
      </c>
      <c r="D518" t="s">
        <v>18</v>
      </c>
      <c r="E518" t="s">
        <v>16</v>
      </c>
      <c r="F518" s="1">
        <v>43466</v>
      </c>
      <c r="G518">
        <v>4</v>
      </c>
      <c r="H518">
        <v>4</v>
      </c>
      <c r="I518">
        <v>8</v>
      </c>
      <c r="J518">
        <v>4</v>
      </c>
      <c r="K518">
        <v>0</v>
      </c>
      <c r="L518">
        <v>693</v>
      </c>
      <c r="M518">
        <v>30</v>
      </c>
      <c r="N518" s="1">
        <f t="shared" si="64"/>
        <v>44938</v>
      </c>
      <c r="O518" s="1">
        <f t="shared" si="65"/>
        <v>43101</v>
      </c>
      <c r="P518" s="1">
        <f t="shared" si="66"/>
        <v>43466</v>
      </c>
      <c r="Q518" s="8">
        <f t="shared" si="67"/>
        <v>0</v>
      </c>
      <c r="R518" s="8">
        <f t="shared" si="68"/>
        <v>13</v>
      </c>
      <c r="S518" s="8">
        <f t="shared" ca="1" si="69"/>
        <v>13</v>
      </c>
      <c r="T518">
        <f t="shared" ca="1" si="70"/>
        <v>6.8091975925760018</v>
      </c>
      <c r="U518" s="8">
        <f t="shared" ca="1" si="71"/>
        <v>1</v>
      </c>
      <c r="V518" s="8">
        <f ca="1">RawData[[#This Row],[Z (smoothed demand size)]]/RawData[[#This Row],[X (smoothed interval)]]</f>
        <v>6.8091975925760018</v>
      </c>
    </row>
    <row r="519" spans="1:22">
      <c r="A519" t="s">
        <v>25</v>
      </c>
      <c r="B519" t="s">
        <v>14</v>
      </c>
      <c r="C519">
        <v>24</v>
      </c>
      <c r="D519" t="s">
        <v>18</v>
      </c>
      <c r="E519" t="s">
        <v>16</v>
      </c>
      <c r="F519" s="1">
        <v>43467</v>
      </c>
      <c r="G519">
        <v>9</v>
      </c>
      <c r="H519">
        <v>9</v>
      </c>
      <c r="I519">
        <v>15</v>
      </c>
      <c r="J519">
        <v>6</v>
      </c>
      <c r="K519">
        <v>0</v>
      </c>
      <c r="L519">
        <v>710</v>
      </c>
      <c r="M519">
        <v>15</v>
      </c>
      <c r="N519" s="1">
        <f t="shared" si="64"/>
        <v>44938</v>
      </c>
      <c r="O519" s="1">
        <f t="shared" si="65"/>
        <v>43101</v>
      </c>
      <c r="P519" s="1">
        <f t="shared" si="66"/>
        <v>43497</v>
      </c>
      <c r="Q519" s="8">
        <f t="shared" si="67"/>
        <v>0</v>
      </c>
      <c r="R519" s="8">
        <f t="shared" si="68"/>
        <v>14</v>
      </c>
      <c r="S519" s="8">
        <f t="shared" ca="1" si="69"/>
        <v>14</v>
      </c>
      <c r="T519">
        <f t="shared" ca="1" si="70"/>
        <v>7.2473580740608012</v>
      </c>
      <c r="U519" s="8">
        <f t="shared" ca="1" si="71"/>
        <v>1</v>
      </c>
      <c r="V519" s="8">
        <f ca="1">RawData[[#This Row],[Z (smoothed demand size)]]/RawData[[#This Row],[X (smoothed interval)]]</f>
        <v>7.2473580740608012</v>
      </c>
    </row>
    <row r="520" spans="1:22">
      <c r="A520" t="s">
        <v>25</v>
      </c>
      <c r="B520" t="s">
        <v>14</v>
      </c>
      <c r="C520">
        <v>24</v>
      </c>
      <c r="D520" t="s">
        <v>18</v>
      </c>
      <c r="E520" t="s">
        <v>16</v>
      </c>
      <c r="F520" s="1">
        <v>43468</v>
      </c>
      <c r="G520">
        <v>8</v>
      </c>
      <c r="H520">
        <v>8</v>
      </c>
      <c r="I520">
        <v>17</v>
      </c>
      <c r="J520">
        <v>9</v>
      </c>
      <c r="K520">
        <v>0</v>
      </c>
      <c r="L520">
        <v>702</v>
      </c>
      <c r="M520">
        <v>60</v>
      </c>
      <c r="N520" s="1">
        <f t="shared" si="64"/>
        <v>44938</v>
      </c>
      <c r="O520" s="1">
        <f t="shared" si="65"/>
        <v>43101</v>
      </c>
      <c r="P520" s="1">
        <f t="shared" si="66"/>
        <v>43525</v>
      </c>
      <c r="Q520" s="8">
        <f t="shared" si="67"/>
        <v>0</v>
      </c>
      <c r="R520" s="8">
        <f t="shared" si="68"/>
        <v>15</v>
      </c>
      <c r="S520" s="8">
        <f t="shared" ca="1" si="69"/>
        <v>15</v>
      </c>
      <c r="T520">
        <f t="shared" ca="1" si="70"/>
        <v>7.3978864592486406</v>
      </c>
      <c r="U520" s="8">
        <f t="shared" ca="1" si="71"/>
        <v>1</v>
      </c>
      <c r="V520" s="8">
        <f ca="1">RawData[[#This Row],[Z (smoothed demand size)]]/RawData[[#This Row],[X (smoothed interval)]]</f>
        <v>7.3978864592486406</v>
      </c>
    </row>
    <row r="521" spans="1:22">
      <c r="A521" t="s">
        <v>25</v>
      </c>
      <c r="B521" t="s">
        <v>14</v>
      </c>
      <c r="C521">
        <v>24</v>
      </c>
      <c r="D521" t="s">
        <v>18</v>
      </c>
      <c r="E521" t="s">
        <v>16</v>
      </c>
      <c r="F521" s="1">
        <v>43469</v>
      </c>
      <c r="G521">
        <v>8</v>
      </c>
      <c r="H521">
        <v>8</v>
      </c>
      <c r="I521">
        <v>9</v>
      </c>
      <c r="J521">
        <v>1</v>
      </c>
      <c r="K521">
        <v>0</v>
      </c>
      <c r="L521">
        <v>700</v>
      </c>
      <c r="M521">
        <v>60</v>
      </c>
      <c r="N521" s="1">
        <f t="shared" si="64"/>
        <v>44938</v>
      </c>
      <c r="O521" s="1">
        <f t="shared" si="65"/>
        <v>43101</v>
      </c>
      <c r="P521" s="1">
        <f t="shared" si="66"/>
        <v>43556</v>
      </c>
      <c r="Q521" s="8">
        <f t="shared" si="67"/>
        <v>0</v>
      </c>
      <c r="R521" s="8">
        <f t="shared" si="68"/>
        <v>16</v>
      </c>
      <c r="S521" s="8">
        <f t="shared" ca="1" si="69"/>
        <v>16</v>
      </c>
      <c r="T521">
        <f t="shared" ca="1" si="70"/>
        <v>7.5183091673989129</v>
      </c>
      <c r="U521" s="8">
        <f t="shared" ca="1" si="71"/>
        <v>1</v>
      </c>
      <c r="V521" s="8">
        <f ca="1">RawData[[#This Row],[Z (smoothed demand size)]]/RawData[[#This Row],[X (smoothed interval)]]</f>
        <v>7.5183091673989129</v>
      </c>
    </row>
    <row r="522" spans="1:22">
      <c r="A522" t="s">
        <v>25</v>
      </c>
      <c r="B522" t="s">
        <v>14</v>
      </c>
      <c r="C522">
        <v>24</v>
      </c>
      <c r="D522" t="s">
        <v>18</v>
      </c>
      <c r="E522" t="s">
        <v>16</v>
      </c>
      <c r="F522" s="1">
        <v>43470</v>
      </c>
      <c r="G522">
        <v>9</v>
      </c>
      <c r="H522">
        <v>1</v>
      </c>
      <c r="I522">
        <v>1</v>
      </c>
      <c r="J522">
        <v>0</v>
      </c>
      <c r="K522">
        <v>1</v>
      </c>
      <c r="L522">
        <v>696</v>
      </c>
      <c r="M522">
        <v>30</v>
      </c>
      <c r="N522" s="1">
        <f t="shared" si="64"/>
        <v>44938</v>
      </c>
      <c r="O522" s="1">
        <f t="shared" si="65"/>
        <v>43101</v>
      </c>
      <c r="P522" s="1">
        <f t="shared" si="66"/>
        <v>43586</v>
      </c>
      <c r="Q522" s="8">
        <f t="shared" si="67"/>
        <v>0</v>
      </c>
      <c r="R522" s="8">
        <f t="shared" si="68"/>
        <v>17</v>
      </c>
      <c r="S522" s="8">
        <f t="shared" ca="1" si="69"/>
        <v>17</v>
      </c>
      <c r="T522">
        <f t="shared" ca="1" si="70"/>
        <v>7.8146473339191305</v>
      </c>
      <c r="U522" s="8">
        <f t="shared" ca="1" si="71"/>
        <v>1</v>
      </c>
      <c r="V522" s="8">
        <f ca="1">RawData[[#This Row],[Z (smoothed demand size)]]/RawData[[#This Row],[X (smoothed interval)]]</f>
        <v>7.8146473339191305</v>
      </c>
    </row>
    <row r="523" spans="1:22">
      <c r="A523" t="s">
        <v>25</v>
      </c>
      <c r="B523" t="s">
        <v>14</v>
      </c>
      <c r="C523">
        <v>24</v>
      </c>
      <c r="D523" t="s">
        <v>18</v>
      </c>
      <c r="E523" t="s">
        <v>16</v>
      </c>
      <c r="F523" s="1">
        <v>43471</v>
      </c>
      <c r="G523">
        <v>7</v>
      </c>
      <c r="H523">
        <v>7</v>
      </c>
      <c r="I523">
        <v>10</v>
      </c>
      <c r="J523">
        <v>3</v>
      </c>
      <c r="K523">
        <v>0</v>
      </c>
      <c r="L523">
        <v>804</v>
      </c>
      <c r="M523">
        <v>60</v>
      </c>
      <c r="N523" s="1">
        <f t="shared" si="64"/>
        <v>44938</v>
      </c>
      <c r="O523" s="1">
        <f t="shared" si="65"/>
        <v>43101</v>
      </c>
      <c r="P523" s="1">
        <f t="shared" si="66"/>
        <v>43617</v>
      </c>
      <c r="Q523" s="8">
        <f t="shared" si="67"/>
        <v>0</v>
      </c>
      <c r="R523" s="8">
        <f t="shared" si="68"/>
        <v>18</v>
      </c>
      <c r="S523" s="8">
        <f t="shared" ca="1" si="69"/>
        <v>18</v>
      </c>
      <c r="T523">
        <f t="shared" ca="1" si="70"/>
        <v>7.6517178671353054</v>
      </c>
      <c r="U523" s="8">
        <f t="shared" ca="1" si="71"/>
        <v>1</v>
      </c>
      <c r="V523" s="8">
        <f ca="1">RawData[[#This Row],[Z (smoothed demand size)]]/RawData[[#This Row],[X (smoothed interval)]]</f>
        <v>7.6517178671353054</v>
      </c>
    </row>
    <row r="524" spans="1:22">
      <c r="A524" t="s">
        <v>25</v>
      </c>
      <c r="B524" t="s">
        <v>14</v>
      </c>
      <c r="C524">
        <v>24</v>
      </c>
      <c r="D524" t="s">
        <v>18</v>
      </c>
      <c r="E524" t="s">
        <v>16</v>
      </c>
      <c r="F524" s="1">
        <v>43472</v>
      </c>
      <c r="G524">
        <v>10</v>
      </c>
      <c r="H524">
        <v>3</v>
      </c>
      <c r="I524">
        <v>3</v>
      </c>
      <c r="J524">
        <v>0</v>
      </c>
      <c r="K524">
        <v>1</v>
      </c>
      <c r="L524">
        <v>804</v>
      </c>
      <c r="M524">
        <v>60</v>
      </c>
      <c r="N524" s="1">
        <f t="shared" si="64"/>
        <v>44938</v>
      </c>
      <c r="O524" s="1">
        <f t="shared" si="65"/>
        <v>43101</v>
      </c>
      <c r="P524" s="1">
        <f t="shared" si="66"/>
        <v>43647</v>
      </c>
      <c r="Q524" s="8">
        <f t="shared" si="67"/>
        <v>0</v>
      </c>
      <c r="R524" s="8">
        <f t="shared" si="68"/>
        <v>19</v>
      </c>
      <c r="S524" s="8">
        <f t="shared" ca="1" si="69"/>
        <v>19</v>
      </c>
      <c r="T524">
        <f t="shared" ca="1" si="70"/>
        <v>8.1213742937082447</v>
      </c>
      <c r="U524" s="8">
        <f t="shared" ca="1" si="71"/>
        <v>1</v>
      </c>
      <c r="V524" s="8">
        <f ca="1">RawData[[#This Row],[Z (smoothed demand size)]]/RawData[[#This Row],[X (smoothed interval)]]</f>
        <v>8.1213742937082447</v>
      </c>
    </row>
    <row r="525" spans="1:22">
      <c r="A525" t="s">
        <v>25</v>
      </c>
      <c r="B525" t="s">
        <v>14</v>
      </c>
      <c r="C525">
        <v>24</v>
      </c>
      <c r="D525" t="s">
        <v>18</v>
      </c>
      <c r="E525" t="s">
        <v>16</v>
      </c>
      <c r="F525" s="1">
        <v>43473</v>
      </c>
      <c r="G525">
        <v>9</v>
      </c>
      <c r="H525">
        <v>9</v>
      </c>
      <c r="I525">
        <v>11</v>
      </c>
      <c r="J525">
        <v>2</v>
      </c>
      <c r="K525">
        <v>0</v>
      </c>
      <c r="L525">
        <v>781</v>
      </c>
      <c r="M525">
        <v>30</v>
      </c>
      <c r="N525" s="1">
        <f t="shared" si="64"/>
        <v>44938</v>
      </c>
      <c r="O525" s="1">
        <f t="shared" si="65"/>
        <v>43101</v>
      </c>
      <c r="P525" s="1">
        <f t="shared" si="66"/>
        <v>43678</v>
      </c>
      <c r="Q525" s="8">
        <f t="shared" si="67"/>
        <v>0</v>
      </c>
      <c r="R525" s="8">
        <f t="shared" si="68"/>
        <v>20</v>
      </c>
      <c r="S525" s="8">
        <f t="shared" ca="1" si="69"/>
        <v>20</v>
      </c>
      <c r="T525">
        <f t="shared" ca="1" si="70"/>
        <v>8.2970994349665972</v>
      </c>
      <c r="U525" s="8">
        <f t="shared" ca="1" si="71"/>
        <v>1</v>
      </c>
      <c r="V525" s="8">
        <f ca="1">RawData[[#This Row],[Z (smoothed demand size)]]/RawData[[#This Row],[X (smoothed interval)]]</f>
        <v>8.2970994349665972</v>
      </c>
    </row>
    <row r="526" spans="1:22">
      <c r="A526" t="s">
        <v>25</v>
      </c>
      <c r="B526" t="s">
        <v>14</v>
      </c>
      <c r="C526">
        <v>24</v>
      </c>
      <c r="D526" t="s">
        <v>18</v>
      </c>
      <c r="E526" t="s">
        <v>16</v>
      </c>
      <c r="F526" s="1">
        <v>43474</v>
      </c>
      <c r="G526">
        <v>9</v>
      </c>
      <c r="H526">
        <v>9</v>
      </c>
      <c r="I526">
        <v>14</v>
      </c>
      <c r="J526">
        <v>5</v>
      </c>
      <c r="K526">
        <v>0</v>
      </c>
      <c r="L526">
        <v>697</v>
      </c>
      <c r="M526">
        <v>15</v>
      </c>
      <c r="N526" s="1">
        <f t="shared" si="64"/>
        <v>44938</v>
      </c>
      <c r="O526" s="1">
        <f t="shared" si="65"/>
        <v>43101</v>
      </c>
      <c r="P526" s="1">
        <f t="shared" si="66"/>
        <v>43709</v>
      </c>
      <c r="Q526" s="8">
        <f t="shared" si="67"/>
        <v>0</v>
      </c>
      <c r="R526" s="8">
        <f t="shared" si="68"/>
        <v>21</v>
      </c>
      <c r="S526" s="8">
        <f t="shared" ca="1" si="69"/>
        <v>21</v>
      </c>
      <c r="T526">
        <f t="shared" ca="1" si="70"/>
        <v>8.4376795479732785</v>
      </c>
      <c r="U526" s="8">
        <f t="shared" ca="1" si="71"/>
        <v>1</v>
      </c>
      <c r="V526" s="8">
        <f ca="1">RawData[[#This Row],[Z (smoothed demand size)]]/RawData[[#This Row],[X (smoothed interval)]]</f>
        <v>8.4376795479732785</v>
      </c>
    </row>
    <row r="527" spans="1:22">
      <c r="A527" t="s">
        <v>25</v>
      </c>
      <c r="B527" t="s">
        <v>14</v>
      </c>
      <c r="C527">
        <v>24</v>
      </c>
      <c r="D527" t="s">
        <v>18</v>
      </c>
      <c r="E527" t="s">
        <v>16</v>
      </c>
      <c r="F527" s="1">
        <v>43475</v>
      </c>
      <c r="G527">
        <v>4</v>
      </c>
      <c r="H527">
        <v>4</v>
      </c>
      <c r="I527">
        <v>12</v>
      </c>
      <c r="J527">
        <v>8</v>
      </c>
      <c r="K527">
        <v>0</v>
      </c>
      <c r="L527">
        <v>693</v>
      </c>
      <c r="M527">
        <v>45</v>
      </c>
      <c r="N527" s="1">
        <f t="shared" si="64"/>
        <v>44938</v>
      </c>
      <c r="O527" s="1">
        <f t="shared" si="65"/>
        <v>43101</v>
      </c>
      <c r="P527" s="1">
        <f t="shared" si="66"/>
        <v>43739</v>
      </c>
      <c r="Q527" s="8">
        <f t="shared" si="67"/>
        <v>0</v>
      </c>
      <c r="R527" s="8">
        <f t="shared" si="68"/>
        <v>22</v>
      </c>
      <c r="S527" s="8">
        <f t="shared" ca="1" si="69"/>
        <v>22</v>
      </c>
      <c r="T527">
        <f t="shared" ca="1" si="70"/>
        <v>7.5501436383786231</v>
      </c>
      <c r="U527" s="8">
        <f t="shared" ca="1" si="71"/>
        <v>1</v>
      </c>
      <c r="V527" s="8">
        <f ca="1">RawData[[#This Row],[Z (smoothed demand size)]]/RawData[[#This Row],[X (smoothed interval)]]</f>
        <v>7.5501436383786231</v>
      </c>
    </row>
    <row r="528" spans="1:22">
      <c r="A528" t="s">
        <v>25</v>
      </c>
      <c r="B528" t="s">
        <v>14</v>
      </c>
      <c r="C528">
        <v>24</v>
      </c>
      <c r="D528" t="s">
        <v>18</v>
      </c>
      <c r="E528" t="s">
        <v>16</v>
      </c>
      <c r="F528" s="1">
        <v>43476</v>
      </c>
      <c r="G528">
        <v>9</v>
      </c>
      <c r="H528">
        <v>8</v>
      </c>
      <c r="I528">
        <v>8</v>
      </c>
      <c r="J528">
        <v>0</v>
      </c>
      <c r="K528">
        <v>1</v>
      </c>
      <c r="L528">
        <v>690</v>
      </c>
      <c r="M528">
        <v>45</v>
      </c>
      <c r="N528" s="1">
        <f t="shared" si="64"/>
        <v>44938</v>
      </c>
      <c r="O528" s="1">
        <f t="shared" si="65"/>
        <v>43101</v>
      </c>
      <c r="P528" s="1">
        <f t="shared" si="66"/>
        <v>43770</v>
      </c>
      <c r="Q528" s="8">
        <f t="shared" si="67"/>
        <v>0</v>
      </c>
      <c r="R528" s="8">
        <f t="shared" si="68"/>
        <v>23</v>
      </c>
      <c r="S528" s="8">
        <f t="shared" ca="1" si="69"/>
        <v>23</v>
      </c>
      <c r="T528">
        <f t="shared" ca="1" si="70"/>
        <v>7.8401149107028987</v>
      </c>
      <c r="U528" s="8">
        <f t="shared" ca="1" si="71"/>
        <v>1</v>
      </c>
      <c r="V528" s="8">
        <f ca="1">RawData[[#This Row],[Z (smoothed demand size)]]/RawData[[#This Row],[X (smoothed interval)]]</f>
        <v>7.8401149107028987</v>
      </c>
    </row>
    <row r="529" spans="1:22">
      <c r="A529" t="s">
        <v>25</v>
      </c>
      <c r="B529" t="s">
        <v>14</v>
      </c>
      <c r="C529">
        <v>24</v>
      </c>
      <c r="D529" t="s">
        <v>18</v>
      </c>
      <c r="E529" t="s">
        <v>16</v>
      </c>
      <c r="F529" s="1">
        <v>43477</v>
      </c>
      <c r="G529">
        <v>11</v>
      </c>
      <c r="H529">
        <v>10</v>
      </c>
      <c r="I529">
        <v>10</v>
      </c>
      <c r="J529">
        <v>0</v>
      </c>
      <c r="K529">
        <v>1</v>
      </c>
      <c r="L529">
        <v>796</v>
      </c>
      <c r="M529">
        <v>60</v>
      </c>
      <c r="N529" s="1">
        <f t="shared" si="64"/>
        <v>44938</v>
      </c>
      <c r="O529" s="1">
        <f t="shared" si="65"/>
        <v>43101</v>
      </c>
      <c r="P529" s="1">
        <f t="shared" si="66"/>
        <v>43800</v>
      </c>
      <c r="Q529" s="8">
        <f t="shared" si="67"/>
        <v>0</v>
      </c>
      <c r="R529" s="8">
        <f t="shared" si="68"/>
        <v>24</v>
      </c>
      <c r="S529" s="8">
        <f t="shared" ca="1" si="69"/>
        <v>24</v>
      </c>
      <c r="T529">
        <f t="shared" ca="1" si="70"/>
        <v>8.4720919285623193</v>
      </c>
      <c r="U529" s="8">
        <f t="shared" ca="1" si="71"/>
        <v>1</v>
      </c>
      <c r="V529" s="8">
        <f ca="1">RawData[[#This Row],[Z (smoothed demand size)]]/RawData[[#This Row],[X (smoothed interval)]]</f>
        <v>8.4720919285623193</v>
      </c>
    </row>
    <row r="530" spans="1:22">
      <c r="A530" t="s">
        <v>25</v>
      </c>
      <c r="B530" t="s">
        <v>14</v>
      </c>
      <c r="C530">
        <v>24</v>
      </c>
      <c r="D530" t="s">
        <v>18</v>
      </c>
      <c r="E530" t="s">
        <v>16</v>
      </c>
      <c r="F530" s="1">
        <v>43831</v>
      </c>
      <c r="G530">
        <v>8</v>
      </c>
      <c r="H530">
        <v>0</v>
      </c>
      <c r="I530">
        <v>0</v>
      </c>
      <c r="J530">
        <v>0</v>
      </c>
      <c r="K530">
        <v>1</v>
      </c>
      <c r="L530">
        <v>681</v>
      </c>
      <c r="M530">
        <v>45</v>
      </c>
      <c r="N530" s="1">
        <f t="shared" si="64"/>
        <v>44938</v>
      </c>
      <c r="O530" s="1">
        <f t="shared" si="65"/>
        <v>43101</v>
      </c>
      <c r="P530" s="1">
        <f t="shared" si="66"/>
        <v>43831</v>
      </c>
      <c r="Q530" s="8">
        <f t="shared" si="67"/>
        <v>0</v>
      </c>
      <c r="R530" s="8">
        <f t="shared" si="68"/>
        <v>25</v>
      </c>
      <c r="S530" s="8">
        <f t="shared" ca="1" si="69"/>
        <v>25</v>
      </c>
      <c r="T530">
        <f t="shared" ca="1" si="70"/>
        <v>8.3776735428498554</v>
      </c>
      <c r="U530" s="8">
        <f t="shared" ca="1" si="71"/>
        <v>1</v>
      </c>
      <c r="V530" s="8">
        <f ca="1">RawData[[#This Row],[Z (smoothed demand size)]]/RawData[[#This Row],[X (smoothed interval)]]</f>
        <v>8.3776735428498554</v>
      </c>
    </row>
    <row r="531" spans="1:22">
      <c r="A531" t="s">
        <v>25</v>
      </c>
      <c r="B531" t="s">
        <v>14</v>
      </c>
      <c r="C531">
        <v>24</v>
      </c>
      <c r="D531" t="s">
        <v>18</v>
      </c>
      <c r="E531" t="s">
        <v>16</v>
      </c>
      <c r="F531" s="1">
        <v>43832</v>
      </c>
      <c r="G531">
        <v>1</v>
      </c>
      <c r="H531">
        <v>1</v>
      </c>
      <c r="I531">
        <v>12</v>
      </c>
      <c r="J531">
        <v>11</v>
      </c>
      <c r="K531">
        <v>0</v>
      </c>
      <c r="L531">
        <v>679</v>
      </c>
      <c r="M531">
        <v>15</v>
      </c>
      <c r="N531" s="1">
        <f t="shared" si="64"/>
        <v>44938</v>
      </c>
      <c r="O531" s="1">
        <f t="shared" si="65"/>
        <v>43101</v>
      </c>
      <c r="P531" s="1">
        <f t="shared" si="66"/>
        <v>43862</v>
      </c>
      <c r="Q531" s="8">
        <f t="shared" si="67"/>
        <v>0</v>
      </c>
      <c r="R531" s="8">
        <f t="shared" si="68"/>
        <v>26</v>
      </c>
      <c r="S531" s="8">
        <f t="shared" ca="1" si="69"/>
        <v>26</v>
      </c>
      <c r="T531">
        <f t="shared" ca="1" si="70"/>
        <v>6.9021388342798851</v>
      </c>
      <c r="U531" s="8">
        <f t="shared" ca="1" si="71"/>
        <v>1</v>
      </c>
      <c r="V531" s="8">
        <f ca="1">RawData[[#This Row],[Z (smoothed demand size)]]/RawData[[#This Row],[X (smoothed interval)]]</f>
        <v>6.9021388342798851</v>
      </c>
    </row>
    <row r="532" spans="1:22">
      <c r="A532" t="s">
        <v>25</v>
      </c>
      <c r="B532" t="s">
        <v>14</v>
      </c>
      <c r="C532">
        <v>24</v>
      </c>
      <c r="D532" t="s">
        <v>18</v>
      </c>
      <c r="E532" t="s">
        <v>16</v>
      </c>
      <c r="F532" s="1">
        <v>43833</v>
      </c>
      <c r="G532">
        <v>4</v>
      </c>
      <c r="H532">
        <v>4</v>
      </c>
      <c r="I532">
        <v>11</v>
      </c>
      <c r="J532">
        <v>7</v>
      </c>
      <c r="K532">
        <v>0</v>
      </c>
      <c r="L532">
        <v>700</v>
      </c>
      <c r="M532">
        <v>15</v>
      </c>
      <c r="N532" s="1">
        <f t="shared" si="64"/>
        <v>44938</v>
      </c>
      <c r="O532" s="1">
        <f t="shared" si="65"/>
        <v>43101</v>
      </c>
      <c r="P532" s="1">
        <f t="shared" si="66"/>
        <v>43891</v>
      </c>
      <c r="Q532" s="8">
        <f t="shared" si="67"/>
        <v>0</v>
      </c>
      <c r="R532" s="8">
        <f t="shared" si="68"/>
        <v>27</v>
      </c>
      <c r="S532" s="8">
        <f t="shared" ca="1" si="69"/>
        <v>27</v>
      </c>
      <c r="T532">
        <f t="shared" ca="1" si="70"/>
        <v>6.3217110674239079</v>
      </c>
      <c r="U532" s="8">
        <f t="shared" ca="1" si="71"/>
        <v>1</v>
      </c>
      <c r="V532" s="8">
        <f ca="1">RawData[[#This Row],[Z (smoothed demand size)]]/RawData[[#This Row],[X (smoothed interval)]]</f>
        <v>6.3217110674239079</v>
      </c>
    </row>
    <row r="533" spans="1:22">
      <c r="A533" t="s">
        <v>25</v>
      </c>
      <c r="B533" t="s">
        <v>14</v>
      </c>
      <c r="C533">
        <v>24</v>
      </c>
      <c r="D533" t="s">
        <v>18</v>
      </c>
      <c r="E533" t="s">
        <v>16</v>
      </c>
      <c r="F533" s="1">
        <v>43834</v>
      </c>
      <c r="G533">
        <v>5</v>
      </c>
      <c r="H533">
        <v>5</v>
      </c>
      <c r="I533">
        <v>14</v>
      </c>
      <c r="J533">
        <v>9</v>
      </c>
      <c r="K533">
        <v>0</v>
      </c>
      <c r="L533">
        <v>695</v>
      </c>
      <c r="M533">
        <v>45</v>
      </c>
      <c r="N533" s="1">
        <f t="shared" si="64"/>
        <v>44938</v>
      </c>
      <c r="O533" s="1">
        <f t="shared" si="65"/>
        <v>43101</v>
      </c>
      <c r="P533" s="1">
        <f t="shared" si="66"/>
        <v>43922</v>
      </c>
      <c r="Q533" s="8">
        <f t="shared" si="67"/>
        <v>0</v>
      </c>
      <c r="R533" s="8">
        <f t="shared" si="68"/>
        <v>28</v>
      </c>
      <c r="S533" s="8">
        <f t="shared" ca="1" si="69"/>
        <v>28</v>
      </c>
      <c r="T533">
        <f t="shared" ca="1" si="70"/>
        <v>6.0573688539391268</v>
      </c>
      <c r="U533" s="8">
        <f t="shared" ca="1" si="71"/>
        <v>1</v>
      </c>
      <c r="V533" s="8">
        <f ca="1">RawData[[#This Row],[Z (smoothed demand size)]]/RawData[[#This Row],[X (smoothed interval)]]</f>
        <v>6.0573688539391268</v>
      </c>
    </row>
    <row r="534" spans="1:22">
      <c r="A534" t="s">
        <v>25</v>
      </c>
      <c r="B534" t="s">
        <v>14</v>
      </c>
      <c r="C534">
        <v>24</v>
      </c>
      <c r="D534" t="s">
        <v>18</v>
      </c>
      <c r="E534" t="s">
        <v>16</v>
      </c>
      <c r="F534" s="1">
        <v>43835</v>
      </c>
      <c r="G534">
        <v>6</v>
      </c>
      <c r="H534">
        <v>6</v>
      </c>
      <c r="I534">
        <v>9</v>
      </c>
      <c r="J534">
        <v>3</v>
      </c>
      <c r="K534">
        <v>0</v>
      </c>
      <c r="L534">
        <v>675</v>
      </c>
      <c r="M534">
        <v>45</v>
      </c>
      <c r="N534" s="1">
        <f t="shared" si="64"/>
        <v>44938</v>
      </c>
      <c r="O534" s="1">
        <f t="shared" si="65"/>
        <v>43101</v>
      </c>
      <c r="P534" s="1">
        <f t="shared" si="66"/>
        <v>43952</v>
      </c>
      <c r="Q534" s="8">
        <f t="shared" si="67"/>
        <v>0</v>
      </c>
      <c r="R534" s="8">
        <f t="shared" si="68"/>
        <v>29</v>
      </c>
      <c r="S534" s="8">
        <f t="shared" ca="1" si="69"/>
        <v>29</v>
      </c>
      <c r="T534">
        <f t="shared" ca="1" si="70"/>
        <v>6.0458950831513016</v>
      </c>
      <c r="U534" s="8">
        <f t="shared" ca="1" si="71"/>
        <v>1</v>
      </c>
      <c r="V534" s="8">
        <f ca="1">RawData[[#This Row],[Z (smoothed demand size)]]/RawData[[#This Row],[X (smoothed interval)]]</f>
        <v>6.0458950831513016</v>
      </c>
    </row>
    <row r="535" spans="1:22">
      <c r="A535" t="s">
        <v>25</v>
      </c>
      <c r="B535" t="s">
        <v>14</v>
      </c>
      <c r="C535">
        <v>24</v>
      </c>
      <c r="D535" t="s">
        <v>18</v>
      </c>
      <c r="E535" t="s">
        <v>16</v>
      </c>
      <c r="F535" s="1">
        <v>43836</v>
      </c>
      <c r="G535">
        <v>8</v>
      </c>
      <c r="H535">
        <v>3</v>
      </c>
      <c r="I535">
        <v>3</v>
      </c>
      <c r="J535">
        <v>0</v>
      </c>
      <c r="K535">
        <v>1</v>
      </c>
      <c r="L535">
        <v>791</v>
      </c>
      <c r="M535">
        <v>15</v>
      </c>
      <c r="N535" s="1">
        <f t="shared" si="64"/>
        <v>44938</v>
      </c>
      <c r="O535" s="1">
        <f t="shared" si="65"/>
        <v>43101</v>
      </c>
      <c r="P535" s="1">
        <f t="shared" si="66"/>
        <v>43983</v>
      </c>
      <c r="Q535" s="8">
        <f t="shared" si="67"/>
        <v>0</v>
      </c>
      <c r="R535" s="8">
        <f t="shared" si="68"/>
        <v>30</v>
      </c>
      <c r="S535" s="8">
        <f t="shared" ca="1" si="69"/>
        <v>30</v>
      </c>
      <c r="T535">
        <f t="shared" ca="1" si="70"/>
        <v>6.4367160665210417</v>
      </c>
      <c r="U535" s="8">
        <f t="shared" ca="1" si="71"/>
        <v>1</v>
      </c>
      <c r="V535" s="8">
        <f ca="1">RawData[[#This Row],[Z (smoothed demand size)]]/RawData[[#This Row],[X (smoothed interval)]]</f>
        <v>6.4367160665210417</v>
      </c>
    </row>
    <row r="536" spans="1:22">
      <c r="A536" t="s">
        <v>25</v>
      </c>
      <c r="B536" t="s">
        <v>14</v>
      </c>
      <c r="C536">
        <v>24</v>
      </c>
      <c r="D536" t="s">
        <v>18</v>
      </c>
      <c r="E536" t="s">
        <v>16</v>
      </c>
      <c r="F536" s="1">
        <v>43837</v>
      </c>
      <c r="G536">
        <v>10</v>
      </c>
      <c r="H536">
        <v>10</v>
      </c>
      <c r="I536">
        <v>11</v>
      </c>
      <c r="J536">
        <v>1</v>
      </c>
      <c r="K536">
        <v>0</v>
      </c>
      <c r="L536">
        <v>803</v>
      </c>
      <c r="M536">
        <v>30</v>
      </c>
      <c r="N536" s="1">
        <f t="shared" si="64"/>
        <v>44938</v>
      </c>
      <c r="O536" s="1">
        <f t="shared" si="65"/>
        <v>43101</v>
      </c>
      <c r="P536" s="1">
        <f t="shared" si="66"/>
        <v>44013</v>
      </c>
      <c r="Q536" s="8">
        <f t="shared" si="67"/>
        <v>0</v>
      </c>
      <c r="R536" s="8">
        <f t="shared" si="68"/>
        <v>31</v>
      </c>
      <c r="S536" s="8">
        <f t="shared" ca="1" si="69"/>
        <v>31</v>
      </c>
      <c r="T536">
        <f t="shared" ca="1" si="70"/>
        <v>7.1493728532168337</v>
      </c>
      <c r="U536" s="8">
        <f t="shared" ca="1" si="71"/>
        <v>1</v>
      </c>
      <c r="V536" s="8">
        <f ca="1">RawData[[#This Row],[Z (smoothed demand size)]]/RawData[[#This Row],[X (smoothed interval)]]</f>
        <v>7.1493728532168337</v>
      </c>
    </row>
    <row r="537" spans="1:22">
      <c r="A537" t="s">
        <v>25</v>
      </c>
      <c r="B537" t="s">
        <v>14</v>
      </c>
      <c r="C537">
        <v>24</v>
      </c>
      <c r="D537" t="s">
        <v>18</v>
      </c>
      <c r="E537" t="s">
        <v>16</v>
      </c>
      <c r="F537" s="1">
        <v>43838</v>
      </c>
      <c r="G537">
        <v>5</v>
      </c>
      <c r="H537">
        <v>5</v>
      </c>
      <c r="I537">
        <v>10</v>
      </c>
      <c r="J537">
        <v>5</v>
      </c>
      <c r="K537">
        <v>0</v>
      </c>
      <c r="L537">
        <v>793</v>
      </c>
      <c r="M537">
        <v>45</v>
      </c>
      <c r="N537" s="1">
        <f t="shared" si="64"/>
        <v>44938</v>
      </c>
      <c r="O537" s="1">
        <f t="shared" si="65"/>
        <v>43101</v>
      </c>
      <c r="P537" s="1">
        <f t="shared" si="66"/>
        <v>44044</v>
      </c>
      <c r="Q537" s="8">
        <f t="shared" si="67"/>
        <v>0</v>
      </c>
      <c r="R537" s="8">
        <f t="shared" si="68"/>
        <v>32</v>
      </c>
      <c r="S537" s="8">
        <f t="shared" ca="1" si="69"/>
        <v>32</v>
      </c>
      <c r="T537">
        <f t="shared" ca="1" si="70"/>
        <v>6.7194982825734675</v>
      </c>
      <c r="U537" s="8">
        <f t="shared" ca="1" si="71"/>
        <v>1</v>
      </c>
      <c r="V537" s="8">
        <f ca="1">RawData[[#This Row],[Z (smoothed demand size)]]/RawData[[#This Row],[X (smoothed interval)]]</f>
        <v>6.7194982825734675</v>
      </c>
    </row>
    <row r="538" spans="1:22">
      <c r="A538" t="s">
        <v>25</v>
      </c>
      <c r="B538" t="s">
        <v>14</v>
      </c>
      <c r="C538">
        <v>24</v>
      </c>
      <c r="D538" t="s">
        <v>18</v>
      </c>
      <c r="E538" t="s">
        <v>16</v>
      </c>
      <c r="F538" s="1">
        <v>43839</v>
      </c>
      <c r="G538">
        <v>6</v>
      </c>
      <c r="H538">
        <v>5</v>
      </c>
      <c r="I538">
        <v>5</v>
      </c>
      <c r="J538">
        <v>0</v>
      </c>
      <c r="K538">
        <v>1</v>
      </c>
      <c r="L538">
        <v>700</v>
      </c>
      <c r="M538">
        <v>60</v>
      </c>
      <c r="N538" s="1">
        <f t="shared" si="64"/>
        <v>44938</v>
      </c>
      <c r="O538" s="1">
        <f t="shared" si="65"/>
        <v>43101</v>
      </c>
      <c r="P538" s="1">
        <f t="shared" si="66"/>
        <v>44075</v>
      </c>
      <c r="Q538" s="8">
        <f t="shared" si="67"/>
        <v>0</v>
      </c>
      <c r="R538" s="8">
        <f t="shared" si="68"/>
        <v>33</v>
      </c>
      <c r="S538" s="8">
        <f t="shared" ca="1" si="69"/>
        <v>33</v>
      </c>
      <c r="T538">
        <f t="shared" ca="1" si="70"/>
        <v>6.5755986260587749</v>
      </c>
      <c r="U538" s="8">
        <f t="shared" ca="1" si="71"/>
        <v>1</v>
      </c>
      <c r="V538" s="8">
        <f ca="1">RawData[[#This Row],[Z (smoothed demand size)]]/RawData[[#This Row],[X (smoothed interval)]]</f>
        <v>6.5755986260587749</v>
      </c>
    </row>
    <row r="539" spans="1:22">
      <c r="A539" t="s">
        <v>25</v>
      </c>
      <c r="B539" t="s">
        <v>14</v>
      </c>
      <c r="C539">
        <v>24</v>
      </c>
      <c r="D539" t="s">
        <v>18</v>
      </c>
      <c r="E539" t="s">
        <v>16</v>
      </c>
      <c r="F539" s="1">
        <v>43840</v>
      </c>
      <c r="G539">
        <v>5</v>
      </c>
      <c r="H539">
        <v>5</v>
      </c>
      <c r="I539">
        <v>7</v>
      </c>
      <c r="J539">
        <v>2</v>
      </c>
      <c r="K539">
        <v>0</v>
      </c>
      <c r="L539">
        <v>699</v>
      </c>
      <c r="M539">
        <v>15</v>
      </c>
      <c r="N539" s="1">
        <f t="shared" si="64"/>
        <v>44938</v>
      </c>
      <c r="O539" s="1">
        <f t="shared" si="65"/>
        <v>43101</v>
      </c>
      <c r="P539" s="1">
        <f t="shared" si="66"/>
        <v>44105</v>
      </c>
      <c r="Q539" s="8">
        <f t="shared" si="67"/>
        <v>0</v>
      </c>
      <c r="R539" s="8">
        <f t="shared" si="68"/>
        <v>34</v>
      </c>
      <c r="S539" s="8">
        <f t="shared" ca="1" si="69"/>
        <v>34</v>
      </c>
      <c r="T539">
        <f t="shared" ca="1" si="70"/>
        <v>6.2604789008470201</v>
      </c>
      <c r="U539" s="8">
        <f t="shared" ca="1" si="71"/>
        <v>1</v>
      </c>
      <c r="V539" s="8">
        <f ca="1">RawData[[#This Row],[Z (smoothed demand size)]]/RawData[[#This Row],[X (smoothed interval)]]</f>
        <v>6.2604789008470201</v>
      </c>
    </row>
    <row r="540" spans="1:22">
      <c r="A540" t="s">
        <v>25</v>
      </c>
      <c r="B540" t="s">
        <v>14</v>
      </c>
      <c r="C540">
        <v>24</v>
      </c>
      <c r="D540" t="s">
        <v>18</v>
      </c>
      <c r="E540" t="s">
        <v>16</v>
      </c>
      <c r="F540" s="1">
        <v>43841</v>
      </c>
      <c r="G540">
        <v>12</v>
      </c>
      <c r="H540">
        <v>12</v>
      </c>
      <c r="I540">
        <v>12</v>
      </c>
      <c r="J540">
        <v>0</v>
      </c>
      <c r="K540">
        <v>0</v>
      </c>
      <c r="L540">
        <v>682</v>
      </c>
      <c r="M540">
        <v>60</v>
      </c>
      <c r="N540" s="1">
        <f t="shared" si="64"/>
        <v>44938</v>
      </c>
      <c r="O540" s="1">
        <f t="shared" si="65"/>
        <v>43101</v>
      </c>
      <c r="P540" s="1">
        <f t="shared" si="66"/>
        <v>44136</v>
      </c>
      <c r="Q540" s="8">
        <f t="shared" si="67"/>
        <v>0</v>
      </c>
      <c r="R540" s="8">
        <f t="shared" si="68"/>
        <v>35</v>
      </c>
      <c r="S540" s="8">
        <f t="shared" ca="1" si="69"/>
        <v>35</v>
      </c>
      <c r="T540">
        <f t="shared" ca="1" si="70"/>
        <v>7.408383120677617</v>
      </c>
      <c r="U540" s="8">
        <f t="shared" ca="1" si="71"/>
        <v>1</v>
      </c>
      <c r="V540" s="8">
        <f ca="1">RawData[[#This Row],[Z (smoothed demand size)]]/RawData[[#This Row],[X (smoothed interval)]]</f>
        <v>7.408383120677617</v>
      </c>
    </row>
    <row r="541" spans="1:22">
      <c r="A541" t="s">
        <v>25</v>
      </c>
      <c r="B541" t="s">
        <v>14</v>
      </c>
      <c r="C541">
        <v>24</v>
      </c>
      <c r="D541" t="s">
        <v>18</v>
      </c>
      <c r="E541" t="s">
        <v>16</v>
      </c>
      <c r="F541" s="1">
        <v>43842</v>
      </c>
      <c r="G541">
        <v>8</v>
      </c>
      <c r="H541">
        <v>0</v>
      </c>
      <c r="I541">
        <v>0</v>
      </c>
      <c r="J541">
        <v>0</v>
      </c>
      <c r="K541">
        <v>1</v>
      </c>
      <c r="L541">
        <v>794</v>
      </c>
      <c r="M541">
        <v>45</v>
      </c>
      <c r="N541" s="1">
        <f t="shared" si="64"/>
        <v>44938</v>
      </c>
      <c r="O541" s="1">
        <f t="shared" si="65"/>
        <v>43101</v>
      </c>
      <c r="P541" s="1">
        <f t="shared" si="66"/>
        <v>44166</v>
      </c>
      <c r="Q541" s="8">
        <f t="shared" si="67"/>
        <v>0</v>
      </c>
      <c r="R541" s="8">
        <f t="shared" si="68"/>
        <v>36</v>
      </c>
      <c r="S541" s="8">
        <f t="shared" ca="1" si="69"/>
        <v>36</v>
      </c>
      <c r="T541">
        <f t="shared" ca="1" si="70"/>
        <v>7.5267064965420936</v>
      </c>
      <c r="U541" s="8">
        <f t="shared" ca="1" si="71"/>
        <v>1</v>
      </c>
      <c r="V541" s="8">
        <f ca="1">RawData[[#This Row],[Z (smoothed demand size)]]/RawData[[#This Row],[X (smoothed interval)]]</f>
        <v>7.5267064965420936</v>
      </c>
    </row>
    <row r="542" spans="1:22">
      <c r="A542" t="s">
        <v>25</v>
      </c>
      <c r="B542" t="s">
        <v>14</v>
      </c>
      <c r="C542">
        <v>24</v>
      </c>
      <c r="D542" t="s">
        <v>18</v>
      </c>
      <c r="E542" t="s">
        <v>16</v>
      </c>
      <c r="F542" s="1">
        <v>44197</v>
      </c>
      <c r="G542">
        <v>9</v>
      </c>
      <c r="H542">
        <v>8</v>
      </c>
      <c r="I542">
        <v>8</v>
      </c>
      <c r="J542">
        <v>0</v>
      </c>
      <c r="K542">
        <v>1</v>
      </c>
      <c r="L542">
        <v>687</v>
      </c>
      <c r="M542">
        <v>45</v>
      </c>
      <c r="N542" s="1">
        <f t="shared" si="64"/>
        <v>44938</v>
      </c>
      <c r="O542" s="1">
        <f t="shared" si="65"/>
        <v>43101</v>
      </c>
      <c r="P542" s="1">
        <f t="shared" si="66"/>
        <v>44197</v>
      </c>
      <c r="Q542" s="8">
        <f t="shared" si="67"/>
        <v>0</v>
      </c>
      <c r="R542" s="8">
        <f t="shared" si="68"/>
        <v>37</v>
      </c>
      <c r="S542" s="8">
        <f t="shared" ca="1" si="69"/>
        <v>37</v>
      </c>
      <c r="T542">
        <f t="shared" ca="1" si="70"/>
        <v>7.8213651972336748</v>
      </c>
      <c r="U542" s="8">
        <f t="shared" ca="1" si="71"/>
        <v>1</v>
      </c>
      <c r="V542" s="8">
        <f ca="1">RawData[[#This Row],[Z (smoothed demand size)]]/RawData[[#This Row],[X (smoothed interval)]]</f>
        <v>7.8213651972336748</v>
      </c>
    </row>
    <row r="543" spans="1:22">
      <c r="A543" t="s">
        <v>25</v>
      </c>
      <c r="B543" t="s">
        <v>14</v>
      </c>
      <c r="C543">
        <v>24</v>
      </c>
      <c r="D543" t="s">
        <v>18</v>
      </c>
      <c r="E543" t="s">
        <v>16</v>
      </c>
      <c r="F543" s="1">
        <v>44198</v>
      </c>
      <c r="G543">
        <v>9</v>
      </c>
      <c r="H543">
        <v>0</v>
      </c>
      <c r="I543">
        <v>0</v>
      </c>
      <c r="J543">
        <v>0</v>
      </c>
      <c r="K543">
        <v>1</v>
      </c>
      <c r="L543">
        <v>680</v>
      </c>
      <c r="M543">
        <v>45</v>
      </c>
      <c r="N543" s="1">
        <f t="shared" si="64"/>
        <v>44938</v>
      </c>
      <c r="O543" s="1">
        <f t="shared" si="65"/>
        <v>43101</v>
      </c>
      <c r="P543" s="1">
        <f t="shared" si="66"/>
        <v>44228</v>
      </c>
      <c r="Q543" s="8">
        <f t="shared" si="67"/>
        <v>0</v>
      </c>
      <c r="R543" s="8">
        <f t="shared" si="68"/>
        <v>38</v>
      </c>
      <c r="S543" s="8">
        <f t="shared" ca="1" si="69"/>
        <v>38</v>
      </c>
      <c r="T543">
        <f t="shared" ca="1" si="70"/>
        <v>8.0570921577869399</v>
      </c>
      <c r="U543" s="8">
        <f t="shared" ca="1" si="71"/>
        <v>1</v>
      </c>
      <c r="V543" s="8">
        <f ca="1">RawData[[#This Row],[Z (smoothed demand size)]]/RawData[[#This Row],[X (smoothed interval)]]</f>
        <v>8.0570921577869399</v>
      </c>
    </row>
    <row r="544" spans="1:22">
      <c r="A544" t="s">
        <v>25</v>
      </c>
      <c r="B544" t="s">
        <v>14</v>
      </c>
      <c r="C544">
        <v>24</v>
      </c>
      <c r="D544" t="s">
        <v>18</v>
      </c>
      <c r="E544" t="s">
        <v>16</v>
      </c>
      <c r="F544" s="1">
        <v>44199</v>
      </c>
      <c r="G544">
        <v>10</v>
      </c>
      <c r="H544">
        <v>10</v>
      </c>
      <c r="I544">
        <v>11</v>
      </c>
      <c r="J544">
        <v>1</v>
      </c>
      <c r="K544">
        <v>0</v>
      </c>
      <c r="L544">
        <v>680</v>
      </c>
      <c r="M544">
        <v>60</v>
      </c>
      <c r="N544" s="1">
        <f t="shared" si="64"/>
        <v>44938</v>
      </c>
      <c r="O544" s="1">
        <f t="shared" si="65"/>
        <v>43101</v>
      </c>
      <c r="P544" s="1">
        <f t="shared" si="66"/>
        <v>44256</v>
      </c>
      <c r="Q544" s="8">
        <f t="shared" si="67"/>
        <v>0</v>
      </c>
      <c r="R544" s="8">
        <f t="shared" si="68"/>
        <v>39</v>
      </c>
      <c r="S544" s="8">
        <f t="shared" ca="1" si="69"/>
        <v>39</v>
      </c>
      <c r="T544">
        <f t="shared" ca="1" si="70"/>
        <v>8.4456737262295523</v>
      </c>
      <c r="U544" s="8">
        <f t="shared" ca="1" si="71"/>
        <v>1</v>
      </c>
      <c r="V544" s="8">
        <f ca="1">RawData[[#This Row],[Z (smoothed demand size)]]/RawData[[#This Row],[X (smoothed interval)]]</f>
        <v>8.4456737262295523</v>
      </c>
    </row>
    <row r="545" spans="1:22">
      <c r="A545" t="s">
        <v>25</v>
      </c>
      <c r="B545" t="s">
        <v>14</v>
      </c>
      <c r="C545">
        <v>24</v>
      </c>
      <c r="D545" t="s">
        <v>18</v>
      </c>
      <c r="E545" t="s">
        <v>16</v>
      </c>
      <c r="F545" s="1">
        <v>44200</v>
      </c>
      <c r="G545">
        <v>8</v>
      </c>
      <c r="H545">
        <v>1</v>
      </c>
      <c r="I545">
        <v>1</v>
      </c>
      <c r="J545">
        <v>0</v>
      </c>
      <c r="K545">
        <v>1</v>
      </c>
      <c r="L545">
        <v>684</v>
      </c>
      <c r="M545">
        <v>15</v>
      </c>
      <c r="N545" s="1">
        <f t="shared" si="64"/>
        <v>44938</v>
      </c>
      <c r="O545" s="1">
        <f t="shared" si="65"/>
        <v>43101</v>
      </c>
      <c r="P545" s="1">
        <f t="shared" si="66"/>
        <v>44287</v>
      </c>
      <c r="Q545" s="8">
        <f t="shared" si="67"/>
        <v>0</v>
      </c>
      <c r="R545" s="8">
        <f t="shared" si="68"/>
        <v>40</v>
      </c>
      <c r="S545" s="8">
        <f t="shared" ca="1" si="69"/>
        <v>40</v>
      </c>
      <c r="T545">
        <f t="shared" ca="1" si="70"/>
        <v>8.3565389809836415</v>
      </c>
      <c r="U545" s="8">
        <f t="shared" ca="1" si="71"/>
        <v>1</v>
      </c>
      <c r="V545" s="8">
        <f ca="1">RawData[[#This Row],[Z (smoothed demand size)]]/RawData[[#This Row],[X (smoothed interval)]]</f>
        <v>8.3565389809836415</v>
      </c>
    </row>
    <row r="546" spans="1:22">
      <c r="A546" t="s">
        <v>25</v>
      </c>
      <c r="B546" t="s">
        <v>14</v>
      </c>
      <c r="C546">
        <v>24</v>
      </c>
      <c r="D546" t="s">
        <v>18</v>
      </c>
      <c r="E546" t="s">
        <v>16</v>
      </c>
      <c r="F546" s="1">
        <v>44201</v>
      </c>
      <c r="G546">
        <v>5</v>
      </c>
      <c r="H546">
        <v>5</v>
      </c>
      <c r="I546">
        <v>9</v>
      </c>
      <c r="J546">
        <v>4</v>
      </c>
      <c r="K546">
        <v>0</v>
      </c>
      <c r="L546">
        <v>685</v>
      </c>
      <c r="M546">
        <v>45</v>
      </c>
      <c r="N546" s="1">
        <f t="shared" si="64"/>
        <v>44938</v>
      </c>
      <c r="O546" s="1">
        <f t="shared" si="65"/>
        <v>43101</v>
      </c>
      <c r="P546" s="1">
        <f t="shared" si="66"/>
        <v>44317</v>
      </c>
      <c r="Q546" s="8">
        <f t="shared" si="67"/>
        <v>0</v>
      </c>
      <c r="R546" s="8">
        <f t="shared" si="68"/>
        <v>41</v>
      </c>
      <c r="S546" s="8">
        <f t="shared" ca="1" si="69"/>
        <v>41</v>
      </c>
      <c r="T546">
        <f t="shared" ca="1" si="70"/>
        <v>7.6852311847869137</v>
      </c>
      <c r="U546" s="8">
        <f t="shared" ca="1" si="71"/>
        <v>1</v>
      </c>
      <c r="V546" s="8">
        <f ca="1">RawData[[#This Row],[Z (smoothed demand size)]]/RawData[[#This Row],[X (smoothed interval)]]</f>
        <v>7.6852311847869137</v>
      </c>
    </row>
    <row r="547" spans="1:22">
      <c r="A547" t="s">
        <v>25</v>
      </c>
      <c r="B547" t="s">
        <v>14</v>
      </c>
      <c r="C547">
        <v>24</v>
      </c>
      <c r="D547" t="s">
        <v>18</v>
      </c>
      <c r="E547" t="s">
        <v>16</v>
      </c>
      <c r="F547" s="1">
        <v>44202</v>
      </c>
      <c r="G547">
        <v>13</v>
      </c>
      <c r="H547">
        <v>4</v>
      </c>
      <c r="I547">
        <v>4</v>
      </c>
      <c r="J547">
        <v>0</v>
      </c>
      <c r="K547">
        <v>1</v>
      </c>
      <c r="L547">
        <v>795</v>
      </c>
      <c r="M547">
        <v>30</v>
      </c>
      <c r="N547" s="1">
        <f t="shared" si="64"/>
        <v>44938</v>
      </c>
      <c r="O547" s="1">
        <f t="shared" si="65"/>
        <v>43101</v>
      </c>
      <c r="P547" s="1">
        <f t="shared" si="66"/>
        <v>44348</v>
      </c>
      <c r="Q547" s="8">
        <f t="shared" si="67"/>
        <v>0</v>
      </c>
      <c r="R547" s="8">
        <f t="shared" si="68"/>
        <v>42</v>
      </c>
      <c r="S547" s="8">
        <f t="shared" ca="1" si="69"/>
        <v>42</v>
      </c>
      <c r="T547">
        <f t="shared" ca="1" si="70"/>
        <v>8.7481849478295306</v>
      </c>
      <c r="U547" s="8">
        <f t="shared" ca="1" si="71"/>
        <v>1</v>
      </c>
      <c r="V547" s="8">
        <f ca="1">RawData[[#This Row],[Z (smoothed demand size)]]/RawData[[#This Row],[X (smoothed interval)]]</f>
        <v>8.7481849478295306</v>
      </c>
    </row>
    <row r="548" spans="1:22">
      <c r="A548" t="s">
        <v>25</v>
      </c>
      <c r="B548" t="s">
        <v>14</v>
      </c>
      <c r="C548">
        <v>24</v>
      </c>
      <c r="D548" t="s">
        <v>18</v>
      </c>
      <c r="E548" t="s">
        <v>16</v>
      </c>
      <c r="F548" s="1">
        <v>44203</v>
      </c>
      <c r="G548">
        <v>10</v>
      </c>
      <c r="H548">
        <v>10</v>
      </c>
      <c r="I548">
        <v>12</v>
      </c>
      <c r="J548">
        <v>2</v>
      </c>
      <c r="K548">
        <v>0</v>
      </c>
      <c r="L548">
        <v>801</v>
      </c>
      <c r="M548">
        <v>60</v>
      </c>
      <c r="N548" s="1">
        <f t="shared" si="64"/>
        <v>44938</v>
      </c>
      <c r="O548" s="1">
        <f t="shared" si="65"/>
        <v>43101</v>
      </c>
      <c r="P548" s="1">
        <f t="shared" si="66"/>
        <v>44378</v>
      </c>
      <c r="Q548" s="8">
        <f t="shared" si="67"/>
        <v>0</v>
      </c>
      <c r="R548" s="8">
        <f t="shared" si="68"/>
        <v>43</v>
      </c>
      <c r="S548" s="8">
        <f t="shared" ca="1" si="69"/>
        <v>43</v>
      </c>
      <c r="T548">
        <f t="shared" ca="1" si="70"/>
        <v>8.9985479582636252</v>
      </c>
      <c r="U548" s="8">
        <f t="shared" ca="1" si="71"/>
        <v>1</v>
      </c>
      <c r="V548" s="8">
        <f ca="1">RawData[[#This Row],[Z (smoothed demand size)]]/RawData[[#This Row],[X (smoothed interval)]]</f>
        <v>8.9985479582636252</v>
      </c>
    </row>
    <row r="549" spans="1:22">
      <c r="A549" t="s">
        <v>25</v>
      </c>
      <c r="B549" t="s">
        <v>14</v>
      </c>
      <c r="C549">
        <v>24</v>
      </c>
      <c r="D549" t="s">
        <v>18</v>
      </c>
      <c r="E549" t="s">
        <v>16</v>
      </c>
      <c r="F549" s="1">
        <v>44204</v>
      </c>
      <c r="G549">
        <v>7</v>
      </c>
      <c r="H549">
        <v>2</v>
      </c>
      <c r="I549">
        <v>2</v>
      </c>
      <c r="J549">
        <v>0</v>
      </c>
      <c r="K549">
        <v>1</v>
      </c>
      <c r="L549">
        <v>797</v>
      </c>
      <c r="M549">
        <v>45</v>
      </c>
      <c r="N549" s="1">
        <f t="shared" si="64"/>
        <v>44938</v>
      </c>
      <c r="O549" s="1">
        <f t="shared" si="65"/>
        <v>43101</v>
      </c>
      <c r="P549" s="1">
        <f t="shared" si="66"/>
        <v>44409</v>
      </c>
      <c r="Q549" s="8">
        <f t="shared" si="67"/>
        <v>0</v>
      </c>
      <c r="R549" s="8">
        <f t="shared" si="68"/>
        <v>44</v>
      </c>
      <c r="S549" s="8">
        <f t="shared" ca="1" si="69"/>
        <v>44</v>
      </c>
      <c r="T549">
        <f t="shared" ca="1" si="70"/>
        <v>8.5988383666109005</v>
      </c>
      <c r="U549" s="8">
        <f t="shared" ca="1" si="71"/>
        <v>1</v>
      </c>
      <c r="V549" s="8">
        <f ca="1">RawData[[#This Row],[Z (smoothed demand size)]]/RawData[[#This Row],[X (smoothed interval)]]</f>
        <v>8.5988383666109005</v>
      </c>
    </row>
    <row r="550" spans="1:22">
      <c r="A550" t="s">
        <v>25</v>
      </c>
      <c r="B550" t="s">
        <v>14</v>
      </c>
      <c r="C550">
        <v>24</v>
      </c>
      <c r="D550" t="s">
        <v>18</v>
      </c>
      <c r="E550" t="s">
        <v>16</v>
      </c>
      <c r="F550" s="1">
        <v>44205</v>
      </c>
      <c r="G550">
        <v>7</v>
      </c>
      <c r="H550">
        <v>7</v>
      </c>
      <c r="I550">
        <v>12</v>
      </c>
      <c r="J550">
        <v>5</v>
      </c>
      <c r="K550">
        <v>0</v>
      </c>
      <c r="L550">
        <v>695</v>
      </c>
      <c r="M550">
        <v>60</v>
      </c>
      <c r="N550" s="1">
        <f t="shared" si="64"/>
        <v>44938</v>
      </c>
      <c r="O550" s="1">
        <f t="shared" si="65"/>
        <v>43101</v>
      </c>
      <c r="P550" s="1">
        <f t="shared" si="66"/>
        <v>44440</v>
      </c>
      <c r="Q550" s="8">
        <f t="shared" si="67"/>
        <v>0</v>
      </c>
      <c r="R550" s="8">
        <f t="shared" si="68"/>
        <v>45</v>
      </c>
      <c r="S550" s="8">
        <f t="shared" ca="1" si="69"/>
        <v>45</v>
      </c>
      <c r="T550">
        <f t="shared" ca="1" si="70"/>
        <v>8.2790706932887215</v>
      </c>
      <c r="U550" s="8">
        <f t="shared" ca="1" si="71"/>
        <v>1</v>
      </c>
      <c r="V550" s="8">
        <f ca="1">RawData[[#This Row],[Z (smoothed demand size)]]/RawData[[#This Row],[X (smoothed interval)]]</f>
        <v>8.2790706932887215</v>
      </c>
    </row>
    <row r="551" spans="1:22">
      <c r="A551" t="s">
        <v>25</v>
      </c>
      <c r="B551" t="s">
        <v>14</v>
      </c>
      <c r="C551">
        <v>24</v>
      </c>
      <c r="D551" t="s">
        <v>18</v>
      </c>
      <c r="E551" t="s">
        <v>16</v>
      </c>
      <c r="F551" s="1">
        <v>44206</v>
      </c>
      <c r="G551">
        <v>9</v>
      </c>
      <c r="H551">
        <v>5</v>
      </c>
      <c r="I551">
        <v>5</v>
      </c>
      <c r="J551">
        <v>0</v>
      </c>
      <c r="K551">
        <v>1</v>
      </c>
      <c r="L551">
        <v>688</v>
      </c>
      <c r="M551">
        <v>60</v>
      </c>
      <c r="N551" s="1">
        <f t="shared" si="64"/>
        <v>44938</v>
      </c>
      <c r="O551" s="1">
        <f t="shared" si="65"/>
        <v>43101</v>
      </c>
      <c r="P551" s="1">
        <f t="shared" si="66"/>
        <v>44470</v>
      </c>
      <c r="Q551" s="8">
        <f t="shared" si="67"/>
        <v>0</v>
      </c>
      <c r="R551" s="8">
        <f t="shared" si="68"/>
        <v>46</v>
      </c>
      <c r="S551" s="8">
        <f t="shared" ca="1" si="69"/>
        <v>46</v>
      </c>
      <c r="T551">
        <f t="shared" ca="1" si="70"/>
        <v>8.4232565546309779</v>
      </c>
      <c r="U551" s="8">
        <f t="shared" ca="1" si="71"/>
        <v>1</v>
      </c>
      <c r="V551" s="8">
        <f ca="1">RawData[[#This Row],[Z (smoothed demand size)]]/RawData[[#This Row],[X (smoothed interval)]]</f>
        <v>8.4232565546309779</v>
      </c>
    </row>
    <row r="552" spans="1:22">
      <c r="A552" t="s">
        <v>25</v>
      </c>
      <c r="B552" t="s">
        <v>14</v>
      </c>
      <c r="C552">
        <v>24</v>
      </c>
      <c r="D552" t="s">
        <v>18</v>
      </c>
      <c r="E552" t="s">
        <v>16</v>
      </c>
      <c r="F552" s="1">
        <v>44207</v>
      </c>
      <c r="G552">
        <v>9</v>
      </c>
      <c r="H552">
        <v>9</v>
      </c>
      <c r="I552">
        <v>10</v>
      </c>
      <c r="J552">
        <v>1</v>
      </c>
      <c r="K552">
        <v>0</v>
      </c>
      <c r="L552">
        <v>694</v>
      </c>
      <c r="M552">
        <v>30</v>
      </c>
      <c r="N552" s="1">
        <f t="shared" si="64"/>
        <v>44938</v>
      </c>
      <c r="O552" s="1">
        <f t="shared" si="65"/>
        <v>43101</v>
      </c>
      <c r="P552" s="1">
        <f t="shared" si="66"/>
        <v>44501</v>
      </c>
      <c r="Q552" s="8">
        <f t="shared" si="67"/>
        <v>0</v>
      </c>
      <c r="R552" s="8">
        <f t="shared" si="68"/>
        <v>47</v>
      </c>
      <c r="S552" s="8">
        <f t="shared" ca="1" si="69"/>
        <v>47</v>
      </c>
      <c r="T552">
        <f t="shared" ca="1" si="70"/>
        <v>8.538605243704783</v>
      </c>
      <c r="U552" s="8">
        <f t="shared" ca="1" si="71"/>
        <v>1</v>
      </c>
      <c r="V552" s="8">
        <f ca="1">RawData[[#This Row],[Z (smoothed demand size)]]/RawData[[#This Row],[X (smoothed interval)]]</f>
        <v>8.538605243704783</v>
      </c>
    </row>
    <row r="553" spans="1:22">
      <c r="A553" t="s">
        <v>25</v>
      </c>
      <c r="B553" t="s">
        <v>14</v>
      </c>
      <c r="C553">
        <v>24</v>
      </c>
      <c r="D553" t="s">
        <v>18</v>
      </c>
      <c r="E553" t="s">
        <v>16</v>
      </c>
      <c r="F553" s="1">
        <v>44208</v>
      </c>
      <c r="G553">
        <v>12</v>
      </c>
      <c r="H553">
        <v>11</v>
      </c>
      <c r="I553">
        <v>11</v>
      </c>
      <c r="J553">
        <v>0</v>
      </c>
      <c r="K553">
        <v>1</v>
      </c>
      <c r="L553">
        <v>792</v>
      </c>
      <c r="M553">
        <v>15</v>
      </c>
      <c r="N553" s="1">
        <f t="shared" si="64"/>
        <v>44938</v>
      </c>
      <c r="O553" s="1">
        <f t="shared" si="65"/>
        <v>43101</v>
      </c>
      <c r="P553" s="1">
        <f t="shared" si="66"/>
        <v>44531</v>
      </c>
      <c r="Q553" s="8">
        <f t="shared" si="67"/>
        <v>0</v>
      </c>
      <c r="R553" s="8">
        <f t="shared" si="68"/>
        <v>48</v>
      </c>
      <c r="S553" s="8">
        <f t="shared" ca="1" si="69"/>
        <v>48</v>
      </c>
      <c r="T553">
        <f t="shared" ca="1" si="70"/>
        <v>9.2308841949638278</v>
      </c>
      <c r="U553" s="8">
        <f t="shared" ca="1" si="71"/>
        <v>1</v>
      </c>
      <c r="V553" s="8">
        <f ca="1">RawData[[#This Row],[Z (smoothed demand size)]]/RawData[[#This Row],[X (smoothed interval)]]</f>
        <v>9.2308841949638278</v>
      </c>
    </row>
    <row r="554" spans="1:22">
      <c r="A554" t="s">
        <v>25</v>
      </c>
      <c r="B554" t="s">
        <v>14</v>
      </c>
      <c r="C554">
        <v>24</v>
      </c>
      <c r="D554" t="s">
        <v>18</v>
      </c>
      <c r="E554" t="s">
        <v>16</v>
      </c>
      <c r="F554" s="1">
        <v>44562</v>
      </c>
      <c r="G554">
        <v>7</v>
      </c>
      <c r="H554">
        <v>7</v>
      </c>
      <c r="I554">
        <v>8</v>
      </c>
      <c r="J554">
        <v>1</v>
      </c>
      <c r="K554">
        <v>0</v>
      </c>
      <c r="L554">
        <v>685</v>
      </c>
      <c r="M554">
        <v>45</v>
      </c>
      <c r="N554" s="1">
        <f t="shared" si="64"/>
        <v>44938</v>
      </c>
      <c r="O554" s="1">
        <f t="shared" si="65"/>
        <v>43101</v>
      </c>
      <c r="P554" s="1">
        <f t="shared" si="66"/>
        <v>44562</v>
      </c>
      <c r="Q554" s="8">
        <f t="shared" si="67"/>
        <v>0</v>
      </c>
      <c r="R554" s="8">
        <f t="shared" si="68"/>
        <v>49</v>
      </c>
      <c r="S554" s="8">
        <f t="shared" ca="1" si="69"/>
        <v>49</v>
      </c>
      <c r="T554">
        <f t="shared" ca="1" si="70"/>
        <v>8.7847073559710633</v>
      </c>
      <c r="U554" s="8">
        <f t="shared" ca="1" si="71"/>
        <v>1</v>
      </c>
      <c r="V554" s="8">
        <f ca="1">RawData[[#This Row],[Z (smoothed demand size)]]/RawData[[#This Row],[X (smoothed interval)]]</f>
        <v>8.7847073559710633</v>
      </c>
    </row>
    <row r="555" spans="1:22">
      <c r="A555" t="s">
        <v>25</v>
      </c>
      <c r="B555" t="s">
        <v>14</v>
      </c>
      <c r="C555">
        <v>24</v>
      </c>
      <c r="D555" t="s">
        <v>18</v>
      </c>
      <c r="E555" t="s">
        <v>16</v>
      </c>
      <c r="F555" s="1">
        <v>44563</v>
      </c>
      <c r="G555">
        <v>2</v>
      </c>
      <c r="H555">
        <v>1</v>
      </c>
      <c r="I555">
        <v>1</v>
      </c>
      <c r="J555">
        <v>0</v>
      </c>
      <c r="K555">
        <v>1</v>
      </c>
      <c r="L555">
        <v>701</v>
      </c>
      <c r="M555">
        <v>15</v>
      </c>
      <c r="N555" s="1">
        <f t="shared" si="64"/>
        <v>44938</v>
      </c>
      <c r="O555" s="1">
        <f t="shared" si="65"/>
        <v>43101</v>
      </c>
      <c r="P555" s="1">
        <f t="shared" si="66"/>
        <v>44593</v>
      </c>
      <c r="Q555" s="8">
        <f t="shared" si="67"/>
        <v>0</v>
      </c>
      <c r="R555" s="8">
        <f t="shared" si="68"/>
        <v>50</v>
      </c>
      <c r="S555" s="8">
        <f t="shared" ca="1" si="69"/>
        <v>50</v>
      </c>
      <c r="T555">
        <f t="shared" ca="1" si="70"/>
        <v>7.4277658847768517</v>
      </c>
      <c r="U555" s="8">
        <f t="shared" ca="1" si="71"/>
        <v>1</v>
      </c>
      <c r="V555" s="8">
        <f ca="1">RawData[[#This Row],[Z (smoothed demand size)]]/RawData[[#This Row],[X (smoothed interval)]]</f>
        <v>7.4277658847768517</v>
      </c>
    </row>
    <row r="556" spans="1:22">
      <c r="A556" t="s">
        <v>25</v>
      </c>
      <c r="B556" t="s">
        <v>14</v>
      </c>
      <c r="C556">
        <v>24</v>
      </c>
      <c r="D556" t="s">
        <v>18</v>
      </c>
      <c r="E556" t="s">
        <v>16</v>
      </c>
      <c r="F556" s="1">
        <v>44564</v>
      </c>
      <c r="G556">
        <v>3</v>
      </c>
      <c r="H556">
        <v>3</v>
      </c>
      <c r="I556">
        <v>11</v>
      </c>
      <c r="J556">
        <v>8</v>
      </c>
      <c r="K556">
        <v>0</v>
      </c>
      <c r="L556">
        <v>672</v>
      </c>
      <c r="M556">
        <v>15</v>
      </c>
      <c r="N556" s="1">
        <f t="shared" si="64"/>
        <v>44938</v>
      </c>
      <c r="O556" s="1">
        <f t="shared" si="65"/>
        <v>43101</v>
      </c>
      <c r="P556" s="1">
        <f t="shared" si="66"/>
        <v>44621</v>
      </c>
      <c r="Q556" s="8">
        <f t="shared" si="67"/>
        <v>0</v>
      </c>
      <c r="R556" s="8">
        <f t="shared" si="68"/>
        <v>51</v>
      </c>
      <c r="S556" s="8">
        <f t="shared" ca="1" si="69"/>
        <v>51</v>
      </c>
      <c r="T556">
        <f t="shared" ca="1" si="70"/>
        <v>6.5422127078214825</v>
      </c>
      <c r="U556" s="8">
        <f t="shared" ca="1" si="71"/>
        <v>1</v>
      </c>
      <c r="V556" s="8">
        <f ca="1">RawData[[#This Row],[Z (smoothed demand size)]]/RawData[[#This Row],[X (smoothed interval)]]</f>
        <v>6.5422127078214825</v>
      </c>
    </row>
    <row r="557" spans="1:22">
      <c r="A557" t="s">
        <v>25</v>
      </c>
      <c r="B557" t="s">
        <v>14</v>
      </c>
      <c r="C557">
        <v>24</v>
      </c>
      <c r="D557" t="s">
        <v>18</v>
      </c>
      <c r="E557" t="s">
        <v>16</v>
      </c>
      <c r="F557" s="1">
        <v>44565</v>
      </c>
      <c r="G557">
        <v>6</v>
      </c>
      <c r="H557">
        <v>6</v>
      </c>
      <c r="I557">
        <v>15</v>
      </c>
      <c r="J557">
        <v>9</v>
      </c>
      <c r="K557">
        <v>0</v>
      </c>
      <c r="L557">
        <v>675</v>
      </c>
      <c r="M557">
        <v>45</v>
      </c>
      <c r="N557" s="1">
        <f t="shared" si="64"/>
        <v>44938</v>
      </c>
      <c r="O557" s="1">
        <f t="shared" si="65"/>
        <v>43101</v>
      </c>
      <c r="P557" s="1">
        <f t="shared" si="66"/>
        <v>44652</v>
      </c>
      <c r="Q557" s="8">
        <f t="shared" si="67"/>
        <v>0</v>
      </c>
      <c r="R557" s="8">
        <f t="shared" si="68"/>
        <v>52</v>
      </c>
      <c r="S557" s="8">
        <f t="shared" ca="1" si="69"/>
        <v>52</v>
      </c>
      <c r="T557">
        <f t="shared" ca="1" si="70"/>
        <v>6.4337701662571867</v>
      </c>
      <c r="U557" s="8">
        <f t="shared" ca="1" si="71"/>
        <v>1</v>
      </c>
      <c r="V557" s="8">
        <f ca="1">RawData[[#This Row],[Z (smoothed demand size)]]/RawData[[#This Row],[X (smoothed interval)]]</f>
        <v>6.4337701662571867</v>
      </c>
    </row>
    <row r="558" spans="1:22">
      <c r="A558" t="s">
        <v>25</v>
      </c>
      <c r="B558" t="s">
        <v>14</v>
      </c>
      <c r="C558">
        <v>24</v>
      </c>
      <c r="D558" t="s">
        <v>18</v>
      </c>
      <c r="E558" t="s">
        <v>16</v>
      </c>
      <c r="F558" s="1">
        <v>44566</v>
      </c>
      <c r="G558">
        <v>11</v>
      </c>
      <c r="H558">
        <v>9</v>
      </c>
      <c r="I558">
        <v>9</v>
      </c>
      <c r="J558">
        <v>0</v>
      </c>
      <c r="K558">
        <v>1</v>
      </c>
      <c r="L558">
        <v>690</v>
      </c>
      <c r="M558">
        <v>30</v>
      </c>
      <c r="N558" s="1">
        <f t="shared" si="64"/>
        <v>44938</v>
      </c>
      <c r="O558" s="1">
        <f t="shared" si="65"/>
        <v>43101</v>
      </c>
      <c r="P558" s="1">
        <f t="shared" si="66"/>
        <v>44682</v>
      </c>
      <c r="Q558" s="8">
        <f t="shared" si="67"/>
        <v>0</v>
      </c>
      <c r="R558" s="8">
        <f t="shared" si="68"/>
        <v>53</v>
      </c>
      <c r="S558" s="8">
        <f t="shared" ca="1" si="69"/>
        <v>53</v>
      </c>
      <c r="T558">
        <f t="shared" ca="1" si="70"/>
        <v>7.3470161330057495</v>
      </c>
      <c r="U558" s="8">
        <f t="shared" ca="1" si="71"/>
        <v>1</v>
      </c>
      <c r="V558" s="8">
        <f ca="1">RawData[[#This Row],[Z (smoothed demand size)]]/RawData[[#This Row],[X (smoothed interval)]]</f>
        <v>7.3470161330057495</v>
      </c>
    </row>
    <row r="559" spans="1:22">
      <c r="A559" t="s">
        <v>25</v>
      </c>
      <c r="B559" t="s">
        <v>14</v>
      </c>
      <c r="C559">
        <v>24</v>
      </c>
      <c r="D559" t="s">
        <v>18</v>
      </c>
      <c r="E559" t="s">
        <v>16</v>
      </c>
      <c r="F559" s="1">
        <v>44567</v>
      </c>
      <c r="G559">
        <v>7</v>
      </c>
      <c r="H559">
        <v>7</v>
      </c>
      <c r="I559">
        <v>7</v>
      </c>
      <c r="J559">
        <v>0</v>
      </c>
      <c r="K559">
        <v>0</v>
      </c>
      <c r="L559">
        <v>789</v>
      </c>
      <c r="M559">
        <v>60</v>
      </c>
      <c r="N559" s="1">
        <f t="shared" si="64"/>
        <v>44938</v>
      </c>
      <c r="O559" s="1">
        <f t="shared" si="65"/>
        <v>43101</v>
      </c>
      <c r="P559" s="1">
        <f t="shared" si="66"/>
        <v>44713</v>
      </c>
      <c r="Q559" s="8">
        <f t="shared" si="67"/>
        <v>0</v>
      </c>
      <c r="R559" s="8">
        <f t="shared" si="68"/>
        <v>54</v>
      </c>
      <c r="S559" s="8">
        <f t="shared" ca="1" si="69"/>
        <v>54</v>
      </c>
      <c r="T559">
        <f t="shared" ca="1" si="70"/>
        <v>7.2776129064046007</v>
      </c>
      <c r="U559" s="8">
        <f t="shared" ca="1" si="71"/>
        <v>1</v>
      </c>
      <c r="V559" s="8">
        <f ca="1">RawData[[#This Row],[Z (smoothed demand size)]]/RawData[[#This Row],[X (smoothed interval)]]</f>
        <v>7.2776129064046007</v>
      </c>
    </row>
    <row r="560" spans="1:22">
      <c r="A560" t="s">
        <v>25</v>
      </c>
      <c r="B560" t="s">
        <v>14</v>
      </c>
      <c r="C560">
        <v>24</v>
      </c>
      <c r="D560" t="s">
        <v>18</v>
      </c>
      <c r="E560" t="s">
        <v>16</v>
      </c>
      <c r="F560" s="1">
        <v>44568</v>
      </c>
      <c r="G560">
        <v>6</v>
      </c>
      <c r="H560">
        <v>0</v>
      </c>
      <c r="I560">
        <v>0</v>
      </c>
      <c r="J560">
        <v>0</v>
      </c>
      <c r="K560">
        <v>1</v>
      </c>
      <c r="L560">
        <v>779</v>
      </c>
      <c r="M560">
        <v>15</v>
      </c>
      <c r="N560" s="1">
        <f t="shared" si="64"/>
        <v>44938</v>
      </c>
      <c r="O560" s="1">
        <f t="shared" si="65"/>
        <v>43101</v>
      </c>
      <c r="P560" s="1">
        <f t="shared" si="66"/>
        <v>44743</v>
      </c>
      <c r="Q560" s="8">
        <f t="shared" si="67"/>
        <v>0</v>
      </c>
      <c r="R560" s="8">
        <f t="shared" si="68"/>
        <v>55</v>
      </c>
      <c r="S560" s="8">
        <f t="shared" ca="1" si="69"/>
        <v>55</v>
      </c>
      <c r="T560">
        <f t="shared" ca="1" si="70"/>
        <v>7.0220903251236813</v>
      </c>
      <c r="U560" s="8">
        <f t="shared" ca="1" si="71"/>
        <v>1</v>
      </c>
      <c r="V560" s="8">
        <f ca="1">RawData[[#This Row],[Z (smoothed demand size)]]/RawData[[#This Row],[X (smoothed interval)]]</f>
        <v>7.0220903251236813</v>
      </c>
    </row>
    <row r="561" spans="1:22">
      <c r="A561" t="s">
        <v>25</v>
      </c>
      <c r="B561" t="s">
        <v>14</v>
      </c>
      <c r="C561">
        <v>24</v>
      </c>
      <c r="D561" t="s">
        <v>18</v>
      </c>
      <c r="E561" t="s">
        <v>16</v>
      </c>
      <c r="F561" s="1">
        <v>44569</v>
      </c>
      <c r="G561">
        <v>11</v>
      </c>
      <c r="H561">
        <v>10</v>
      </c>
      <c r="I561">
        <v>10</v>
      </c>
      <c r="J561">
        <v>0</v>
      </c>
      <c r="K561">
        <v>1</v>
      </c>
      <c r="L561">
        <v>782</v>
      </c>
      <c r="M561">
        <v>45</v>
      </c>
      <c r="N561" s="1">
        <f t="shared" si="64"/>
        <v>44938</v>
      </c>
      <c r="O561" s="1">
        <f t="shared" si="65"/>
        <v>43101</v>
      </c>
      <c r="P561" s="1">
        <f t="shared" si="66"/>
        <v>44774</v>
      </c>
      <c r="Q561" s="8">
        <f t="shared" si="67"/>
        <v>0</v>
      </c>
      <c r="R561" s="8">
        <f t="shared" si="68"/>
        <v>56</v>
      </c>
      <c r="S561" s="8">
        <f t="shared" ca="1" si="69"/>
        <v>56</v>
      </c>
      <c r="T561">
        <f t="shared" ca="1" si="70"/>
        <v>7.8176722600989459</v>
      </c>
      <c r="U561" s="8">
        <f t="shared" ca="1" si="71"/>
        <v>1</v>
      </c>
      <c r="V561" s="8">
        <f ca="1">RawData[[#This Row],[Z (smoothed demand size)]]/RawData[[#This Row],[X (smoothed interval)]]</f>
        <v>7.8176722600989459</v>
      </c>
    </row>
    <row r="562" spans="1:22">
      <c r="A562" t="s">
        <v>25</v>
      </c>
      <c r="B562" t="s">
        <v>14</v>
      </c>
      <c r="C562">
        <v>24</v>
      </c>
      <c r="D562" t="s">
        <v>18</v>
      </c>
      <c r="E562" t="s">
        <v>16</v>
      </c>
      <c r="F562" s="1">
        <v>44570</v>
      </c>
      <c r="G562">
        <v>9</v>
      </c>
      <c r="H562">
        <v>0</v>
      </c>
      <c r="I562">
        <v>0</v>
      </c>
      <c r="J562">
        <v>0</v>
      </c>
      <c r="K562">
        <v>1</v>
      </c>
      <c r="L562">
        <v>681</v>
      </c>
      <c r="M562">
        <v>30</v>
      </c>
      <c r="N562" s="1">
        <f t="shared" si="64"/>
        <v>44938</v>
      </c>
      <c r="O562" s="1">
        <f t="shared" si="65"/>
        <v>43101</v>
      </c>
      <c r="P562" s="1">
        <f t="shared" si="66"/>
        <v>44805</v>
      </c>
      <c r="Q562" s="8">
        <f t="shared" si="67"/>
        <v>0</v>
      </c>
      <c r="R562" s="8">
        <f t="shared" si="68"/>
        <v>57</v>
      </c>
      <c r="S562" s="8">
        <f t="shared" ca="1" si="69"/>
        <v>57</v>
      </c>
      <c r="T562">
        <f t="shared" ca="1" si="70"/>
        <v>8.0541378080791581</v>
      </c>
      <c r="U562" s="8">
        <f t="shared" ca="1" si="71"/>
        <v>1</v>
      </c>
      <c r="V562" s="8">
        <f ca="1">RawData[[#This Row],[Z (smoothed demand size)]]/RawData[[#This Row],[X (smoothed interval)]]</f>
        <v>8.0541378080791581</v>
      </c>
    </row>
    <row r="563" spans="1:22">
      <c r="A563" t="s">
        <v>25</v>
      </c>
      <c r="B563" t="s">
        <v>14</v>
      </c>
      <c r="C563">
        <v>24</v>
      </c>
      <c r="D563" t="s">
        <v>18</v>
      </c>
      <c r="E563" t="s">
        <v>16</v>
      </c>
      <c r="F563" s="1">
        <v>44571</v>
      </c>
      <c r="G563">
        <v>9</v>
      </c>
      <c r="H563">
        <v>9</v>
      </c>
      <c r="I563">
        <v>12</v>
      </c>
      <c r="J563">
        <v>3</v>
      </c>
      <c r="K563">
        <v>0</v>
      </c>
      <c r="L563">
        <v>694</v>
      </c>
      <c r="M563">
        <v>60</v>
      </c>
      <c r="N563" s="1">
        <f t="shared" si="64"/>
        <v>44938</v>
      </c>
      <c r="O563" s="1">
        <f t="shared" si="65"/>
        <v>43101</v>
      </c>
      <c r="P563" s="1">
        <f t="shared" si="66"/>
        <v>44835</v>
      </c>
      <c r="Q563" s="8">
        <f t="shared" si="67"/>
        <v>0</v>
      </c>
      <c r="R563" s="8">
        <f t="shared" si="68"/>
        <v>58</v>
      </c>
      <c r="S563" s="8">
        <f t="shared" ca="1" si="69"/>
        <v>58</v>
      </c>
      <c r="T563">
        <f t="shared" ca="1" si="70"/>
        <v>8.2433102464633272</v>
      </c>
      <c r="U563" s="8">
        <f t="shared" ca="1" si="71"/>
        <v>1</v>
      </c>
      <c r="V563" s="8">
        <f ca="1">RawData[[#This Row],[Z (smoothed demand size)]]/RawData[[#This Row],[X (smoothed interval)]]</f>
        <v>8.2433102464633272</v>
      </c>
    </row>
    <row r="564" spans="1:22">
      <c r="A564" t="s">
        <v>25</v>
      </c>
      <c r="B564" t="s">
        <v>14</v>
      </c>
      <c r="C564">
        <v>24</v>
      </c>
      <c r="D564" t="s">
        <v>18</v>
      </c>
      <c r="E564" t="s">
        <v>16</v>
      </c>
      <c r="F564" s="1">
        <v>44572</v>
      </c>
      <c r="G564">
        <v>7</v>
      </c>
      <c r="H564">
        <v>3</v>
      </c>
      <c r="I564">
        <v>3</v>
      </c>
      <c r="J564">
        <v>0</v>
      </c>
      <c r="K564">
        <v>1</v>
      </c>
      <c r="L564">
        <v>696</v>
      </c>
      <c r="M564">
        <v>15</v>
      </c>
      <c r="N564" s="1">
        <f t="shared" si="64"/>
        <v>44938</v>
      </c>
      <c r="O564" s="1">
        <f t="shared" si="65"/>
        <v>43101</v>
      </c>
      <c r="P564" s="1">
        <f t="shared" si="66"/>
        <v>44866</v>
      </c>
      <c r="Q564" s="8">
        <f t="shared" si="67"/>
        <v>0</v>
      </c>
      <c r="R564" s="8">
        <f t="shared" si="68"/>
        <v>59</v>
      </c>
      <c r="S564" s="8">
        <f t="shared" ca="1" si="69"/>
        <v>59</v>
      </c>
      <c r="T564">
        <f t="shared" ca="1" si="70"/>
        <v>7.9946481971706627</v>
      </c>
      <c r="U564" s="8">
        <f t="shared" ca="1" si="71"/>
        <v>1</v>
      </c>
      <c r="V564" s="8">
        <f ca="1">RawData[[#This Row],[Z (smoothed demand size)]]/RawData[[#This Row],[X (smoothed interval)]]</f>
        <v>7.9946481971706627</v>
      </c>
    </row>
    <row r="565" spans="1:22">
      <c r="A565" t="s">
        <v>25</v>
      </c>
      <c r="B565" t="s">
        <v>14</v>
      </c>
      <c r="C565">
        <v>24</v>
      </c>
      <c r="D565" t="s">
        <v>18</v>
      </c>
      <c r="E565" t="s">
        <v>16</v>
      </c>
      <c r="F565" s="1">
        <v>44573</v>
      </c>
      <c r="G565">
        <v>7</v>
      </c>
      <c r="H565">
        <v>7</v>
      </c>
      <c r="I565">
        <v>9</v>
      </c>
      <c r="J565">
        <v>2</v>
      </c>
      <c r="K565">
        <v>0</v>
      </c>
      <c r="L565">
        <v>804</v>
      </c>
      <c r="M565">
        <v>15</v>
      </c>
      <c r="N565" s="1">
        <f t="shared" si="64"/>
        <v>44938</v>
      </c>
      <c r="O565" s="1">
        <f t="shared" si="65"/>
        <v>43101</v>
      </c>
      <c r="P565" s="1">
        <f t="shared" si="66"/>
        <v>44896</v>
      </c>
      <c r="Q565" s="8">
        <f t="shared" si="67"/>
        <v>0</v>
      </c>
      <c r="R565" s="8">
        <f t="shared" si="68"/>
        <v>60</v>
      </c>
      <c r="S565" s="8">
        <f t="shared" ca="1" si="69"/>
        <v>60</v>
      </c>
      <c r="T565">
        <f t="shared" ca="1" si="70"/>
        <v>7.7957185577365307</v>
      </c>
      <c r="U565" s="8">
        <f t="shared" ca="1" si="71"/>
        <v>1</v>
      </c>
      <c r="V565" s="8">
        <f ca="1">RawData[[#This Row],[Z (smoothed demand size)]]/RawData[[#This Row],[X (smoothed interval)]]</f>
        <v>7.7957185577365307</v>
      </c>
    </row>
    <row r="566" spans="1:22">
      <c r="A566" t="s">
        <v>25</v>
      </c>
      <c r="B566" t="s">
        <v>14</v>
      </c>
      <c r="C566">
        <v>24</v>
      </c>
      <c r="D566" t="s">
        <v>18</v>
      </c>
      <c r="E566" t="s">
        <v>16</v>
      </c>
      <c r="F566" s="1">
        <v>44927</v>
      </c>
      <c r="G566">
        <v>6</v>
      </c>
      <c r="H566">
        <v>6</v>
      </c>
      <c r="I566">
        <v>9</v>
      </c>
      <c r="J566">
        <v>3</v>
      </c>
      <c r="K566">
        <v>0</v>
      </c>
      <c r="L566">
        <v>675</v>
      </c>
      <c r="M566">
        <v>30</v>
      </c>
      <c r="N566" s="1">
        <f t="shared" si="64"/>
        <v>44938</v>
      </c>
      <c r="O566" s="1">
        <f t="shared" si="65"/>
        <v>43101</v>
      </c>
      <c r="P566" s="1">
        <f t="shared" si="66"/>
        <v>44927</v>
      </c>
      <c r="Q566" s="8">
        <f t="shared" si="67"/>
        <v>0</v>
      </c>
      <c r="R566" s="8">
        <f t="shared" si="68"/>
        <v>61</v>
      </c>
      <c r="S566" s="8">
        <f t="shared" ca="1" si="69"/>
        <v>61</v>
      </c>
      <c r="T566">
        <f t="shared" ca="1" si="70"/>
        <v>7.4365748461892247</v>
      </c>
      <c r="U566" s="8">
        <f t="shared" ca="1" si="71"/>
        <v>1</v>
      </c>
      <c r="V566" s="8">
        <f ca="1">RawData[[#This Row],[Z (smoothed demand size)]]/RawData[[#This Row],[X (smoothed interval)]]</f>
        <v>7.4365748461892247</v>
      </c>
    </row>
    <row r="567" spans="1:22">
      <c r="A567" t="s">
        <v>25</v>
      </c>
      <c r="B567" t="s">
        <v>14</v>
      </c>
      <c r="C567">
        <v>24</v>
      </c>
      <c r="D567" t="s">
        <v>18</v>
      </c>
      <c r="E567" t="s">
        <v>16</v>
      </c>
      <c r="F567" s="1">
        <v>44928</v>
      </c>
      <c r="G567">
        <v>8</v>
      </c>
      <c r="H567">
        <v>8</v>
      </c>
      <c r="I567">
        <v>12</v>
      </c>
      <c r="J567">
        <v>4</v>
      </c>
      <c r="K567">
        <v>0</v>
      </c>
      <c r="L567">
        <v>676</v>
      </c>
      <c r="M567">
        <v>30</v>
      </c>
      <c r="N567" s="1">
        <f t="shared" si="64"/>
        <v>44938</v>
      </c>
      <c r="O567" s="1">
        <f t="shared" si="65"/>
        <v>43101</v>
      </c>
      <c r="P567" s="1">
        <f t="shared" si="66"/>
        <v>44958</v>
      </c>
      <c r="Q567" s="8">
        <f t="shared" si="67"/>
        <v>0</v>
      </c>
      <c r="R567" s="8">
        <f t="shared" si="68"/>
        <v>62</v>
      </c>
      <c r="S567" s="8">
        <f t="shared" ca="1" si="69"/>
        <v>62</v>
      </c>
      <c r="T567">
        <f t="shared" ca="1" si="70"/>
        <v>7.5492598769513801</v>
      </c>
      <c r="U567" s="8">
        <f t="shared" ca="1" si="71"/>
        <v>1</v>
      </c>
      <c r="V567" s="8">
        <f ca="1">RawData[[#This Row],[Z (smoothed demand size)]]/RawData[[#This Row],[X (smoothed interval)]]</f>
        <v>7.5492598769513801</v>
      </c>
    </row>
    <row r="568" spans="1:22">
      <c r="A568" t="s">
        <v>25</v>
      </c>
      <c r="B568" t="s">
        <v>14</v>
      </c>
      <c r="C568">
        <v>24</v>
      </c>
      <c r="D568" t="s">
        <v>18</v>
      </c>
      <c r="E568" t="s">
        <v>16</v>
      </c>
      <c r="F568" s="1">
        <v>44929</v>
      </c>
      <c r="G568">
        <v>7</v>
      </c>
      <c r="H568">
        <v>7</v>
      </c>
      <c r="I568">
        <v>13</v>
      </c>
      <c r="J568">
        <v>6</v>
      </c>
      <c r="K568">
        <v>0</v>
      </c>
      <c r="L568">
        <v>676</v>
      </c>
      <c r="M568">
        <v>60</v>
      </c>
      <c r="N568" s="1">
        <f t="shared" si="64"/>
        <v>44938</v>
      </c>
      <c r="O568" s="1">
        <f t="shared" si="65"/>
        <v>43101</v>
      </c>
      <c r="P568" s="1">
        <f t="shared" si="66"/>
        <v>44986</v>
      </c>
      <c r="Q568" s="8">
        <f t="shared" si="67"/>
        <v>0</v>
      </c>
      <c r="R568" s="8">
        <f t="shared" si="68"/>
        <v>63</v>
      </c>
      <c r="S568" s="8">
        <f t="shared" ca="1" si="69"/>
        <v>63</v>
      </c>
      <c r="T568">
        <f t="shared" ca="1" si="70"/>
        <v>7.439407901561105</v>
      </c>
      <c r="U568" s="8">
        <f t="shared" ca="1" si="71"/>
        <v>1</v>
      </c>
      <c r="V568" s="8">
        <f ca="1">RawData[[#This Row],[Z (smoothed demand size)]]/RawData[[#This Row],[X (smoothed interval)]]</f>
        <v>7.439407901561105</v>
      </c>
    </row>
    <row r="569" spans="1:22">
      <c r="A569" t="s">
        <v>25</v>
      </c>
      <c r="B569" t="s">
        <v>14</v>
      </c>
      <c r="C569">
        <v>24</v>
      </c>
      <c r="D569" t="s">
        <v>18</v>
      </c>
      <c r="E569" t="s">
        <v>16</v>
      </c>
      <c r="F569" s="1">
        <v>44930</v>
      </c>
      <c r="G569">
        <v>9</v>
      </c>
      <c r="H569">
        <v>6</v>
      </c>
      <c r="I569">
        <v>6</v>
      </c>
      <c r="J569">
        <v>0</v>
      </c>
      <c r="K569">
        <v>1</v>
      </c>
      <c r="L569">
        <v>694</v>
      </c>
      <c r="M569">
        <v>60</v>
      </c>
      <c r="N569" s="1">
        <f t="shared" si="64"/>
        <v>44938</v>
      </c>
      <c r="O569" s="1">
        <f t="shared" si="65"/>
        <v>43101</v>
      </c>
      <c r="P569" s="1">
        <f t="shared" si="66"/>
        <v>45017</v>
      </c>
      <c r="Q569" s="8">
        <f t="shared" si="67"/>
        <v>0</v>
      </c>
      <c r="R569" s="8">
        <f t="shared" si="68"/>
        <v>64</v>
      </c>
      <c r="S569" s="8">
        <f t="shared" ca="1" si="69"/>
        <v>64</v>
      </c>
      <c r="T569">
        <f t="shared" ca="1" si="70"/>
        <v>7.7515263212488845</v>
      </c>
      <c r="U569" s="8">
        <f t="shared" ca="1" si="71"/>
        <v>1</v>
      </c>
      <c r="V569" s="8">
        <f ca="1">RawData[[#This Row],[Z (smoothed demand size)]]/RawData[[#This Row],[X (smoothed interval)]]</f>
        <v>7.7515263212488845</v>
      </c>
    </row>
    <row r="570" spans="1:22">
      <c r="A570" t="s">
        <v>25</v>
      </c>
      <c r="B570" t="s">
        <v>14</v>
      </c>
      <c r="C570">
        <v>24</v>
      </c>
      <c r="D570" t="s">
        <v>18</v>
      </c>
      <c r="E570" t="s">
        <v>16</v>
      </c>
      <c r="F570" s="1">
        <v>44931</v>
      </c>
      <c r="G570">
        <v>9</v>
      </c>
      <c r="H570">
        <v>7</v>
      </c>
      <c r="I570">
        <v>7</v>
      </c>
      <c r="J570">
        <v>0</v>
      </c>
      <c r="K570">
        <v>1</v>
      </c>
      <c r="L570">
        <v>688</v>
      </c>
      <c r="M570">
        <v>15</v>
      </c>
      <c r="N570" s="1">
        <f t="shared" si="64"/>
        <v>44938</v>
      </c>
      <c r="O570" s="1">
        <f t="shared" si="65"/>
        <v>43101</v>
      </c>
      <c r="P570" s="1">
        <f t="shared" si="66"/>
        <v>45047</v>
      </c>
      <c r="Q570" s="8">
        <f t="shared" si="67"/>
        <v>0</v>
      </c>
      <c r="R570" s="8">
        <f t="shared" si="68"/>
        <v>65</v>
      </c>
      <c r="S570" s="8">
        <f t="shared" ca="1" si="69"/>
        <v>65</v>
      </c>
      <c r="T570">
        <f t="shared" ca="1" si="70"/>
        <v>8.0012210569991087</v>
      </c>
      <c r="U570" s="8">
        <f t="shared" ca="1" si="71"/>
        <v>1</v>
      </c>
      <c r="V570" s="8">
        <f ca="1">RawData[[#This Row],[Z (smoothed demand size)]]/RawData[[#This Row],[X (smoothed interval)]]</f>
        <v>8.0012210569991087</v>
      </c>
    </row>
    <row r="571" spans="1:22">
      <c r="A571" t="s">
        <v>25</v>
      </c>
      <c r="B571" t="s">
        <v>14</v>
      </c>
      <c r="C571">
        <v>24</v>
      </c>
      <c r="D571" t="s">
        <v>18</v>
      </c>
      <c r="E571" t="s">
        <v>16</v>
      </c>
      <c r="F571" s="1">
        <v>44932</v>
      </c>
      <c r="G571">
        <v>5</v>
      </c>
      <c r="H571">
        <v>5</v>
      </c>
      <c r="I571">
        <v>12</v>
      </c>
      <c r="J571">
        <v>7</v>
      </c>
      <c r="K571">
        <v>0</v>
      </c>
      <c r="L571">
        <v>789</v>
      </c>
      <c r="M571">
        <v>15</v>
      </c>
      <c r="N571" s="1">
        <f t="shared" si="64"/>
        <v>44938</v>
      </c>
      <c r="O571" s="1">
        <f t="shared" si="65"/>
        <v>43101</v>
      </c>
      <c r="P571" s="1">
        <f t="shared" si="66"/>
        <v>45078</v>
      </c>
      <c r="Q571" s="8">
        <f t="shared" si="67"/>
        <v>0</v>
      </c>
      <c r="R571" s="8">
        <f t="shared" si="68"/>
        <v>66</v>
      </c>
      <c r="S571" s="8">
        <f t="shared" ca="1" si="69"/>
        <v>66</v>
      </c>
      <c r="T571">
        <f t="shared" ca="1" si="70"/>
        <v>7.4009768455992875</v>
      </c>
      <c r="U571" s="8">
        <f t="shared" ca="1" si="71"/>
        <v>1</v>
      </c>
      <c r="V571" s="8">
        <f ca="1">RawData[[#This Row],[Z (smoothed demand size)]]/RawData[[#This Row],[X (smoothed interval)]]</f>
        <v>7.4009768455992875</v>
      </c>
    </row>
    <row r="572" spans="1:22">
      <c r="A572" t="s">
        <v>25</v>
      </c>
      <c r="B572" t="s">
        <v>14</v>
      </c>
      <c r="C572">
        <v>24</v>
      </c>
      <c r="D572" t="s">
        <v>18</v>
      </c>
      <c r="E572" t="s">
        <v>16</v>
      </c>
      <c r="F572" s="1">
        <v>44933</v>
      </c>
      <c r="G572">
        <v>9</v>
      </c>
      <c r="H572">
        <v>9</v>
      </c>
      <c r="I572">
        <v>14</v>
      </c>
      <c r="J572">
        <v>5</v>
      </c>
      <c r="K572">
        <v>0</v>
      </c>
      <c r="L572">
        <v>790</v>
      </c>
      <c r="M572">
        <v>15</v>
      </c>
      <c r="N572" s="1">
        <f t="shared" si="64"/>
        <v>44938</v>
      </c>
      <c r="O572" s="1">
        <f t="shared" si="65"/>
        <v>43101</v>
      </c>
      <c r="P572" s="1">
        <f t="shared" si="66"/>
        <v>45108</v>
      </c>
      <c r="Q572" s="8">
        <f t="shared" si="67"/>
        <v>0</v>
      </c>
      <c r="R572" s="8">
        <f t="shared" si="68"/>
        <v>67</v>
      </c>
      <c r="S572" s="8">
        <f t="shared" ca="1" si="69"/>
        <v>67</v>
      </c>
      <c r="T572">
        <f t="shared" ca="1" si="70"/>
        <v>7.7207814764794298</v>
      </c>
      <c r="U572" s="8">
        <f t="shared" ca="1" si="71"/>
        <v>1</v>
      </c>
      <c r="V572" s="8">
        <f ca="1">RawData[[#This Row],[Z (smoothed demand size)]]/RawData[[#This Row],[X (smoothed interval)]]</f>
        <v>7.7207814764794298</v>
      </c>
    </row>
    <row r="573" spans="1:22">
      <c r="A573" t="s">
        <v>25</v>
      </c>
      <c r="B573" t="s">
        <v>14</v>
      </c>
      <c r="C573">
        <v>24</v>
      </c>
      <c r="D573" t="s">
        <v>18</v>
      </c>
      <c r="E573" t="s">
        <v>16</v>
      </c>
      <c r="F573" s="1">
        <v>44934</v>
      </c>
      <c r="G573">
        <v>6</v>
      </c>
      <c r="H573">
        <v>6</v>
      </c>
      <c r="I573">
        <v>13</v>
      </c>
      <c r="J573">
        <v>7</v>
      </c>
      <c r="K573">
        <v>0</v>
      </c>
      <c r="L573">
        <v>788</v>
      </c>
      <c r="M573">
        <v>60</v>
      </c>
      <c r="N573" s="1">
        <f t="shared" si="64"/>
        <v>44938</v>
      </c>
      <c r="O573" s="1">
        <f t="shared" si="65"/>
        <v>43101</v>
      </c>
      <c r="P573" s="1">
        <f t="shared" si="66"/>
        <v>45139</v>
      </c>
      <c r="Q573" s="8">
        <f t="shared" si="67"/>
        <v>0</v>
      </c>
      <c r="R573" s="8">
        <f t="shared" si="68"/>
        <v>68</v>
      </c>
      <c r="S573" s="8">
        <f t="shared" ca="1" si="69"/>
        <v>68</v>
      </c>
      <c r="T573">
        <f t="shared" ca="1" si="70"/>
        <v>7.3766251811835444</v>
      </c>
      <c r="U573" s="8">
        <f t="shared" ca="1" si="71"/>
        <v>1</v>
      </c>
      <c r="V573" s="8">
        <f ca="1">RawData[[#This Row],[Z (smoothed demand size)]]/RawData[[#This Row],[X (smoothed interval)]]</f>
        <v>7.3766251811835444</v>
      </c>
    </row>
    <row r="574" spans="1:22">
      <c r="A574" t="s">
        <v>25</v>
      </c>
      <c r="B574" t="s">
        <v>14</v>
      </c>
      <c r="C574">
        <v>24</v>
      </c>
      <c r="D574" t="s">
        <v>18</v>
      </c>
      <c r="E574" t="s">
        <v>16</v>
      </c>
      <c r="F574" s="1">
        <v>44935</v>
      </c>
      <c r="G574">
        <v>9</v>
      </c>
      <c r="H574">
        <v>7</v>
      </c>
      <c r="I574">
        <v>7</v>
      </c>
      <c r="J574">
        <v>0</v>
      </c>
      <c r="K574">
        <v>1</v>
      </c>
      <c r="L574">
        <v>678</v>
      </c>
      <c r="M574">
        <v>15</v>
      </c>
      <c r="N574" s="1">
        <f t="shared" si="64"/>
        <v>44938</v>
      </c>
      <c r="O574" s="1">
        <f t="shared" si="65"/>
        <v>43101</v>
      </c>
      <c r="P574" s="1">
        <f t="shared" si="66"/>
        <v>45170</v>
      </c>
      <c r="Q574" s="8">
        <f t="shared" si="67"/>
        <v>0</v>
      </c>
      <c r="R574" s="8">
        <f t="shared" si="68"/>
        <v>69</v>
      </c>
      <c r="S574" s="8">
        <f t="shared" ca="1" si="69"/>
        <v>69</v>
      </c>
      <c r="T574">
        <f t="shared" ca="1" si="70"/>
        <v>7.7013001449468357</v>
      </c>
      <c r="U574" s="8">
        <f t="shared" ca="1" si="71"/>
        <v>1</v>
      </c>
      <c r="V574" s="8">
        <f ca="1">RawData[[#This Row],[Z (smoothed demand size)]]/RawData[[#This Row],[X (smoothed interval)]]</f>
        <v>7.7013001449468357</v>
      </c>
    </row>
    <row r="575" spans="1:22">
      <c r="A575" t="s">
        <v>25</v>
      </c>
      <c r="B575" t="s">
        <v>14</v>
      </c>
      <c r="C575">
        <v>24</v>
      </c>
      <c r="D575" t="s">
        <v>18</v>
      </c>
      <c r="E575" t="s">
        <v>16</v>
      </c>
      <c r="F575" s="1">
        <v>44936</v>
      </c>
      <c r="G575">
        <v>4</v>
      </c>
      <c r="H575">
        <v>4</v>
      </c>
      <c r="I575">
        <v>9</v>
      </c>
      <c r="J575">
        <v>5</v>
      </c>
      <c r="K575">
        <v>0</v>
      </c>
      <c r="L575">
        <v>689</v>
      </c>
      <c r="M575">
        <v>45</v>
      </c>
      <c r="N575" s="1">
        <f t="shared" si="64"/>
        <v>44938</v>
      </c>
      <c r="O575" s="1">
        <f t="shared" si="65"/>
        <v>43101</v>
      </c>
      <c r="P575" s="1">
        <f t="shared" si="66"/>
        <v>45200</v>
      </c>
      <c r="Q575" s="8">
        <f t="shared" si="67"/>
        <v>0</v>
      </c>
      <c r="R575" s="8">
        <f t="shared" si="68"/>
        <v>70</v>
      </c>
      <c r="S575" s="8">
        <f t="shared" ca="1" si="69"/>
        <v>70</v>
      </c>
      <c r="T575">
        <f t="shared" ca="1" si="70"/>
        <v>6.9610401159574691</v>
      </c>
      <c r="U575" s="8">
        <f t="shared" ca="1" si="71"/>
        <v>1</v>
      </c>
      <c r="V575" s="8">
        <f ca="1">RawData[[#This Row],[Z (smoothed demand size)]]/RawData[[#This Row],[X (smoothed interval)]]</f>
        <v>6.9610401159574691</v>
      </c>
    </row>
    <row r="576" spans="1:22">
      <c r="A576" t="s">
        <v>25</v>
      </c>
      <c r="B576" t="s">
        <v>14</v>
      </c>
      <c r="C576">
        <v>24</v>
      </c>
      <c r="D576" t="s">
        <v>18</v>
      </c>
      <c r="E576" t="s">
        <v>16</v>
      </c>
      <c r="F576" s="1">
        <v>44937</v>
      </c>
      <c r="G576">
        <v>5</v>
      </c>
      <c r="H576">
        <v>5</v>
      </c>
      <c r="I576">
        <v>5</v>
      </c>
      <c r="J576">
        <v>0</v>
      </c>
      <c r="K576">
        <v>0</v>
      </c>
      <c r="L576">
        <v>684</v>
      </c>
      <c r="M576">
        <v>45</v>
      </c>
      <c r="N576" s="1">
        <f t="shared" si="64"/>
        <v>44938</v>
      </c>
      <c r="O576" s="1">
        <f t="shared" si="65"/>
        <v>43101</v>
      </c>
      <c r="P576" s="1">
        <f t="shared" si="66"/>
        <v>45231</v>
      </c>
      <c r="Q576" s="8">
        <f t="shared" si="67"/>
        <v>0</v>
      </c>
      <c r="R576" s="8">
        <f t="shared" si="68"/>
        <v>71</v>
      </c>
      <c r="S576" s="8">
        <f t="shared" ca="1" si="69"/>
        <v>71</v>
      </c>
      <c r="T576">
        <f t="shared" ca="1" si="70"/>
        <v>6.5688320927659758</v>
      </c>
      <c r="U576" s="8">
        <f t="shared" ca="1" si="71"/>
        <v>1</v>
      </c>
      <c r="V576" s="8">
        <f ca="1">RawData[[#This Row],[Z (smoothed demand size)]]/RawData[[#This Row],[X (smoothed interval)]]</f>
        <v>6.5688320927659758</v>
      </c>
    </row>
    <row r="577" spans="1:22">
      <c r="A577" t="s">
        <v>25</v>
      </c>
      <c r="B577" t="s">
        <v>14</v>
      </c>
      <c r="C577">
        <v>24</v>
      </c>
      <c r="D577" t="s">
        <v>18</v>
      </c>
      <c r="E577" t="s">
        <v>16</v>
      </c>
      <c r="F577" s="1">
        <v>44938</v>
      </c>
      <c r="G577">
        <v>9</v>
      </c>
      <c r="H577">
        <v>9</v>
      </c>
      <c r="I577">
        <v>10</v>
      </c>
      <c r="J577">
        <v>1</v>
      </c>
      <c r="K577">
        <v>0</v>
      </c>
      <c r="L577">
        <v>779</v>
      </c>
      <c r="M577">
        <v>45</v>
      </c>
      <c r="N577" s="1">
        <f t="shared" si="64"/>
        <v>44938</v>
      </c>
      <c r="O577" s="1">
        <f t="shared" si="65"/>
        <v>43101</v>
      </c>
      <c r="P577" s="1">
        <f t="shared" si="66"/>
        <v>45261</v>
      </c>
      <c r="Q577" s="8">
        <f t="shared" si="67"/>
        <v>0</v>
      </c>
      <c r="R577" s="8">
        <f t="shared" si="68"/>
        <v>72</v>
      </c>
      <c r="S577" s="8">
        <f t="shared" ca="1" si="69"/>
        <v>72</v>
      </c>
      <c r="T577">
        <f t="shared" ca="1" si="70"/>
        <v>7.0550656742127806</v>
      </c>
      <c r="U577" s="8">
        <f t="shared" ca="1" si="71"/>
        <v>1</v>
      </c>
      <c r="V577" s="8">
        <f ca="1">RawData[[#This Row],[Z (smoothed demand size)]]/RawData[[#This Row],[X (smoothed interval)]]</f>
        <v>7.0550656742127806</v>
      </c>
    </row>
    <row r="578" spans="1:22">
      <c r="A578" t="s">
        <v>26</v>
      </c>
      <c r="B578" t="s">
        <v>14</v>
      </c>
      <c r="C578">
        <v>28</v>
      </c>
      <c r="D578" t="s">
        <v>22</v>
      </c>
      <c r="E578" t="s">
        <v>16</v>
      </c>
      <c r="F578" s="1">
        <v>43101</v>
      </c>
      <c r="G578">
        <v>6</v>
      </c>
      <c r="H578">
        <v>6</v>
      </c>
      <c r="I578">
        <v>23</v>
      </c>
      <c r="J578">
        <v>17</v>
      </c>
      <c r="K578">
        <v>0</v>
      </c>
      <c r="L578">
        <v>513</v>
      </c>
      <c r="M578">
        <v>15</v>
      </c>
      <c r="N578" s="1">
        <f t="shared" ref="N578:N641" si="72">MAX(F:F)</f>
        <v>44938</v>
      </c>
      <c r="O578" s="1">
        <f t="shared" ref="O578:O641" si="73">MIN(F:F)</f>
        <v>43101</v>
      </c>
      <c r="P578" s="1">
        <f t="shared" ref="P578:P641" si="74">DATE(YEAR(F578), DAY(F578), 1)</f>
        <v>43101</v>
      </c>
      <c r="Q578" s="8">
        <f t="shared" ref="Q578:Q641" si="75" xml:space="preserve"> IF(A578&lt;&gt;A577, 1, 0)</f>
        <v>1</v>
      </c>
      <c r="R578" s="8">
        <f t="shared" ref="R578:R641" si="76">IF(Q578=1,1,R577+1)</f>
        <v>1</v>
      </c>
      <c r="S578" s="8">
        <f t="shared" ref="S578:S641" ca="1" si="77" xml:space="preserve"> IF(Q578=1, IF(G578&gt;0, R578, 0), IF(G578&gt;0, R578, OFFSET(S578,-1,0)))</f>
        <v>1</v>
      </c>
      <c r="T578">
        <f t="shared" ref="T578:T641" ca="1" si="78" xml:space="preserve"> IF(Q578=1, IF(G578&gt;0, G578, 0), IF(G578&gt;0, $X$1*G578+(1-$X$1)*OFFSET(T578,-1,0), OFFSET(T578,-1,0)))</f>
        <v>6</v>
      </c>
      <c r="U578" s="8">
        <f t="shared" ref="U578:U641" ca="1" si="79" xml:space="preserve"> IF(Q578=1, 1, IF(G578&gt;0, $X$1*(R578-OFFSET(S578,-1,0))+(1-$X$1)*OFFSET(U578,-1,0), OFFSET(U578,-1,0)))</f>
        <v>1</v>
      </c>
      <c r="V578" s="8">
        <f ca="1">RawData[[#This Row],[Z (smoothed demand size)]]/RawData[[#This Row],[X (smoothed interval)]]</f>
        <v>6</v>
      </c>
    </row>
    <row r="579" spans="1:22">
      <c r="A579" t="s">
        <v>26</v>
      </c>
      <c r="B579" t="s">
        <v>14</v>
      </c>
      <c r="C579">
        <v>28</v>
      </c>
      <c r="D579" t="s">
        <v>22</v>
      </c>
      <c r="E579" t="s">
        <v>16</v>
      </c>
      <c r="F579" s="1">
        <v>43102</v>
      </c>
      <c r="G579">
        <v>11</v>
      </c>
      <c r="H579">
        <v>11</v>
      </c>
      <c r="I579">
        <v>17</v>
      </c>
      <c r="J579">
        <v>6</v>
      </c>
      <c r="K579">
        <v>0</v>
      </c>
      <c r="L579">
        <v>518</v>
      </c>
      <c r="M579">
        <v>15</v>
      </c>
      <c r="N579" s="1">
        <f t="shared" si="72"/>
        <v>44938</v>
      </c>
      <c r="O579" s="1">
        <f t="shared" si="73"/>
        <v>43101</v>
      </c>
      <c r="P579" s="1">
        <f t="shared" si="74"/>
        <v>43132</v>
      </c>
      <c r="Q579" s="8">
        <f t="shared" si="75"/>
        <v>0</v>
      </c>
      <c r="R579" s="8">
        <f t="shared" si="76"/>
        <v>2</v>
      </c>
      <c r="S579" s="8">
        <f t="shared" ca="1" si="77"/>
        <v>2</v>
      </c>
      <c r="T579">
        <f t="shared" ca="1" si="78"/>
        <v>7.0000000000000009</v>
      </c>
      <c r="U579" s="8">
        <f t="shared" ca="1" si="79"/>
        <v>1</v>
      </c>
      <c r="V579" s="8">
        <f ca="1">RawData[[#This Row],[Z (smoothed demand size)]]/RawData[[#This Row],[X (smoothed interval)]]</f>
        <v>7.0000000000000009</v>
      </c>
    </row>
    <row r="580" spans="1:22">
      <c r="A580" t="s">
        <v>26</v>
      </c>
      <c r="B580" t="s">
        <v>14</v>
      </c>
      <c r="C580">
        <v>28</v>
      </c>
      <c r="D580" t="s">
        <v>22</v>
      </c>
      <c r="E580" t="s">
        <v>16</v>
      </c>
      <c r="F580" s="1">
        <v>43103</v>
      </c>
      <c r="G580">
        <v>10</v>
      </c>
      <c r="H580">
        <v>10</v>
      </c>
      <c r="I580">
        <v>14</v>
      </c>
      <c r="J580">
        <v>4</v>
      </c>
      <c r="K580">
        <v>0</v>
      </c>
      <c r="L580">
        <v>517</v>
      </c>
      <c r="M580">
        <v>45</v>
      </c>
      <c r="N580" s="1">
        <f t="shared" si="72"/>
        <v>44938</v>
      </c>
      <c r="O580" s="1">
        <f t="shared" si="73"/>
        <v>43101</v>
      </c>
      <c r="P580" s="1">
        <f t="shared" si="74"/>
        <v>43160</v>
      </c>
      <c r="Q580" s="8">
        <f t="shared" si="75"/>
        <v>0</v>
      </c>
      <c r="R580" s="8">
        <f t="shared" si="76"/>
        <v>3</v>
      </c>
      <c r="S580" s="8">
        <f t="shared" ca="1" si="77"/>
        <v>3</v>
      </c>
      <c r="T580">
        <f t="shared" ca="1" si="78"/>
        <v>7.6000000000000014</v>
      </c>
      <c r="U580" s="8">
        <f t="shared" ca="1" si="79"/>
        <v>1</v>
      </c>
      <c r="V580" s="8">
        <f ca="1">RawData[[#This Row],[Z (smoothed demand size)]]/RawData[[#This Row],[X (smoothed interval)]]</f>
        <v>7.6000000000000014</v>
      </c>
    </row>
    <row r="581" spans="1:22">
      <c r="A581" t="s">
        <v>26</v>
      </c>
      <c r="B581" t="s">
        <v>14</v>
      </c>
      <c r="C581">
        <v>28</v>
      </c>
      <c r="D581" t="s">
        <v>22</v>
      </c>
      <c r="E581" t="s">
        <v>16</v>
      </c>
      <c r="F581" s="1">
        <v>43104</v>
      </c>
      <c r="G581">
        <v>6</v>
      </c>
      <c r="H581">
        <v>4</v>
      </c>
      <c r="I581">
        <v>4</v>
      </c>
      <c r="J581">
        <v>0</v>
      </c>
      <c r="K581">
        <v>1</v>
      </c>
      <c r="L581">
        <v>514</v>
      </c>
      <c r="M581">
        <v>45</v>
      </c>
      <c r="N581" s="1">
        <f t="shared" si="72"/>
        <v>44938</v>
      </c>
      <c r="O581" s="1">
        <f t="shared" si="73"/>
        <v>43101</v>
      </c>
      <c r="P581" s="1">
        <f t="shared" si="74"/>
        <v>43191</v>
      </c>
      <c r="Q581" s="8">
        <f t="shared" si="75"/>
        <v>0</v>
      </c>
      <c r="R581" s="8">
        <f t="shared" si="76"/>
        <v>4</v>
      </c>
      <c r="S581" s="8">
        <f t="shared" ca="1" si="77"/>
        <v>4</v>
      </c>
      <c r="T581">
        <f t="shared" ca="1" si="78"/>
        <v>7.280000000000002</v>
      </c>
      <c r="U581" s="8">
        <f t="shared" ca="1" si="79"/>
        <v>1</v>
      </c>
      <c r="V581" s="8">
        <f ca="1">RawData[[#This Row],[Z (smoothed demand size)]]/RawData[[#This Row],[X (smoothed interval)]]</f>
        <v>7.280000000000002</v>
      </c>
    </row>
    <row r="582" spans="1:22">
      <c r="A582" t="s">
        <v>26</v>
      </c>
      <c r="B582" t="s">
        <v>14</v>
      </c>
      <c r="C582">
        <v>28</v>
      </c>
      <c r="D582" t="s">
        <v>22</v>
      </c>
      <c r="E582" t="s">
        <v>16</v>
      </c>
      <c r="F582" s="1">
        <v>43105</v>
      </c>
      <c r="G582">
        <v>7</v>
      </c>
      <c r="H582">
        <v>7</v>
      </c>
      <c r="I582">
        <v>9</v>
      </c>
      <c r="J582">
        <v>2</v>
      </c>
      <c r="K582">
        <v>0</v>
      </c>
      <c r="L582">
        <v>528</v>
      </c>
      <c r="M582">
        <v>15</v>
      </c>
      <c r="N582" s="1">
        <f t="shared" si="72"/>
        <v>44938</v>
      </c>
      <c r="O582" s="1">
        <f t="shared" si="73"/>
        <v>43101</v>
      </c>
      <c r="P582" s="1">
        <f t="shared" si="74"/>
        <v>43221</v>
      </c>
      <c r="Q582" s="8">
        <f t="shared" si="75"/>
        <v>0</v>
      </c>
      <c r="R582" s="8">
        <f t="shared" si="76"/>
        <v>5</v>
      </c>
      <c r="S582" s="8">
        <f t="shared" ca="1" si="77"/>
        <v>5</v>
      </c>
      <c r="T582">
        <f t="shared" ca="1" si="78"/>
        <v>7.224000000000002</v>
      </c>
      <c r="U582" s="8">
        <f t="shared" ca="1" si="79"/>
        <v>1</v>
      </c>
      <c r="V582" s="8">
        <f ca="1">RawData[[#This Row],[Z (smoothed demand size)]]/RawData[[#This Row],[X (smoothed interval)]]</f>
        <v>7.224000000000002</v>
      </c>
    </row>
    <row r="583" spans="1:22">
      <c r="A583" t="s">
        <v>26</v>
      </c>
      <c r="B583" t="s">
        <v>14</v>
      </c>
      <c r="C583">
        <v>28</v>
      </c>
      <c r="D583" t="s">
        <v>22</v>
      </c>
      <c r="E583" t="s">
        <v>16</v>
      </c>
      <c r="F583" s="1">
        <v>43106</v>
      </c>
      <c r="G583">
        <v>10</v>
      </c>
      <c r="H583">
        <v>10</v>
      </c>
      <c r="I583">
        <v>10</v>
      </c>
      <c r="J583">
        <v>0</v>
      </c>
      <c r="K583">
        <v>0</v>
      </c>
      <c r="L583">
        <v>614</v>
      </c>
      <c r="M583">
        <v>30</v>
      </c>
      <c r="N583" s="1">
        <f t="shared" si="72"/>
        <v>44938</v>
      </c>
      <c r="O583" s="1">
        <f t="shared" si="73"/>
        <v>43101</v>
      </c>
      <c r="P583" s="1">
        <f t="shared" si="74"/>
        <v>43252</v>
      </c>
      <c r="Q583" s="8">
        <f t="shared" si="75"/>
        <v>0</v>
      </c>
      <c r="R583" s="8">
        <f t="shared" si="76"/>
        <v>6</v>
      </c>
      <c r="S583" s="8">
        <f t="shared" ca="1" si="77"/>
        <v>6</v>
      </c>
      <c r="T583">
        <f t="shared" ca="1" si="78"/>
        <v>7.7792000000000021</v>
      </c>
      <c r="U583" s="8">
        <f t="shared" ca="1" si="79"/>
        <v>1</v>
      </c>
      <c r="V583" s="8">
        <f ca="1">RawData[[#This Row],[Z (smoothed demand size)]]/RawData[[#This Row],[X (smoothed interval)]]</f>
        <v>7.7792000000000021</v>
      </c>
    </row>
    <row r="584" spans="1:22">
      <c r="A584" t="s">
        <v>26</v>
      </c>
      <c r="B584" t="s">
        <v>14</v>
      </c>
      <c r="C584">
        <v>28</v>
      </c>
      <c r="D584" t="s">
        <v>22</v>
      </c>
      <c r="E584" t="s">
        <v>16</v>
      </c>
      <c r="F584" s="1">
        <v>43107</v>
      </c>
      <c r="G584">
        <v>7</v>
      </c>
      <c r="H584">
        <v>7</v>
      </c>
      <c r="I584">
        <v>11</v>
      </c>
      <c r="J584">
        <v>4</v>
      </c>
      <c r="K584">
        <v>0</v>
      </c>
      <c r="L584">
        <v>600</v>
      </c>
      <c r="M584">
        <v>45</v>
      </c>
      <c r="N584" s="1">
        <f t="shared" si="72"/>
        <v>44938</v>
      </c>
      <c r="O584" s="1">
        <f t="shared" si="73"/>
        <v>43101</v>
      </c>
      <c r="P584" s="1">
        <f t="shared" si="74"/>
        <v>43282</v>
      </c>
      <c r="Q584" s="8">
        <f t="shared" si="75"/>
        <v>0</v>
      </c>
      <c r="R584" s="8">
        <f t="shared" si="76"/>
        <v>7</v>
      </c>
      <c r="S584" s="8">
        <f t="shared" ca="1" si="77"/>
        <v>7</v>
      </c>
      <c r="T584">
        <f t="shared" ca="1" si="78"/>
        <v>7.6233600000000026</v>
      </c>
      <c r="U584" s="8">
        <f t="shared" ca="1" si="79"/>
        <v>1</v>
      </c>
      <c r="V584" s="8">
        <f ca="1">RawData[[#This Row],[Z (smoothed demand size)]]/RawData[[#This Row],[X (smoothed interval)]]</f>
        <v>7.6233600000000026</v>
      </c>
    </row>
    <row r="585" spans="1:22">
      <c r="A585" t="s">
        <v>26</v>
      </c>
      <c r="B585" t="s">
        <v>14</v>
      </c>
      <c r="C585">
        <v>28</v>
      </c>
      <c r="D585" t="s">
        <v>22</v>
      </c>
      <c r="E585" t="s">
        <v>16</v>
      </c>
      <c r="F585" s="1">
        <v>43108</v>
      </c>
      <c r="G585">
        <v>6</v>
      </c>
      <c r="H585">
        <v>4</v>
      </c>
      <c r="I585">
        <v>4</v>
      </c>
      <c r="J585">
        <v>0</v>
      </c>
      <c r="K585">
        <v>1</v>
      </c>
      <c r="L585">
        <v>607</v>
      </c>
      <c r="M585">
        <v>15</v>
      </c>
      <c r="N585" s="1">
        <f t="shared" si="72"/>
        <v>44938</v>
      </c>
      <c r="O585" s="1">
        <f t="shared" si="73"/>
        <v>43101</v>
      </c>
      <c r="P585" s="1">
        <f t="shared" si="74"/>
        <v>43313</v>
      </c>
      <c r="Q585" s="8">
        <f t="shared" si="75"/>
        <v>0</v>
      </c>
      <c r="R585" s="8">
        <f t="shared" si="76"/>
        <v>8</v>
      </c>
      <c r="S585" s="8">
        <f t="shared" ca="1" si="77"/>
        <v>8</v>
      </c>
      <c r="T585">
        <f t="shared" ca="1" si="78"/>
        <v>7.298688000000003</v>
      </c>
      <c r="U585" s="8">
        <f t="shared" ca="1" si="79"/>
        <v>1</v>
      </c>
      <c r="V585" s="8">
        <f ca="1">RawData[[#This Row],[Z (smoothed demand size)]]/RawData[[#This Row],[X (smoothed interval)]]</f>
        <v>7.298688000000003</v>
      </c>
    </row>
    <row r="586" spans="1:22">
      <c r="A586" t="s">
        <v>26</v>
      </c>
      <c r="B586" t="s">
        <v>14</v>
      </c>
      <c r="C586">
        <v>28</v>
      </c>
      <c r="D586" t="s">
        <v>22</v>
      </c>
      <c r="E586" t="s">
        <v>16</v>
      </c>
      <c r="F586" s="1">
        <v>43109</v>
      </c>
      <c r="G586">
        <v>9</v>
      </c>
      <c r="H586">
        <v>9</v>
      </c>
      <c r="I586">
        <v>11</v>
      </c>
      <c r="J586">
        <v>2</v>
      </c>
      <c r="K586">
        <v>0</v>
      </c>
      <c r="L586">
        <v>531</v>
      </c>
      <c r="M586">
        <v>30</v>
      </c>
      <c r="N586" s="1">
        <f t="shared" si="72"/>
        <v>44938</v>
      </c>
      <c r="O586" s="1">
        <f t="shared" si="73"/>
        <v>43101</v>
      </c>
      <c r="P586" s="1">
        <f t="shared" si="74"/>
        <v>43344</v>
      </c>
      <c r="Q586" s="8">
        <f t="shared" si="75"/>
        <v>0</v>
      </c>
      <c r="R586" s="8">
        <f t="shared" si="76"/>
        <v>9</v>
      </c>
      <c r="S586" s="8">
        <f t="shared" ca="1" si="77"/>
        <v>9</v>
      </c>
      <c r="T586">
        <f t="shared" ca="1" si="78"/>
        <v>7.6389504000000024</v>
      </c>
      <c r="U586" s="8">
        <f t="shared" ca="1" si="79"/>
        <v>1</v>
      </c>
      <c r="V586" s="8">
        <f ca="1">RawData[[#This Row],[Z (smoothed demand size)]]/RawData[[#This Row],[X (smoothed interval)]]</f>
        <v>7.6389504000000024</v>
      </c>
    </row>
    <row r="587" spans="1:22">
      <c r="A587" t="s">
        <v>26</v>
      </c>
      <c r="B587" t="s">
        <v>14</v>
      </c>
      <c r="C587">
        <v>28</v>
      </c>
      <c r="D587" t="s">
        <v>22</v>
      </c>
      <c r="E587" t="s">
        <v>16</v>
      </c>
      <c r="F587" s="1">
        <v>43110</v>
      </c>
      <c r="G587">
        <v>6</v>
      </c>
      <c r="H587">
        <v>6</v>
      </c>
      <c r="I587">
        <v>11</v>
      </c>
      <c r="J587">
        <v>5</v>
      </c>
      <c r="K587">
        <v>0</v>
      </c>
      <c r="L587">
        <v>524</v>
      </c>
      <c r="M587">
        <v>15</v>
      </c>
      <c r="N587" s="1">
        <f t="shared" si="72"/>
        <v>44938</v>
      </c>
      <c r="O587" s="1">
        <f t="shared" si="73"/>
        <v>43101</v>
      </c>
      <c r="P587" s="1">
        <f t="shared" si="74"/>
        <v>43374</v>
      </c>
      <c r="Q587" s="8">
        <f t="shared" si="75"/>
        <v>0</v>
      </c>
      <c r="R587" s="8">
        <f t="shared" si="76"/>
        <v>10</v>
      </c>
      <c r="S587" s="8">
        <f t="shared" ca="1" si="77"/>
        <v>10</v>
      </c>
      <c r="T587">
        <f t="shared" ca="1" si="78"/>
        <v>7.3111603200000026</v>
      </c>
      <c r="U587" s="8">
        <f t="shared" ca="1" si="79"/>
        <v>1</v>
      </c>
      <c r="V587" s="8">
        <f ca="1">RawData[[#This Row],[Z (smoothed demand size)]]/RawData[[#This Row],[X (smoothed interval)]]</f>
        <v>7.3111603200000026</v>
      </c>
    </row>
    <row r="588" spans="1:22">
      <c r="A588" t="s">
        <v>26</v>
      </c>
      <c r="B588" t="s">
        <v>14</v>
      </c>
      <c r="C588">
        <v>28</v>
      </c>
      <c r="D588" t="s">
        <v>22</v>
      </c>
      <c r="E588" t="s">
        <v>16</v>
      </c>
      <c r="F588" s="1">
        <v>43111</v>
      </c>
      <c r="G588">
        <v>10</v>
      </c>
      <c r="H588">
        <v>10</v>
      </c>
      <c r="I588">
        <v>13</v>
      </c>
      <c r="J588">
        <v>3</v>
      </c>
      <c r="K588">
        <v>0</v>
      </c>
      <c r="L588">
        <v>523</v>
      </c>
      <c r="M588">
        <v>30</v>
      </c>
      <c r="N588" s="1">
        <f t="shared" si="72"/>
        <v>44938</v>
      </c>
      <c r="O588" s="1">
        <f t="shared" si="73"/>
        <v>43101</v>
      </c>
      <c r="P588" s="1">
        <f t="shared" si="74"/>
        <v>43405</v>
      </c>
      <c r="Q588" s="8">
        <f t="shared" si="75"/>
        <v>0</v>
      </c>
      <c r="R588" s="8">
        <f t="shared" si="76"/>
        <v>11</v>
      </c>
      <c r="S588" s="8">
        <f t="shared" ca="1" si="77"/>
        <v>11</v>
      </c>
      <c r="T588">
        <f t="shared" ca="1" si="78"/>
        <v>7.8489282560000024</v>
      </c>
      <c r="U588" s="8">
        <f t="shared" ca="1" si="79"/>
        <v>1</v>
      </c>
      <c r="V588" s="8">
        <f ca="1">RawData[[#This Row],[Z (smoothed demand size)]]/RawData[[#This Row],[X (smoothed interval)]]</f>
        <v>7.8489282560000024</v>
      </c>
    </row>
    <row r="589" spans="1:22">
      <c r="A589" t="s">
        <v>26</v>
      </c>
      <c r="B589" t="s">
        <v>14</v>
      </c>
      <c r="C589">
        <v>28</v>
      </c>
      <c r="D589" t="s">
        <v>22</v>
      </c>
      <c r="E589" t="s">
        <v>16</v>
      </c>
      <c r="F589" s="1">
        <v>43112</v>
      </c>
      <c r="G589">
        <v>5</v>
      </c>
      <c r="H589">
        <v>5</v>
      </c>
      <c r="I589">
        <v>12</v>
      </c>
      <c r="J589">
        <v>7</v>
      </c>
      <c r="K589">
        <v>0</v>
      </c>
      <c r="L589">
        <v>600</v>
      </c>
      <c r="M589">
        <v>15</v>
      </c>
      <c r="N589" s="1">
        <f t="shared" si="72"/>
        <v>44938</v>
      </c>
      <c r="O589" s="1">
        <f t="shared" si="73"/>
        <v>43101</v>
      </c>
      <c r="P589" s="1">
        <f t="shared" si="74"/>
        <v>43435</v>
      </c>
      <c r="Q589" s="8">
        <f t="shared" si="75"/>
        <v>0</v>
      </c>
      <c r="R589" s="8">
        <f t="shared" si="76"/>
        <v>12</v>
      </c>
      <c r="S589" s="8">
        <f t="shared" ca="1" si="77"/>
        <v>12</v>
      </c>
      <c r="T589">
        <f t="shared" ca="1" si="78"/>
        <v>7.2791426048000023</v>
      </c>
      <c r="U589" s="8">
        <f t="shared" ca="1" si="79"/>
        <v>1</v>
      </c>
      <c r="V589" s="8">
        <f ca="1">RawData[[#This Row],[Z (smoothed demand size)]]/RawData[[#This Row],[X (smoothed interval)]]</f>
        <v>7.2791426048000023</v>
      </c>
    </row>
    <row r="590" spans="1:22">
      <c r="A590" t="s">
        <v>26</v>
      </c>
      <c r="B590" t="s">
        <v>14</v>
      </c>
      <c r="C590">
        <v>28</v>
      </c>
      <c r="D590" t="s">
        <v>22</v>
      </c>
      <c r="E590" t="s">
        <v>16</v>
      </c>
      <c r="F590" s="1">
        <v>43466</v>
      </c>
      <c r="G590">
        <v>5</v>
      </c>
      <c r="H590">
        <v>5</v>
      </c>
      <c r="I590">
        <v>15</v>
      </c>
      <c r="J590">
        <v>10</v>
      </c>
      <c r="K590">
        <v>0</v>
      </c>
      <c r="L590">
        <v>524</v>
      </c>
      <c r="M590">
        <v>60</v>
      </c>
      <c r="N590" s="1">
        <f t="shared" si="72"/>
        <v>44938</v>
      </c>
      <c r="O590" s="1">
        <f t="shared" si="73"/>
        <v>43101</v>
      </c>
      <c r="P590" s="1">
        <f t="shared" si="74"/>
        <v>43466</v>
      </c>
      <c r="Q590" s="8">
        <f t="shared" si="75"/>
        <v>0</v>
      </c>
      <c r="R590" s="8">
        <f t="shared" si="76"/>
        <v>13</v>
      </c>
      <c r="S590" s="8">
        <f t="shared" ca="1" si="77"/>
        <v>13</v>
      </c>
      <c r="T590">
        <f t="shared" ca="1" si="78"/>
        <v>6.8233140838400024</v>
      </c>
      <c r="U590" s="8">
        <f t="shared" ca="1" si="79"/>
        <v>1</v>
      </c>
      <c r="V590" s="8">
        <f ca="1">RawData[[#This Row],[Z (smoothed demand size)]]/RawData[[#This Row],[X (smoothed interval)]]</f>
        <v>6.8233140838400024</v>
      </c>
    </row>
    <row r="591" spans="1:22">
      <c r="A591" t="s">
        <v>26</v>
      </c>
      <c r="B591" t="s">
        <v>14</v>
      </c>
      <c r="C591">
        <v>28</v>
      </c>
      <c r="D591" t="s">
        <v>22</v>
      </c>
      <c r="E591" t="s">
        <v>16</v>
      </c>
      <c r="F591" s="1">
        <v>43467</v>
      </c>
      <c r="G591">
        <v>3</v>
      </c>
      <c r="H591">
        <v>3</v>
      </c>
      <c r="I591">
        <v>10</v>
      </c>
      <c r="J591">
        <v>7</v>
      </c>
      <c r="K591">
        <v>0</v>
      </c>
      <c r="L591">
        <v>526</v>
      </c>
      <c r="M591">
        <v>15</v>
      </c>
      <c r="N591" s="1">
        <f t="shared" si="72"/>
        <v>44938</v>
      </c>
      <c r="O591" s="1">
        <f t="shared" si="73"/>
        <v>43101</v>
      </c>
      <c r="P591" s="1">
        <f t="shared" si="74"/>
        <v>43497</v>
      </c>
      <c r="Q591" s="8">
        <f t="shared" si="75"/>
        <v>0</v>
      </c>
      <c r="R591" s="8">
        <f t="shared" si="76"/>
        <v>14</v>
      </c>
      <c r="S591" s="8">
        <f t="shared" ca="1" si="77"/>
        <v>14</v>
      </c>
      <c r="T591">
        <f t="shared" ca="1" si="78"/>
        <v>6.058651267072003</v>
      </c>
      <c r="U591" s="8">
        <f t="shared" ca="1" si="79"/>
        <v>1</v>
      </c>
      <c r="V591" s="8">
        <f ca="1">RawData[[#This Row],[Z (smoothed demand size)]]/RawData[[#This Row],[X (smoothed interval)]]</f>
        <v>6.058651267072003</v>
      </c>
    </row>
    <row r="592" spans="1:22">
      <c r="A592" t="s">
        <v>26</v>
      </c>
      <c r="B592" t="s">
        <v>14</v>
      </c>
      <c r="C592">
        <v>28</v>
      </c>
      <c r="D592" t="s">
        <v>22</v>
      </c>
      <c r="E592" t="s">
        <v>16</v>
      </c>
      <c r="F592" s="1">
        <v>43468</v>
      </c>
      <c r="G592">
        <v>10</v>
      </c>
      <c r="H592">
        <v>10</v>
      </c>
      <c r="I592">
        <v>18</v>
      </c>
      <c r="J592">
        <v>8</v>
      </c>
      <c r="K592">
        <v>0</v>
      </c>
      <c r="L592">
        <v>524</v>
      </c>
      <c r="M592">
        <v>45</v>
      </c>
      <c r="N592" s="1">
        <f t="shared" si="72"/>
        <v>44938</v>
      </c>
      <c r="O592" s="1">
        <f t="shared" si="73"/>
        <v>43101</v>
      </c>
      <c r="P592" s="1">
        <f t="shared" si="74"/>
        <v>43525</v>
      </c>
      <c r="Q592" s="8">
        <f t="shared" si="75"/>
        <v>0</v>
      </c>
      <c r="R592" s="8">
        <f t="shared" si="76"/>
        <v>15</v>
      </c>
      <c r="S592" s="8">
        <f t="shared" ca="1" si="77"/>
        <v>15</v>
      </c>
      <c r="T592">
        <f t="shared" ca="1" si="78"/>
        <v>6.8469210136576031</v>
      </c>
      <c r="U592" s="8">
        <f t="shared" ca="1" si="79"/>
        <v>1</v>
      </c>
      <c r="V592" s="8">
        <f ca="1">RawData[[#This Row],[Z (smoothed demand size)]]/RawData[[#This Row],[X (smoothed interval)]]</f>
        <v>6.8469210136576031</v>
      </c>
    </row>
    <row r="593" spans="1:22">
      <c r="A593" t="s">
        <v>26</v>
      </c>
      <c r="B593" t="s">
        <v>14</v>
      </c>
      <c r="C593">
        <v>28</v>
      </c>
      <c r="D593" t="s">
        <v>22</v>
      </c>
      <c r="E593" t="s">
        <v>16</v>
      </c>
      <c r="F593" s="1">
        <v>43469</v>
      </c>
      <c r="G593">
        <v>8</v>
      </c>
      <c r="H593">
        <v>8</v>
      </c>
      <c r="I593">
        <v>8</v>
      </c>
      <c r="J593">
        <v>0</v>
      </c>
      <c r="K593">
        <v>0</v>
      </c>
      <c r="L593">
        <v>524</v>
      </c>
      <c r="M593">
        <v>30</v>
      </c>
      <c r="N593" s="1">
        <f t="shared" si="72"/>
        <v>44938</v>
      </c>
      <c r="O593" s="1">
        <f t="shared" si="73"/>
        <v>43101</v>
      </c>
      <c r="P593" s="1">
        <f t="shared" si="74"/>
        <v>43556</v>
      </c>
      <c r="Q593" s="8">
        <f t="shared" si="75"/>
        <v>0</v>
      </c>
      <c r="R593" s="8">
        <f t="shared" si="76"/>
        <v>16</v>
      </c>
      <c r="S593" s="8">
        <f t="shared" ca="1" si="77"/>
        <v>16</v>
      </c>
      <c r="T593">
        <f t="shared" ca="1" si="78"/>
        <v>7.0775368109260821</v>
      </c>
      <c r="U593" s="8">
        <f t="shared" ca="1" si="79"/>
        <v>1</v>
      </c>
      <c r="V593" s="8">
        <f ca="1">RawData[[#This Row],[Z (smoothed demand size)]]/RawData[[#This Row],[X (smoothed interval)]]</f>
        <v>7.0775368109260821</v>
      </c>
    </row>
    <row r="594" spans="1:22">
      <c r="A594" t="s">
        <v>26</v>
      </c>
      <c r="B594" t="s">
        <v>14</v>
      </c>
      <c r="C594">
        <v>28</v>
      </c>
      <c r="D594" t="s">
        <v>22</v>
      </c>
      <c r="E594" t="s">
        <v>16</v>
      </c>
      <c r="F594" s="1">
        <v>43470</v>
      </c>
      <c r="G594">
        <v>11</v>
      </c>
      <c r="H594">
        <v>7</v>
      </c>
      <c r="I594">
        <v>7</v>
      </c>
      <c r="J594">
        <v>0</v>
      </c>
      <c r="K594">
        <v>1</v>
      </c>
      <c r="L594">
        <v>521</v>
      </c>
      <c r="M594">
        <v>45</v>
      </c>
      <c r="N594" s="1">
        <f t="shared" si="72"/>
        <v>44938</v>
      </c>
      <c r="O594" s="1">
        <f t="shared" si="73"/>
        <v>43101</v>
      </c>
      <c r="P594" s="1">
        <f t="shared" si="74"/>
        <v>43586</v>
      </c>
      <c r="Q594" s="8">
        <f t="shared" si="75"/>
        <v>0</v>
      </c>
      <c r="R594" s="8">
        <f t="shared" si="76"/>
        <v>17</v>
      </c>
      <c r="S594" s="8">
        <f t="shared" ca="1" si="77"/>
        <v>17</v>
      </c>
      <c r="T594">
        <f t="shared" ca="1" si="78"/>
        <v>7.8620294487408664</v>
      </c>
      <c r="U594" s="8">
        <f t="shared" ca="1" si="79"/>
        <v>1</v>
      </c>
      <c r="V594" s="8">
        <f ca="1">RawData[[#This Row],[Z (smoothed demand size)]]/RawData[[#This Row],[X (smoothed interval)]]</f>
        <v>7.8620294487408664</v>
      </c>
    </row>
    <row r="595" spans="1:22">
      <c r="A595" t="s">
        <v>26</v>
      </c>
      <c r="B595" t="s">
        <v>14</v>
      </c>
      <c r="C595">
        <v>28</v>
      </c>
      <c r="D595" t="s">
        <v>22</v>
      </c>
      <c r="E595" t="s">
        <v>16</v>
      </c>
      <c r="F595" s="1">
        <v>43471</v>
      </c>
      <c r="G595">
        <v>10</v>
      </c>
      <c r="H595">
        <v>0</v>
      </c>
      <c r="I595">
        <v>0</v>
      </c>
      <c r="J595">
        <v>0</v>
      </c>
      <c r="K595">
        <v>1</v>
      </c>
      <c r="L595">
        <v>590</v>
      </c>
      <c r="M595">
        <v>30</v>
      </c>
      <c r="N595" s="1">
        <f t="shared" si="72"/>
        <v>44938</v>
      </c>
      <c r="O595" s="1">
        <f t="shared" si="73"/>
        <v>43101</v>
      </c>
      <c r="P595" s="1">
        <f t="shared" si="74"/>
        <v>43617</v>
      </c>
      <c r="Q595" s="8">
        <f t="shared" si="75"/>
        <v>0</v>
      </c>
      <c r="R595" s="8">
        <f t="shared" si="76"/>
        <v>18</v>
      </c>
      <c r="S595" s="8">
        <f t="shared" ca="1" si="77"/>
        <v>18</v>
      </c>
      <c r="T595">
        <f t="shared" ca="1" si="78"/>
        <v>8.2896235589926945</v>
      </c>
      <c r="U595" s="8">
        <f t="shared" ca="1" si="79"/>
        <v>1</v>
      </c>
      <c r="V595" s="8">
        <f ca="1">RawData[[#This Row],[Z (smoothed demand size)]]/RawData[[#This Row],[X (smoothed interval)]]</f>
        <v>8.2896235589926945</v>
      </c>
    </row>
    <row r="596" spans="1:22">
      <c r="A596" t="s">
        <v>26</v>
      </c>
      <c r="B596" t="s">
        <v>14</v>
      </c>
      <c r="C596">
        <v>28</v>
      </c>
      <c r="D596" t="s">
        <v>22</v>
      </c>
      <c r="E596" t="s">
        <v>16</v>
      </c>
      <c r="F596" s="1">
        <v>43472</v>
      </c>
      <c r="G596">
        <v>10</v>
      </c>
      <c r="H596">
        <v>8</v>
      </c>
      <c r="I596">
        <v>8</v>
      </c>
      <c r="J596">
        <v>0</v>
      </c>
      <c r="K596">
        <v>1</v>
      </c>
      <c r="L596">
        <v>605</v>
      </c>
      <c r="M596">
        <v>45</v>
      </c>
      <c r="N596" s="1">
        <f t="shared" si="72"/>
        <v>44938</v>
      </c>
      <c r="O596" s="1">
        <f t="shared" si="73"/>
        <v>43101</v>
      </c>
      <c r="P596" s="1">
        <f t="shared" si="74"/>
        <v>43647</v>
      </c>
      <c r="Q596" s="8">
        <f t="shared" si="75"/>
        <v>0</v>
      </c>
      <c r="R596" s="8">
        <f t="shared" si="76"/>
        <v>19</v>
      </c>
      <c r="S596" s="8">
        <f t="shared" ca="1" si="77"/>
        <v>19</v>
      </c>
      <c r="T596">
        <f t="shared" ca="1" si="78"/>
        <v>8.6316988471941549</v>
      </c>
      <c r="U596" s="8">
        <f t="shared" ca="1" si="79"/>
        <v>1</v>
      </c>
      <c r="V596" s="8">
        <f ca="1">RawData[[#This Row],[Z (smoothed demand size)]]/RawData[[#This Row],[X (smoothed interval)]]</f>
        <v>8.6316988471941549</v>
      </c>
    </row>
    <row r="597" spans="1:22">
      <c r="A597" t="s">
        <v>26</v>
      </c>
      <c r="B597" t="s">
        <v>14</v>
      </c>
      <c r="C597">
        <v>28</v>
      </c>
      <c r="D597" t="s">
        <v>22</v>
      </c>
      <c r="E597" t="s">
        <v>16</v>
      </c>
      <c r="F597" s="1">
        <v>43473</v>
      </c>
      <c r="G597">
        <v>10</v>
      </c>
      <c r="H597">
        <v>0</v>
      </c>
      <c r="I597">
        <v>0</v>
      </c>
      <c r="J597">
        <v>0</v>
      </c>
      <c r="K597">
        <v>1</v>
      </c>
      <c r="L597">
        <v>592</v>
      </c>
      <c r="M597">
        <v>60</v>
      </c>
      <c r="N597" s="1">
        <f t="shared" si="72"/>
        <v>44938</v>
      </c>
      <c r="O597" s="1">
        <f t="shared" si="73"/>
        <v>43101</v>
      </c>
      <c r="P597" s="1">
        <f t="shared" si="74"/>
        <v>43678</v>
      </c>
      <c r="Q597" s="8">
        <f t="shared" si="75"/>
        <v>0</v>
      </c>
      <c r="R597" s="8">
        <f t="shared" si="76"/>
        <v>20</v>
      </c>
      <c r="S597" s="8">
        <f t="shared" ca="1" si="77"/>
        <v>20</v>
      </c>
      <c r="T597">
        <f t="shared" ca="1" si="78"/>
        <v>8.9053590777553246</v>
      </c>
      <c r="U597" s="8">
        <f t="shared" ca="1" si="79"/>
        <v>1</v>
      </c>
      <c r="V597" s="8">
        <f ca="1">RawData[[#This Row],[Z (smoothed demand size)]]/RawData[[#This Row],[X (smoothed interval)]]</f>
        <v>8.9053590777553246</v>
      </c>
    </row>
    <row r="598" spans="1:22">
      <c r="A598" t="s">
        <v>26</v>
      </c>
      <c r="B598" t="s">
        <v>14</v>
      </c>
      <c r="C598">
        <v>28</v>
      </c>
      <c r="D598" t="s">
        <v>22</v>
      </c>
      <c r="E598" t="s">
        <v>16</v>
      </c>
      <c r="F598" s="1">
        <v>43474</v>
      </c>
      <c r="G598">
        <v>8</v>
      </c>
      <c r="H598">
        <v>7</v>
      </c>
      <c r="I598">
        <v>7</v>
      </c>
      <c r="J598">
        <v>0</v>
      </c>
      <c r="K598">
        <v>1</v>
      </c>
      <c r="L598">
        <v>525</v>
      </c>
      <c r="M598">
        <v>30</v>
      </c>
      <c r="N598" s="1">
        <f t="shared" si="72"/>
        <v>44938</v>
      </c>
      <c r="O598" s="1">
        <f t="shared" si="73"/>
        <v>43101</v>
      </c>
      <c r="P598" s="1">
        <f t="shared" si="74"/>
        <v>43709</v>
      </c>
      <c r="Q598" s="8">
        <f t="shared" si="75"/>
        <v>0</v>
      </c>
      <c r="R598" s="8">
        <f t="shared" si="76"/>
        <v>21</v>
      </c>
      <c r="S598" s="8">
        <f t="shared" ca="1" si="77"/>
        <v>21</v>
      </c>
      <c r="T598">
        <f t="shared" ca="1" si="78"/>
        <v>8.7242872622042604</v>
      </c>
      <c r="U598" s="8">
        <f t="shared" ca="1" si="79"/>
        <v>1</v>
      </c>
      <c r="V598" s="8">
        <f ca="1">RawData[[#This Row],[Z (smoothed demand size)]]/RawData[[#This Row],[X (smoothed interval)]]</f>
        <v>8.7242872622042604</v>
      </c>
    </row>
    <row r="599" spans="1:22">
      <c r="A599" t="s">
        <v>26</v>
      </c>
      <c r="B599" t="s">
        <v>14</v>
      </c>
      <c r="C599">
        <v>28</v>
      </c>
      <c r="D599" t="s">
        <v>22</v>
      </c>
      <c r="E599" t="s">
        <v>16</v>
      </c>
      <c r="F599" s="1">
        <v>43475</v>
      </c>
      <c r="G599">
        <v>6</v>
      </c>
      <c r="H599">
        <v>6</v>
      </c>
      <c r="I599">
        <v>9</v>
      </c>
      <c r="J599">
        <v>3</v>
      </c>
      <c r="K599">
        <v>0</v>
      </c>
      <c r="L599">
        <v>525</v>
      </c>
      <c r="M599">
        <v>15</v>
      </c>
      <c r="N599" s="1">
        <f t="shared" si="72"/>
        <v>44938</v>
      </c>
      <c r="O599" s="1">
        <f t="shared" si="73"/>
        <v>43101</v>
      </c>
      <c r="P599" s="1">
        <f t="shared" si="74"/>
        <v>43739</v>
      </c>
      <c r="Q599" s="8">
        <f t="shared" si="75"/>
        <v>0</v>
      </c>
      <c r="R599" s="8">
        <f t="shared" si="76"/>
        <v>22</v>
      </c>
      <c r="S599" s="8">
        <f t="shared" ca="1" si="77"/>
        <v>22</v>
      </c>
      <c r="T599">
        <f t="shared" ca="1" si="78"/>
        <v>8.1794298097634091</v>
      </c>
      <c r="U599" s="8">
        <f t="shared" ca="1" si="79"/>
        <v>1</v>
      </c>
      <c r="V599" s="8">
        <f ca="1">RawData[[#This Row],[Z (smoothed demand size)]]/RawData[[#This Row],[X (smoothed interval)]]</f>
        <v>8.1794298097634091</v>
      </c>
    </row>
    <row r="600" spans="1:22">
      <c r="A600" t="s">
        <v>26</v>
      </c>
      <c r="B600" t="s">
        <v>14</v>
      </c>
      <c r="C600">
        <v>28</v>
      </c>
      <c r="D600" t="s">
        <v>22</v>
      </c>
      <c r="E600" t="s">
        <v>16</v>
      </c>
      <c r="F600" s="1">
        <v>43476</v>
      </c>
      <c r="G600">
        <v>10</v>
      </c>
      <c r="H600">
        <v>10</v>
      </c>
      <c r="I600">
        <v>15</v>
      </c>
      <c r="J600">
        <v>5</v>
      </c>
      <c r="K600">
        <v>0</v>
      </c>
      <c r="L600">
        <v>515</v>
      </c>
      <c r="M600">
        <v>15</v>
      </c>
      <c r="N600" s="1">
        <f t="shared" si="72"/>
        <v>44938</v>
      </c>
      <c r="O600" s="1">
        <f t="shared" si="73"/>
        <v>43101</v>
      </c>
      <c r="P600" s="1">
        <f t="shared" si="74"/>
        <v>43770</v>
      </c>
      <c r="Q600" s="8">
        <f t="shared" si="75"/>
        <v>0</v>
      </c>
      <c r="R600" s="8">
        <f t="shared" si="76"/>
        <v>23</v>
      </c>
      <c r="S600" s="8">
        <f t="shared" ca="1" si="77"/>
        <v>23</v>
      </c>
      <c r="T600">
        <f t="shared" ca="1" si="78"/>
        <v>8.543543847810728</v>
      </c>
      <c r="U600" s="8">
        <f t="shared" ca="1" si="79"/>
        <v>1</v>
      </c>
      <c r="V600" s="8">
        <f ca="1">RawData[[#This Row],[Z (smoothed demand size)]]/RawData[[#This Row],[X (smoothed interval)]]</f>
        <v>8.543543847810728</v>
      </c>
    </row>
    <row r="601" spans="1:22">
      <c r="A601" t="s">
        <v>26</v>
      </c>
      <c r="B601" t="s">
        <v>14</v>
      </c>
      <c r="C601">
        <v>28</v>
      </c>
      <c r="D601" t="s">
        <v>22</v>
      </c>
      <c r="E601" t="s">
        <v>16</v>
      </c>
      <c r="F601" s="1">
        <v>43477</v>
      </c>
      <c r="G601">
        <v>18</v>
      </c>
      <c r="H601">
        <v>16</v>
      </c>
      <c r="I601">
        <v>16</v>
      </c>
      <c r="J601">
        <v>0</v>
      </c>
      <c r="K601">
        <v>1</v>
      </c>
      <c r="L601">
        <v>596</v>
      </c>
      <c r="M601">
        <v>30</v>
      </c>
      <c r="N601" s="1">
        <f t="shared" si="72"/>
        <v>44938</v>
      </c>
      <c r="O601" s="1">
        <f t="shared" si="73"/>
        <v>43101</v>
      </c>
      <c r="P601" s="1">
        <f t="shared" si="74"/>
        <v>43800</v>
      </c>
      <c r="Q601" s="8">
        <f t="shared" si="75"/>
        <v>0</v>
      </c>
      <c r="R601" s="8">
        <f t="shared" si="76"/>
        <v>24</v>
      </c>
      <c r="S601" s="8">
        <f t="shared" ca="1" si="77"/>
        <v>24</v>
      </c>
      <c r="T601">
        <f t="shared" ca="1" si="78"/>
        <v>10.434835078248582</v>
      </c>
      <c r="U601" s="8">
        <f t="shared" ca="1" si="79"/>
        <v>1</v>
      </c>
      <c r="V601" s="8">
        <f ca="1">RawData[[#This Row],[Z (smoothed demand size)]]/RawData[[#This Row],[X (smoothed interval)]]</f>
        <v>10.434835078248582</v>
      </c>
    </row>
    <row r="602" spans="1:22">
      <c r="A602" t="s">
        <v>26</v>
      </c>
      <c r="B602" t="s">
        <v>14</v>
      </c>
      <c r="C602">
        <v>28</v>
      </c>
      <c r="D602" t="s">
        <v>22</v>
      </c>
      <c r="E602" t="s">
        <v>16</v>
      </c>
      <c r="F602" s="1">
        <v>43831</v>
      </c>
      <c r="G602">
        <v>6</v>
      </c>
      <c r="H602">
        <v>6</v>
      </c>
      <c r="I602">
        <v>7</v>
      </c>
      <c r="J602">
        <v>1</v>
      </c>
      <c r="K602">
        <v>0</v>
      </c>
      <c r="L602">
        <v>531</v>
      </c>
      <c r="M602">
        <v>30</v>
      </c>
      <c r="N602" s="1">
        <f t="shared" si="72"/>
        <v>44938</v>
      </c>
      <c r="O602" s="1">
        <f t="shared" si="73"/>
        <v>43101</v>
      </c>
      <c r="P602" s="1">
        <f t="shared" si="74"/>
        <v>43831</v>
      </c>
      <c r="Q602" s="8">
        <f t="shared" si="75"/>
        <v>0</v>
      </c>
      <c r="R602" s="8">
        <f t="shared" si="76"/>
        <v>25</v>
      </c>
      <c r="S602" s="8">
        <f t="shared" ca="1" si="77"/>
        <v>25</v>
      </c>
      <c r="T602">
        <f t="shared" ca="1" si="78"/>
        <v>9.5478680625988659</v>
      </c>
      <c r="U602" s="8">
        <f t="shared" ca="1" si="79"/>
        <v>1</v>
      </c>
      <c r="V602" s="8">
        <f ca="1">RawData[[#This Row],[Z (smoothed demand size)]]/RawData[[#This Row],[X (smoothed interval)]]</f>
        <v>9.5478680625988659</v>
      </c>
    </row>
    <row r="603" spans="1:22">
      <c r="A603" t="s">
        <v>26</v>
      </c>
      <c r="B603" t="s">
        <v>14</v>
      </c>
      <c r="C603">
        <v>28</v>
      </c>
      <c r="D603" t="s">
        <v>22</v>
      </c>
      <c r="E603" t="s">
        <v>16</v>
      </c>
      <c r="F603" s="1">
        <v>43832</v>
      </c>
      <c r="G603">
        <v>5</v>
      </c>
      <c r="H603">
        <v>5</v>
      </c>
      <c r="I603">
        <v>11</v>
      </c>
      <c r="J603">
        <v>6</v>
      </c>
      <c r="K603">
        <v>0</v>
      </c>
      <c r="L603">
        <v>519</v>
      </c>
      <c r="M603">
        <v>30</v>
      </c>
      <c r="N603" s="1">
        <f t="shared" si="72"/>
        <v>44938</v>
      </c>
      <c r="O603" s="1">
        <f t="shared" si="73"/>
        <v>43101</v>
      </c>
      <c r="P603" s="1">
        <f t="shared" si="74"/>
        <v>43862</v>
      </c>
      <c r="Q603" s="8">
        <f t="shared" si="75"/>
        <v>0</v>
      </c>
      <c r="R603" s="8">
        <f t="shared" si="76"/>
        <v>26</v>
      </c>
      <c r="S603" s="8">
        <f t="shared" ca="1" si="77"/>
        <v>26</v>
      </c>
      <c r="T603">
        <f t="shared" ca="1" si="78"/>
        <v>8.6382944500790941</v>
      </c>
      <c r="U603" s="8">
        <f t="shared" ca="1" si="79"/>
        <v>1</v>
      </c>
      <c r="V603" s="8">
        <f ca="1">RawData[[#This Row],[Z (smoothed demand size)]]/RawData[[#This Row],[X (smoothed interval)]]</f>
        <v>8.6382944500790941</v>
      </c>
    </row>
    <row r="604" spans="1:22">
      <c r="A604" t="s">
        <v>26</v>
      </c>
      <c r="B604" t="s">
        <v>14</v>
      </c>
      <c r="C604">
        <v>28</v>
      </c>
      <c r="D604" t="s">
        <v>22</v>
      </c>
      <c r="E604" t="s">
        <v>16</v>
      </c>
      <c r="F604" s="1">
        <v>43833</v>
      </c>
      <c r="G604">
        <v>12</v>
      </c>
      <c r="H604">
        <v>12</v>
      </c>
      <c r="I604">
        <v>18</v>
      </c>
      <c r="J604">
        <v>6</v>
      </c>
      <c r="K604">
        <v>0</v>
      </c>
      <c r="L604">
        <v>514</v>
      </c>
      <c r="M604">
        <v>45</v>
      </c>
      <c r="N604" s="1">
        <f t="shared" si="72"/>
        <v>44938</v>
      </c>
      <c r="O604" s="1">
        <f t="shared" si="73"/>
        <v>43101</v>
      </c>
      <c r="P604" s="1">
        <f t="shared" si="74"/>
        <v>43891</v>
      </c>
      <c r="Q604" s="8">
        <f t="shared" si="75"/>
        <v>0</v>
      </c>
      <c r="R604" s="8">
        <f t="shared" si="76"/>
        <v>27</v>
      </c>
      <c r="S604" s="8">
        <f t="shared" ca="1" si="77"/>
        <v>27</v>
      </c>
      <c r="T604">
        <f t="shared" ca="1" si="78"/>
        <v>9.3106355600632753</v>
      </c>
      <c r="U604" s="8">
        <f t="shared" ca="1" si="79"/>
        <v>1</v>
      </c>
      <c r="V604" s="8">
        <f ca="1">RawData[[#This Row],[Z (smoothed demand size)]]/RawData[[#This Row],[X (smoothed interval)]]</f>
        <v>9.3106355600632753</v>
      </c>
    </row>
    <row r="605" spans="1:22">
      <c r="A605" t="s">
        <v>26</v>
      </c>
      <c r="B605" t="s">
        <v>14</v>
      </c>
      <c r="C605">
        <v>28</v>
      </c>
      <c r="D605" t="s">
        <v>22</v>
      </c>
      <c r="E605" t="s">
        <v>16</v>
      </c>
      <c r="F605" s="1">
        <v>43834</v>
      </c>
      <c r="G605">
        <v>5</v>
      </c>
      <c r="H605">
        <v>5</v>
      </c>
      <c r="I605">
        <v>6</v>
      </c>
      <c r="J605">
        <v>1</v>
      </c>
      <c r="K605">
        <v>0</v>
      </c>
      <c r="L605">
        <v>524</v>
      </c>
      <c r="M605">
        <v>30</v>
      </c>
      <c r="N605" s="1">
        <f t="shared" si="72"/>
        <v>44938</v>
      </c>
      <c r="O605" s="1">
        <f t="shared" si="73"/>
        <v>43101</v>
      </c>
      <c r="P605" s="1">
        <f t="shared" si="74"/>
        <v>43922</v>
      </c>
      <c r="Q605" s="8">
        <f t="shared" si="75"/>
        <v>0</v>
      </c>
      <c r="R605" s="8">
        <f t="shared" si="76"/>
        <v>28</v>
      </c>
      <c r="S605" s="8">
        <f t="shared" ca="1" si="77"/>
        <v>28</v>
      </c>
      <c r="T605">
        <f t="shared" ca="1" si="78"/>
        <v>8.448508448050621</v>
      </c>
      <c r="U605" s="8">
        <f t="shared" ca="1" si="79"/>
        <v>1</v>
      </c>
      <c r="V605" s="8">
        <f ca="1">RawData[[#This Row],[Z (smoothed demand size)]]/RawData[[#This Row],[X (smoothed interval)]]</f>
        <v>8.448508448050621</v>
      </c>
    </row>
    <row r="606" spans="1:22">
      <c r="A606" t="s">
        <v>26</v>
      </c>
      <c r="B606" t="s">
        <v>14</v>
      </c>
      <c r="C606">
        <v>28</v>
      </c>
      <c r="D606" t="s">
        <v>22</v>
      </c>
      <c r="E606" t="s">
        <v>16</v>
      </c>
      <c r="F606" s="1">
        <v>43835</v>
      </c>
      <c r="G606">
        <v>9</v>
      </c>
      <c r="H606">
        <v>9</v>
      </c>
      <c r="I606">
        <v>12</v>
      </c>
      <c r="J606">
        <v>3</v>
      </c>
      <c r="K606">
        <v>0</v>
      </c>
      <c r="L606">
        <v>516</v>
      </c>
      <c r="M606">
        <v>15</v>
      </c>
      <c r="N606" s="1">
        <f t="shared" si="72"/>
        <v>44938</v>
      </c>
      <c r="O606" s="1">
        <f t="shared" si="73"/>
        <v>43101</v>
      </c>
      <c r="P606" s="1">
        <f t="shared" si="74"/>
        <v>43952</v>
      </c>
      <c r="Q606" s="8">
        <f t="shared" si="75"/>
        <v>0</v>
      </c>
      <c r="R606" s="8">
        <f t="shared" si="76"/>
        <v>29</v>
      </c>
      <c r="S606" s="8">
        <f t="shared" ca="1" si="77"/>
        <v>29</v>
      </c>
      <c r="T606">
        <f t="shared" ca="1" si="78"/>
        <v>8.5588067584404968</v>
      </c>
      <c r="U606" s="8">
        <f t="shared" ca="1" si="79"/>
        <v>1</v>
      </c>
      <c r="V606" s="8">
        <f ca="1">RawData[[#This Row],[Z (smoothed demand size)]]/RawData[[#This Row],[X (smoothed interval)]]</f>
        <v>8.5588067584404968</v>
      </c>
    </row>
    <row r="607" spans="1:22">
      <c r="A607" t="s">
        <v>26</v>
      </c>
      <c r="B607" t="s">
        <v>14</v>
      </c>
      <c r="C607">
        <v>28</v>
      </c>
      <c r="D607" t="s">
        <v>22</v>
      </c>
      <c r="E607" t="s">
        <v>16</v>
      </c>
      <c r="F607" s="1">
        <v>43836</v>
      </c>
      <c r="G607">
        <v>8</v>
      </c>
      <c r="H607">
        <v>8</v>
      </c>
      <c r="I607">
        <v>12</v>
      </c>
      <c r="J607">
        <v>4</v>
      </c>
      <c r="K607">
        <v>0</v>
      </c>
      <c r="L607">
        <v>586</v>
      </c>
      <c r="M607">
        <v>45</v>
      </c>
      <c r="N607" s="1">
        <f t="shared" si="72"/>
        <v>44938</v>
      </c>
      <c r="O607" s="1">
        <f t="shared" si="73"/>
        <v>43101</v>
      </c>
      <c r="P607" s="1">
        <f t="shared" si="74"/>
        <v>43983</v>
      </c>
      <c r="Q607" s="8">
        <f t="shared" si="75"/>
        <v>0</v>
      </c>
      <c r="R607" s="8">
        <f t="shared" si="76"/>
        <v>30</v>
      </c>
      <c r="S607" s="8">
        <f t="shared" ca="1" si="77"/>
        <v>30</v>
      </c>
      <c r="T607">
        <f t="shared" ca="1" si="78"/>
        <v>8.4470454067523981</v>
      </c>
      <c r="U607" s="8">
        <f t="shared" ca="1" si="79"/>
        <v>1</v>
      </c>
      <c r="V607" s="8">
        <f ca="1">RawData[[#This Row],[Z (smoothed demand size)]]/RawData[[#This Row],[X (smoothed interval)]]</f>
        <v>8.4470454067523981</v>
      </c>
    </row>
    <row r="608" spans="1:22">
      <c r="A608" t="s">
        <v>26</v>
      </c>
      <c r="B608" t="s">
        <v>14</v>
      </c>
      <c r="C608">
        <v>28</v>
      </c>
      <c r="D608" t="s">
        <v>22</v>
      </c>
      <c r="E608" t="s">
        <v>16</v>
      </c>
      <c r="F608" s="1">
        <v>43837</v>
      </c>
      <c r="G608">
        <v>14</v>
      </c>
      <c r="H608">
        <v>4</v>
      </c>
      <c r="I608">
        <v>4</v>
      </c>
      <c r="J608">
        <v>0</v>
      </c>
      <c r="K608">
        <v>1</v>
      </c>
      <c r="L608">
        <v>601</v>
      </c>
      <c r="M608">
        <v>60</v>
      </c>
      <c r="N608" s="1">
        <f t="shared" si="72"/>
        <v>44938</v>
      </c>
      <c r="O608" s="1">
        <f t="shared" si="73"/>
        <v>43101</v>
      </c>
      <c r="P608" s="1">
        <f t="shared" si="74"/>
        <v>44013</v>
      </c>
      <c r="Q608" s="8">
        <f t="shared" si="75"/>
        <v>0</v>
      </c>
      <c r="R608" s="8">
        <f t="shared" si="76"/>
        <v>31</v>
      </c>
      <c r="S608" s="8">
        <f t="shared" ca="1" si="77"/>
        <v>31</v>
      </c>
      <c r="T608">
        <f t="shared" ca="1" si="78"/>
        <v>9.5576363254019192</v>
      </c>
      <c r="U608" s="8">
        <f t="shared" ca="1" si="79"/>
        <v>1</v>
      </c>
      <c r="V608" s="8">
        <f ca="1">RawData[[#This Row],[Z (smoothed demand size)]]/RawData[[#This Row],[X (smoothed interval)]]</f>
        <v>9.5576363254019192</v>
      </c>
    </row>
    <row r="609" spans="1:22">
      <c r="A609" t="s">
        <v>26</v>
      </c>
      <c r="B609" t="s">
        <v>14</v>
      </c>
      <c r="C609">
        <v>28</v>
      </c>
      <c r="D609" t="s">
        <v>22</v>
      </c>
      <c r="E609" t="s">
        <v>16</v>
      </c>
      <c r="F609" s="1">
        <v>43838</v>
      </c>
      <c r="G609">
        <v>11</v>
      </c>
      <c r="H609">
        <v>9</v>
      </c>
      <c r="I609">
        <v>9</v>
      </c>
      <c r="J609">
        <v>0</v>
      </c>
      <c r="K609">
        <v>1</v>
      </c>
      <c r="L609">
        <v>592</v>
      </c>
      <c r="M609">
        <v>60</v>
      </c>
      <c r="N609" s="1">
        <f t="shared" si="72"/>
        <v>44938</v>
      </c>
      <c r="O609" s="1">
        <f t="shared" si="73"/>
        <v>43101</v>
      </c>
      <c r="P609" s="1">
        <f t="shared" si="74"/>
        <v>44044</v>
      </c>
      <c r="Q609" s="8">
        <f t="shared" si="75"/>
        <v>0</v>
      </c>
      <c r="R609" s="8">
        <f t="shared" si="76"/>
        <v>32</v>
      </c>
      <c r="S609" s="8">
        <f t="shared" ca="1" si="77"/>
        <v>32</v>
      </c>
      <c r="T609">
        <f t="shared" ca="1" si="78"/>
        <v>9.8461090603215347</v>
      </c>
      <c r="U609" s="8">
        <f t="shared" ca="1" si="79"/>
        <v>1</v>
      </c>
      <c r="V609" s="8">
        <f ca="1">RawData[[#This Row],[Z (smoothed demand size)]]/RawData[[#This Row],[X (smoothed interval)]]</f>
        <v>9.8461090603215347</v>
      </c>
    </row>
    <row r="610" spans="1:22">
      <c r="A610" t="s">
        <v>26</v>
      </c>
      <c r="B610" t="s">
        <v>14</v>
      </c>
      <c r="C610">
        <v>28</v>
      </c>
      <c r="D610" t="s">
        <v>22</v>
      </c>
      <c r="E610" t="s">
        <v>16</v>
      </c>
      <c r="F610" s="1">
        <v>43839</v>
      </c>
      <c r="G610">
        <v>9</v>
      </c>
      <c r="H610">
        <v>0</v>
      </c>
      <c r="I610">
        <v>0</v>
      </c>
      <c r="J610">
        <v>0</v>
      </c>
      <c r="K610">
        <v>1</v>
      </c>
      <c r="L610">
        <v>522</v>
      </c>
      <c r="M610">
        <v>15</v>
      </c>
      <c r="N610" s="1">
        <f t="shared" si="72"/>
        <v>44938</v>
      </c>
      <c r="O610" s="1">
        <f t="shared" si="73"/>
        <v>43101</v>
      </c>
      <c r="P610" s="1">
        <f t="shared" si="74"/>
        <v>44075</v>
      </c>
      <c r="Q610" s="8">
        <f t="shared" si="75"/>
        <v>0</v>
      </c>
      <c r="R610" s="8">
        <f t="shared" si="76"/>
        <v>33</v>
      </c>
      <c r="S610" s="8">
        <f t="shared" ca="1" si="77"/>
        <v>33</v>
      </c>
      <c r="T610">
        <f t="shared" ca="1" si="78"/>
        <v>9.6768872482572288</v>
      </c>
      <c r="U610" s="8">
        <f t="shared" ca="1" si="79"/>
        <v>1</v>
      </c>
      <c r="V610" s="8">
        <f ca="1">RawData[[#This Row],[Z (smoothed demand size)]]/RawData[[#This Row],[X (smoothed interval)]]</f>
        <v>9.6768872482572288</v>
      </c>
    </row>
    <row r="611" spans="1:22">
      <c r="A611" t="s">
        <v>26</v>
      </c>
      <c r="B611" t="s">
        <v>14</v>
      </c>
      <c r="C611">
        <v>28</v>
      </c>
      <c r="D611" t="s">
        <v>22</v>
      </c>
      <c r="E611" t="s">
        <v>16</v>
      </c>
      <c r="F611" s="1">
        <v>43840</v>
      </c>
      <c r="G611">
        <v>12</v>
      </c>
      <c r="H611">
        <v>7</v>
      </c>
      <c r="I611">
        <v>7</v>
      </c>
      <c r="J611">
        <v>0</v>
      </c>
      <c r="K611">
        <v>1</v>
      </c>
      <c r="L611">
        <v>516</v>
      </c>
      <c r="M611">
        <v>30</v>
      </c>
      <c r="N611" s="1">
        <f t="shared" si="72"/>
        <v>44938</v>
      </c>
      <c r="O611" s="1">
        <f t="shared" si="73"/>
        <v>43101</v>
      </c>
      <c r="P611" s="1">
        <f t="shared" si="74"/>
        <v>44105</v>
      </c>
      <c r="Q611" s="8">
        <f t="shared" si="75"/>
        <v>0</v>
      </c>
      <c r="R611" s="8">
        <f t="shared" si="76"/>
        <v>34</v>
      </c>
      <c r="S611" s="8">
        <f t="shared" ca="1" si="77"/>
        <v>34</v>
      </c>
      <c r="T611">
        <f t="shared" ca="1" si="78"/>
        <v>10.141509798605783</v>
      </c>
      <c r="U611" s="8">
        <f t="shared" ca="1" si="79"/>
        <v>1</v>
      </c>
      <c r="V611" s="8">
        <f ca="1">RawData[[#This Row],[Z (smoothed demand size)]]/RawData[[#This Row],[X (smoothed interval)]]</f>
        <v>10.141509798605783</v>
      </c>
    </row>
    <row r="612" spans="1:22">
      <c r="A612" t="s">
        <v>26</v>
      </c>
      <c r="B612" t="s">
        <v>14</v>
      </c>
      <c r="C612">
        <v>28</v>
      </c>
      <c r="D612" t="s">
        <v>22</v>
      </c>
      <c r="E612" t="s">
        <v>16</v>
      </c>
      <c r="F612" s="1">
        <v>43841</v>
      </c>
      <c r="G612">
        <v>8</v>
      </c>
      <c r="H612">
        <v>8</v>
      </c>
      <c r="I612">
        <v>10</v>
      </c>
      <c r="J612">
        <v>2</v>
      </c>
      <c r="K612">
        <v>0</v>
      </c>
      <c r="L612">
        <v>524</v>
      </c>
      <c r="M612">
        <v>15</v>
      </c>
      <c r="N612" s="1">
        <f t="shared" si="72"/>
        <v>44938</v>
      </c>
      <c r="O612" s="1">
        <f t="shared" si="73"/>
        <v>43101</v>
      </c>
      <c r="P612" s="1">
        <f t="shared" si="74"/>
        <v>44136</v>
      </c>
      <c r="Q612" s="8">
        <f t="shared" si="75"/>
        <v>0</v>
      </c>
      <c r="R612" s="8">
        <f t="shared" si="76"/>
        <v>35</v>
      </c>
      <c r="S612" s="8">
        <f t="shared" ca="1" si="77"/>
        <v>35</v>
      </c>
      <c r="T612">
        <f t="shared" ca="1" si="78"/>
        <v>9.7132078388846264</v>
      </c>
      <c r="U612" s="8">
        <f t="shared" ca="1" si="79"/>
        <v>1</v>
      </c>
      <c r="V612" s="8">
        <f ca="1">RawData[[#This Row],[Z (smoothed demand size)]]/RawData[[#This Row],[X (smoothed interval)]]</f>
        <v>9.7132078388846264</v>
      </c>
    </row>
    <row r="613" spans="1:22">
      <c r="A613" t="s">
        <v>26</v>
      </c>
      <c r="B613" t="s">
        <v>14</v>
      </c>
      <c r="C613">
        <v>28</v>
      </c>
      <c r="D613" t="s">
        <v>22</v>
      </c>
      <c r="E613" t="s">
        <v>16</v>
      </c>
      <c r="F613" s="1">
        <v>43842</v>
      </c>
      <c r="G613">
        <v>9</v>
      </c>
      <c r="H613">
        <v>9</v>
      </c>
      <c r="I613">
        <v>10</v>
      </c>
      <c r="J613">
        <v>1</v>
      </c>
      <c r="K613">
        <v>0</v>
      </c>
      <c r="L613">
        <v>599</v>
      </c>
      <c r="M613">
        <v>30</v>
      </c>
      <c r="N613" s="1">
        <f t="shared" si="72"/>
        <v>44938</v>
      </c>
      <c r="O613" s="1">
        <f t="shared" si="73"/>
        <v>43101</v>
      </c>
      <c r="P613" s="1">
        <f t="shared" si="74"/>
        <v>44166</v>
      </c>
      <c r="Q613" s="8">
        <f t="shared" si="75"/>
        <v>0</v>
      </c>
      <c r="R613" s="8">
        <f t="shared" si="76"/>
        <v>36</v>
      </c>
      <c r="S613" s="8">
        <f t="shared" ca="1" si="77"/>
        <v>36</v>
      </c>
      <c r="T613">
        <f t="shared" ca="1" si="78"/>
        <v>9.5705662711077011</v>
      </c>
      <c r="U613" s="8">
        <f t="shared" ca="1" si="79"/>
        <v>1</v>
      </c>
      <c r="V613" s="8">
        <f ca="1">RawData[[#This Row],[Z (smoothed demand size)]]/RawData[[#This Row],[X (smoothed interval)]]</f>
        <v>9.5705662711077011</v>
      </c>
    </row>
    <row r="614" spans="1:22">
      <c r="A614" t="s">
        <v>26</v>
      </c>
      <c r="B614" t="s">
        <v>14</v>
      </c>
      <c r="C614">
        <v>28</v>
      </c>
      <c r="D614" t="s">
        <v>22</v>
      </c>
      <c r="E614" t="s">
        <v>16</v>
      </c>
      <c r="F614" s="1">
        <v>44197</v>
      </c>
      <c r="G614">
        <v>10</v>
      </c>
      <c r="H614">
        <v>10</v>
      </c>
      <c r="I614">
        <v>10</v>
      </c>
      <c r="J614">
        <v>0</v>
      </c>
      <c r="K614">
        <v>0</v>
      </c>
      <c r="L614">
        <v>505</v>
      </c>
      <c r="M614">
        <v>60</v>
      </c>
      <c r="N614" s="1">
        <f t="shared" si="72"/>
        <v>44938</v>
      </c>
      <c r="O614" s="1">
        <f t="shared" si="73"/>
        <v>43101</v>
      </c>
      <c r="P614" s="1">
        <f t="shared" si="74"/>
        <v>44197</v>
      </c>
      <c r="Q614" s="8">
        <f t="shared" si="75"/>
        <v>0</v>
      </c>
      <c r="R614" s="8">
        <f t="shared" si="76"/>
        <v>37</v>
      </c>
      <c r="S614" s="8">
        <f t="shared" ca="1" si="77"/>
        <v>37</v>
      </c>
      <c r="T614">
        <f t="shared" ca="1" si="78"/>
        <v>9.6564530168861609</v>
      </c>
      <c r="U614" s="8">
        <f t="shared" ca="1" si="79"/>
        <v>1</v>
      </c>
      <c r="V614" s="8">
        <f ca="1">RawData[[#This Row],[Z (smoothed demand size)]]/RawData[[#This Row],[X (smoothed interval)]]</f>
        <v>9.6564530168861609</v>
      </c>
    </row>
    <row r="615" spans="1:22">
      <c r="A615" t="s">
        <v>26</v>
      </c>
      <c r="B615" t="s">
        <v>14</v>
      </c>
      <c r="C615">
        <v>28</v>
      </c>
      <c r="D615" t="s">
        <v>22</v>
      </c>
      <c r="E615" t="s">
        <v>16</v>
      </c>
      <c r="F615" s="1">
        <v>44198</v>
      </c>
      <c r="G615">
        <v>4</v>
      </c>
      <c r="H615">
        <v>0</v>
      </c>
      <c r="I615">
        <v>0</v>
      </c>
      <c r="J615">
        <v>0</v>
      </c>
      <c r="K615">
        <v>1</v>
      </c>
      <c r="L615">
        <v>520</v>
      </c>
      <c r="M615">
        <v>60</v>
      </c>
      <c r="N615" s="1">
        <f t="shared" si="72"/>
        <v>44938</v>
      </c>
      <c r="O615" s="1">
        <f t="shared" si="73"/>
        <v>43101</v>
      </c>
      <c r="P615" s="1">
        <f t="shared" si="74"/>
        <v>44228</v>
      </c>
      <c r="Q615" s="8">
        <f t="shared" si="75"/>
        <v>0</v>
      </c>
      <c r="R615" s="8">
        <f t="shared" si="76"/>
        <v>38</v>
      </c>
      <c r="S615" s="8">
        <f t="shared" ca="1" si="77"/>
        <v>38</v>
      </c>
      <c r="T615">
        <f t="shared" ca="1" si="78"/>
        <v>8.5251624135089301</v>
      </c>
      <c r="U615" s="8">
        <f t="shared" ca="1" si="79"/>
        <v>1</v>
      </c>
      <c r="V615" s="8">
        <f ca="1">RawData[[#This Row],[Z (smoothed demand size)]]/RawData[[#This Row],[X (smoothed interval)]]</f>
        <v>8.5251624135089301</v>
      </c>
    </row>
    <row r="616" spans="1:22">
      <c r="A616" t="s">
        <v>26</v>
      </c>
      <c r="B616" t="s">
        <v>14</v>
      </c>
      <c r="C616">
        <v>28</v>
      </c>
      <c r="D616" t="s">
        <v>22</v>
      </c>
      <c r="E616" t="s">
        <v>16</v>
      </c>
      <c r="F616" s="1">
        <v>44199</v>
      </c>
      <c r="G616">
        <v>4</v>
      </c>
      <c r="H616">
        <v>4</v>
      </c>
      <c r="I616">
        <v>10</v>
      </c>
      <c r="J616">
        <v>6</v>
      </c>
      <c r="K616">
        <v>0</v>
      </c>
      <c r="L616">
        <v>517</v>
      </c>
      <c r="M616">
        <v>60</v>
      </c>
      <c r="N616" s="1">
        <f t="shared" si="72"/>
        <v>44938</v>
      </c>
      <c r="O616" s="1">
        <f t="shared" si="73"/>
        <v>43101</v>
      </c>
      <c r="P616" s="1">
        <f t="shared" si="74"/>
        <v>44256</v>
      </c>
      <c r="Q616" s="8">
        <f t="shared" si="75"/>
        <v>0</v>
      </c>
      <c r="R616" s="8">
        <f t="shared" si="76"/>
        <v>39</v>
      </c>
      <c r="S616" s="8">
        <f t="shared" ca="1" si="77"/>
        <v>39</v>
      </c>
      <c r="T616">
        <f t="shared" ca="1" si="78"/>
        <v>7.6201299308071446</v>
      </c>
      <c r="U616" s="8">
        <f t="shared" ca="1" si="79"/>
        <v>1</v>
      </c>
      <c r="V616" s="8">
        <f ca="1">RawData[[#This Row],[Z (smoothed demand size)]]/RawData[[#This Row],[X (smoothed interval)]]</f>
        <v>7.6201299308071446</v>
      </c>
    </row>
    <row r="617" spans="1:22">
      <c r="A617" t="s">
        <v>26</v>
      </c>
      <c r="B617" t="s">
        <v>14</v>
      </c>
      <c r="C617">
        <v>28</v>
      </c>
      <c r="D617" t="s">
        <v>22</v>
      </c>
      <c r="E617" t="s">
        <v>16</v>
      </c>
      <c r="F617" s="1">
        <v>44200</v>
      </c>
      <c r="G617">
        <v>10</v>
      </c>
      <c r="H617">
        <v>6</v>
      </c>
      <c r="I617">
        <v>6</v>
      </c>
      <c r="J617">
        <v>0</v>
      </c>
      <c r="K617">
        <v>1</v>
      </c>
      <c r="L617">
        <v>526</v>
      </c>
      <c r="M617">
        <v>60</v>
      </c>
      <c r="N617" s="1">
        <f t="shared" si="72"/>
        <v>44938</v>
      </c>
      <c r="O617" s="1">
        <f t="shared" si="73"/>
        <v>43101</v>
      </c>
      <c r="P617" s="1">
        <f t="shared" si="74"/>
        <v>44287</v>
      </c>
      <c r="Q617" s="8">
        <f t="shared" si="75"/>
        <v>0</v>
      </c>
      <c r="R617" s="8">
        <f t="shared" si="76"/>
        <v>40</v>
      </c>
      <c r="S617" s="8">
        <f t="shared" ca="1" si="77"/>
        <v>40</v>
      </c>
      <c r="T617">
        <f t="shared" ca="1" si="78"/>
        <v>8.0961039446457157</v>
      </c>
      <c r="U617" s="8">
        <f t="shared" ca="1" si="79"/>
        <v>1</v>
      </c>
      <c r="V617" s="8">
        <f ca="1">RawData[[#This Row],[Z (smoothed demand size)]]/RawData[[#This Row],[X (smoothed interval)]]</f>
        <v>8.0961039446457157</v>
      </c>
    </row>
    <row r="618" spans="1:22">
      <c r="A618" t="s">
        <v>26</v>
      </c>
      <c r="B618" t="s">
        <v>14</v>
      </c>
      <c r="C618">
        <v>28</v>
      </c>
      <c r="D618" t="s">
        <v>22</v>
      </c>
      <c r="E618" t="s">
        <v>16</v>
      </c>
      <c r="F618" s="1">
        <v>44201</v>
      </c>
      <c r="G618">
        <v>6</v>
      </c>
      <c r="H618">
        <v>6</v>
      </c>
      <c r="I618">
        <v>9</v>
      </c>
      <c r="J618">
        <v>3</v>
      </c>
      <c r="K618">
        <v>0</v>
      </c>
      <c r="L618">
        <v>520</v>
      </c>
      <c r="M618">
        <v>60</v>
      </c>
      <c r="N618" s="1">
        <f t="shared" si="72"/>
        <v>44938</v>
      </c>
      <c r="O618" s="1">
        <f t="shared" si="73"/>
        <v>43101</v>
      </c>
      <c r="P618" s="1">
        <f t="shared" si="74"/>
        <v>44317</v>
      </c>
      <c r="Q618" s="8">
        <f t="shared" si="75"/>
        <v>0</v>
      </c>
      <c r="R618" s="8">
        <f t="shared" si="76"/>
        <v>41</v>
      </c>
      <c r="S618" s="8">
        <f t="shared" ca="1" si="77"/>
        <v>41</v>
      </c>
      <c r="T618">
        <f t="shared" ca="1" si="78"/>
        <v>7.6768831557165731</v>
      </c>
      <c r="U618" s="8">
        <f t="shared" ca="1" si="79"/>
        <v>1</v>
      </c>
      <c r="V618" s="8">
        <f ca="1">RawData[[#This Row],[Z (smoothed demand size)]]/RawData[[#This Row],[X (smoothed interval)]]</f>
        <v>7.6768831557165731</v>
      </c>
    </row>
    <row r="619" spans="1:22">
      <c r="A619" t="s">
        <v>26</v>
      </c>
      <c r="B619" t="s">
        <v>14</v>
      </c>
      <c r="C619">
        <v>28</v>
      </c>
      <c r="D619" t="s">
        <v>22</v>
      </c>
      <c r="E619" t="s">
        <v>16</v>
      </c>
      <c r="F619" s="1">
        <v>44202</v>
      </c>
      <c r="G619">
        <v>10</v>
      </c>
      <c r="H619">
        <v>3</v>
      </c>
      <c r="I619">
        <v>3</v>
      </c>
      <c r="J619">
        <v>0</v>
      </c>
      <c r="K619">
        <v>1</v>
      </c>
      <c r="L619">
        <v>601</v>
      </c>
      <c r="M619">
        <v>60</v>
      </c>
      <c r="N619" s="1">
        <f t="shared" si="72"/>
        <v>44938</v>
      </c>
      <c r="O619" s="1">
        <f t="shared" si="73"/>
        <v>43101</v>
      </c>
      <c r="P619" s="1">
        <f t="shared" si="74"/>
        <v>44348</v>
      </c>
      <c r="Q619" s="8">
        <f t="shared" si="75"/>
        <v>0</v>
      </c>
      <c r="R619" s="8">
        <f t="shared" si="76"/>
        <v>42</v>
      </c>
      <c r="S619" s="8">
        <f t="shared" ca="1" si="77"/>
        <v>42</v>
      </c>
      <c r="T619">
        <f t="shared" ca="1" si="78"/>
        <v>8.1415065245732592</v>
      </c>
      <c r="U619" s="8">
        <f t="shared" ca="1" si="79"/>
        <v>1</v>
      </c>
      <c r="V619" s="8">
        <f ca="1">RawData[[#This Row],[Z (smoothed demand size)]]/RawData[[#This Row],[X (smoothed interval)]]</f>
        <v>8.1415065245732592</v>
      </c>
    </row>
    <row r="620" spans="1:22">
      <c r="A620" t="s">
        <v>26</v>
      </c>
      <c r="B620" t="s">
        <v>14</v>
      </c>
      <c r="C620">
        <v>28</v>
      </c>
      <c r="D620" t="s">
        <v>22</v>
      </c>
      <c r="E620" t="s">
        <v>16</v>
      </c>
      <c r="F620" s="1">
        <v>44203</v>
      </c>
      <c r="G620">
        <v>7</v>
      </c>
      <c r="H620">
        <v>7</v>
      </c>
      <c r="I620">
        <v>9</v>
      </c>
      <c r="J620">
        <v>2</v>
      </c>
      <c r="K620">
        <v>0</v>
      </c>
      <c r="L620">
        <v>592</v>
      </c>
      <c r="M620">
        <v>30</v>
      </c>
      <c r="N620" s="1">
        <f t="shared" si="72"/>
        <v>44938</v>
      </c>
      <c r="O620" s="1">
        <f t="shared" si="73"/>
        <v>43101</v>
      </c>
      <c r="P620" s="1">
        <f t="shared" si="74"/>
        <v>44378</v>
      </c>
      <c r="Q620" s="8">
        <f t="shared" si="75"/>
        <v>0</v>
      </c>
      <c r="R620" s="8">
        <f t="shared" si="76"/>
        <v>43</v>
      </c>
      <c r="S620" s="8">
        <f t="shared" ca="1" si="77"/>
        <v>43</v>
      </c>
      <c r="T620">
        <f t="shared" ca="1" si="78"/>
        <v>7.9132052196586082</v>
      </c>
      <c r="U620" s="8">
        <f t="shared" ca="1" si="79"/>
        <v>1</v>
      </c>
      <c r="V620" s="8">
        <f ca="1">RawData[[#This Row],[Z (smoothed demand size)]]/RawData[[#This Row],[X (smoothed interval)]]</f>
        <v>7.9132052196586082</v>
      </c>
    </row>
    <row r="621" spans="1:22">
      <c r="A621" t="s">
        <v>26</v>
      </c>
      <c r="B621" t="s">
        <v>14</v>
      </c>
      <c r="C621">
        <v>28</v>
      </c>
      <c r="D621" t="s">
        <v>22</v>
      </c>
      <c r="E621" t="s">
        <v>16</v>
      </c>
      <c r="F621" s="1">
        <v>44204</v>
      </c>
      <c r="G621">
        <v>6</v>
      </c>
      <c r="H621">
        <v>6</v>
      </c>
      <c r="I621">
        <v>10</v>
      </c>
      <c r="J621">
        <v>4</v>
      </c>
      <c r="K621">
        <v>0</v>
      </c>
      <c r="L621">
        <v>591</v>
      </c>
      <c r="M621">
        <v>60</v>
      </c>
      <c r="N621" s="1">
        <f t="shared" si="72"/>
        <v>44938</v>
      </c>
      <c r="O621" s="1">
        <f t="shared" si="73"/>
        <v>43101</v>
      </c>
      <c r="P621" s="1">
        <f t="shared" si="74"/>
        <v>44409</v>
      </c>
      <c r="Q621" s="8">
        <f t="shared" si="75"/>
        <v>0</v>
      </c>
      <c r="R621" s="8">
        <f t="shared" si="76"/>
        <v>44</v>
      </c>
      <c r="S621" s="8">
        <f t="shared" ca="1" si="77"/>
        <v>44</v>
      </c>
      <c r="T621">
        <f t="shared" ca="1" si="78"/>
        <v>7.5305641757268873</v>
      </c>
      <c r="U621" s="8">
        <f t="shared" ca="1" si="79"/>
        <v>1</v>
      </c>
      <c r="V621" s="8">
        <f ca="1">RawData[[#This Row],[Z (smoothed demand size)]]/RawData[[#This Row],[X (smoothed interval)]]</f>
        <v>7.5305641757268873</v>
      </c>
    </row>
    <row r="622" spans="1:22">
      <c r="A622" t="s">
        <v>26</v>
      </c>
      <c r="B622" t="s">
        <v>14</v>
      </c>
      <c r="C622">
        <v>28</v>
      </c>
      <c r="D622" t="s">
        <v>22</v>
      </c>
      <c r="E622" t="s">
        <v>16</v>
      </c>
      <c r="F622" s="1">
        <v>44205</v>
      </c>
      <c r="G622">
        <v>3</v>
      </c>
      <c r="H622">
        <v>3</v>
      </c>
      <c r="I622">
        <v>4</v>
      </c>
      <c r="J622">
        <v>1</v>
      </c>
      <c r="K622">
        <v>0</v>
      </c>
      <c r="L622">
        <v>518</v>
      </c>
      <c r="M622">
        <v>15</v>
      </c>
      <c r="N622" s="1">
        <f t="shared" si="72"/>
        <v>44938</v>
      </c>
      <c r="O622" s="1">
        <f t="shared" si="73"/>
        <v>43101</v>
      </c>
      <c r="P622" s="1">
        <f t="shared" si="74"/>
        <v>44440</v>
      </c>
      <c r="Q622" s="8">
        <f t="shared" si="75"/>
        <v>0</v>
      </c>
      <c r="R622" s="8">
        <f t="shared" si="76"/>
        <v>45</v>
      </c>
      <c r="S622" s="8">
        <f t="shared" ca="1" si="77"/>
        <v>45</v>
      </c>
      <c r="T622">
        <f t="shared" ca="1" si="78"/>
        <v>6.6244513405815102</v>
      </c>
      <c r="U622" s="8">
        <f t="shared" ca="1" si="79"/>
        <v>1</v>
      </c>
      <c r="V622" s="8">
        <f ca="1">RawData[[#This Row],[Z (smoothed demand size)]]/RawData[[#This Row],[X (smoothed interval)]]</f>
        <v>6.6244513405815102</v>
      </c>
    </row>
    <row r="623" spans="1:22">
      <c r="A623" t="s">
        <v>26</v>
      </c>
      <c r="B623" t="s">
        <v>14</v>
      </c>
      <c r="C623">
        <v>28</v>
      </c>
      <c r="D623" t="s">
        <v>22</v>
      </c>
      <c r="E623" t="s">
        <v>16</v>
      </c>
      <c r="F623" s="1">
        <v>44206</v>
      </c>
      <c r="G623">
        <v>12</v>
      </c>
      <c r="H623">
        <v>12</v>
      </c>
      <c r="I623">
        <v>12</v>
      </c>
      <c r="J623">
        <v>0</v>
      </c>
      <c r="K623">
        <v>0</v>
      </c>
      <c r="L623">
        <v>516</v>
      </c>
      <c r="M623">
        <v>60</v>
      </c>
      <c r="N623" s="1">
        <f t="shared" si="72"/>
        <v>44938</v>
      </c>
      <c r="O623" s="1">
        <f t="shared" si="73"/>
        <v>43101</v>
      </c>
      <c r="P623" s="1">
        <f t="shared" si="74"/>
        <v>44470</v>
      </c>
      <c r="Q623" s="8">
        <f t="shared" si="75"/>
        <v>0</v>
      </c>
      <c r="R623" s="8">
        <f t="shared" si="76"/>
        <v>46</v>
      </c>
      <c r="S623" s="8">
        <f t="shared" ca="1" si="77"/>
        <v>46</v>
      </c>
      <c r="T623">
        <f t="shared" ca="1" si="78"/>
        <v>7.699561072465209</v>
      </c>
      <c r="U623" s="8">
        <f t="shared" ca="1" si="79"/>
        <v>1</v>
      </c>
      <c r="V623" s="8">
        <f ca="1">RawData[[#This Row],[Z (smoothed demand size)]]/RawData[[#This Row],[X (smoothed interval)]]</f>
        <v>7.699561072465209</v>
      </c>
    </row>
    <row r="624" spans="1:22">
      <c r="A624" t="s">
        <v>26</v>
      </c>
      <c r="B624" t="s">
        <v>14</v>
      </c>
      <c r="C624">
        <v>28</v>
      </c>
      <c r="D624" t="s">
        <v>22</v>
      </c>
      <c r="E624" t="s">
        <v>16</v>
      </c>
      <c r="F624" s="1">
        <v>44207</v>
      </c>
      <c r="G624">
        <v>12</v>
      </c>
      <c r="H624">
        <v>0</v>
      </c>
      <c r="I624">
        <v>0</v>
      </c>
      <c r="J624">
        <v>0</v>
      </c>
      <c r="K624">
        <v>1</v>
      </c>
      <c r="L624">
        <v>525</v>
      </c>
      <c r="M624">
        <v>45</v>
      </c>
      <c r="N624" s="1">
        <f t="shared" si="72"/>
        <v>44938</v>
      </c>
      <c r="O624" s="1">
        <f t="shared" si="73"/>
        <v>43101</v>
      </c>
      <c r="P624" s="1">
        <f t="shared" si="74"/>
        <v>44501</v>
      </c>
      <c r="Q624" s="8">
        <f t="shared" si="75"/>
        <v>0</v>
      </c>
      <c r="R624" s="8">
        <f t="shared" si="76"/>
        <v>47</v>
      </c>
      <c r="S624" s="8">
        <f t="shared" ca="1" si="77"/>
        <v>47</v>
      </c>
      <c r="T624">
        <f t="shared" ca="1" si="78"/>
        <v>8.5596488579721672</v>
      </c>
      <c r="U624" s="8">
        <f t="shared" ca="1" si="79"/>
        <v>1</v>
      </c>
      <c r="V624" s="8">
        <f ca="1">RawData[[#This Row],[Z (smoothed demand size)]]/RawData[[#This Row],[X (smoothed interval)]]</f>
        <v>8.5596488579721672</v>
      </c>
    </row>
    <row r="625" spans="1:22">
      <c r="A625" t="s">
        <v>26</v>
      </c>
      <c r="B625" t="s">
        <v>14</v>
      </c>
      <c r="C625">
        <v>28</v>
      </c>
      <c r="D625" t="s">
        <v>22</v>
      </c>
      <c r="E625" t="s">
        <v>16</v>
      </c>
      <c r="F625" s="1">
        <v>44208</v>
      </c>
      <c r="G625">
        <v>9</v>
      </c>
      <c r="H625">
        <v>9</v>
      </c>
      <c r="I625">
        <v>10</v>
      </c>
      <c r="J625">
        <v>1</v>
      </c>
      <c r="K625">
        <v>0</v>
      </c>
      <c r="L625">
        <v>595</v>
      </c>
      <c r="M625">
        <v>60</v>
      </c>
      <c r="N625" s="1">
        <f t="shared" si="72"/>
        <v>44938</v>
      </c>
      <c r="O625" s="1">
        <f t="shared" si="73"/>
        <v>43101</v>
      </c>
      <c r="P625" s="1">
        <f t="shared" si="74"/>
        <v>44531</v>
      </c>
      <c r="Q625" s="8">
        <f t="shared" si="75"/>
        <v>0</v>
      </c>
      <c r="R625" s="8">
        <f t="shared" si="76"/>
        <v>48</v>
      </c>
      <c r="S625" s="8">
        <f t="shared" ca="1" si="77"/>
        <v>48</v>
      </c>
      <c r="T625">
        <f t="shared" ca="1" si="78"/>
        <v>8.6477190863777338</v>
      </c>
      <c r="U625" s="8">
        <f t="shared" ca="1" si="79"/>
        <v>1</v>
      </c>
      <c r="V625" s="8">
        <f ca="1">RawData[[#This Row],[Z (smoothed demand size)]]/RawData[[#This Row],[X (smoothed interval)]]</f>
        <v>8.6477190863777338</v>
      </c>
    </row>
    <row r="626" spans="1:22">
      <c r="A626" t="s">
        <v>26</v>
      </c>
      <c r="B626" t="s">
        <v>14</v>
      </c>
      <c r="C626">
        <v>28</v>
      </c>
      <c r="D626" t="s">
        <v>22</v>
      </c>
      <c r="E626" t="s">
        <v>16</v>
      </c>
      <c r="F626" s="1">
        <v>44562</v>
      </c>
      <c r="G626">
        <v>7</v>
      </c>
      <c r="H626">
        <v>1</v>
      </c>
      <c r="I626">
        <v>1</v>
      </c>
      <c r="J626">
        <v>0</v>
      </c>
      <c r="K626">
        <v>1</v>
      </c>
      <c r="L626">
        <v>510</v>
      </c>
      <c r="M626">
        <v>30</v>
      </c>
      <c r="N626" s="1">
        <f t="shared" si="72"/>
        <v>44938</v>
      </c>
      <c r="O626" s="1">
        <f t="shared" si="73"/>
        <v>43101</v>
      </c>
      <c r="P626" s="1">
        <f t="shared" si="74"/>
        <v>44562</v>
      </c>
      <c r="Q626" s="8">
        <f t="shared" si="75"/>
        <v>0</v>
      </c>
      <c r="R626" s="8">
        <f t="shared" si="76"/>
        <v>49</v>
      </c>
      <c r="S626" s="8">
        <f t="shared" ca="1" si="77"/>
        <v>49</v>
      </c>
      <c r="T626">
        <f t="shared" ca="1" si="78"/>
        <v>8.3181752691021877</v>
      </c>
      <c r="U626" s="8">
        <f t="shared" ca="1" si="79"/>
        <v>1</v>
      </c>
      <c r="V626" s="8">
        <f ca="1">RawData[[#This Row],[Z (smoothed demand size)]]/RawData[[#This Row],[X (smoothed interval)]]</f>
        <v>8.3181752691021877</v>
      </c>
    </row>
    <row r="627" spans="1:22">
      <c r="A627" t="s">
        <v>26</v>
      </c>
      <c r="B627" t="s">
        <v>14</v>
      </c>
      <c r="C627">
        <v>28</v>
      </c>
      <c r="D627" t="s">
        <v>22</v>
      </c>
      <c r="E627" t="s">
        <v>16</v>
      </c>
      <c r="F627" s="1">
        <v>44563</v>
      </c>
      <c r="G627">
        <v>12</v>
      </c>
      <c r="H627">
        <v>7</v>
      </c>
      <c r="I627">
        <v>7</v>
      </c>
      <c r="J627">
        <v>0</v>
      </c>
      <c r="K627">
        <v>1</v>
      </c>
      <c r="L627">
        <v>512</v>
      </c>
      <c r="M627">
        <v>30</v>
      </c>
      <c r="N627" s="1">
        <f t="shared" si="72"/>
        <v>44938</v>
      </c>
      <c r="O627" s="1">
        <f t="shared" si="73"/>
        <v>43101</v>
      </c>
      <c r="P627" s="1">
        <f t="shared" si="74"/>
        <v>44593</v>
      </c>
      <c r="Q627" s="8">
        <f t="shared" si="75"/>
        <v>0</v>
      </c>
      <c r="R627" s="8">
        <f t="shared" si="76"/>
        <v>50</v>
      </c>
      <c r="S627" s="8">
        <f t="shared" ca="1" si="77"/>
        <v>50</v>
      </c>
      <c r="T627">
        <f t="shared" ca="1" si="78"/>
        <v>9.0545402152817509</v>
      </c>
      <c r="U627" s="8">
        <f t="shared" ca="1" si="79"/>
        <v>1</v>
      </c>
      <c r="V627" s="8">
        <f ca="1">RawData[[#This Row],[Z (smoothed demand size)]]/RawData[[#This Row],[X (smoothed interval)]]</f>
        <v>9.0545402152817509</v>
      </c>
    </row>
    <row r="628" spans="1:22">
      <c r="A628" t="s">
        <v>26</v>
      </c>
      <c r="B628" t="s">
        <v>14</v>
      </c>
      <c r="C628">
        <v>28</v>
      </c>
      <c r="D628" t="s">
        <v>22</v>
      </c>
      <c r="E628" t="s">
        <v>16</v>
      </c>
      <c r="F628" s="1">
        <v>44564</v>
      </c>
      <c r="G628">
        <v>7</v>
      </c>
      <c r="H628">
        <v>7</v>
      </c>
      <c r="I628">
        <v>10</v>
      </c>
      <c r="J628">
        <v>3</v>
      </c>
      <c r="K628">
        <v>0</v>
      </c>
      <c r="L628">
        <v>522</v>
      </c>
      <c r="M628">
        <v>15</v>
      </c>
      <c r="N628" s="1">
        <f t="shared" si="72"/>
        <v>44938</v>
      </c>
      <c r="O628" s="1">
        <f t="shared" si="73"/>
        <v>43101</v>
      </c>
      <c r="P628" s="1">
        <f t="shared" si="74"/>
        <v>44621</v>
      </c>
      <c r="Q628" s="8">
        <f t="shared" si="75"/>
        <v>0</v>
      </c>
      <c r="R628" s="8">
        <f t="shared" si="76"/>
        <v>51</v>
      </c>
      <c r="S628" s="8">
        <f t="shared" ca="1" si="77"/>
        <v>51</v>
      </c>
      <c r="T628">
        <f t="shared" ca="1" si="78"/>
        <v>8.6436321722254004</v>
      </c>
      <c r="U628" s="8">
        <f t="shared" ca="1" si="79"/>
        <v>1</v>
      </c>
      <c r="V628" s="8">
        <f ca="1">RawData[[#This Row],[Z (smoothed demand size)]]/RawData[[#This Row],[X (smoothed interval)]]</f>
        <v>8.6436321722254004</v>
      </c>
    </row>
    <row r="629" spans="1:22">
      <c r="A629" t="s">
        <v>26</v>
      </c>
      <c r="B629" t="s">
        <v>14</v>
      </c>
      <c r="C629">
        <v>28</v>
      </c>
      <c r="D629" t="s">
        <v>22</v>
      </c>
      <c r="E629" t="s">
        <v>16</v>
      </c>
      <c r="F629" s="1">
        <v>44565</v>
      </c>
      <c r="G629">
        <v>12</v>
      </c>
      <c r="H629">
        <v>10</v>
      </c>
      <c r="I629">
        <v>10</v>
      </c>
      <c r="J629">
        <v>0</v>
      </c>
      <c r="K629">
        <v>1</v>
      </c>
      <c r="L629">
        <v>516</v>
      </c>
      <c r="M629">
        <v>45</v>
      </c>
      <c r="N629" s="1">
        <f t="shared" si="72"/>
        <v>44938</v>
      </c>
      <c r="O629" s="1">
        <f t="shared" si="73"/>
        <v>43101</v>
      </c>
      <c r="P629" s="1">
        <f t="shared" si="74"/>
        <v>44652</v>
      </c>
      <c r="Q629" s="8">
        <f t="shared" si="75"/>
        <v>0</v>
      </c>
      <c r="R629" s="8">
        <f t="shared" si="76"/>
        <v>52</v>
      </c>
      <c r="S629" s="8">
        <f t="shared" ca="1" si="77"/>
        <v>52</v>
      </c>
      <c r="T629">
        <f t="shared" ca="1" si="78"/>
        <v>9.3149057377803217</v>
      </c>
      <c r="U629" s="8">
        <f t="shared" ca="1" si="79"/>
        <v>1</v>
      </c>
      <c r="V629" s="8">
        <f ca="1">RawData[[#This Row],[Z (smoothed demand size)]]/RawData[[#This Row],[X (smoothed interval)]]</f>
        <v>9.3149057377803217</v>
      </c>
    </row>
    <row r="630" spans="1:22">
      <c r="A630" t="s">
        <v>26</v>
      </c>
      <c r="B630" t="s">
        <v>14</v>
      </c>
      <c r="C630">
        <v>28</v>
      </c>
      <c r="D630" t="s">
        <v>22</v>
      </c>
      <c r="E630" t="s">
        <v>16</v>
      </c>
      <c r="F630" s="1">
        <v>44566</v>
      </c>
      <c r="G630">
        <v>11</v>
      </c>
      <c r="H630">
        <v>0</v>
      </c>
      <c r="I630">
        <v>0</v>
      </c>
      <c r="J630">
        <v>0</v>
      </c>
      <c r="K630">
        <v>1</v>
      </c>
      <c r="L630">
        <v>516</v>
      </c>
      <c r="M630">
        <v>30</v>
      </c>
      <c r="N630" s="1">
        <f t="shared" si="72"/>
        <v>44938</v>
      </c>
      <c r="O630" s="1">
        <f t="shared" si="73"/>
        <v>43101</v>
      </c>
      <c r="P630" s="1">
        <f t="shared" si="74"/>
        <v>44682</v>
      </c>
      <c r="Q630" s="8">
        <f t="shared" si="75"/>
        <v>0</v>
      </c>
      <c r="R630" s="8">
        <f t="shared" si="76"/>
        <v>53</v>
      </c>
      <c r="S630" s="8">
        <f t="shared" ca="1" si="77"/>
        <v>53</v>
      </c>
      <c r="T630">
        <f t="shared" ca="1" si="78"/>
        <v>9.6519245902242581</v>
      </c>
      <c r="U630" s="8">
        <f t="shared" ca="1" si="79"/>
        <v>1</v>
      </c>
      <c r="V630" s="8">
        <f ca="1">RawData[[#This Row],[Z (smoothed demand size)]]/RawData[[#This Row],[X (smoothed interval)]]</f>
        <v>9.6519245902242581</v>
      </c>
    </row>
    <row r="631" spans="1:22">
      <c r="A631" t="s">
        <v>26</v>
      </c>
      <c r="B631" t="s">
        <v>14</v>
      </c>
      <c r="C631">
        <v>28</v>
      </c>
      <c r="D631" t="s">
        <v>22</v>
      </c>
      <c r="E631" t="s">
        <v>16</v>
      </c>
      <c r="F631" s="1">
        <v>44567</v>
      </c>
      <c r="G631">
        <v>13</v>
      </c>
      <c r="H631">
        <v>7</v>
      </c>
      <c r="I631">
        <v>7</v>
      </c>
      <c r="J631">
        <v>0</v>
      </c>
      <c r="K631">
        <v>1</v>
      </c>
      <c r="L631">
        <v>601</v>
      </c>
      <c r="M631">
        <v>60</v>
      </c>
      <c r="N631" s="1">
        <f t="shared" si="72"/>
        <v>44938</v>
      </c>
      <c r="O631" s="1">
        <f t="shared" si="73"/>
        <v>43101</v>
      </c>
      <c r="P631" s="1">
        <f t="shared" si="74"/>
        <v>44713</v>
      </c>
      <c r="Q631" s="8">
        <f t="shared" si="75"/>
        <v>0</v>
      </c>
      <c r="R631" s="8">
        <f t="shared" si="76"/>
        <v>54</v>
      </c>
      <c r="S631" s="8">
        <f t="shared" ca="1" si="77"/>
        <v>54</v>
      </c>
      <c r="T631">
        <f t="shared" ca="1" si="78"/>
        <v>10.321539672179407</v>
      </c>
      <c r="U631" s="8">
        <f t="shared" ca="1" si="79"/>
        <v>1</v>
      </c>
      <c r="V631" s="8">
        <f ca="1">RawData[[#This Row],[Z (smoothed demand size)]]/RawData[[#This Row],[X (smoothed interval)]]</f>
        <v>10.321539672179407</v>
      </c>
    </row>
    <row r="632" spans="1:22">
      <c r="A632" t="s">
        <v>26</v>
      </c>
      <c r="B632" t="s">
        <v>14</v>
      </c>
      <c r="C632">
        <v>28</v>
      </c>
      <c r="D632" t="s">
        <v>22</v>
      </c>
      <c r="E632" t="s">
        <v>16</v>
      </c>
      <c r="F632" s="1">
        <v>44568</v>
      </c>
      <c r="G632">
        <v>12</v>
      </c>
      <c r="H632">
        <v>0</v>
      </c>
      <c r="I632">
        <v>0</v>
      </c>
      <c r="J632">
        <v>0</v>
      </c>
      <c r="K632">
        <v>1</v>
      </c>
      <c r="L632">
        <v>589</v>
      </c>
      <c r="M632">
        <v>15</v>
      </c>
      <c r="N632" s="1">
        <f t="shared" si="72"/>
        <v>44938</v>
      </c>
      <c r="O632" s="1">
        <f t="shared" si="73"/>
        <v>43101</v>
      </c>
      <c r="P632" s="1">
        <f t="shared" si="74"/>
        <v>44743</v>
      </c>
      <c r="Q632" s="8">
        <f t="shared" si="75"/>
        <v>0</v>
      </c>
      <c r="R632" s="8">
        <f t="shared" si="76"/>
        <v>55</v>
      </c>
      <c r="S632" s="8">
        <f t="shared" ca="1" si="77"/>
        <v>55</v>
      </c>
      <c r="T632">
        <f t="shared" ca="1" si="78"/>
        <v>10.657231737743526</v>
      </c>
      <c r="U632" s="8">
        <f t="shared" ca="1" si="79"/>
        <v>1</v>
      </c>
      <c r="V632" s="8">
        <f ca="1">RawData[[#This Row],[Z (smoothed demand size)]]/RawData[[#This Row],[X (smoothed interval)]]</f>
        <v>10.657231737743526</v>
      </c>
    </row>
    <row r="633" spans="1:22">
      <c r="A633" t="s">
        <v>26</v>
      </c>
      <c r="B633" t="s">
        <v>14</v>
      </c>
      <c r="C633">
        <v>28</v>
      </c>
      <c r="D633" t="s">
        <v>22</v>
      </c>
      <c r="E633" t="s">
        <v>16</v>
      </c>
      <c r="F633" s="1">
        <v>44569</v>
      </c>
      <c r="G633">
        <v>9</v>
      </c>
      <c r="H633">
        <v>9</v>
      </c>
      <c r="I633">
        <v>12</v>
      </c>
      <c r="J633">
        <v>3</v>
      </c>
      <c r="K633">
        <v>0</v>
      </c>
      <c r="L633">
        <v>581</v>
      </c>
      <c r="M633">
        <v>60</v>
      </c>
      <c r="N633" s="1">
        <f t="shared" si="72"/>
        <v>44938</v>
      </c>
      <c r="O633" s="1">
        <f t="shared" si="73"/>
        <v>43101</v>
      </c>
      <c r="P633" s="1">
        <f t="shared" si="74"/>
        <v>44774</v>
      </c>
      <c r="Q633" s="8">
        <f t="shared" si="75"/>
        <v>0</v>
      </c>
      <c r="R633" s="8">
        <f t="shared" si="76"/>
        <v>56</v>
      </c>
      <c r="S633" s="8">
        <f t="shared" ca="1" si="77"/>
        <v>56</v>
      </c>
      <c r="T633">
        <f t="shared" ca="1" si="78"/>
        <v>10.325785390194822</v>
      </c>
      <c r="U633" s="8">
        <f t="shared" ca="1" si="79"/>
        <v>1</v>
      </c>
      <c r="V633" s="8">
        <f ca="1">RawData[[#This Row],[Z (smoothed demand size)]]/RawData[[#This Row],[X (smoothed interval)]]</f>
        <v>10.325785390194822</v>
      </c>
    </row>
    <row r="634" spans="1:22">
      <c r="A634" t="s">
        <v>26</v>
      </c>
      <c r="B634" t="s">
        <v>14</v>
      </c>
      <c r="C634">
        <v>28</v>
      </c>
      <c r="D634" t="s">
        <v>22</v>
      </c>
      <c r="E634" t="s">
        <v>16</v>
      </c>
      <c r="F634" s="1">
        <v>44570</v>
      </c>
      <c r="G634">
        <v>5</v>
      </c>
      <c r="H634">
        <v>3</v>
      </c>
      <c r="I634">
        <v>3</v>
      </c>
      <c r="J634">
        <v>0</v>
      </c>
      <c r="K634">
        <v>1</v>
      </c>
      <c r="L634">
        <v>512</v>
      </c>
      <c r="M634">
        <v>15</v>
      </c>
      <c r="N634" s="1">
        <f t="shared" si="72"/>
        <v>44938</v>
      </c>
      <c r="O634" s="1">
        <f t="shared" si="73"/>
        <v>43101</v>
      </c>
      <c r="P634" s="1">
        <f t="shared" si="74"/>
        <v>44805</v>
      </c>
      <c r="Q634" s="8">
        <f t="shared" si="75"/>
        <v>0</v>
      </c>
      <c r="R634" s="8">
        <f t="shared" si="76"/>
        <v>57</v>
      </c>
      <c r="S634" s="8">
        <f t="shared" ca="1" si="77"/>
        <v>57</v>
      </c>
      <c r="T634">
        <f t="shared" ca="1" si="78"/>
        <v>9.2606283121558572</v>
      </c>
      <c r="U634" s="8">
        <f t="shared" ca="1" si="79"/>
        <v>1</v>
      </c>
      <c r="V634" s="8">
        <f ca="1">RawData[[#This Row],[Z (smoothed demand size)]]/RawData[[#This Row],[X (smoothed interval)]]</f>
        <v>9.2606283121558572</v>
      </c>
    </row>
    <row r="635" spans="1:22">
      <c r="A635" t="s">
        <v>26</v>
      </c>
      <c r="B635" t="s">
        <v>14</v>
      </c>
      <c r="C635">
        <v>28</v>
      </c>
      <c r="D635" t="s">
        <v>22</v>
      </c>
      <c r="E635" t="s">
        <v>16</v>
      </c>
      <c r="F635" s="1">
        <v>44571</v>
      </c>
      <c r="G635">
        <v>6</v>
      </c>
      <c r="H635">
        <v>6</v>
      </c>
      <c r="I635">
        <v>9</v>
      </c>
      <c r="J635">
        <v>3</v>
      </c>
      <c r="K635">
        <v>0</v>
      </c>
      <c r="L635">
        <v>518</v>
      </c>
      <c r="M635">
        <v>45</v>
      </c>
      <c r="N635" s="1">
        <f t="shared" si="72"/>
        <v>44938</v>
      </c>
      <c r="O635" s="1">
        <f t="shared" si="73"/>
        <v>43101</v>
      </c>
      <c r="P635" s="1">
        <f t="shared" si="74"/>
        <v>44835</v>
      </c>
      <c r="Q635" s="8">
        <f t="shared" si="75"/>
        <v>0</v>
      </c>
      <c r="R635" s="8">
        <f t="shared" si="76"/>
        <v>58</v>
      </c>
      <c r="S635" s="8">
        <f t="shared" ca="1" si="77"/>
        <v>58</v>
      </c>
      <c r="T635">
        <f t="shared" ca="1" si="78"/>
        <v>8.6085026497246862</v>
      </c>
      <c r="U635" s="8">
        <f t="shared" ca="1" si="79"/>
        <v>1</v>
      </c>
      <c r="V635" s="8">
        <f ca="1">RawData[[#This Row],[Z (smoothed demand size)]]/RawData[[#This Row],[X (smoothed interval)]]</f>
        <v>8.6085026497246862</v>
      </c>
    </row>
    <row r="636" spans="1:22">
      <c r="A636" t="s">
        <v>26</v>
      </c>
      <c r="B636" t="s">
        <v>14</v>
      </c>
      <c r="C636">
        <v>28</v>
      </c>
      <c r="D636" t="s">
        <v>22</v>
      </c>
      <c r="E636" t="s">
        <v>16</v>
      </c>
      <c r="F636" s="1">
        <v>44572</v>
      </c>
      <c r="G636">
        <v>9</v>
      </c>
      <c r="H636">
        <v>3</v>
      </c>
      <c r="I636">
        <v>3</v>
      </c>
      <c r="J636">
        <v>0</v>
      </c>
      <c r="K636">
        <v>1</v>
      </c>
      <c r="L636">
        <v>515</v>
      </c>
      <c r="M636">
        <v>30</v>
      </c>
      <c r="N636" s="1">
        <f t="shared" si="72"/>
        <v>44938</v>
      </c>
      <c r="O636" s="1">
        <f t="shared" si="73"/>
        <v>43101</v>
      </c>
      <c r="P636" s="1">
        <f t="shared" si="74"/>
        <v>44866</v>
      </c>
      <c r="Q636" s="8">
        <f t="shared" si="75"/>
        <v>0</v>
      </c>
      <c r="R636" s="8">
        <f t="shared" si="76"/>
        <v>59</v>
      </c>
      <c r="S636" s="8">
        <f t="shared" ca="1" si="77"/>
        <v>59</v>
      </c>
      <c r="T636">
        <f t="shared" ca="1" si="78"/>
        <v>8.6868021197797489</v>
      </c>
      <c r="U636" s="8">
        <f t="shared" ca="1" si="79"/>
        <v>1</v>
      </c>
      <c r="V636" s="8">
        <f ca="1">RawData[[#This Row],[Z (smoothed demand size)]]/RawData[[#This Row],[X (smoothed interval)]]</f>
        <v>8.6868021197797489</v>
      </c>
    </row>
    <row r="637" spans="1:22">
      <c r="A637" t="s">
        <v>26</v>
      </c>
      <c r="B637" t="s">
        <v>14</v>
      </c>
      <c r="C637">
        <v>28</v>
      </c>
      <c r="D637" t="s">
        <v>22</v>
      </c>
      <c r="E637" t="s">
        <v>16</v>
      </c>
      <c r="F637" s="1">
        <v>44573</v>
      </c>
      <c r="G637">
        <v>13</v>
      </c>
      <c r="H637">
        <v>9</v>
      </c>
      <c r="I637">
        <v>9</v>
      </c>
      <c r="J637">
        <v>0</v>
      </c>
      <c r="K637">
        <v>1</v>
      </c>
      <c r="L637">
        <v>585</v>
      </c>
      <c r="M637">
        <v>30</v>
      </c>
      <c r="N637" s="1">
        <f t="shared" si="72"/>
        <v>44938</v>
      </c>
      <c r="O637" s="1">
        <f t="shared" si="73"/>
        <v>43101</v>
      </c>
      <c r="P637" s="1">
        <f t="shared" si="74"/>
        <v>44896</v>
      </c>
      <c r="Q637" s="8">
        <f t="shared" si="75"/>
        <v>0</v>
      </c>
      <c r="R637" s="8">
        <f t="shared" si="76"/>
        <v>60</v>
      </c>
      <c r="S637" s="8">
        <f t="shared" ca="1" si="77"/>
        <v>60</v>
      </c>
      <c r="T637">
        <f t="shared" ca="1" si="78"/>
        <v>9.5494416958238002</v>
      </c>
      <c r="U637" s="8">
        <f t="shared" ca="1" si="79"/>
        <v>1</v>
      </c>
      <c r="V637" s="8">
        <f ca="1">RawData[[#This Row],[Z (smoothed demand size)]]/RawData[[#This Row],[X (smoothed interval)]]</f>
        <v>9.5494416958238002</v>
      </c>
    </row>
    <row r="638" spans="1:22">
      <c r="A638" t="s">
        <v>26</v>
      </c>
      <c r="B638" t="s">
        <v>14</v>
      </c>
      <c r="C638">
        <v>28</v>
      </c>
      <c r="D638" t="s">
        <v>22</v>
      </c>
      <c r="E638" t="s">
        <v>16</v>
      </c>
      <c r="F638" s="1">
        <v>44927</v>
      </c>
      <c r="G638">
        <v>5</v>
      </c>
      <c r="H638">
        <v>5</v>
      </c>
      <c r="I638">
        <v>7</v>
      </c>
      <c r="J638">
        <v>2</v>
      </c>
      <c r="K638">
        <v>0</v>
      </c>
      <c r="L638">
        <v>520</v>
      </c>
      <c r="M638">
        <v>30</v>
      </c>
      <c r="N638" s="1">
        <f t="shared" si="72"/>
        <v>44938</v>
      </c>
      <c r="O638" s="1">
        <f t="shared" si="73"/>
        <v>43101</v>
      </c>
      <c r="P638" s="1">
        <f t="shared" si="74"/>
        <v>44927</v>
      </c>
      <c r="Q638" s="8">
        <f t="shared" si="75"/>
        <v>0</v>
      </c>
      <c r="R638" s="8">
        <f t="shared" si="76"/>
        <v>61</v>
      </c>
      <c r="S638" s="8">
        <f t="shared" ca="1" si="77"/>
        <v>61</v>
      </c>
      <c r="T638">
        <f t="shared" ca="1" si="78"/>
        <v>8.6395533566590395</v>
      </c>
      <c r="U638" s="8">
        <f t="shared" ca="1" si="79"/>
        <v>1</v>
      </c>
      <c r="V638" s="8">
        <f ca="1">RawData[[#This Row],[Z (smoothed demand size)]]/RawData[[#This Row],[X (smoothed interval)]]</f>
        <v>8.6395533566590395</v>
      </c>
    </row>
    <row r="639" spans="1:22">
      <c r="A639" t="s">
        <v>26</v>
      </c>
      <c r="B639" t="s">
        <v>14</v>
      </c>
      <c r="C639">
        <v>28</v>
      </c>
      <c r="D639" t="s">
        <v>22</v>
      </c>
      <c r="E639" t="s">
        <v>16</v>
      </c>
      <c r="F639" s="1">
        <v>44928</v>
      </c>
      <c r="G639">
        <v>6</v>
      </c>
      <c r="H639">
        <v>6</v>
      </c>
      <c r="I639">
        <v>10</v>
      </c>
      <c r="J639">
        <v>4</v>
      </c>
      <c r="K639">
        <v>0</v>
      </c>
      <c r="L639">
        <v>516</v>
      </c>
      <c r="M639">
        <v>60</v>
      </c>
      <c r="N639" s="1">
        <f t="shared" si="72"/>
        <v>44938</v>
      </c>
      <c r="O639" s="1">
        <f t="shared" si="73"/>
        <v>43101</v>
      </c>
      <c r="P639" s="1">
        <f t="shared" si="74"/>
        <v>44958</v>
      </c>
      <c r="Q639" s="8">
        <f t="shared" si="75"/>
        <v>0</v>
      </c>
      <c r="R639" s="8">
        <f t="shared" si="76"/>
        <v>62</v>
      </c>
      <c r="S639" s="8">
        <f t="shared" ca="1" si="77"/>
        <v>62</v>
      </c>
      <c r="T639">
        <f t="shared" ca="1" si="78"/>
        <v>8.111642685327233</v>
      </c>
      <c r="U639" s="8">
        <f t="shared" ca="1" si="79"/>
        <v>1</v>
      </c>
      <c r="V639" s="8">
        <f ca="1">RawData[[#This Row],[Z (smoothed demand size)]]/RawData[[#This Row],[X (smoothed interval)]]</f>
        <v>8.111642685327233</v>
      </c>
    </row>
    <row r="640" spans="1:22">
      <c r="A640" t="s">
        <v>26</v>
      </c>
      <c r="B640" t="s">
        <v>14</v>
      </c>
      <c r="C640">
        <v>28</v>
      </c>
      <c r="D640" t="s">
        <v>22</v>
      </c>
      <c r="E640" t="s">
        <v>16</v>
      </c>
      <c r="F640" s="1">
        <v>44929</v>
      </c>
      <c r="G640">
        <v>4</v>
      </c>
      <c r="H640">
        <v>4</v>
      </c>
      <c r="I640">
        <v>4</v>
      </c>
      <c r="J640">
        <v>0</v>
      </c>
      <c r="K640">
        <v>0</v>
      </c>
      <c r="L640">
        <v>517</v>
      </c>
      <c r="M640">
        <v>45</v>
      </c>
      <c r="N640" s="1">
        <f t="shared" si="72"/>
        <v>44938</v>
      </c>
      <c r="O640" s="1">
        <f t="shared" si="73"/>
        <v>43101</v>
      </c>
      <c r="P640" s="1">
        <f t="shared" si="74"/>
        <v>44986</v>
      </c>
      <c r="Q640" s="8">
        <f t="shared" si="75"/>
        <v>0</v>
      </c>
      <c r="R640" s="8">
        <f t="shared" si="76"/>
        <v>63</v>
      </c>
      <c r="S640" s="8">
        <f t="shared" ca="1" si="77"/>
        <v>63</v>
      </c>
      <c r="T640">
        <f t="shared" ca="1" si="78"/>
        <v>7.2893141482617869</v>
      </c>
      <c r="U640" s="8">
        <f t="shared" ca="1" si="79"/>
        <v>1</v>
      </c>
      <c r="V640" s="8">
        <f ca="1">RawData[[#This Row],[Z (smoothed demand size)]]/RawData[[#This Row],[X (smoothed interval)]]</f>
        <v>7.2893141482617869</v>
      </c>
    </row>
    <row r="641" spans="1:22">
      <c r="A641" t="s">
        <v>26</v>
      </c>
      <c r="B641" t="s">
        <v>14</v>
      </c>
      <c r="C641">
        <v>28</v>
      </c>
      <c r="D641" t="s">
        <v>22</v>
      </c>
      <c r="E641" t="s">
        <v>16</v>
      </c>
      <c r="F641" s="1">
        <v>44930</v>
      </c>
      <c r="G641">
        <v>9</v>
      </c>
      <c r="H641">
        <v>9</v>
      </c>
      <c r="I641">
        <v>9</v>
      </c>
      <c r="J641">
        <v>0</v>
      </c>
      <c r="K641">
        <v>0</v>
      </c>
      <c r="L641">
        <v>517</v>
      </c>
      <c r="M641">
        <v>30</v>
      </c>
      <c r="N641" s="1">
        <f t="shared" si="72"/>
        <v>44938</v>
      </c>
      <c r="O641" s="1">
        <f t="shared" si="73"/>
        <v>43101</v>
      </c>
      <c r="P641" s="1">
        <f t="shared" si="74"/>
        <v>45017</v>
      </c>
      <c r="Q641" s="8">
        <f t="shared" si="75"/>
        <v>0</v>
      </c>
      <c r="R641" s="8">
        <f t="shared" si="76"/>
        <v>64</v>
      </c>
      <c r="S641" s="8">
        <f t="shared" ca="1" si="77"/>
        <v>64</v>
      </c>
      <c r="T641">
        <f t="shared" ca="1" si="78"/>
        <v>7.6314513186094297</v>
      </c>
      <c r="U641" s="8">
        <f t="shared" ca="1" si="79"/>
        <v>1</v>
      </c>
      <c r="V641" s="8">
        <f ca="1">RawData[[#This Row],[Z (smoothed demand size)]]/RawData[[#This Row],[X (smoothed interval)]]</f>
        <v>7.6314513186094297</v>
      </c>
    </row>
    <row r="642" spans="1:22">
      <c r="A642" t="s">
        <v>26</v>
      </c>
      <c r="B642" t="s">
        <v>14</v>
      </c>
      <c r="C642">
        <v>28</v>
      </c>
      <c r="D642" t="s">
        <v>22</v>
      </c>
      <c r="E642" t="s">
        <v>16</v>
      </c>
      <c r="F642" s="1">
        <v>44931</v>
      </c>
      <c r="G642">
        <v>11</v>
      </c>
      <c r="H642">
        <v>11</v>
      </c>
      <c r="I642">
        <v>12</v>
      </c>
      <c r="J642">
        <v>1</v>
      </c>
      <c r="K642">
        <v>0</v>
      </c>
      <c r="L642">
        <v>508</v>
      </c>
      <c r="M642">
        <v>60</v>
      </c>
      <c r="N642" s="1">
        <f t="shared" ref="N642:N705" si="80">MAX(F:F)</f>
        <v>44938</v>
      </c>
      <c r="O642" s="1">
        <f t="shared" ref="O642:O705" si="81">MIN(F:F)</f>
        <v>43101</v>
      </c>
      <c r="P642" s="1">
        <f t="shared" ref="P642:P705" si="82">DATE(YEAR(F642), DAY(F642), 1)</f>
        <v>45047</v>
      </c>
      <c r="Q642" s="8">
        <f t="shared" ref="Q642:Q705" si="83" xml:space="preserve"> IF(A642&lt;&gt;A641, 1, 0)</f>
        <v>0</v>
      </c>
      <c r="R642" s="8">
        <f t="shared" ref="R642:R705" si="84">IF(Q642=1,1,R641+1)</f>
        <v>65</v>
      </c>
      <c r="S642" s="8">
        <f t="shared" ref="S642:S705" ca="1" si="85" xml:space="preserve"> IF(Q642=1, IF(G642&gt;0, R642, 0), IF(G642&gt;0, R642, OFFSET(S642,-1,0)))</f>
        <v>65</v>
      </c>
      <c r="T642">
        <f t="shared" ref="T642:T705" ca="1" si="86" xml:space="preserve"> IF(Q642=1, IF(G642&gt;0, G642, 0), IF(G642&gt;0, $X$1*G642+(1-$X$1)*OFFSET(T642,-1,0), OFFSET(T642,-1,0)))</f>
        <v>8.3051610548875452</v>
      </c>
      <c r="U642" s="8">
        <f t="shared" ref="U642:U705" ca="1" si="87" xml:space="preserve"> IF(Q642=1, 1, IF(G642&gt;0, $X$1*(R642-OFFSET(S642,-1,0))+(1-$X$1)*OFFSET(U642,-1,0), OFFSET(U642,-1,0)))</f>
        <v>1</v>
      </c>
      <c r="V642" s="8">
        <f ca="1">RawData[[#This Row],[Z (smoothed demand size)]]/RawData[[#This Row],[X (smoothed interval)]]</f>
        <v>8.3051610548875452</v>
      </c>
    </row>
    <row r="643" spans="1:22">
      <c r="A643" t="s">
        <v>26</v>
      </c>
      <c r="B643" t="s">
        <v>14</v>
      </c>
      <c r="C643">
        <v>28</v>
      </c>
      <c r="D643" t="s">
        <v>22</v>
      </c>
      <c r="E643" t="s">
        <v>16</v>
      </c>
      <c r="F643" s="1">
        <v>44932</v>
      </c>
      <c r="G643">
        <v>7</v>
      </c>
      <c r="H643">
        <v>1</v>
      </c>
      <c r="I643">
        <v>1</v>
      </c>
      <c r="J643">
        <v>0</v>
      </c>
      <c r="K643">
        <v>1</v>
      </c>
      <c r="L643">
        <v>594</v>
      </c>
      <c r="M643">
        <v>30</v>
      </c>
      <c r="N643" s="1">
        <f t="shared" si="80"/>
        <v>44938</v>
      </c>
      <c r="O643" s="1">
        <f t="shared" si="81"/>
        <v>43101</v>
      </c>
      <c r="P643" s="1">
        <f t="shared" si="82"/>
        <v>45078</v>
      </c>
      <c r="Q643" s="8">
        <f t="shared" si="83"/>
        <v>0</v>
      </c>
      <c r="R643" s="8">
        <f t="shared" si="84"/>
        <v>66</v>
      </c>
      <c r="S643" s="8">
        <f t="shared" ca="1" si="85"/>
        <v>66</v>
      </c>
      <c r="T643">
        <f t="shared" ca="1" si="86"/>
        <v>8.0441288439100358</v>
      </c>
      <c r="U643" s="8">
        <f t="shared" ca="1" si="87"/>
        <v>1</v>
      </c>
      <c r="V643" s="8">
        <f ca="1">RawData[[#This Row],[Z (smoothed demand size)]]/RawData[[#This Row],[X (smoothed interval)]]</f>
        <v>8.0441288439100358</v>
      </c>
    </row>
    <row r="644" spans="1:22">
      <c r="A644" t="s">
        <v>26</v>
      </c>
      <c r="B644" t="s">
        <v>14</v>
      </c>
      <c r="C644">
        <v>28</v>
      </c>
      <c r="D644" t="s">
        <v>22</v>
      </c>
      <c r="E644" t="s">
        <v>16</v>
      </c>
      <c r="F644" s="1">
        <v>44933</v>
      </c>
      <c r="G644">
        <v>8</v>
      </c>
      <c r="H644">
        <v>8</v>
      </c>
      <c r="I644">
        <v>11</v>
      </c>
      <c r="J644">
        <v>3</v>
      </c>
      <c r="K644">
        <v>0</v>
      </c>
      <c r="L644">
        <v>598</v>
      </c>
      <c r="M644">
        <v>30</v>
      </c>
      <c r="N644" s="1">
        <f t="shared" si="80"/>
        <v>44938</v>
      </c>
      <c r="O644" s="1">
        <f t="shared" si="81"/>
        <v>43101</v>
      </c>
      <c r="P644" s="1">
        <f t="shared" si="82"/>
        <v>45108</v>
      </c>
      <c r="Q644" s="8">
        <f t="shared" si="83"/>
        <v>0</v>
      </c>
      <c r="R644" s="8">
        <f t="shared" si="84"/>
        <v>67</v>
      </c>
      <c r="S644" s="8">
        <f t="shared" ca="1" si="85"/>
        <v>67</v>
      </c>
      <c r="T644">
        <f t="shared" ca="1" si="86"/>
        <v>8.035303075128029</v>
      </c>
      <c r="U644" s="8">
        <f t="shared" ca="1" si="87"/>
        <v>1</v>
      </c>
      <c r="V644" s="8">
        <f ca="1">RawData[[#This Row],[Z (smoothed demand size)]]/RawData[[#This Row],[X (smoothed interval)]]</f>
        <v>8.035303075128029</v>
      </c>
    </row>
    <row r="645" spans="1:22">
      <c r="A645" t="s">
        <v>26</v>
      </c>
      <c r="B645" t="s">
        <v>14</v>
      </c>
      <c r="C645">
        <v>28</v>
      </c>
      <c r="D645" t="s">
        <v>22</v>
      </c>
      <c r="E645" t="s">
        <v>16</v>
      </c>
      <c r="F645" s="1">
        <v>44934</v>
      </c>
      <c r="G645">
        <v>10</v>
      </c>
      <c r="H645">
        <v>10</v>
      </c>
      <c r="I645">
        <v>15</v>
      </c>
      <c r="J645">
        <v>5</v>
      </c>
      <c r="K645">
        <v>0</v>
      </c>
      <c r="L645">
        <v>599</v>
      </c>
      <c r="M645">
        <v>60</v>
      </c>
      <c r="N645" s="1">
        <f t="shared" si="80"/>
        <v>44938</v>
      </c>
      <c r="O645" s="1">
        <f t="shared" si="81"/>
        <v>43101</v>
      </c>
      <c r="P645" s="1">
        <f t="shared" si="82"/>
        <v>45139</v>
      </c>
      <c r="Q645" s="8">
        <f t="shared" si="83"/>
        <v>0</v>
      </c>
      <c r="R645" s="8">
        <f t="shared" si="84"/>
        <v>68</v>
      </c>
      <c r="S645" s="8">
        <f t="shared" ca="1" si="85"/>
        <v>68</v>
      </c>
      <c r="T645">
        <f t="shared" ca="1" si="86"/>
        <v>8.4282424601024246</v>
      </c>
      <c r="U645" s="8">
        <f t="shared" ca="1" si="87"/>
        <v>1</v>
      </c>
      <c r="V645" s="8">
        <f ca="1">RawData[[#This Row],[Z (smoothed demand size)]]/RawData[[#This Row],[X (smoothed interval)]]</f>
        <v>8.4282424601024246</v>
      </c>
    </row>
    <row r="646" spans="1:22">
      <c r="A646" t="s">
        <v>26</v>
      </c>
      <c r="B646" t="s">
        <v>14</v>
      </c>
      <c r="C646">
        <v>28</v>
      </c>
      <c r="D646" t="s">
        <v>22</v>
      </c>
      <c r="E646" t="s">
        <v>16</v>
      </c>
      <c r="F646" s="1">
        <v>44935</v>
      </c>
      <c r="G646">
        <v>3</v>
      </c>
      <c r="H646">
        <v>3</v>
      </c>
      <c r="I646">
        <v>5</v>
      </c>
      <c r="J646">
        <v>2</v>
      </c>
      <c r="K646">
        <v>0</v>
      </c>
      <c r="L646">
        <v>519</v>
      </c>
      <c r="M646">
        <v>30</v>
      </c>
      <c r="N646" s="1">
        <f t="shared" si="80"/>
        <v>44938</v>
      </c>
      <c r="O646" s="1">
        <f t="shared" si="81"/>
        <v>43101</v>
      </c>
      <c r="P646" s="1">
        <f t="shared" si="82"/>
        <v>45170</v>
      </c>
      <c r="Q646" s="8">
        <f t="shared" si="83"/>
        <v>0</v>
      </c>
      <c r="R646" s="8">
        <f t="shared" si="84"/>
        <v>69</v>
      </c>
      <c r="S646" s="8">
        <f t="shared" ca="1" si="85"/>
        <v>69</v>
      </c>
      <c r="T646">
        <f t="shared" ca="1" si="86"/>
        <v>7.3425939680819408</v>
      </c>
      <c r="U646" s="8">
        <f t="shared" ca="1" si="87"/>
        <v>1</v>
      </c>
      <c r="V646" s="8">
        <f ca="1">RawData[[#This Row],[Z (smoothed demand size)]]/RawData[[#This Row],[X (smoothed interval)]]</f>
        <v>7.3425939680819408</v>
      </c>
    </row>
    <row r="647" spans="1:22">
      <c r="A647" t="s">
        <v>26</v>
      </c>
      <c r="B647" t="s">
        <v>14</v>
      </c>
      <c r="C647">
        <v>28</v>
      </c>
      <c r="D647" t="s">
        <v>22</v>
      </c>
      <c r="E647" t="s">
        <v>16</v>
      </c>
      <c r="F647" s="1">
        <v>44936</v>
      </c>
      <c r="G647">
        <v>10</v>
      </c>
      <c r="H647">
        <v>10</v>
      </c>
      <c r="I647">
        <v>10</v>
      </c>
      <c r="J647">
        <v>0</v>
      </c>
      <c r="K647">
        <v>0</v>
      </c>
      <c r="L647">
        <v>518</v>
      </c>
      <c r="M647">
        <v>30</v>
      </c>
      <c r="N647" s="1">
        <f t="shared" si="80"/>
        <v>44938</v>
      </c>
      <c r="O647" s="1">
        <f t="shared" si="81"/>
        <v>43101</v>
      </c>
      <c r="P647" s="1">
        <f t="shared" si="82"/>
        <v>45200</v>
      </c>
      <c r="Q647" s="8">
        <f t="shared" si="83"/>
        <v>0</v>
      </c>
      <c r="R647" s="8">
        <f t="shared" si="84"/>
        <v>70</v>
      </c>
      <c r="S647" s="8">
        <f t="shared" ca="1" si="85"/>
        <v>70</v>
      </c>
      <c r="T647">
        <f t="shared" ca="1" si="86"/>
        <v>7.8740751744655526</v>
      </c>
      <c r="U647" s="8">
        <f t="shared" ca="1" si="87"/>
        <v>1</v>
      </c>
      <c r="V647" s="8">
        <f ca="1">RawData[[#This Row],[Z (smoothed demand size)]]/RawData[[#This Row],[X (smoothed interval)]]</f>
        <v>7.8740751744655526</v>
      </c>
    </row>
    <row r="648" spans="1:22">
      <c r="A648" t="s">
        <v>26</v>
      </c>
      <c r="B648" t="s">
        <v>14</v>
      </c>
      <c r="C648">
        <v>28</v>
      </c>
      <c r="D648" t="s">
        <v>22</v>
      </c>
      <c r="E648" t="s">
        <v>16</v>
      </c>
      <c r="F648" s="1">
        <v>44937</v>
      </c>
      <c r="G648">
        <v>6</v>
      </c>
      <c r="H648">
        <v>6</v>
      </c>
      <c r="I648">
        <v>11</v>
      </c>
      <c r="J648">
        <v>5</v>
      </c>
      <c r="K648">
        <v>0</v>
      </c>
      <c r="L648">
        <v>506</v>
      </c>
      <c r="M648">
        <v>60</v>
      </c>
      <c r="N648" s="1">
        <f t="shared" si="80"/>
        <v>44938</v>
      </c>
      <c r="O648" s="1">
        <f t="shared" si="81"/>
        <v>43101</v>
      </c>
      <c r="P648" s="1">
        <f t="shared" si="82"/>
        <v>45231</v>
      </c>
      <c r="Q648" s="8">
        <f t="shared" si="83"/>
        <v>0</v>
      </c>
      <c r="R648" s="8">
        <f t="shared" si="84"/>
        <v>71</v>
      </c>
      <c r="S648" s="8">
        <f t="shared" ca="1" si="85"/>
        <v>71</v>
      </c>
      <c r="T648">
        <f t="shared" ca="1" si="86"/>
        <v>7.499260139572443</v>
      </c>
      <c r="U648" s="8">
        <f t="shared" ca="1" si="87"/>
        <v>1</v>
      </c>
      <c r="V648" s="8">
        <f ca="1">RawData[[#This Row],[Z (smoothed demand size)]]/RawData[[#This Row],[X (smoothed interval)]]</f>
        <v>7.499260139572443</v>
      </c>
    </row>
    <row r="649" spans="1:22">
      <c r="A649" t="s">
        <v>26</v>
      </c>
      <c r="B649" t="s">
        <v>14</v>
      </c>
      <c r="C649">
        <v>28</v>
      </c>
      <c r="D649" t="s">
        <v>22</v>
      </c>
      <c r="E649" t="s">
        <v>16</v>
      </c>
      <c r="F649" s="1">
        <v>44938</v>
      </c>
      <c r="G649">
        <v>9</v>
      </c>
      <c r="H649">
        <v>5</v>
      </c>
      <c r="I649">
        <v>5</v>
      </c>
      <c r="J649">
        <v>0</v>
      </c>
      <c r="K649">
        <v>1</v>
      </c>
      <c r="L649">
        <v>592</v>
      </c>
      <c r="M649">
        <v>60</v>
      </c>
      <c r="N649" s="1">
        <f t="shared" si="80"/>
        <v>44938</v>
      </c>
      <c r="O649" s="1">
        <f t="shared" si="81"/>
        <v>43101</v>
      </c>
      <c r="P649" s="1">
        <f t="shared" si="82"/>
        <v>45261</v>
      </c>
      <c r="Q649" s="8">
        <f t="shared" si="83"/>
        <v>0</v>
      </c>
      <c r="R649" s="8">
        <f t="shared" si="84"/>
        <v>72</v>
      </c>
      <c r="S649" s="8">
        <f t="shared" ca="1" si="85"/>
        <v>72</v>
      </c>
      <c r="T649">
        <f t="shared" ca="1" si="86"/>
        <v>7.7994081116579546</v>
      </c>
      <c r="U649" s="8">
        <f t="shared" ca="1" si="87"/>
        <v>1</v>
      </c>
      <c r="V649" s="8">
        <f ca="1">RawData[[#This Row],[Z (smoothed demand size)]]/RawData[[#This Row],[X (smoothed interval)]]</f>
        <v>7.7994081116579546</v>
      </c>
    </row>
    <row r="650" spans="1:22">
      <c r="A650" t="s">
        <v>27</v>
      </c>
      <c r="B650" t="s">
        <v>14</v>
      </c>
      <c r="C650">
        <v>28</v>
      </c>
      <c r="D650" t="s">
        <v>22</v>
      </c>
      <c r="E650" t="s">
        <v>16</v>
      </c>
      <c r="F650" s="1">
        <v>43101</v>
      </c>
      <c r="G650">
        <v>4</v>
      </c>
      <c r="H650">
        <v>4</v>
      </c>
      <c r="I650">
        <v>26</v>
      </c>
      <c r="J650">
        <v>22</v>
      </c>
      <c r="K650">
        <v>0</v>
      </c>
      <c r="L650">
        <v>532</v>
      </c>
      <c r="M650">
        <v>30</v>
      </c>
      <c r="N650" s="1">
        <f t="shared" si="80"/>
        <v>44938</v>
      </c>
      <c r="O650" s="1">
        <f t="shared" si="81"/>
        <v>43101</v>
      </c>
      <c r="P650" s="1">
        <f t="shared" si="82"/>
        <v>43101</v>
      </c>
      <c r="Q650" s="8">
        <f t="shared" si="83"/>
        <v>1</v>
      </c>
      <c r="R650" s="8">
        <f t="shared" si="84"/>
        <v>1</v>
      </c>
      <c r="S650" s="8">
        <f t="shared" ca="1" si="85"/>
        <v>1</v>
      </c>
      <c r="T650">
        <f t="shared" ca="1" si="86"/>
        <v>4</v>
      </c>
      <c r="U650" s="8">
        <f t="shared" ca="1" si="87"/>
        <v>1</v>
      </c>
      <c r="V650" s="8">
        <f ca="1">RawData[[#This Row],[Z (smoothed demand size)]]/RawData[[#This Row],[X (smoothed interval)]]</f>
        <v>4</v>
      </c>
    </row>
    <row r="651" spans="1:22">
      <c r="A651" t="s">
        <v>27</v>
      </c>
      <c r="B651" t="s">
        <v>14</v>
      </c>
      <c r="C651">
        <v>28</v>
      </c>
      <c r="D651" t="s">
        <v>22</v>
      </c>
      <c r="E651" t="s">
        <v>16</v>
      </c>
      <c r="F651" s="1">
        <v>43102</v>
      </c>
      <c r="G651">
        <v>9</v>
      </c>
      <c r="H651">
        <v>9</v>
      </c>
      <c r="I651">
        <v>22</v>
      </c>
      <c r="J651">
        <v>13</v>
      </c>
      <c r="K651">
        <v>0</v>
      </c>
      <c r="L651">
        <v>535</v>
      </c>
      <c r="M651">
        <v>15</v>
      </c>
      <c r="N651" s="1">
        <f t="shared" si="80"/>
        <v>44938</v>
      </c>
      <c r="O651" s="1">
        <f t="shared" si="81"/>
        <v>43101</v>
      </c>
      <c r="P651" s="1">
        <f t="shared" si="82"/>
        <v>43132</v>
      </c>
      <c r="Q651" s="8">
        <f t="shared" si="83"/>
        <v>0</v>
      </c>
      <c r="R651" s="8">
        <f t="shared" si="84"/>
        <v>2</v>
      </c>
      <c r="S651" s="8">
        <f t="shared" ca="1" si="85"/>
        <v>2</v>
      </c>
      <c r="T651">
        <f t="shared" ca="1" si="86"/>
        <v>5</v>
      </c>
      <c r="U651" s="8">
        <f t="shared" ca="1" si="87"/>
        <v>1</v>
      </c>
      <c r="V651" s="8">
        <f ca="1">RawData[[#This Row],[Z (smoothed demand size)]]/RawData[[#This Row],[X (smoothed interval)]]</f>
        <v>5</v>
      </c>
    </row>
    <row r="652" spans="1:22">
      <c r="A652" t="s">
        <v>27</v>
      </c>
      <c r="B652" t="s">
        <v>14</v>
      </c>
      <c r="C652">
        <v>28</v>
      </c>
      <c r="D652" t="s">
        <v>22</v>
      </c>
      <c r="E652" t="s">
        <v>16</v>
      </c>
      <c r="F652" s="1">
        <v>43103</v>
      </c>
      <c r="G652">
        <v>6</v>
      </c>
      <c r="H652">
        <v>6</v>
      </c>
      <c r="I652">
        <v>13</v>
      </c>
      <c r="J652">
        <v>7</v>
      </c>
      <c r="K652">
        <v>0</v>
      </c>
      <c r="L652">
        <v>532</v>
      </c>
      <c r="M652">
        <v>45</v>
      </c>
      <c r="N652" s="1">
        <f t="shared" si="80"/>
        <v>44938</v>
      </c>
      <c r="O652" s="1">
        <f t="shared" si="81"/>
        <v>43101</v>
      </c>
      <c r="P652" s="1">
        <f t="shared" si="82"/>
        <v>43160</v>
      </c>
      <c r="Q652" s="8">
        <f t="shared" si="83"/>
        <v>0</v>
      </c>
      <c r="R652" s="8">
        <f t="shared" si="84"/>
        <v>3</v>
      </c>
      <c r="S652" s="8">
        <f t="shared" ca="1" si="85"/>
        <v>3</v>
      </c>
      <c r="T652">
        <f t="shared" ca="1" si="86"/>
        <v>5.2</v>
      </c>
      <c r="U652" s="8">
        <f t="shared" ca="1" si="87"/>
        <v>1</v>
      </c>
      <c r="V652" s="8">
        <f ca="1">RawData[[#This Row],[Z (smoothed demand size)]]/RawData[[#This Row],[X (smoothed interval)]]</f>
        <v>5.2</v>
      </c>
    </row>
    <row r="653" spans="1:22">
      <c r="A653" t="s">
        <v>27</v>
      </c>
      <c r="B653" t="s">
        <v>14</v>
      </c>
      <c r="C653">
        <v>28</v>
      </c>
      <c r="D653" t="s">
        <v>22</v>
      </c>
      <c r="E653" t="s">
        <v>16</v>
      </c>
      <c r="F653" s="1">
        <v>43104</v>
      </c>
      <c r="G653">
        <v>8</v>
      </c>
      <c r="H653">
        <v>7</v>
      </c>
      <c r="I653">
        <v>7</v>
      </c>
      <c r="J653">
        <v>0</v>
      </c>
      <c r="K653">
        <v>1</v>
      </c>
      <c r="L653">
        <v>542</v>
      </c>
      <c r="M653">
        <v>60</v>
      </c>
      <c r="N653" s="1">
        <f t="shared" si="80"/>
        <v>44938</v>
      </c>
      <c r="O653" s="1">
        <f t="shared" si="81"/>
        <v>43101</v>
      </c>
      <c r="P653" s="1">
        <f t="shared" si="82"/>
        <v>43191</v>
      </c>
      <c r="Q653" s="8">
        <f t="shared" si="83"/>
        <v>0</v>
      </c>
      <c r="R653" s="8">
        <f t="shared" si="84"/>
        <v>4</v>
      </c>
      <c r="S653" s="8">
        <f t="shared" ca="1" si="85"/>
        <v>4</v>
      </c>
      <c r="T653">
        <f t="shared" ca="1" si="86"/>
        <v>5.76</v>
      </c>
      <c r="U653" s="8">
        <f t="shared" ca="1" si="87"/>
        <v>1</v>
      </c>
      <c r="V653" s="8">
        <f ca="1">RawData[[#This Row],[Z (smoothed demand size)]]/RawData[[#This Row],[X (smoothed interval)]]</f>
        <v>5.76</v>
      </c>
    </row>
    <row r="654" spans="1:22">
      <c r="A654" t="s">
        <v>27</v>
      </c>
      <c r="B654" t="s">
        <v>14</v>
      </c>
      <c r="C654">
        <v>28</v>
      </c>
      <c r="D654" t="s">
        <v>22</v>
      </c>
      <c r="E654" t="s">
        <v>16</v>
      </c>
      <c r="F654" s="1">
        <v>43105</v>
      </c>
      <c r="G654">
        <v>8</v>
      </c>
      <c r="H654">
        <v>8</v>
      </c>
      <c r="I654">
        <v>8</v>
      </c>
      <c r="J654">
        <v>0</v>
      </c>
      <c r="K654">
        <v>0</v>
      </c>
      <c r="L654">
        <v>533</v>
      </c>
      <c r="M654">
        <v>60</v>
      </c>
      <c r="N654" s="1">
        <f t="shared" si="80"/>
        <v>44938</v>
      </c>
      <c r="O654" s="1">
        <f t="shared" si="81"/>
        <v>43101</v>
      </c>
      <c r="P654" s="1">
        <f t="shared" si="82"/>
        <v>43221</v>
      </c>
      <c r="Q654" s="8">
        <f t="shared" si="83"/>
        <v>0</v>
      </c>
      <c r="R654" s="8">
        <f t="shared" si="84"/>
        <v>5</v>
      </c>
      <c r="S654" s="8">
        <f t="shared" ca="1" si="85"/>
        <v>5</v>
      </c>
      <c r="T654">
        <f t="shared" ca="1" si="86"/>
        <v>6.2080000000000002</v>
      </c>
      <c r="U654" s="8">
        <f t="shared" ca="1" si="87"/>
        <v>1</v>
      </c>
      <c r="V654" s="8">
        <f ca="1">RawData[[#This Row],[Z (smoothed demand size)]]/RawData[[#This Row],[X (smoothed interval)]]</f>
        <v>6.2080000000000002</v>
      </c>
    </row>
    <row r="655" spans="1:22">
      <c r="A655" t="s">
        <v>27</v>
      </c>
      <c r="B655" t="s">
        <v>14</v>
      </c>
      <c r="C655">
        <v>28</v>
      </c>
      <c r="D655" t="s">
        <v>22</v>
      </c>
      <c r="E655" t="s">
        <v>16</v>
      </c>
      <c r="F655" s="1">
        <v>43106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615</v>
      </c>
      <c r="M655">
        <v>45</v>
      </c>
      <c r="N655" s="1">
        <f t="shared" si="80"/>
        <v>44938</v>
      </c>
      <c r="O655" s="1">
        <f t="shared" si="81"/>
        <v>43101</v>
      </c>
      <c r="P655" s="1">
        <f t="shared" si="82"/>
        <v>43252</v>
      </c>
      <c r="Q655" s="8">
        <f t="shared" si="83"/>
        <v>0</v>
      </c>
      <c r="R655" s="8">
        <f t="shared" si="84"/>
        <v>6</v>
      </c>
      <c r="S655" s="8">
        <f t="shared" ca="1" si="85"/>
        <v>5</v>
      </c>
      <c r="T655">
        <f t="shared" ca="1" si="86"/>
        <v>6.2080000000000002</v>
      </c>
      <c r="U655" s="8">
        <f t="shared" ca="1" si="87"/>
        <v>1</v>
      </c>
      <c r="V655" s="8">
        <f ca="1">RawData[[#This Row],[Z (smoothed demand size)]]/RawData[[#This Row],[X (smoothed interval)]]</f>
        <v>6.2080000000000002</v>
      </c>
    </row>
    <row r="656" spans="1:22">
      <c r="A656" t="s">
        <v>27</v>
      </c>
      <c r="B656" t="s">
        <v>14</v>
      </c>
      <c r="C656">
        <v>28</v>
      </c>
      <c r="D656" t="s">
        <v>22</v>
      </c>
      <c r="E656" t="s">
        <v>16</v>
      </c>
      <c r="F656" s="1">
        <v>43107</v>
      </c>
      <c r="G656">
        <v>15</v>
      </c>
      <c r="H656">
        <v>11</v>
      </c>
      <c r="I656">
        <v>11</v>
      </c>
      <c r="J656">
        <v>0</v>
      </c>
      <c r="K656">
        <v>1</v>
      </c>
      <c r="L656">
        <v>611</v>
      </c>
      <c r="M656">
        <v>30</v>
      </c>
      <c r="N656" s="1">
        <f t="shared" si="80"/>
        <v>44938</v>
      </c>
      <c r="O656" s="1">
        <f t="shared" si="81"/>
        <v>43101</v>
      </c>
      <c r="P656" s="1">
        <f t="shared" si="82"/>
        <v>43282</v>
      </c>
      <c r="Q656" s="8">
        <f t="shared" si="83"/>
        <v>0</v>
      </c>
      <c r="R656" s="8">
        <f t="shared" si="84"/>
        <v>7</v>
      </c>
      <c r="S656" s="8">
        <f t="shared" ca="1" si="85"/>
        <v>7</v>
      </c>
      <c r="T656">
        <f t="shared" ca="1" si="86"/>
        <v>7.9664000000000001</v>
      </c>
      <c r="U656" s="8">
        <f t="shared" ca="1" si="87"/>
        <v>1.2000000000000002</v>
      </c>
      <c r="V656" s="8">
        <f ca="1">RawData[[#This Row],[Z (smoothed demand size)]]/RawData[[#This Row],[X (smoothed interval)]]</f>
        <v>6.6386666666666656</v>
      </c>
    </row>
    <row r="657" spans="1:22">
      <c r="A657" t="s">
        <v>27</v>
      </c>
      <c r="B657" t="s">
        <v>14</v>
      </c>
      <c r="C657">
        <v>28</v>
      </c>
      <c r="D657" t="s">
        <v>22</v>
      </c>
      <c r="E657" t="s">
        <v>16</v>
      </c>
      <c r="F657" s="1">
        <v>43108</v>
      </c>
      <c r="G657">
        <v>8</v>
      </c>
      <c r="H657">
        <v>7</v>
      </c>
      <c r="I657">
        <v>7</v>
      </c>
      <c r="J657">
        <v>0</v>
      </c>
      <c r="K657">
        <v>1</v>
      </c>
      <c r="L657">
        <v>623</v>
      </c>
      <c r="M657">
        <v>15</v>
      </c>
      <c r="N657" s="1">
        <f t="shared" si="80"/>
        <v>44938</v>
      </c>
      <c r="O657" s="1">
        <f t="shared" si="81"/>
        <v>43101</v>
      </c>
      <c r="P657" s="1">
        <f t="shared" si="82"/>
        <v>43313</v>
      </c>
      <c r="Q657" s="8">
        <f t="shared" si="83"/>
        <v>0</v>
      </c>
      <c r="R657" s="8">
        <f t="shared" si="84"/>
        <v>8</v>
      </c>
      <c r="S657" s="8">
        <f t="shared" ca="1" si="85"/>
        <v>8</v>
      </c>
      <c r="T657">
        <f t="shared" ca="1" si="86"/>
        <v>7.9731199999999998</v>
      </c>
      <c r="U657" s="8">
        <f t="shared" ca="1" si="87"/>
        <v>1.1600000000000001</v>
      </c>
      <c r="V657" s="8">
        <f ca="1">RawData[[#This Row],[Z (smoothed demand size)]]/RawData[[#This Row],[X (smoothed interval)]]</f>
        <v>6.8733793103448262</v>
      </c>
    </row>
    <row r="658" spans="1:22">
      <c r="A658" t="s">
        <v>27</v>
      </c>
      <c r="B658" t="s">
        <v>14</v>
      </c>
      <c r="C658">
        <v>28</v>
      </c>
      <c r="D658" t="s">
        <v>22</v>
      </c>
      <c r="E658" t="s">
        <v>16</v>
      </c>
      <c r="F658" s="1">
        <v>43109</v>
      </c>
      <c r="G658">
        <v>0</v>
      </c>
      <c r="H658">
        <v>0</v>
      </c>
      <c r="I658">
        <v>9</v>
      </c>
      <c r="J658">
        <v>9</v>
      </c>
      <c r="K658">
        <v>0</v>
      </c>
      <c r="L658">
        <v>532</v>
      </c>
      <c r="M658">
        <v>30</v>
      </c>
      <c r="N658" s="1">
        <f t="shared" si="80"/>
        <v>44938</v>
      </c>
      <c r="O658" s="1">
        <f t="shared" si="81"/>
        <v>43101</v>
      </c>
      <c r="P658" s="1">
        <f t="shared" si="82"/>
        <v>43344</v>
      </c>
      <c r="Q658" s="8">
        <f t="shared" si="83"/>
        <v>0</v>
      </c>
      <c r="R658" s="8">
        <f t="shared" si="84"/>
        <v>9</v>
      </c>
      <c r="S658" s="8">
        <f t="shared" ca="1" si="85"/>
        <v>8</v>
      </c>
      <c r="T658">
        <f t="shared" ca="1" si="86"/>
        <v>7.9731199999999998</v>
      </c>
      <c r="U658" s="8">
        <f t="shared" ca="1" si="87"/>
        <v>1.1600000000000001</v>
      </c>
      <c r="V658" s="8">
        <f ca="1">RawData[[#This Row],[Z (smoothed demand size)]]/RawData[[#This Row],[X (smoothed interval)]]</f>
        <v>6.8733793103448262</v>
      </c>
    </row>
    <row r="659" spans="1:22">
      <c r="A659" t="s">
        <v>27</v>
      </c>
      <c r="B659" t="s">
        <v>14</v>
      </c>
      <c r="C659">
        <v>28</v>
      </c>
      <c r="D659" t="s">
        <v>22</v>
      </c>
      <c r="E659" t="s">
        <v>16</v>
      </c>
      <c r="F659" s="1">
        <v>43110</v>
      </c>
      <c r="G659">
        <v>6</v>
      </c>
      <c r="H659">
        <v>6</v>
      </c>
      <c r="I659">
        <v>9</v>
      </c>
      <c r="J659">
        <v>3</v>
      </c>
      <c r="K659">
        <v>0</v>
      </c>
      <c r="L659">
        <v>542</v>
      </c>
      <c r="M659">
        <v>60</v>
      </c>
      <c r="N659" s="1">
        <f t="shared" si="80"/>
        <v>44938</v>
      </c>
      <c r="O659" s="1">
        <f t="shared" si="81"/>
        <v>43101</v>
      </c>
      <c r="P659" s="1">
        <f t="shared" si="82"/>
        <v>43374</v>
      </c>
      <c r="Q659" s="8">
        <f t="shared" si="83"/>
        <v>0</v>
      </c>
      <c r="R659" s="8">
        <f t="shared" si="84"/>
        <v>10</v>
      </c>
      <c r="S659" s="8">
        <f t="shared" ca="1" si="85"/>
        <v>10</v>
      </c>
      <c r="T659">
        <f t="shared" ca="1" si="86"/>
        <v>7.5784960000000003</v>
      </c>
      <c r="U659" s="8">
        <f t="shared" ca="1" si="87"/>
        <v>1.3280000000000003</v>
      </c>
      <c r="V659" s="8">
        <f ca="1">RawData[[#This Row],[Z (smoothed demand size)]]/RawData[[#This Row],[X (smoothed interval)]]</f>
        <v>5.7066987951807215</v>
      </c>
    </row>
    <row r="660" spans="1:22">
      <c r="A660" t="s">
        <v>27</v>
      </c>
      <c r="B660" t="s">
        <v>14</v>
      </c>
      <c r="C660">
        <v>28</v>
      </c>
      <c r="D660" t="s">
        <v>22</v>
      </c>
      <c r="E660" t="s">
        <v>16</v>
      </c>
      <c r="F660" s="1">
        <v>43111</v>
      </c>
      <c r="G660">
        <v>8</v>
      </c>
      <c r="H660">
        <v>3</v>
      </c>
      <c r="I660">
        <v>3</v>
      </c>
      <c r="J660">
        <v>0</v>
      </c>
      <c r="K660">
        <v>1</v>
      </c>
      <c r="L660">
        <v>542</v>
      </c>
      <c r="M660">
        <v>15</v>
      </c>
      <c r="N660" s="1">
        <f t="shared" si="80"/>
        <v>44938</v>
      </c>
      <c r="O660" s="1">
        <f t="shared" si="81"/>
        <v>43101</v>
      </c>
      <c r="P660" s="1">
        <f t="shared" si="82"/>
        <v>43405</v>
      </c>
      <c r="Q660" s="8">
        <f t="shared" si="83"/>
        <v>0</v>
      </c>
      <c r="R660" s="8">
        <f t="shared" si="84"/>
        <v>11</v>
      </c>
      <c r="S660" s="8">
        <f t="shared" ca="1" si="85"/>
        <v>11</v>
      </c>
      <c r="T660">
        <f t="shared" ca="1" si="86"/>
        <v>7.6627968000000006</v>
      </c>
      <c r="U660" s="8">
        <f t="shared" ca="1" si="87"/>
        <v>1.2624000000000002</v>
      </c>
      <c r="V660" s="8">
        <f ca="1">RawData[[#This Row],[Z (smoothed demand size)]]/RawData[[#This Row],[X (smoothed interval)]]</f>
        <v>6.0700228136882126</v>
      </c>
    </row>
    <row r="661" spans="1:22">
      <c r="A661" t="s">
        <v>27</v>
      </c>
      <c r="B661" t="s">
        <v>14</v>
      </c>
      <c r="C661">
        <v>28</v>
      </c>
      <c r="D661" t="s">
        <v>22</v>
      </c>
      <c r="E661" t="s">
        <v>16</v>
      </c>
      <c r="F661" s="1">
        <v>43112</v>
      </c>
      <c r="G661">
        <v>5</v>
      </c>
      <c r="H661">
        <v>5</v>
      </c>
      <c r="I661">
        <v>8</v>
      </c>
      <c r="J661">
        <v>3</v>
      </c>
      <c r="K661">
        <v>0</v>
      </c>
      <c r="L661">
        <v>614</v>
      </c>
      <c r="M661">
        <v>60</v>
      </c>
      <c r="N661" s="1">
        <f t="shared" si="80"/>
        <v>44938</v>
      </c>
      <c r="O661" s="1">
        <f t="shared" si="81"/>
        <v>43101</v>
      </c>
      <c r="P661" s="1">
        <f t="shared" si="82"/>
        <v>43435</v>
      </c>
      <c r="Q661" s="8">
        <f t="shared" si="83"/>
        <v>0</v>
      </c>
      <c r="R661" s="8">
        <f t="shared" si="84"/>
        <v>12</v>
      </c>
      <c r="S661" s="8">
        <f t="shared" ca="1" si="85"/>
        <v>12</v>
      </c>
      <c r="T661">
        <f t="shared" ca="1" si="86"/>
        <v>7.130237440000001</v>
      </c>
      <c r="U661" s="8">
        <f t="shared" ca="1" si="87"/>
        <v>1.2099200000000001</v>
      </c>
      <c r="V661" s="8">
        <f ca="1">RawData[[#This Row],[Z (smoothed demand size)]]/RawData[[#This Row],[X (smoothed interval)]]</f>
        <v>5.8931478444855863</v>
      </c>
    </row>
    <row r="662" spans="1:22">
      <c r="A662" t="s">
        <v>27</v>
      </c>
      <c r="B662" t="s">
        <v>14</v>
      </c>
      <c r="C662">
        <v>28</v>
      </c>
      <c r="D662" t="s">
        <v>22</v>
      </c>
      <c r="E662" t="s">
        <v>16</v>
      </c>
      <c r="F662" s="1">
        <v>43466</v>
      </c>
      <c r="G662">
        <v>6</v>
      </c>
      <c r="H662">
        <v>3</v>
      </c>
      <c r="I662">
        <v>3</v>
      </c>
      <c r="J662">
        <v>0</v>
      </c>
      <c r="K662">
        <v>1</v>
      </c>
      <c r="L662">
        <v>535</v>
      </c>
      <c r="M662">
        <v>30</v>
      </c>
      <c r="N662" s="1">
        <f t="shared" si="80"/>
        <v>44938</v>
      </c>
      <c r="O662" s="1">
        <f t="shared" si="81"/>
        <v>43101</v>
      </c>
      <c r="P662" s="1">
        <f t="shared" si="82"/>
        <v>43466</v>
      </c>
      <c r="Q662" s="8">
        <f t="shared" si="83"/>
        <v>0</v>
      </c>
      <c r="R662" s="8">
        <f t="shared" si="84"/>
        <v>13</v>
      </c>
      <c r="S662" s="8">
        <f t="shared" ca="1" si="85"/>
        <v>13</v>
      </c>
      <c r="T662">
        <f t="shared" ca="1" si="86"/>
        <v>6.9041899520000012</v>
      </c>
      <c r="U662" s="8">
        <f t="shared" ca="1" si="87"/>
        <v>1.1679360000000001</v>
      </c>
      <c r="V662" s="8">
        <f ca="1">RawData[[#This Row],[Z (smoothed demand size)]]/RawData[[#This Row],[X (smoothed interval)]]</f>
        <v>5.9114454490657025</v>
      </c>
    </row>
    <row r="663" spans="1:22">
      <c r="A663" t="s">
        <v>27</v>
      </c>
      <c r="B663" t="s">
        <v>14</v>
      </c>
      <c r="C663">
        <v>28</v>
      </c>
      <c r="D663" t="s">
        <v>22</v>
      </c>
      <c r="E663" t="s">
        <v>16</v>
      </c>
      <c r="F663" s="1">
        <v>43467</v>
      </c>
      <c r="G663">
        <v>7</v>
      </c>
      <c r="H663">
        <v>7</v>
      </c>
      <c r="I663">
        <v>12</v>
      </c>
      <c r="J663">
        <v>5</v>
      </c>
      <c r="K663">
        <v>0</v>
      </c>
      <c r="L663">
        <v>532</v>
      </c>
      <c r="M663">
        <v>15</v>
      </c>
      <c r="N663" s="1">
        <f t="shared" si="80"/>
        <v>44938</v>
      </c>
      <c r="O663" s="1">
        <f t="shared" si="81"/>
        <v>43101</v>
      </c>
      <c r="P663" s="1">
        <f t="shared" si="82"/>
        <v>43497</v>
      </c>
      <c r="Q663" s="8">
        <f t="shared" si="83"/>
        <v>0</v>
      </c>
      <c r="R663" s="8">
        <f t="shared" si="84"/>
        <v>14</v>
      </c>
      <c r="S663" s="8">
        <f t="shared" ca="1" si="85"/>
        <v>14</v>
      </c>
      <c r="T663">
        <f t="shared" ca="1" si="86"/>
        <v>6.9233519616000017</v>
      </c>
      <c r="U663" s="8">
        <f t="shared" ca="1" si="87"/>
        <v>1.1343488000000002</v>
      </c>
      <c r="V663" s="8">
        <f ca="1">RawData[[#This Row],[Z (smoothed demand size)]]/RawData[[#This Row],[X (smoothed interval)]]</f>
        <v>6.1033713453921763</v>
      </c>
    </row>
    <row r="664" spans="1:22">
      <c r="A664" t="s">
        <v>27</v>
      </c>
      <c r="B664" t="s">
        <v>14</v>
      </c>
      <c r="C664">
        <v>28</v>
      </c>
      <c r="D664" t="s">
        <v>22</v>
      </c>
      <c r="E664" t="s">
        <v>16</v>
      </c>
      <c r="F664" s="1">
        <v>43468</v>
      </c>
      <c r="G664">
        <v>0</v>
      </c>
      <c r="H664">
        <v>0</v>
      </c>
      <c r="I664">
        <v>12</v>
      </c>
      <c r="J664">
        <v>12</v>
      </c>
      <c r="K664">
        <v>0</v>
      </c>
      <c r="L664">
        <v>537</v>
      </c>
      <c r="M664">
        <v>45</v>
      </c>
      <c r="N664" s="1">
        <f t="shared" si="80"/>
        <v>44938</v>
      </c>
      <c r="O664" s="1">
        <f t="shared" si="81"/>
        <v>43101</v>
      </c>
      <c r="P664" s="1">
        <f t="shared" si="82"/>
        <v>43525</v>
      </c>
      <c r="Q664" s="8">
        <f t="shared" si="83"/>
        <v>0</v>
      </c>
      <c r="R664" s="8">
        <f t="shared" si="84"/>
        <v>15</v>
      </c>
      <c r="S664" s="8">
        <f t="shared" ca="1" si="85"/>
        <v>14</v>
      </c>
      <c r="T664">
        <f t="shared" ca="1" si="86"/>
        <v>6.9233519616000017</v>
      </c>
      <c r="U664" s="8">
        <f t="shared" ca="1" si="87"/>
        <v>1.1343488000000002</v>
      </c>
      <c r="V664" s="8">
        <f ca="1">RawData[[#This Row],[Z (smoothed demand size)]]/RawData[[#This Row],[X (smoothed interval)]]</f>
        <v>6.1033713453921763</v>
      </c>
    </row>
    <row r="665" spans="1:22">
      <c r="A665" t="s">
        <v>27</v>
      </c>
      <c r="B665" t="s">
        <v>14</v>
      </c>
      <c r="C665">
        <v>28</v>
      </c>
      <c r="D665" t="s">
        <v>22</v>
      </c>
      <c r="E665" t="s">
        <v>16</v>
      </c>
      <c r="F665" s="1">
        <v>43469</v>
      </c>
      <c r="G665">
        <v>8</v>
      </c>
      <c r="H665">
        <v>8</v>
      </c>
      <c r="I665">
        <v>12</v>
      </c>
      <c r="J665">
        <v>4</v>
      </c>
      <c r="K665">
        <v>0</v>
      </c>
      <c r="L665">
        <v>533</v>
      </c>
      <c r="M665">
        <v>60</v>
      </c>
      <c r="N665" s="1">
        <f t="shared" si="80"/>
        <v>44938</v>
      </c>
      <c r="O665" s="1">
        <f t="shared" si="81"/>
        <v>43101</v>
      </c>
      <c r="P665" s="1">
        <f t="shared" si="82"/>
        <v>43556</v>
      </c>
      <c r="Q665" s="8">
        <f t="shared" si="83"/>
        <v>0</v>
      </c>
      <c r="R665" s="8">
        <f t="shared" si="84"/>
        <v>16</v>
      </c>
      <c r="S665" s="8">
        <f t="shared" ca="1" si="85"/>
        <v>16</v>
      </c>
      <c r="T665">
        <f t="shared" ca="1" si="86"/>
        <v>7.138681569280001</v>
      </c>
      <c r="U665" s="8">
        <f t="shared" ca="1" si="87"/>
        <v>1.30747904</v>
      </c>
      <c r="V665" s="8">
        <f ca="1">RawData[[#This Row],[Z (smoothed demand size)]]/RawData[[#This Row],[X (smoothed interval)]]</f>
        <v>5.4598822244064431</v>
      </c>
    </row>
    <row r="666" spans="1:22">
      <c r="A666" t="s">
        <v>27</v>
      </c>
      <c r="B666" t="s">
        <v>14</v>
      </c>
      <c r="C666">
        <v>28</v>
      </c>
      <c r="D666" t="s">
        <v>22</v>
      </c>
      <c r="E666" t="s">
        <v>16</v>
      </c>
      <c r="F666" s="1">
        <v>43470</v>
      </c>
      <c r="G666">
        <v>9</v>
      </c>
      <c r="H666">
        <v>4</v>
      </c>
      <c r="I666">
        <v>4</v>
      </c>
      <c r="J666">
        <v>0</v>
      </c>
      <c r="K666">
        <v>1</v>
      </c>
      <c r="L666">
        <v>532</v>
      </c>
      <c r="M666">
        <v>15</v>
      </c>
      <c r="N666" s="1">
        <f t="shared" si="80"/>
        <v>44938</v>
      </c>
      <c r="O666" s="1">
        <f t="shared" si="81"/>
        <v>43101</v>
      </c>
      <c r="P666" s="1">
        <f t="shared" si="82"/>
        <v>43586</v>
      </c>
      <c r="Q666" s="8">
        <f t="shared" si="83"/>
        <v>0</v>
      </c>
      <c r="R666" s="8">
        <f t="shared" si="84"/>
        <v>17</v>
      </c>
      <c r="S666" s="8">
        <f t="shared" ca="1" si="85"/>
        <v>17</v>
      </c>
      <c r="T666">
        <f t="shared" ca="1" si="86"/>
        <v>7.5109452554240006</v>
      </c>
      <c r="U666" s="8">
        <f t="shared" ca="1" si="87"/>
        <v>1.2459832319999999</v>
      </c>
      <c r="V666" s="8">
        <f ca="1">RawData[[#This Row],[Z (smoothed demand size)]]/RawData[[#This Row],[X (smoothed interval)]]</f>
        <v>6.0281270746860267</v>
      </c>
    </row>
    <row r="667" spans="1:22">
      <c r="A667" t="s">
        <v>27</v>
      </c>
      <c r="B667" t="s">
        <v>14</v>
      </c>
      <c r="C667">
        <v>28</v>
      </c>
      <c r="D667" t="s">
        <v>22</v>
      </c>
      <c r="E667" t="s">
        <v>16</v>
      </c>
      <c r="F667" s="1">
        <v>43471</v>
      </c>
      <c r="G667">
        <v>7</v>
      </c>
      <c r="H667">
        <v>7</v>
      </c>
      <c r="I667">
        <v>9</v>
      </c>
      <c r="J667">
        <v>2</v>
      </c>
      <c r="K667">
        <v>0</v>
      </c>
      <c r="L667">
        <v>615</v>
      </c>
      <c r="M667">
        <v>30</v>
      </c>
      <c r="N667" s="1">
        <f t="shared" si="80"/>
        <v>44938</v>
      </c>
      <c r="O667" s="1">
        <f t="shared" si="81"/>
        <v>43101</v>
      </c>
      <c r="P667" s="1">
        <f t="shared" si="82"/>
        <v>43617</v>
      </c>
      <c r="Q667" s="8">
        <f t="shared" si="83"/>
        <v>0</v>
      </c>
      <c r="R667" s="8">
        <f t="shared" si="84"/>
        <v>18</v>
      </c>
      <c r="S667" s="8">
        <f t="shared" ca="1" si="85"/>
        <v>18</v>
      </c>
      <c r="T667">
        <f t="shared" ca="1" si="86"/>
        <v>7.408756204339201</v>
      </c>
      <c r="U667" s="8">
        <f t="shared" ca="1" si="87"/>
        <v>1.1967865856</v>
      </c>
      <c r="V667" s="8">
        <f ca="1">RawData[[#This Row],[Z (smoothed demand size)]]/RawData[[#This Row],[X (smoothed interval)]]</f>
        <v>6.1905408144467771</v>
      </c>
    </row>
    <row r="668" spans="1:22">
      <c r="A668" t="s">
        <v>27</v>
      </c>
      <c r="B668" t="s">
        <v>14</v>
      </c>
      <c r="C668">
        <v>28</v>
      </c>
      <c r="D668" t="s">
        <v>22</v>
      </c>
      <c r="E668" t="s">
        <v>16</v>
      </c>
      <c r="F668" s="1">
        <v>43472</v>
      </c>
      <c r="G668">
        <v>14</v>
      </c>
      <c r="H668">
        <v>9</v>
      </c>
      <c r="I668">
        <v>9</v>
      </c>
      <c r="J668">
        <v>0</v>
      </c>
      <c r="K668">
        <v>1</v>
      </c>
      <c r="L668">
        <v>605</v>
      </c>
      <c r="M668">
        <v>30</v>
      </c>
      <c r="N668" s="1">
        <f t="shared" si="80"/>
        <v>44938</v>
      </c>
      <c r="O668" s="1">
        <f t="shared" si="81"/>
        <v>43101</v>
      </c>
      <c r="P668" s="1">
        <f t="shared" si="82"/>
        <v>43647</v>
      </c>
      <c r="Q668" s="8">
        <f t="shared" si="83"/>
        <v>0</v>
      </c>
      <c r="R668" s="8">
        <f t="shared" si="84"/>
        <v>19</v>
      </c>
      <c r="S668" s="8">
        <f t="shared" ca="1" si="85"/>
        <v>19</v>
      </c>
      <c r="T668">
        <f t="shared" ca="1" si="86"/>
        <v>8.7270049634713622</v>
      </c>
      <c r="U668" s="8">
        <f t="shared" ca="1" si="87"/>
        <v>1.1574292684800001</v>
      </c>
      <c r="V668" s="8">
        <f ca="1">RawData[[#This Row],[Z (smoothed demand size)]]/RawData[[#This Row],[X (smoothed interval)]]</f>
        <v>7.5399898733614599</v>
      </c>
    </row>
    <row r="669" spans="1:22">
      <c r="A669" t="s">
        <v>27</v>
      </c>
      <c r="B669" t="s">
        <v>14</v>
      </c>
      <c r="C669">
        <v>28</v>
      </c>
      <c r="D669" t="s">
        <v>22</v>
      </c>
      <c r="E669" t="s">
        <v>16</v>
      </c>
      <c r="F669" s="1">
        <v>43473</v>
      </c>
      <c r="G669">
        <v>9</v>
      </c>
      <c r="H669">
        <v>9</v>
      </c>
      <c r="I669">
        <v>9</v>
      </c>
      <c r="J669">
        <v>0</v>
      </c>
      <c r="K669">
        <v>0</v>
      </c>
      <c r="L669">
        <v>614</v>
      </c>
      <c r="M669">
        <v>45</v>
      </c>
      <c r="N669" s="1">
        <f t="shared" si="80"/>
        <v>44938</v>
      </c>
      <c r="O669" s="1">
        <f t="shared" si="81"/>
        <v>43101</v>
      </c>
      <c r="P669" s="1">
        <f t="shared" si="82"/>
        <v>43678</v>
      </c>
      <c r="Q669" s="8">
        <f t="shared" si="83"/>
        <v>0</v>
      </c>
      <c r="R669" s="8">
        <f t="shared" si="84"/>
        <v>20</v>
      </c>
      <c r="S669" s="8">
        <f t="shared" ca="1" si="85"/>
        <v>20</v>
      </c>
      <c r="T669">
        <f t="shared" ca="1" si="86"/>
        <v>8.7816039707770912</v>
      </c>
      <c r="U669" s="8">
        <f t="shared" ca="1" si="87"/>
        <v>1.1259434147840002</v>
      </c>
      <c r="V669" s="8">
        <f ca="1">RawData[[#This Row],[Z (smoothed demand size)]]/RawData[[#This Row],[X (smoothed interval)]]</f>
        <v>7.7993297491435172</v>
      </c>
    </row>
    <row r="670" spans="1:22">
      <c r="A670" t="s">
        <v>27</v>
      </c>
      <c r="B670" t="s">
        <v>14</v>
      </c>
      <c r="C670">
        <v>28</v>
      </c>
      <c r="D670" t="s">
        <v>22</v>
      </c>
      <c r="E670" t="s">
        <v>16</v>
      </c>
      <c r="F670" s="1">
        <v>43474</v>
      </c>
      <c r="G670">
        <v>11</v>
      </c>
      <c r="H670">
        <v>0</v>
      </c>
      <c r="I670">
        <v>0</v>
      </c>
      <c r="J670">
        <v>0</v>
      </c>
      <c r="K670">
        <v>1</v>
      </c>
      <c r="L670">
        <v>538</v>
      </c>
      <c r="M670">
        <v>30</v>
      </c>
      <c r="N670" s="1">
        <f t="shared" si="80"/>
        <v>44938</v>
      </c>
      <c r="O670" s="1">
        <f t="shared" si="81"/>
        <v>43101</v>
      </c>
      <c r="P670" s="1">
        <f t="shared" si="82"/>
        <v>43709</v>
      </c>
      <c r="Q670" s="8">
        <f t="shared" si="83"/>
        <v>0</v>
      </c>
      <c r="R670" s="8">
        <f t="shared" si="84"/>
        <v>21</v>
      </c>
      <c r="S670" s="8">
        <f t="shared" ca="1" si="85"/>
        <v>21</v>
      </c>
      <c r="T670">
        <f t="shared" ca="1" si="86"/>
        <v>9.225283176621673</v>
      </c>
      <c r="U670" s="8">
        <f t="shared" ca="1" si="87"/>
        <v>1.1007547318272002</v>
      </c>
      <c r="V670" s="8">
        <f ca="1">RawData[[#This Row],[Z (smoothed demand size)]]/RawData[[#This Row],[X (smoothed interval)]]</f>
        <v>8.3808707879076252</v>
      </c>
    </row>
    <row r="671" spans="1:22">
      <c r="A671" t="s">
        <v>27</v>
      </c>
      <c r="B671" t="s">
        <v>14</v>
      </c>
      <c r="C671">
        <v>28</v>
      </c>
      <c r="D671" t="s">
        <v>22</v>
      </c>
      <c r="E671" t="s">
        <v>16</v>
      </c>
      <c r="F671" s="1">
        <v>43475</v>
      </c>
      <c r="G671">
        <v>6</v>
      </c>
      <c r="H671">
        <v>6</v>
      </c>
      <c r="I671">
        <v>7</v>
      </c>
      <c r="J671">
        <v>1</v>
      </c>
      <c r="K671">
        <v>0</v>
      </c>
      <c r="L671">
        <v>535</v>
      </c>
      <c r="M671">
        <v>15</v>
      </c>
      <c r="N671" s="1">
        <f t="shared" si="80"/>
        <v>44938</v>
      </c>
      <c r="O671" s="1">
        <f t="shared" si="81"/>
        <v>43101</v>
      </c>
      <c r="P671" s="1">
        <f t="shared" si="82"/>
        <v>43739</v>
      </c>
      <c r="Q671" s="8">
        <f t="shared" si="83"/>
        <v>0</v>
      </c>
      <c r="R671" s="8">
        <f t="shared" si="84"/>
        <v>22</v>
      </c>
      <c r="S671" s="8">
        <f t="shared" ca="1" si="85"/>
        <v>22</v>
      </c>
      <c r="T671">
        <f t="shared" ca="1" si="86"/>
        <v>8.5802265412973391</v>
      </c>
      <c r="U671" s="8">
        <f t="shared" ca="1" si="87"/>
        <v>1.0806037854617603</v>
      </c>
      <c r="V671" s="8">
        <f ca="1">RawData[[#This Row],[Z (smoothed demand size)]]/RawData[[#This Row],[X (smoothed interval)]]</f>
        <v>7.9402151433616002</v>
      </c>
    </row>
    <row r="672" spans="1:22">
      <c r="A672" t="s">
        <v>27</v>
      </c>
      <c r="B672" t="s">
        <v>14</v>
      </c>
      <c r="C672">
        <v>28</v>
      </c>
      <c r="D672" t="s">
        <v>22</v>
      </c>
      <c r="E672" t="s">
        <v>16</v>
      </c>
      <c r="F672" s="1">
        <v>43476</v>
      </c>
      <c r="G672">
        <v>6</v>
      </c>
      <c r="H672">
        <v>6</v>
      </c>
      <c r="I672">
        <v>10</v>
      </c>
      <c r="J672">
        <v>4</v>
      </c>
      <c r="K672">
        <v>0</v>
      </c>
      <c r="L672">
        <v>539</v>
      </c>
      <c r="M672">
        <v>60</v>
      </c>
      <c r="N672" s="1">
        <f t="shared" si="80"/>
        <v>44938</v>
      </c>
      <c r="O672" s="1">
        <f t="shared" si="81"/>
        <v>43101</v>
      </c>
      <c r="P672" s="1">
        <f t="shared" si="82"/>
        <v>43770</v>
      </c>
      <c r="Q672" s="8">
        <f t="shared" si="83"/>
        <v>0</v>
      </c>
      <c r="R672" s="8">
        <f t="shared" si="84"/>
        <v>23</v>
      </c>
      <c r="S672" s="8">
        <f t="shared" ca="1" si="85"/>
        <v>23</v>
      </c>
      <c r="T672">
        <f t="shared" ca="1" si="86"/>
        <v>8.0641812330378713</v>
      </c>
      <c r="U672" s="8">
        <f t="shared" ca="1" si="87"/>
        <v>1.0644830283694082</v>
      </c>
      <c r="V672" s="8">
        <f ca="1">RawData[[#This Row],[Z (smoothed demand size)]]/RawData[[#This Row],[X (smoothed interval)]]</f>
        <v>7.5756785388966792</v>
      </c>
    </row>
    <row r="673" spans="1:22">
      <c r="A673" t="s">
        <v>27</v>
      </c>
      <c r="B673" t="s">
        <v>14</v>
      </c>
      <c r="C673">
        <v>28</v>
      </c>
      <c r="D673" t="s">
        <v>22</v>
      </c>
      <c r="E673" t="s">
        <v>16</v>
      </c>
      <c r="F673" s="1">
        <v>43477</v>
      </c>
      <c r="G673">
        <v>7</v>
      </c>
      <c r="H673">
        <v>4</v>
      </c>
      <c r="I673">
        <v>4</v>
      </c>
      <c r="J673">
        <v>0</v>
      </c>
      <c r="K673">
        <v>1</v>
      </c>
      <c r="L673">
        <v>612</v>
      </c>
      <c r="M673">
        <v>60</v>
      </c>
      <c r="N673" s="1">
        <f t="shared" si="80"/>
        <v>44938</v>
      </c>
      <c r="O673" s="1">
        <f t="shared" si="81"/>
        <v>43101</v>
      </c>
      <c r="P673" s="1">
        <f t="shared" si="82"/>
        <v>43800</v>
      </c>
      <c r="Q673" s="8">
        <f t="shared" si="83"/>
        <v>0</v>
      </c>
      <c r="R673" s="8">
        <f t="shared" si="84"/>
        <v>24</v>
      </c>
      <c r="S673" s="8">
        <f t="shared" ca="1" si="85"/>
        <v>24</v>
      </c>
      <c r="T673">
        <f t="shared" ca="1" si="86"/>
        <v>7.8513449864302975</v>
      </c>
      <c r="U673" s="8">
        <f t="shared" ca="1" si="87"/>
        <v>1.0515864226955267</v>
      </c>
      <c r="V673" s="8">
        <f ca="1">RawData[[#This Row],[Z (smoothed demand size)]]/RawData[[#This Row],[X (smoothed interval)]]</f>
        <v>7.4661909064068936</v>
      </c>
    </row>
    <row r="674" spans="1:22">
      <c r="A674" t="s">
        <v>27</v>
      </c>
      <c r="B674" t="s">
        <v>14</v>
      </c>
      <c r="C674">
        <v>28</v>
      </c>
      <c r="D674" t="s">
        <v>22</v>
      </c>
      <c r="E674" t="s">
        <v>16</v>
      </c>
      <c r="F674" s="1">
        <v>43831</v>
      </c>
      <c r="G674">
        <v>4</v>
      </c>
      <c r="H674">
        <v>4</v>
      </c>
      <c r="I674">
        <v>11</v>
      </c>
      <c r="J674">
        <v>7</v>
      </c>
      <c r="K674">
        <v>0</v>
      </c>
      <c r="L674">
        <v>530</v>
      </c>
      <c r="M674">
        <v>15</v>
      </c>
      <c r="N674" s="1">
        <f t="shared" si="80"/>
        <v>44938</v>
      </c>
      <c r="O674" s="1">
        <f t="shared" si="81"/>
        <v>43101</v>
      </c>
      <c r="P674" s="1">
        <f t="shared" si="82"/>
        <v>43831</v>
      </c>
      <c r="Q674" s="8">
        <f t="shared" si="83"/>
        <v>0</v>
      </c>
      <c r="R674" s="8">
        <f t="shared" si="84"/>
        <v>25</v>
      </c>
      <c r="S674" s="8">
        <f t="shared" ca="1" si="85"/>
        <v>25</v>
      </c>
      <c r="T674">
        <f t="shared" ca="1" si="86"/>
        <v>7.0810759891442379</v>
      </c>
      <c r="U674" s="8">
        <f t="shared" ca="1" si="87"/>
        <v>1.0412691381564214</v>
      </c>
      <c r="V674" s="8">
        <f ca="1">RawData[[#This Row],[Z (smoothed demand size)]]/RawData[[#This Row],[X (smoothed interval)]]</f>
        <v>6.8004281790982128</v>
      </c>
    </row>
    <row r="675" spans="1:22">
      <c r="A675" t="s">
        <v>27</v>
      </c>
      <c r="B675" t="s">
        <v>14</v>
      </c>
      <c r="C675">
        <v>28</v>
      </c>
      <c r="D675" t="s">
        <v>22</v>
      </c>
      <c r="E675" t="s">
        <v>16</v>
      </c>
      <c r="F675" s="1">
        <v>43832</v>
      </c>
      <c r="G675">
        <v>7</v>
      </c>
      <c r="H675">
        <v>7</v>
      </c>
      <c r="I675">
        <v>18</v>
      </c>
      <c r="J675">
        <v>11</v>
      </c>
      <c r="K675">
        <v>0</v>
      </c>
      <c r="L675">
        <v>527</v>
      </c>
      <c r="M675">
        <v>60</v>
      </c>
      <c r="N675" s="1">
        <f t="shared" si="80"/>
        <v>44938</v>
      </c>
      <c r="O675" s="1">
        <f t="shared" si="81"/>
        <v>43101</v>
      </c>
      <c r="P675" s="1">
        <f t="shared" si="82"/>
        <v>43862</v>
      </c>
      <c r="Q675" s="8">
        <f t="shared" si="83"/>
        <v>0</v>
      </c>
      <c r="R675" s="8">
        <f t="shared" si="84"/>
        <v>26</v>
      </c>
      <c r="S675" s="8">
        <f t="shared" ca="1" si="85"/>
        <v>26</v>
      </c>
      <c r="T675">
        <f t="shared" ca="1" si="86"/>
        <v>7.0648607913153914</v>
      </c>
      <c r="U675" s="8">
        <f t="shared" ca="1" si="87"/>
        <v>1.0330153105251372</v>
      </c>
      <c r="V675" s="8">
        <f ca="1">RawData[[#This Row],[Z (smoothed demand size)]]/RawData[[#This Row],[X (smoothed interval)]]</f>
        <v>6.8390668747435539</v>
      </c>
    </row>
    <row r="676" spans="1:22">
      <c r="A676" t="s">
        <v>27</v>
      </c>
      <c r="B676" t="s">
        <v>14</v>
      </c>
      <c r="C676">
        <v>28</v>
      </c>
      <c r="D676" t="s">
        <v>22</v>
      </c>
      <c r="E676" t="s">
        <v>16</v>
      </c>
      <c r="F676" s="1">
        <v>43833</v>
      </c>
      <c r="G676">
        <v>10</v>
      </c>
      <c r="H676">
        <v>10</v>
      </c>
      <c r="I676">
        <v>11</v>
      </c>
      <c r="J676">
        <v>1</v>
      </c>
      <c r="K676">
        <v>0</v>
      </c>
      <c r="L676">
        <v>531</v>
      </c>
      <c r="M676">
        <v>45</v>
      </c>
      <c r="N676" s="1">
        <f t="shared" si="80"/>
        <v>44938</v>
      </c>
      <c r="O676" s="1">
        <f t="shared" si="81"/>
        <v>43101</v>
      </c>
      <c r="P676" s="1">
        <f t="shared" si="82"/>
        <v>43891</v>
      </c>
      <c r="Q676" s="8">
        <f t="shared" si="83"/>
        <v>0</v>
      </c>
      <c r="R676" s="8">
        <f t="shared" si="84"/>
        <v>27</v>
      </c>
      <c r="S676" s="8">
        <f t="shared" ca="1" si="85"/>
        <v>27</v>
      </c>
      <c r="T676">
        <f t="shared" ca="1" si="86"/>
        <v>7.6518886330523133</v>
      </c>
      <c r="U676" s="8">
        <f t="shared" ca="1" si="87"/>
        <v>1.0264122484201097</v>
      </c>
      <c r="V676" s="8">
        <f ca="1">RawData[[#This Row],[Z (smoothed demand size)]]/RawData[[#This Row],[X (smoothed interval)]]</f>
        <v>7.4549856988070564</v>
      </c>
    </row>
    <row r="677" spans="1:22">
      <c r="A677" t="s">
        <v>27</v>
      </c>
      <c r="B677" t="s">
        <v>14</v>
      </c>
      <c r="C677">
        <v>28</v>
      </c>
      <c r="D677" t="s">
        <v>22</v>
      </c>
      <c r="E677" t="s">
        <v>16</v>
      </c>
      <c r="F677" s="1">
        <v>43834</v>
      </c>
      <c r="G677">
        <v>5</v>
      </c>
      <c r="H677">
        <v>1</v>
      </c>
      <c r="I677">
        <v>1</v>
      </c>
      <c r="J677">
        <v>0</v>
      </c>
      <c r="K677">
        <v>1</v>
      </c>
      <c r="L677">
        <v>543</v>
      </c>
      <c r="M677">
        <v>15</v>
      </c>
      <c r="N677" s="1">
        <f t="shared" si="80"/>
        <v>44938</v>
      </c>
      <c r="O677" s="1">
        <f t="shared" si="81"/>
        <v>43101</v>
      </c>
      <c r="P677" s="1">
        <f t="shared" si="82"/>
        <v>43922</v>
      </c>
      <c r="Q677" s="8">
        <f t="shared" si="83"/>
        <v>0</v>
      </c>
      <c r="R677" s="8">
        <f t="shared" si="84"/>
        <v>28</v>
      </c>
      <c r="S677" s="8">
        <f t="shared" ca="1" si="85"/>
        <v>28</v>
      </c>
      <c r="T677">
        <f t="shared" ca="1" si="86"/>
        <v>7.1215109064418511</v>
      </c>
      <c r="U677" s="8">
        <f t="shared" ca="1" si="87"/>
        <v>1.0211297987360879</v>
      </c>
      <c r="V677" s="8">
        <f ca="1">RawData[[#This Row],[Z (smoothed demand size)]]/RawData[[#This Row],[X (smoothed interval)]]</f>
        <v>6.9741485511994279</v>
      </c>
    </row>
    <row r="678" spans="1:22">
      <c r="A678" t="s">
        <v>27</v>
      </c>
      <c r="B678" t="s">
        <v>14</v>
      </c>
      <c r="C678">
        <v>28</v>
      </c>
      <c r="D678" t="s">
        <v>22</v>
      </c>
      <c r="E678" t="s">
        <v>16</v>
      </c>
      <c r="F678" s="1">
        <v>43835</v>
      </c>
      <c r="G678">
        <v>8</v>
      </c>
      <c r="H678">
        <v>8</v>
      </c>
      <c r="I678">
        <v>11</v>
      </c>
      <c r="J678">
        <v>3</v>
      </c>
      <c r="K678">
        <v>0</v>
      </c>
      <c r="L678">
        <v>534</v>
      </c>
      <c r="M678">
        <v>45</v>
      </c>
      <c r="N678" s="1">
        <f t="shared" si="80"/>
        <v>44938</v>
      </c>
      <c r="O678" s="1">
        <f t="shared" si="81"/>
        <v>43101</v>
      </c>
      <c r="P678" s="1">
        <f t="shared" si="82"/>
        <v>43952</v>
      </c>
      <c r="Q678" s="8">
        <f t="shared" si="83"/>
        <v>0</v>
      </c>
      <c r="R678" s="8">
        <f t="shared" si="84"/>
        <v>29</v>
      </c>
      <c r="S678" s="8">
        <f t="shared" ca="1" si="85"/>
        <v>29</v>
      </c>
      <c r="T678">
        <f t="shared" ca="1" si="86"/>
        <v>7.2972087251534816</v>
      </c>
      <c r="U678" s="8">
        <f t="shared" ca="1" si="87"/>
        <v>1.0169038389888703</v>
      </c>
      <c r="V678" s="8">
        <f ca="1">RawData[[#This Row],[Z (smoothed demand size)]]/RawData[[#This Row],[X (smoothed interval)]]</f>
        <v>7.1759083262083623</v>
      </c>
    </row>
    <row r="679" spans="1:22">
      <c r="A679" t="s">
        <v>27</v>
      </c>
      <c r="B679" t="s">
        <v>14</v>
      </c>
      <c r="C679">
        <v>28</v>
      </c>
      <c r="D679" t="s">
        <v>22</v>
      </c>
      <c r="E679" t="s">
        <v>16</v>
      </c>
      <c r="F679" s="1">
        <v>43836</v>
      </c>
      <c r="G679">
        <v>7</v>
      </c>
      <c r="H679">
        <v>3</v>
      </c>
      <c r="I679">
        <v>3</v>
      </c>
      <c r="J679">
        <v>0</v>
      </c>
      <c r="K679">
        <v>1</v>
      </c>
      <c r="L679">
        <v>609</v>
      </c>
      <c r="M679">
        <v>15</v>
      </c>
      <c r="N679" s="1">
        <f t="shared" si="80"/>
        <v>44938</v>
      </c>
      <c r="O679" s="1">
        <f t="shared" si="81"/>
        <v>43101</v>
      </c>
      <c r="P679" s="1">
        <f t="shared" si="82"/>
        <v>43983</v>
      </c>
      <c r="Q679" s="8">
        <f t="shared" si="83"/>
        <v>0</v>
      </c>
      <c r="R679" s="8">
        <f t="shared" si="84"/>
        <v>30</v>
      </c>
      <c r="S679" s="8">
        <f t="shared" ca="1" si="85"/>
        <v>30</v>
      </c>
      <c r="T679">
        <f t="shared" ca="1" si="86"/>
        <v>7.2377669801227862</v>
      </c>
      <c r="U679" s="8">
        <f t="shared" ca="1" si="87"/>
        <v>1.0135230711910963</v>
      </c>
      <c r="V679" s="8">
        <f ca="1">RawData[[#This Row],[Z (smoothed demand size)]]/RawData[[#This Row],[X (smoothed interval)]]</f>
        <v>7.1411960771814833</v>
      </c>
    </row>
    <row r="680" spans="1:22">
      <c r="A680" t="s">
        <v>27</v>
      </c>
      <c r="B680" t="s">
        <v>14</v>
      </c>
      <c r="C680">
        <v>28</v>
      </c>
      <c r="D680" t="s">
        <v>22</v>
      </c>
      <c r="E680" t="s">
        <v>16</v>
      </c>
      <c r="F680" s="1">
        <v>43837</v>
      </c>
      <c r="G680">
        <v>7</v>
      </c>
      <c r="H680">
        <v>7</v>
      </c>
      <c r="I680">
        <v>12</v>
      </c>
      <c r="J680">
        <v>5</v>
      </c>
      <c r="K680">
        <v>0</v>
      </c>
      <c r="L680">
        <v>607</v>
      </c>
      <c r="M680">
        <v>30</v>
      </c>
      <c r="N680" s="1">
        <f t="shared" si="80"/>
        <v>44938</v>
      </c>
      <c r="O680" s="1">
        <f t="shared" si="81"/>
        <v>43101</v>
      </c>
      <c r="P680" s="1">
        <f t="shared" si="82"/>
        <v>44013</v>
      </c>
      <c r="Q680" s="8">
        <f t="shared" si="83"/>
        <v>0</v>
      </c>
      <c r="R680" s="8">
        <f t="shared" si="84"/>
        <v>31</v>
      </c>
      <c r="S680" s="8">
        <f t="shared" ca="1" si="85"/>
        <v>31</v>
      </c>
      <c r="T680">
        <f t="shared" ca="1" si="86"/>
        <v>7.1902135840982293</v>
      </c>
      <c r="U680" s="8">
        <f t="shared" ca="1" si="87"/>
        <v>1.0108184569528771</v>
      </c>
      <c r="V680" s="8">
        <f ca="1">RawData[[#This Row],[Z (smoothed demand size)]]/RawData[[#This Row],[X (smoothed interval)]]</f>
        <v>7.1132590967652138</v>
      </c>
    </row>
    <row r="681" spans="1:22">
      <c r="A681" t="s">
        <v>27</v>
      </c>
      <c r="B681" t="s">
        <v>14</v>
      </c>
      <c r="C681">
        <v>28</v>
      </c>
      <c r="D681" t="s">
        <v>22</v>
      </c>
      <c r="E681" t="s">
        <v>16</v>
      </c>
      <c r="F681" s="1">
        <v>43838</v>
      </c>
      <c r="G681">
        <v>11</v>
      </c>
      <c r="H681">
        <v>11</v>
      </c>
      <c r="I681">
        <v>14</v>
      </c>
      <c r="J681">
        <v>3</v>
      </c>
      <c r="K681">
        <v>0</v>
      </c>
      <c r="L681">
        <v>603</v>
      </c>
      <c r="M681">
        <v>15</v>
      </c>
      <c r="N681" s="1">
        <f t="shared" si="80"/>
        <v>44938</v>
      </c>
      <c r="O681" s="1">
        <f t="shared" si="81"/>
        <v>43101</v>
      </c>
      <c r="P681" s="1">
        <f t="shared" si="82"/>
        <v>44044</v>
      </c>
      <c r="Q681" s="8">
        <f t="shared" si="83"/>
        <v>0</v>
      </c>
      <c r="R681" s="8">
        <f t="shared" si="84"/>
        <v>32</v>
      </c>
      <c r="S681" s="8">
        <f t="shared" ca="1" si="85"/>
        <v>32</v>
      </c>
      <c r="T681">
        <f t="shared" ca="1" si="86"/>
        <v>7.9521708672785838</v>
      </c>
      <c r="U681" s="8">
        <f t="shared" ca="1" si="87"/>
        <v>1.0086547655623017</v>
      </c>
      <c r="V681" s="8">
        <f ca="1">RawData[[#This Row],[Z (smoothed demand size)]]/RawData[[#This Row],[X (smoothed interval)]]</f>
        <v>7.8839372387691364</v>
      </c>
    </row>
    <row r="682" spans="1:22">
      <c r="A682" t="s">
        <v>27</v>
      </c>
      <c r="B682" t="s">
        <v>14</v>
      </c>
      <c r="C682">
        <v>28</v>
      </c>
      <c r="D682" t="s">
        <v>22</v>
      </c>
      <c r="E682" t="s">
        <v>16</v>
      </c>
      <c r="F682" s="1">
        <v>43839</v>
      </c>
      <c r="G682">
        <v>9</v>
      </c>
      <c r="H682">
        <v>9</v>
      </c>
      <c r="I682">
        <v>10</v>
      </c>
      <c r="J682">
        <v>1</v>
      </c>
      <c r="K682">
        <v>0</v>
      </c>
      <c r="L682">
        <v>528</v>
      </c>
      <c r="M682">
        <v>30</v>
      </c>
      <c r="N682" s="1">
        <f t="shared" si="80"/>
        <v>44938</v>
      </c>
      <c r="O682" s="1">
        <f t="shared" si="81"/>
        <v>43101</v>
      </c>
      <c r="P682" s="1">
        <f t="shared" si="82"/>
        <v>44075</v>
      </c>
      <c r="Q682" s="8">
        <f t="shared" si="83"/>
        <v>0</v>
      </c>
      <c r="R682" s="8">
        <f t="shared" si="84"/>
        <v>33</v>
      </c>
      <c r="S682" s="8">
        <f t="shared" ca="1" si="85"/>
        <v>33</v>
      </c>
      <c r="T682">
        <f t="shared" ca="1" si="86"/>
        <v>8.161736693822867</v>
      </c>
      <c r="U682" s="8">
        <f t="shared" ca="1" si="87"/>
        <v>1.0069238124498414</v>
      </c>
      <c r="V682" s="8">
        <f ca="1">RawData[[#This Row],[Z (smoothed demand size)]]/RawData[[#This Row],[X (smoothed interval)]]</f>
        <v>8.1056149362138896</v>
      </c>
    </row>
    <row r="683" spans="1:22">
      <c r="A683" t="s">
        <v>27</v>
      </c>
      <c r="B683" t="s">
        <v>14</v>
      </c>
      <c r="C683">
        <v>28</v>
      </c>
      <c r="D683" t="s">
        <v>22</v>
      </c>
      <c r="E683" t="s">
        <v>16</v>
      </c>
      <c r="F683" s="1">
        <v>43840</v>
      </c>
      <c r="G683">
        <v>5</v>
      </c>
      <c r="H683">
        <v>5</v>
      </c>
      <c r="I683">
        <v>8</v>
      </c>
      <c r="J683">
        <v>3</v>
      </c>
      <c r="K683">
        <v>0</v>
      </c>
      <c r="L683">
        <v>537</v>
      </c>
      <c r="M683">
        <v>45</v>
      </c>
      <c r="N683" s="1">
        <f t="shared" si="80"/>
        <v>44938</v>
      </c>
      <c r="O683" s="1">
        <f t="shared" si="81"/>
        <v>43101</v>
      </c>
      <c r="P683" s="1">
        <f t="shared" si="82"/>
        <v>44105</v>
      </c>
      <c r="Q683" s="8">
        <f t="shared" si="83"/>
        <v>0</v>
      </c>
      <c r="R683" s="8">
        <f t="shared" si="84"/>
        <v>34</v>
      </c>
      <c r="S683" s="8">
        <f t="shared" ca="1" si="85"/>
        <v>34</v>
      </c>
      <c r="T683">
        <f t="shared" ca="1" si="86"/>
        <v>7.529389355058294</v>
      </c>
      <c r="U683" s="8">
        <f t="shared" ca="1" si="87"/>
        <v>1.0055390499598731</v>
      </c>
      <c r="V683" s="8">
        <f ca="1">RawData[[#This Row],[Z (smoothed demand size)]]/RawData[[#This Row],[X (smoothed interval)]]</f>
        <v>7.4879134284827238</v>
      </c>
    </row>
    <row r="684" spans="1:22">
      <c r="A684" t="s">
        <v>27</v>
      </c>
      <c r="B684" t="s">
        <v>14</v>
      </c>
      <c r="C684">
        <v>28</v>
      </c>
      <c r="D684" t="s">
        <v>22</v>
      </c>
      <c r="E684" t="s">
        <v>16</v>
      </c>
      <c r="F684" s="1">
        <v>43841</v>
      </c>
      <c r="G684">
        <v>12</v>
      </c>
      <c r="H684">
        <v>3</v>
      </c>
      <c r="I684">
        <v>3</v>
      </c>
      <c r="J684">
        <v>0</v>
      </c>
      <c r="K684">
        <v>1</v>
      </c>
      <c r="L684">
        <v>531</v>
      </c>
      <c r="M684">
        <v>15</v>
      </c>
      <c r="N684" s="1">
        <f t="shared" si="80"/>
        <v>44938</v>
      </c>
      <c r="O684" s="1">
        <f t="shared" si="81"/>
        <v>43101</v>
      </c>
      <c r="P684" s="1">
        <f t="shared" si="82"/>
        <v>44136</v>
      </c>
      <c r="Q684" s="8">
        <f t="shared" si="83"/>
        <v>0</v>
      </c>
      <c r="R684" s="8">
        <f t="shared" si="84"/>
        <v>35</v>
      </c>
      <c r="S684" s="8">
        <f t="shared" ca="1" si="85"/>
        <v>35</v>
      </c>
      <c r="T684">
        <f t="shared" ca="1" si="86"/>
        <v>8.4235114840466352</v>
      </c>
      <c r="U684" s="8">
        <f t="shared" ca="1" si="87"/>
        <v>1.0044312399678985</v>
      </c>
      <c r="V684" s="8">
        <f ca="1">RawData[[#This Row],[Z (smoothed demand size)]]/RawData[[#This Row],[X (smoothed interval)]]</f>
        <v>8.3863495567061914</v>
      </c>
    </row>
    <row r="685" spans="1:22">
      <c r="A685" t="s">
        <v>27</v>
      </c>
      <c r="B685" t="s">
        <v>14</v>
      </c>
      <c r="C685">
        <v>28</v>
      </c>
      <c r="D685" t="s">
        <v>22</v>
      </c>
      <c r="E685" t="s">
        <v>16</v>
      </c>
      <c r="F685" s="1">
        <v>43842</v>
      </c>
      <c r="G685">
        <v>9</v>
      </c>
      <c r="H685">
        <v>7</v>
      </c>
      <c r="I685">
        <v>7</v>
      </c>
      <c r="J685">
        <v>0</v>
      </c>
      <c r="K685">
        <v>1</v>
      </c>
      <c r="L685">
        <v>607</v>
      </c>
      <c r="M685">
        <v>45</v>
      </c>
      <c r="N685" s="1">
        <f t="shared" si="80"/>
        <v>44938</v>
      </c>
      <c r="O685" s="1">
        <f t="shared" si="81"/>
        <v>43101</v>
      </c>
      <c r="P685" s="1">
        <f t="shared" si="82"/>
        <v>44166</v>
      </c>
      <c r="Q685" s="8">
        <f t="shared" si="83"/>
        <v>0</v>
      </c>
      <c r="R685" s="8">
        <f t="shared" si="84"/>
        <v>36</v>
      </c>
      <c r="S685" s="8">
        <f t="shared" ca="1" si="85"/>
        <v>36</v>
      </c>
      <c r="T685">
        <f t="shared" ca="1" si="86"/>
        <v>8.5388091872373089</v>
      </c>
      <c r="U685" s="8">
        <f t="shared" ca="1" si="87"/>
        <v>1.0035449919743189</v>
      </c>
      <c r="V685" s="8">
        <f ca="1">RawData[[#This Row],[Z (smoothed demand size)]]/RawData[[#This Row],[X (smoothed interval)]]</f>
        <v>8.5086461050824713</v>
      </c>
    </row>
    <row r="686" spans="1:22">
      <c r="A686" t="s">
        <v>27</v>
      </c>
      <c r="B686" t="s">
        <v>14</v>
      </c>
      <c r="C686">
        <v>28</v>
      </c>
      <c r="D686" t="s">
        <v>22</v>
      </c>
      <c r="E686" t="s">
        <v>16</v>
      </c>
      <c r="F686" s="1">
        <v>44197</v>
      </c>
      <c r="G686">
        <v>8</v>
      </c>
      <c r="H686">
        <v>0</v>
      </c>
      <c r="I686">
        <v>0</v>
      </c>
      <c r="J686">
        <v>0</v>
      </c>
      <c r="K686">
        <v>1</v>
      </c>
      <c r="L686">
        <v>527</v>
      </c>
      <c r="M686">
        <v>30</v>
      </c>
      <c r="N686" s="1">
        <f t="shared" si="80"/>
        <v>44938</v>
      </c>
      <c r="O686" s="1">
        <f t="shared" si="81"/>
        <v>43101</v>
      </c>
      <c r="P686" s="1">
        <f t="shared" si="82"/>
        <v>44197</v>
      </c>
      <c r="Q686" s="8">
        <f t="shared" si="83"/>
        <v>0</v>
      </c>
      <c r="R686" s="8">
        <f t="shared" si="84"/>
        <v>37</v>
      </c>
      <c r="S686" s="8">
        <f t="shared" ca="1" si="85"/>
        <v>37</v>
      </c>
      <c r="T686">
        <f t="shared" ca="1" si="86"/>
        <v>8.4310473497898482</v>
      </c>
      <c r="U686" s="8">
        <f t="shared" ca="1" si="87"/>
        <v>1.0028359935794551</v>
      </c>
      <c r="V686" s="8">
        <f ca="1">RawData[[#This Row],[Z (smoothed demand size)]]/RawData[[#This Row],[X (smoothed interval)]]</f>
        <v>8.4072045716036143</v>
      </c>
    </row>
    <row r="687" spans="1:22">
      <c r="A687" t="s">
        <v>27</v>
      </c>
      <c r="B687" t="s">
        <v>14</v>
      </c>
      <c r="C687">
        <v>28</v>
      </c>
      <c r="D687" t="s">
        <v>22</v>
      </c>
      <c r="E687" t="s">
        <v>16</v>
      </c>
      <c r="F687" s="1">
        <v>44198</v>
      </c>
      <c r="G687">
        <v>16</v>
      </c>
      <c r="H687">
        <v>8</v>
      </c>
      <c r="I687">
        <v>8</v>
      </c>
      <c r="J687">
        <v>0</v>
      </c>
      <c r="K687">
        <v>1</v>
      </c>
      <c r="L687">
        <v>535</v>
      </c>
      <c r="M687">
        <v>30</v>
      </c>
      <c r="N687" s="1">
        <f t="shared" si="80"/>
        <v>44938</v>
      </c>
      <c r="O687" s="1">
        <f t="shared" si="81"/>
        <v>43101</v>
      </c>
      <c r="P687" s="1">
        <f t="shared" si="82"/>
        <v>44228</v>
      </c>
      <c r="Q687" s="8">
        <f t="shared" si="83"/>
        <v>0</v>
      </c>
      <c r="R687" s="8">
        <f t="shared" si="84"/>
        <v>38</v>
      </c>
      <c r="S687" s="8">
        <f t="shared" ca="1" si="85"/>
        <v>38</v>
      </c>
      <c r="T687">
        <f t="shared" ca="1" si="86"/>
        <v>9.9448378798318799</v>
      </c>
      <c r="U687" s="8">
        <f t="shared" ca="1" si="87"/>
        <v>1.002268794863564</v>
      </c>
      <c r="V687" s="8">
        <f ca="1">RawData[[#This Row],[Z (smoothed demand size)]]/RawData[[#This Row],[X (smoothed interval)]]</f>
        <v>9.9223261572117902</v>
      </c>
    </row>
    <row r="688" spans="1:22">
      <c r="A688" t="s">
        <v>27</v>
      </c>
      <c r="B688" t="s">
        <v>14</v>
      </c>
      <c r="C688">
        <v>28</v>
      </c>
      <c r="D688" t="s">
        <v>22</v>
      </c>
      <c r="E688" t="s">
        <v>16</v>
      </c>
      <c r="F688" s="1">
        <v>44199</v>
      </c>
      <c r="G688">
        <v>10</v>
      </c>
      <c r="H688">
        <v>9</v>
      </c>
      <c r="I688">
        <v>9</v>
      </c>
      <c r="J688">
        <v>0</v>
      </c>
      <c r="K688">
        <v>1</v>
      </c>
      <c r="L688">
        <v>531</v>
      </c>
      <c r="M688">
        <v>30</v>
      </c>
      <c r="N688" s="1">
        <f t="shared" si="80"/>
        <v>44938</v>
      </c>
      <c r="O688" s="1">
        <f t="shared" si="81"/>
        <v>43101</v>
      </c>
      <c r="P688" s="1">
        <f t="shared" si="82"/>
        <v>44256</v>
      </c>
      <c r="Q688" s="8">
        <f t="shared" si="83"/>
        <v>0</v>
      </c>
      <c r="R688" s="8">
        <f t="shared" si="84"/>
        <v>39</v>
      </c>
      <c r="S688" s="8">
        <f t="shared" ca="1" si="85"/>
        <v>39</v>
      </c>
      <c r="T688">
        <f t="shared" ca="1" si="86"/>
        <v>9.9558703038655043</v>
      </c>
      <c r="U688" s="8">
        <f t="shared" ca="1" si="87"/>
        <v>1.0018150358908513</v>
      </c>
      <c r="V688" s="8">
        <f ca="1">RawData[[#This Row],[Z (smoothed demand size)]]/RawData[[#This Row],[X (smoothed interval)]]</f>
        <v>9.9378327806912719</v>
      </c>
    </row>
    <row r="689" spans="1:22">
      <c r="A689" t="s">
        <v>27</v>
      </c>
      <c r="B689" t="s">
        <v>14</v>
      </c>
      <c r="C689">
        <v>28</v>
      </c>
      <c r="D689" t="s">
        <v>22</v>
      </c>
      <c r="E689" t="s">
        <v>16</v>
      </c>
      <c r="F689" s="1">
        <v>44200</v>
      </c>
      <c r="G689">
        <v>8</v>
      </c>
      <c r="H689">
        <v>7</v>
      </c>
      <c r="I689">
        <v>7</v>
      </c>
      <c r="J689">
        <v>0</v>
      </c>
      <c r="K689">
        <v>1</v>
      </c>
      <c r="L689">
        <v>528</v>
      </c>
      <c r="M689">
        <v>15</v>
      </c>
      <c r="N689" s="1">
        <f t="shared" si="80"/>
        <v>44938</v>
      </c>
      <c r="O689" s="1">
        <f t="shared" si="81"/>
        <v>43101</v>
      </c>
      <c r="P689" s="1">
        <f t="shared" si="82"/>
        <v>44287</v>
      </c>
      <c r="Q689" s="8">
        <f t="shared" si="83"/>
        <v>0</v>
      </c>
      <c r="R689" s="8">
        <f t="shared" si="84"/>
        <v>40</v>
      </c>
      <c r="S689" s="8">
        <f t="shared" ca="1" si="85"/>
        <v>40</v>
      </c>
      <c r="T689">
        <f t="shared" ca="1" si="86"/>
        <v>9.5646962430924045</v>
      </c>
      <c r="U689" s="8">
        <f t="shared" ca="1" si="87"/>
        <v>1.0014520287126811</v>
      </c>
      <c r="V689" s="8">
        <f ca="1">RawData[[#This Row],[Z (smoothed demand size)]]/RawData[[#This Row],[X (smoothed interval)]]</f>
        <v>9.5508281663649583</v>
      </c>
    </row>
    <row r="690" spans="1:22">
      <c r="A690" t="s">
        <v>27</v>
      </c>
      <c r="B690" t="s">
        <v>14</v>
      </c>
      <c r="C690">
        <v>28</v>
      </c>
      <c r="D690" t="s">
        <v>22</v>
      </c>
      <c r="E690" t="s">
        <v>16</v>
      </c>
      <c r="F690" s="1">
        <v>44201</v>
      </c>
      <c r="G690">
        <v>9</v>
      </c>
      <c r="H690">
        <v>9</v>
      </c>
      <c r="I690">
        <v>9</v>
      </c>
      <c r="J690">
        <v>0</v>
      </c>
      <c r="K690">
        <v>0</v>
      </c>
      <c r="L690">
        <v>530</v>
      </c>
      <c r="M690">
        <v>45</v>
      </c>
      <c r="N690" s="1">
        <f t="shared" si="80"/>
        <v>44938</v>
      </c>
      <c r="O690" s="1">
        <f t="shared" si="81"/>
        <v>43101</v>
      </c>
      <c r="P690" s="1">
        <f t="shared" si="82"/>
        <v>44317</v>
      </c>
      <c r="Q690" s="8">
        <f t="shared" si="83"/>
        <v>0</v>
      </c>
      <c r="R690" s="8">
        <f t="shared" si="84"/>
        <v>41</v>
      </c>
      <c r="S690" s="8">
        <f t="shared" ca="1" si="85"/>
        <v>41</v>
      </c>
      <c r="T690">
        <f t="shared" ca="1" si="86"/>
        <v>9.451756994473925</v>
      </c>
      <c r="U690" s="8">
        <f t="shared" ca="1" si="87"/>
        <v>1.001161622970145</v>
      </c>
      <c r="V690" s="8">
        <f ca="1">RawData[[#This Row],[Z (smoothed demand size)]]/RawData[[#This Row],[X (smoothed interval)]]</f>
        <v>9.4407903555406065</v>
      </c>
    </row>
    <row r="691" spans="1:22">
      <c r="A691" t="s">
        <v>27</v>
      </c>
      <c r="B691" t="s">
        <v>14</v>
      </c>
      <c r="C691">
        <v>28</v>
      </c>
      <c r="D691" t="s">
        <v>22</v>
      </c>
      <c r="E691" t="s">
        <v>16</v>
      </c>
      <c r="F691" s="1">
        <v>44202</v>
      </c>
      <c r="G691">
        <v>7</v>
      </c>
      <c r="H691">
        <v>0</v>
      </c>
      <c r="I691">
        <v>0</v>
      </c>
      <c r="J691">
        <v>0</v>
      </c>
      <c r="K691">
        <v>1</v>
      </c>
      <c r="L691">
        <v>624</v>
      </c>
      <c r="M691">
        <v>15</v>
      </c>
      <c r="N691" s="1">
        <f t="shared" si="80"/>
        <v>44938</v>
      </c>
      <c r="O691" s="1">
        <f t="shared" si="81"/>
        <v>43101</v>
      </c>
      <c r="P691" s="1">
        <f t="shared" si="82"/>
        <v>44348</v>
      </c>
      <c r="Q691" s="8">
        <f t="shared" si="83"/>
        <v>0</v>
      </c>
      <c r="R691" s="8">
        <f t="shared" si="84"/>
        <v>42</v>
      </c>
      <c r="S691" s="8">
        <f t="shared" ca="1" si="85"/>
        <v>42</v>
      </c>
      <c r="T691">
        <f t="shared" ca="1" si="86"/>
        <v>8.9614055955791407</v>
      </c>
      <c r="U691" s="8">
        <f t="shared" ca="1" si="87"/>
        <v>1.000929298376116</v>
      </c>
      <c r="V691" s="8">
        <f ca="1">RawData[[#This Row],[Z (smoothed demand size)]]/RawData[[#This Row],[X (smoothed interval)]]</f>
        <v>8.9530855077555564</v>
      </c>
    </row>
    <row r="692" spans="1:22">
      <c r="A692" t="s">
        <v>27</v>
      </c>
      <c r="B692" t="s">
        <v>14</v>
      </c>
      <c r="C692">
        <v>28</v>
      </c>
      <c r="D692" t="s">
        <v>22</v>
      </c>
      <c r="E692" t="s">
        <v>16</v>
      </c>
      <c r="F692" s="1">
        <v>44203</v>
      </c>
      <c r="G692">
        <v>8</v>
      </c>
      <c r="H692">
        <v>8</v>
      </c>
      <c r="I692">
        <v>11</v>
      </c>
      <c r="J692">
        <v>3</v>
      </c>
      <c r="K692">
        <v>0</v>
      </c>
      <c r="L692">
        <v>618</v>
      </c>
      <c r="M692">
        <v>15</v>
      </c>
      <c r="N692" s="1">
        <f t="shared" si="80"/>
        <v>44938</v>
      </c>
      <c r="O692" s="1">
        <f t="shared" si="81"/>
        <v>43101</v>
      </c>
      <c r="P692" s="1">
        <f t="shared" si="82"/>
        <v>44378</v>
      </c>
      <c r="Q692" s="8">
        <f t="shared" si="83"/>
        <v>0</v>
      </c>
      <c r="R692" s="8">
        <f t="shared" si="84"/>
        <v>43</v>
      </c>
      <c r="S692" s="8">
        <f t="shared" ca="1" si="85"/>
        <v>43</v>
      </c>
      <c r="T692">
        <f t="shared" ca="1" si="86"/>
        <v>8.7691244764633129</v>
      </c>
      <c r="U692" s="8">
        <f t="shared" ca="1" si="87"/>
        <v>1.0007434387008929</v>
      </c>
      <c r="V692" s="8">
        <f ca="1">RawData[[#This Row],[Z (smoothed demand size)]]/RawData[[#This Row],[X (smoothed interval)]]</f>
        <v>8.7626100130587741</v>
      </c>
    </row>
    <row r="693" spans="1:22">
      <c r="A693" t="s">
        <v>27</v>
      </c>
      <c r="B693" t="s">
        <v>14</v>
      </c>
      <c r="C693">
        <v>28</v>
      </c>
      <c r="D693" t="s">
        <v>22</v>
      </c>
      <c r="E693" t="s">
        <v>16</v>
      </c>
      <c r="F693" s="1">
        <v>44204</v>
      </c>
      <c r="G693">
        <v>11</v>
      </c>
      <c r="H693">
        <v>11</v>
      </c>
      <c r="I693">
        <v>13</v>
      </c>
      <c r="J693">
        <v>2</v>
      </c>
      <c r="K693">
        <v>0</v>
      </c>
      <c r="L693">
        <v>620</v>
      </c>
      <c r="M693">
        <v>60</v>
      </c>
      <c r="N693" s="1">
        <f t="shared" si="80"/>
        <v>44938</v>
      </c>
      <c r="O693" s="1">
        <f t="shared" si="81"/>
        <v>43101</v>
      </c>
      <c r="P693" s="1">
        <f t="shared" si="82"/>
        <v>44409</v>
      </c>
      <c r="Q693" s="8">
        <f t="shared" si="83"/>
        <v>0</v>
      </c>
      <c r="R693" s="8">
        <f t="shared" si="84"/>
        <v>44</v>
      </c>
      <c r="S693" s="8">
        <f t="shared" ca="1" si="85"/>
        <v>44</v>
      </c>
      <c r="T693">
        <f t="shared" ca="1" si="86"/>
        <v>9.2152995811706511</v>
      </c>
      <c r="U693" s="8">
        <f t="shared" ca="1" si="87"/>
        <v>1.0005947509607143</v>
      </c>
      <c r="V693" s="8">
        <f ca="1">RawData[[#This Row],[Z (smoothed demand size)]]/RawData[[#This Row],[X (smoothed interval)]]</f>
        <v>9.209822030669903</v>
      </c>
    </row>
    <row r="694" spans="1:22">
      <c r="A694" t="s">
        <v>27</v>
      </c>
      <c r="B694" t="s">
        <v>14</v>
      </c>
      <c r="C694">
        <v>28</v>
      </c>
      <c r="D694" t="s">
        <v>22</v>
      </c>
      <c r="E694" t="s">
        <v>16</v>
      </c>
      <c r="F694" s="1">
        <v>44205</v>
      </c>
      <c r="G694">
        <v>5</v>
      </c>
      <c r="H694">
        <v>2</v>
      </c>
      <c r="I694">
        <v>2</v>
      </c>
      <c r="J694">
        <v>0</v>
      </c>
      <c r="K694">
        <v>1</v>
      </c>
      <c r="L694">
        <v>522</v>
      </c>
      <c r="M694">
        <v>15</v>
      </c>
      <c r="N694" s="1">
        <f t="shared" si="80"/>
        <v>44938</v>
      </c>
      <c r="O694" s="1">
        <f t="shared" si="81"/>
        <v>43101</v>
      </c>
      <c r="P694" s="1">
        <f t="shared" si="82"/>
        <v>44440</v>
      </c>
      <c r="Q694" s="8">
        <f t="shared" si="83"/>
        <v>0</v>
      </c>
      <c r="R694" s="8">
        <f t="shared" si="84"/>
        <v>45</v>
      </c>
      <c r="S694" s="8">
        <f t="shared" ca="1" si="85"/>
        <v>45</v>
      </c>
      <c r="T694">
        <f t="shared" ca="1" si="86"/>
        <v>8.3722396649365223</v>
      </c>
      <c r="U694" s="8">
        <f t="shared" ca="1" si="87"/>
        <v>1.0004758007685715</v>
      </c>
      <c r="V694" s="8">
        <f ca="1">RawData[[#This Row],[Z (smoothed demand size)]]/RawData[[#This Row],[X (smoothed interval)]]</f>
        <v>8.3682580413288541</v>
      </c>
    </row>
    <row r="695" spans="1:22">
      <c r="A695" t="s">
        <v>27</v>
      </c>
      <c r="B695" t="s">
        <v>14</v>
      </c>
      <c r="C695">
        <v>28</v>
      </c>
      <c r="D695" t="s">
        <v>22</v>
      </c>
      <c r="E695" t="s">
        <v>16</v>
      </c>
      <c r="F695" s="1">
        <v>44206</v>
      </c>
      <c r="G695">
        <v>8</v>
      </c>
      <c r="H695">
        <v>8</v>
      </c>
      <c r="I695">
        <v>8</v>
      </c>
      <c r="J695">
        <v>0</v>
      </c>
      <c r="K695">
        <v>0</v>
      </c>
      <c r="L695">
        <v>530</v>
      </c>
      <c r="M695">
        <v>30</v>
      </c>
      <c r="N695" s="1">
        <f t="shared" si="80"/>
        <v>44938</v>
      </c>
      <c r="O695" s="1">
        <f t="shared" si="81"/>
        <v>43101</v>
      </c>
      <c r="P695" s="1">
        <f t="shared" si="82"/>
        <v>44470</v>
      </c>
      <c r="Q695" s="8">
        <f t="shared" si="83"/>
        <v>0</v>
      </c>
      <c r="R695" s="8">
        <f t="shared" si="84"/>
        <v>46</v>
      </c>
      <c r="S695" s="8">
        <f t="shared" ca="1" si="85"/>
        <v>46</v>
      </c>
      <c r="T695">
        <f t="shared" ca="1" si="86"/>
        <v>8.2977917319492178</v>
      </c>
      <c r="U695" s="8">
        <f t="shared" ca="1" si="87"/>
        <v>1.0003806406148572</v>
      </c>
      <c r="V695" s="8">
        <f ca="1">RawData[[#This Row],[Z (smoothed demand size)]]/RawData[[#This Row],[X (smoothed interval)]]</f>
        <v>8.2946344571894173</v>
      </c>
    </row>
    <row r="696" spans="1:22">
      <c r="A696" t="s">
        <v>27</v>
      </c>
      <c r="B696" t="s">
        <v>14</v>
      </c>
      <c r="C696">
        <v>28</v>
      </c>
      <c r="D696" t="s">
        <v>22</v>
      </c>
      <c r="E696" t="s">
        <v>16</v>
      </c>
      <c r="F696" s="1">
        <v>44207</v>
      </c>
      <c r="G696">
        <v>8</v>
      </c>
      <c r="H696">
        <v>8</v>
      </c>
      <c r="I696">
        <v>10</v>
      </c>
      <c r="J696">
        <v>2</v>
      </c>
      <c r="K696">
        <v>0</v>
      </c>
      <c r="L696">
        <v>528</v>
      </c>
      <c r="M696">
        <v>45</v>
      </c>
      <c r="N696" s="1">
        <f t="shared" si="80"/>
        <v>44938</v>
      </c>
      <c r="O696" s="1">
        <f t="shared" si="81"/>
        <v>43101</v>
      </c>
      <c r="P696" s="1">
        <f t="shared" si="82"/>
        <v>44501</v>
      </c>
      <c r="Q696" s="8">
        <f t="shared" si="83"/>
        <v>0</v>
      </c>
      <c r="R696" s="8">
        <f t="shared" si="84"/>
        <v>47</v>
      </c>
      <c r="S696" s="8">
        <f t="shared" ca="1" si="85"/>
        <v>47</v>
      </c>
      <c r="T696">
        <f t="shared" ca="1" si="86"/>
        <v>8.2382333855593739</v>
      </c>
      <c r="U696" s="8">
        <f t="shared" ca="1" si="87"/>
        <v>1.0003045124918859</v>
      </c>
      <c r="V696" s="8">
        <f ca="1">RawData[[#This Row],[Z (smoothed demand size)]]/RawData[[#This Row],[X (smoothed interval)]]</f>
        <v>8.2357255042635824</v>
      </c>
    </row>
    <row r="697" spans="1:22">
      <c r="A697" t="s">
        <v>27</v>
      </c>
      <c r="B697" t="s">
        <v>14</v>
      </c>
      <c r="C697">
        <v>28</v>
      </c>
      <c r="D697" t="s">
        <v>22</v>
      </c>
      <c r="E697" t="s">
        <v>16</v>
      </c>
      <c r="F697" s="1">
        <v>44208</v>
      </c>
      <c r="G697">
        <v>6</v>
      </c>
      <c r="H697">
        <v>2</v>
      </c>
      <c r="I697">
        <v>2</v>
      </c>
      <c r="J697">
        <v>0</v>
      </c>
      <c r="K697">
        <v>1</v>
      </c>
      <c r="L697">
        <v>614</v>
      </c>
      <c r="M697">
        <v>45</v>
      </c>
      <c r="N697" s="1">
        <f t="shared" si="80"/>
        <v>44938</v>
      </c>
      <c r="O697" s="1">
        <f t="shared" si="81"/>
        <v>43101</v>
      </c>
      <c r="P697" s="1">
        <f t="shared" si="82"/>
        <v>44531</v>
      </c>
      <c r="Q697" s="8">
        <f t="shared" si="83"/>
        <v>0</v>
      </c>
      <c r="R697" s="8">
        <f t="shared" si="84"/>
        <v>48</v>
      </c>
      <c r="S697" s="8">
        <f t="shared" ca="1" si="85"/>
        <v>48</v>
      </c>
      <c r="T697">
        <f t="shared" ca="1" si="86"/>
        <v>7.7905867084475</v>
      </c>
      <c r="U697" s="8">
        <f t="shared" ca="1" si="87"/>
        <v>1.0002436099935088</v>
      </c>
      <c r="V697" s="8">
        <f ca="1">RawData[[#This Row],[Z (smoothed demand size)]]/RawData[[#This Row],[X (smoothed interval)]]</f>
        <v>7.7886893058962485</v>
      </c>
    </row>
    <row r="698" spans="1:22">
      <c r="A698" t="s">
        <v>27</v>
      </c>
      <c r="B698" t="s">
        <v>14</v>
      </c>
      <c r="C698">
        <v>28</v>
      </c>
      <c r="D698" t="s">
        <v>22</v>
      </c>
      <c r="E698" t="s">
        <v>16</v>
      </c>
      <c r="F698" s="1">
        <v>44562</v>
      </c>
      <c r="G698">
        <v>0</v>
      </c>
      <c r="H698">
        <v>0</v>
      </c>
      <c r="I698">
        <v>7</v>
      </c>
      <c r="J698">
        <v>7</v>
      </c>
      <c r="K698">
        <v>0</v>
      </c>
      <c r="L698">
        <v>535</v>
      </c>
      <c r="M698">
        <v>30</v>
      </c>
      <c r="N698" s="1">
        <f t="shared" si="80"/>
        <v>44938</v>
      </c>
      <c r="O698" s="1">
        <f t="shared" si="81"/>
        <v>43101</v>
      </c>
      <c r="P698" s="1">
        <f t="shared" si="82"/>
        <v>44562</v>
      </c>
      <c r="Q698" s="8">
        <f t="shared" si="83"/>
        <v>0</v>
      </c>
      <c r="R698" s="8">
        <f t="shared" si="84"/>
        <v>49</v>
      </c>
      <c r="S698" s="8">
        <f t="shared" ca="1" si="85"/>
        <v>48</v>
      </c>
      <c r="T698">
        <f t="shared" ca="1" si="86"/>
        <v>7.7905867084475</v>
      </c>
      <c r="U698" s="8">
        <f t="shared" ca="1" si="87"/>
        <v>1.0002436099935088</v>
      </c>
      <c r="V698" s="8">
        <f ca="1">RawData[[#This Row],[Z (smoothed demand size)]]/RawData[[#This Row],[X (smoothed interval)]]</f>
        <v>7.7886893058962485</v>
      </c>
    </row>
    <row r="699" spans="1:22">
      <c r="A699" t="s">
        <v>27</v>
      </c>
      <c r="B699" t="s">
        <v>14</v>
      </c>
      <c r="C699">
        <v>28</v>
      </c>
      <c r="D699" t="s">
        <v>22</v>
      </c>
      <c r="E699" t="s">
        <v>16</v>
      </c>
      <c r="F699" s="1">
        <v>44563</v>
      </c>
      <c r="G699">
        <v>9</v>
      </c>
      <c r="H699">
        <v>9</v>
      </c>
      <c r="I699">
        <v>14</v>
      </c>
      <c r="J699">
        <v>5</v>
      </c>
      <c r="K699">
        <v>0</v>
      </c>
      <c r="L699">
        <v>531</v>
      </c>
      <c r="M699">
        <v>60</v>
      </c>
      <c r="N699" s="1">
        <f t="shared" si="80"/>
        <v>44938</v>
      </c>
      <c r="O699" s="1">
        <f t="shared" si="81"/>
        <v>43101</v>
      </c>
      <c r="P699" s="1">
        <f t="shared" si="82"/>
        <v>44593</v>
      </c>
      <c r="Q699" s="8">
        <f t="shared" si="83"/>
        <v>0</v>
      </c>
      <c r="R699" s="8">
        <f t="shared" si="84"/>
        <v>50</v>
      </c>
      <c r="S699" s="8">
        <f t="shared" ca="1" si="85"/>
        <v>50</v>
      </c>
      <c r="T699">
        <f t="shared" ca="1" si="86"/>
        <v>8.0324693667580007</v>
      </c>
      <c r="U699" s="8">
        <f t="shared" ca="1" si="87"/>
        <v>1.2001948879948072</v>
      </c>
      <c r="V699" s="8">
        <f ca="1">RawData[[#This Row],[Z (smoothed demand size)]]/RawData[[#This Row],[X (smoothed interval)]]</f>
        <v>6.6926375433726681</v>
      </c>
    </row>
    <row r="700" spans="1:22">
      <c r="A700" t="s">
        <v>27</v>
      </c>
      <c r="B700" t="s">
        <v>14</v>
      </c>
      <c r="C700">
        <v>28</v>
      </c>
      <c r="D700" t="s">
        <v>22</v>
      </c>
      <c r="E700" t="s">
        <v>16</v>
      </c>
      <c r="F700" s="1">
        <v>44564</v>
      </c>
      <c r="G700">
        <v>6</v>
      </c>
      <c r="H700">
        <v>5</v>
      </c>
      <c r="I700">
        <v>5</v>
      </c>
      <c r="J700">
        <v>0</v>
      </c>
      <c r="K700">
        <v>1</v>
      </c>
      <c r="L700">
        <v>525</v>
      </c>
      <c r="M700">
        <v>30</v>
      </c>
      <c r="N700" s="1">
        <f t="shared" si="80"/>
        <v>44938</v>
      </c>
      <c r="O700" s="1">
        <f t="shared" si="81"/>
        <v>43101</v>
      </c>
      <c r="P700" s="1">
        <f t="shared" si="82"/>
        <v>44621</v>
      </c>
      <c r="Q700" s="8">
        <f t="shared" si="83"/>
        <v>0</v>
      </c>
      <c r="R700" s="8">
        <f t="shared" si="84"/>
        <v>51</v>
      </c>
      <c r="S700" s="8">
        <f t="shared" ca="1" si="85"/>
        <v>51</v>
      </c>
      <c r="T700">
        <f t="shared" ca="1" si="86"/>
        <v>7.6259754934064015</v>
      </c>
      <c r="U700" s="8">
        <f t="shared" ca="1" si="87"/>
        <v>1.1601559103958459</v>
      </c>
      <c r="V700" s="8">
        <f ca="1">RawData[[#This Row],[Z (smoothed demand size)]]/RawData[[#This Row],[X (smoothed interval)]]</f>
        <v>6.5732333258591202</v>
      </c>
    </row>
    <row r="701" spans="1:22">
      <c r="A701" t="s">
        <v>27</v>
      </c>
      <c r="B701" t="s">
        <v>14</v>
      </c>
      <c r="C701">
        <v>28</v>
      </c>
      <c r="D701" t="s">
        <v>22</v>
      </c>
      <c r="E701" t="s">
        <v>16</v>
      </c>
      <c r="F701" s="1">
        <v>44565</v>
      </c>
      <c r="G701">
        <v>9</v>
      </c>
      <c r="H701">
        <v>9</v>
      </c>
      <c r="I701">
        <v>10</v>
      </c>
      <c r="J701">
        <v>1</v>
      </c>
      <c r="K701">
        <v>0</v>
      </c>
      <c r="L701">
        <v>526</v>
      </c>
      <c r="M701">
        <v>60</v>
      </c>
      <c r="N701" s="1">
        <f t="shared" si="80"/>
        <v>44938</v>
      </c>
      <c r="O701" s="1">
        <f t="shared" si="81"/>
        <v>43101</v>
      </c>
      <c r="P701" s="1">
        <f t="shared" si="82"/>
        <v>44652</v>
      </c>
      <c r="Q701" s="8">
        <f t="shared" si="83"/>
        <v>0</v>
      </c>
      <c r="R701" s="8">
        <f t="shared" si="84"/>
        <v>52</v>
      </c>
      <c r="S701" s="8">
        <f t="shared" ca="1" si="85"/>
        <v>52</v>
      </c>
      <c r="T701">
        <f t="shared" ca="1" si="86"/>
        <v>7.9007803947251212</v>
      </c>
      <c r="U701" s="8">
        <f t="shared" ca="1" si="87"/>
        <v>1.1281247283166767</v>
      </c>
      <c r="V701" s="8">
        <f ca="1">RawData[[#This Row],[Z (smoothed demand size)]]/RawData[[#This Row],[X (smoothed interval)]]</f>
        <v>7.0034635323650916</v>
      </c>
    </row>
    <row r="702" spans="1:22">
      <c r="A702" t="s">
        <v>27</v>
      </c>
      <c r="B702" t="s">
        <v>14</v>
      </c>
      <c r="C702">
        <v>28</v>
      </c>
      <c r="D702" t="s">
        <v>22</v>
      </c>
      <c r="E702" t="s">
        <v>16</v>
      </c>
      <c r="F702" s="1">
        <v>44566</v>
      </c>
      <c r="G702">
        <v>6</v>
      </c>
      <c r="H702">
        <v>1</v>
      </c>
      <c r="I702">
        <v>1</v>
      </c>
      <c r="J702">
        <v>0</v>
      </c>
      <c r="K702">
        <v>1</v>
      </c>
      <c r="L702">
        <v>533</v>
      </c>
      <c r="M702">
        <v>15</v>
      </c>
      <c r="N702" s="1">
        <f t="shared" si="80"/>
        <v>44938</v>
      </c>
      <c r="O702" s="1">
        <f t="shared" si="81"/>
        <v>43101</v>
      </c>
      <c r="P702" s="1">
        <f t="shared" si="82"/>
        <v>44682</v>
      </c>
      <c r="Q702" s="8">
        <f t="shared" si="83"/>
        <v>0</v>
      </c>
      <c r="R702" s="8">
        <f t="shared" si="84"/>
        <v>53</v>
      </c>
      <c r="S702" s="8">
        <f t="shared" ca="1" si="85"/>
        <v>53</v>
      </c>
      <c r="T702">
        <f t="shared" ca="1" si="86"/>
        <v>7.5206243157800978</v>
      </c>
      <c r="U702" s="8">
        <f t="shared" ca="1" si="87"/>
        <v>1.1024997826533414</v>
      </c>
      <c r="V702" s="8">
        <f ca="1">RawData[[#This Row],[Z (smoothed demand size)]]/RawData[[#This Row],[X (smoothed interval)]]</f>
        <v>6.8214292955963378</v>
      </c>
    </row>
    <row r="703" spans="1:22">
      <c r="A703" t="s">
        <v>27</v>
      </c>
      <c r="B703" t="s">
        <v>14</v>
      </c>
      <c r="C703">
        <v>28</v>
      </c>
      <c r="D703" t="s">
        <v>22</v>
      </c>
      <c r="E703" t="s">
        <v>16</v>
      </c>
      <c r="F703" s="1">
        <v>44567</v>
      </c>
      <c r="G703">
        <v>6</v>
      </c>
      <c r="H703">
        <v>6</v>
      </c>
      <c r="I703">
        <v>11</v>
      </c>
      <c r="J703">
        <v>5</v>
      </c>
      <c r="K703">
        <v>0</v>
      </c>
      <c r="L703">
        <v>613</v>
      </c>
      <c r="M703">
        <v>60</v>
      </c>
      <c r="N703" s="1">
        <f t="shared" si="80"/>
        <v>44938</v>
      </c>
      <c r="O703" s="1">
        <f t="shared" si="81"/>
        <v>43101</v>
      </c>
      <c r="P703" s="1">
        <f t="shared" si="82"/>
        <v>44713</v>
      </c>
      <c r="Q703" s="8">
        <f t="shared" si="83"/>
        <v>0</v>
      </c>
      <c r="R703" s="8">
        <f t="shared" si="84"/>
        <v>54</v>
      </c>
      <c r="S703" s="8">
        <f t="shared" ca="1" si="85"/>
        <v>54</v>
      </c>
      <c r="T703">
        <f t="shared" ca="1" si="86"/>
        <v>7.2164994526240784</v>
      </c>
      <c r="U703" s="8">
        <f t="shared" ca="1" si="87"/>
        <v>1.0819998261226731</v>
      </c>
      <c r="V703" s="8">
        <f ca="1">RawData[[#This Row],[Z (smoothed demand size)]]/RawData[[#This Row],[X (smoothed interval)]]</f>
        <v>6.6695939115667651</v>
      </c>
    </row>
    <row r="704" spans="1:22">
      <c r="A704" t="s">
        <v>27</v>
      </c>
      <c r="B704" t="s">
        <v>14</v>
      </c>
      <c r="C704">
        <v>28</v>
      </c>
      <c r="D704" t="s">
        <v>22</v>
      </c>
      <c r="E704" t="s">
        <v>16</v>
      </c>
      <c r="F704" s="1">
        <v>44568</v>
      </c>
      <c r="G704">
        <v>10</v>
      </c>
      <c r="H704">
        <v>5</v>
      </c>
      <c r="I704">
        <v>5</v>
      </c>
      <c r="J704">
        <v>0</v>
      </c>
      <c r="K704">
        <v>1</v>
      </c>
      <c r="L704">
        <v>610</v>
      </c>
      <c r="M704">
        <v>30</v>
      </c>
      <c r="N704" s="1">
        <f t="shared" si="80"/>
        <v>44938</v>
      </c>
      <c r="O704" s="1">
        <f t="shared" si="81"/>
        <v>43101</v>
      </c>
      <c r="P704" s="1">
        <f t="shared" si="82"/>
        <v>44743</v>
      </c>
      <c r="Q704" s="8">
        <f t="shared" si="83"/>
        <v>0</v>
      </c>
      <c r="R704" s="8">
        <f t="shared" si="84"/>
        <v>55</v>
      </c>
      <c r="S704" s="8">
        <f t="shared" ca="1" si="85"/>
        <v>55</v>
      </c>
      <c r="T704">
        <f t="shared" ca="1" si="86"/>
        <v>7.7731995620992631</v>
      </c>
      <c r="U704" s="8">
        <f t="shared" ca="1" si="87"/>
        <v>1.0655998608981385</v>
      </c>
      <c r="V704" s="8">
        <f ca="1">RawData[[#This Row],[Z (smoothed demand size)]]/RawData[[#This Row],[X (smoothed interval)]]</f>
        <v>7.2946702109623391</v>
      </c>
    </row>
    <row r="705" spans="1:22">
      <c r="A705" t="s">
        <v>27</v>
      </c>
      <c r="B705" t="s">
        <v>14</v>
      </c>
      <c r="C705">
        <v>28</v>
      </c>
      <c r="D705" t="s">
        <v>22</v>
      </c>
      <c r="E705" t="s">
        <v>16</v>
      </c>
      <c r="F705" s="1">
        <v>44569</v>
      </c>
      <c r="G705">
        <v>7</v>
      </c>
      <c r="H705">
        <v>7</v>
      </c>
      <c r="I705">
        <v>10</v>
      </c>
      <c r="J705">
        <v>3</v>
      </c>
      <c r="K705">
        <v>0</v>
      </c>
      <c r="L705">
        <v>610</v>
      </c>
      <c r="M705">
        <v>30</v>
      </c>
      <c r="N705" s="1">
        <f t="shared" si="80"/>
        <v>44938</v>
      </c>
      <c r="O705" s="1">
        <f t="shared" si="81"/>
        <v>43101</v>
      </c>
      <c r="P705" s="1">
        <f t="shared" si="82"/>
        <v>44774</v>
      </c>
      <c r="Q705" s="8">
        <f t="shared" si="83"/>
        <v>0</v>
      </c>
      <c r="R705" s="8">
        <f t="shared" si="84"/>
        <v>56</v>
      </c>
      <c r="S705" s="8">
        <f t="shared" ca="1" si="85"/>
        <v>56</v>
      </c>
      <c r="T705">
        <f t="shared" ca="1" si="86"/>
        <v>7.618559649679411</v>
      </c>
      <c r="U705" s="8">
        <f t="shared" ca="1" si="87"/>
        <v>1.0524798887185109</v>
      </c>
      <c r="V705" s="8">
        <f ca="1">RawData[[#This Row],[Z (smoothed demand size)]]/RawData[[#This Row],[X (smoothed interval)]]</f>
        <v>7.2386748016208591</v>
      </c>
    </row>
    <row r="706" spans="1:22">
      <c r="A706" t="s">
        <v>27</v>
      </c>
      <c r="B706" t="s">
        <v>14</v>
      </c>
      <c r="C706">
        <v>28</v>
      </c>
      <c r="D706" t="s">
        <v>22</v>
      </c>
      <c r="E706" t="s">
        <v>16</v>
      </c>
      <c r="F706" s="1">
        <v>44570</v>
      </c>
      <c r="G706">
        <v>0</v>
      </c>
      <c r="H706">
        <v>0</v>
      </c>
      <c r="I706">
        <v>11</v>
      </c>
      <c r="J706">
        <v>11</v>
      </c>
      <c r="K706">
        <v>0</v>
      </c>
      <c r="L706">
        <v>530</v>
      </c>
      <c r="M706">
        <v>60</v>
      </c>
      <c r="N706" s="1">
        <f t="shared" ref="N706:N769" si="88">MAX(F:F)</f>
        <v>44938</v>
      </c>
      <c r="O706" s="1">
        <f t="shared" ref="O706:O769" si="89">MIN(F:F)</f>
        <v>43101</v>
      </c>
      <c r="P706" s="1">
        <f t="shared" ref="P706:P769" si="90">DATE(YEAR(F706), DAY(F706), 1)</f>
        <v>44805</v>
      </c>
      <c r="Q706" s="8">
        <f t="shared" ref="Q706:Q769" si="91" xml:space="preserve"> IF(A706&lt;&gt;A705, 1, 0)</f>
        <v>0</v>
      </c>
      <c r="R706" s="8">
        <f t="shared" ref="R706:R769" si="92">IF(Q706=1,1,R705+1)</f>
        <v>57</v>
      </c>
      <c r="S706" s="8">
        <f t="shared" ref="S706:S769" ca="1" si="93" xml:space="preserve"> IF(Q706=1, IF(G706&gt;0, R706, 0), IF(G706&gt;0, R706, OFFSET(S706,-1,0)))</f>
        <v>56</v>
      </c>
      <c r="T706">
        <f t="shared" ref="T706:T769" ca="1" si="94" xml:space="preserve"> IF(Q706=1, IF(G706&gt;0, G706, 0), IF(G706&gt;0, $X$1*G706+(1-$X$1)*OFFSET(T706,-1,0), OFFSET(T706,-1,0)))</f>
        <v>7.618559649679411</v>
      </c>
      <c r="U706" s="8">
        <f t="shared" ref="U706:U769" ca="1" si="95" xml:space="preserve"> IF(Q706=1, 1, IF(G706&gt;0, $X$1*(R706-OFFSET(S706,-1,0))+(1-$X$1)*OFFSET(U706,-1,0), OFFSET(U706,-1,0)))</f>
        <v>1.0524798887185109</v>
      </c>
      <c r="V706" s="8">
        <f ca="1">RawData[[#This Row],[Z (smoothed demand size)]]/RawData[[#This Row],[X (smoothed interval)]]</f>
        <v>7.2386748016208591</v>
      </c>
    </row>
    <row r="707" spans="1:22">
      <c r="A707" t="s">
        <v>27</v>
      </c>
      <c r="B707" t="s">
        <v>14</v>
      </c>
      <c r="C707">
        <v>28</v>
      </c>
      <c r="D707" t="s">
        <v>22</v>
      </c>
      <c r="E707" t="s">
        <v>16</v>
      </c>
      <c r="F707" s="1">
        <v>44571</v>
      </c>
      <c r="G707">
        <v>4</v>
      </c>
      <c r="H707">
        <v>4</v>
      </c>
      <c r="I707">
        <v>11</v>
      </c>
      <c r="J707">
        <v>7</v>
      </c>
      <c r="K707">
        <v>0</v>
      </c>
      <c r="L707">
        <v>531</v>
      </c>
      <c r="M707">
        <v>30</v>
      </c>
      <c r="N707" s="1">
        <f t="shared" si="88"/>
        <v>44938</v>
      </c>
      <c r="O707" s="1">
        <f t="shared" si="89"/>
        <v>43101</v>
      </c>
      <c r="P707" s="1">
        <f t="shared" si="90"/>
        <v>44835</v>
      </c>
      <c r="Q707" s="8">
        <f t="shared" si="91"/>
        <v>0</v>
      </c>
      <c r="R707" s="8">
        <f t="shared" si="92"/>
        <v>58</v>
      </c>
      <c r="S707" s="8">
        <f t="shared" ca="1" si="93"/>
        <v>58</v>
      </c>
      <c r="T707">
        <f t="shared" ca="1" si="94"/>
        <v>6.8948477197435292</v>
      </c>
      <c r="U707" s="8">
        <f t="shared" ca="1" si="95"/>
        <v>1.2419839109748088</v>
      </c>
      <c r="V707" s="8">
        <f ca="1">RawData[[#This Row],[Z (smoothed demand size)]]/RawData[[#This Row],[X (smoothed interval)]]</f>
        <v>5.5514790963209002</v>
      </c>
    </row>
    <row r="708" spans="1:22">
      <c r="A708" t="s">
        <v>27</v>
      </c>
      <c r="B708" t="s">
        <v>14</v>
      </c>
      <c r="C708">
        <v>28</v>
      </c>
      <c r="D708" t="s">
        <v>22</v>
      </c>
      <c r="E708" t="s">
        <v>16</v>
      </c>
      <c r="F708" s="1">
        <v>44572</v>
      </c>
      <c r="G708">
        <v>6</v>
      </c>
      <c r="H708">
        <v>6</v>
      </c>
      <c r="I708">
        <v>16</v>
      </c>
      <c r="J708">
        <v>10</v>
      </c>
      <c r="K708">
        <v>0</v>
      </c>
      <c r="L708">
        <v>533</v>
      </c>
      <c r="M708">
        <v>15</v>
      </c>
      <c r="N708" s="1">
        <f t="shared" si="88"/>
        <v>44938</v>
      </c>
      <c r="O708" s="1">
        <f t="shared" si="89"/>
        <v>43101</v>
      </c>
      <c r="P708" s="1">
        <f t="shared" si="90"/>
        <v>44866</v>
      </c>
      <c r="Q708" s="8">
        <f t="shared" si="91"/>
        <v>0</v>
      </c>
      <c r="R708" s="8">
        <f t="shared" si="92"/>
        <v>59</v>
      </c>
      <c r="S708" s="8">
        <f t="shared" ca="1" si="93"/>
        <v>59</v>
      </c>
      <c r="T708">
        <f t="shared" ca="1" si="94"/>
        <v>6.715878175794824</v>
      </c>
      <c r="U708" s="8">
        <f t="shared" ca="1" si="95"/>
        <v>1.193587128779847</v>
      </c>
      <c r="V708" s="8">
        <f ca="1">RawData[[#This Row],[Z (smoothed demand size)]]/RawData[[#This Row],[X (smoothed interval)]]</f>
        <v>5.6266342136750245</v>
      </c>
    </row>
    <row r="709" spans="1:22">
      <c r="A709" t="s">
        <v>27</v>
      </c>
      <c r="B709" t="s">
        <v>14</v>
      </c>
      <c r="C709">
        <v>28</v>
      </c>
      <c r="D709" t="s">
        <v>22</v>
      </c>
      <c r="E709" t="s">
        <v>16</v>
      </c>
      <c r="F709" s="1">
        <v>44573</v>
      </c>
      <c r="G709">
        <v>8</v>
      </c>
      <c r="H709">
        <v>8</v>
      </c>
      <c r="I709">
        <v>10</v>
      </c>
      <c r="J709">
        <v>2</v>
      </c>
      <c r="K709">
        <v>0</v>
      </c>
      <c r="L709">
        <v>613</v>
      </c>
      <c r="M709">
        <v>60</v>
      </c>
      <c r="N709" s="1">
        <f t="shared" si="88"/>
        <v>44938</v>
      </c>
      <c r="O709" s="1">
        <f t="shared" si="89"/>
        <v>43101</v>
      </c>
      <c r="P709" s="1">
        <f t="shared" si="90"/>
        <v>44896</v>
      </c>
      <c r="Q709" s="8">
        <f t="shared" si="91"/>
        <v>0</v>
      </c>
      <c r="R709" s="8">
        <f t="shared" si="92"/>
        <v>60</v>
      </c>
      <c r="S709" s="8">
        <f t="shared" ca="1" si="93"/>
        <v>60</v>
      </c>
      <c r="T709">
        <f t="shared" ca="1" si="94"/>
        <v>6.9727025406358596</v>
      </c>
      <c r="U709" s="8">
        <f t="shared" ca="1" si="95"/>
        <v>1.1548697030238777</v>
      </c>
      <c r="V709" s="8">
        <f ca="1">RawData[[#This Row],[Z (smoothed demand size)]]/RawData[[#This Row],[X (smoothed interval)]]</f>
        <v>6.037653011745598</v>
      </c>
    </row>
    <row r="710" spans="1:22">
      <c r="A710" t="s">
        <v>27</v>
      </c>
      <c r="B710" t="s">
        <v>14</v>
      </c>
      <c r="C710">
        <v>28</v>
      </c>
      <c r="D710" t="s">
        <v>22</v>
      </c>
      <c r="E710" t="s">
        <v>16</v>
      </c>
      <c r="F710" s="1">
        <v>44927</v>
      </c>
      <c r="G710">
        <v>7</v>
      </c>
      <c r="H710">
        <v>2</v>
      </c>
      <c r="I710">
        <v>2</v>
      </c>
      <c r="J710">
        <v>0</v>
      </c>
      <c r="K710">
        <v>1</v>
      </c>
      <c r="L710">
        <v>528</v>
      </c>
      <c r="M710">
        <v>45</v>
      </c>
      <c r="N710" s="1">
        <f t="shared" si="88"/>
        <v>44938</v>
      </c>
      <c r="O710" s="1">
        <f t="shared" si="89"/>
        <v>43101</v>
      </c>
      <c r="P710" s="1">
        <f t="shared" si="90"/>
        <v>44927</v>
      </c>
      <c r="Q710" s="8">
        <f t="shared" si="91"/>
        <v>0</v>
      </c>
      <c r="R710" s="8">
        <f t="shared" si="92"/>
        <v>61</v>
      </c>
      <c r="S710" s="8">
        <f t="shared" ca="1" si="93"/>
        <v>61</v>
      </c>
      <c r="T710">
        <f t="shared" ca="1" si="94"/>
        <v>6.9781620325086884</v>
      </c>
      <c r="U710" s="8">
        <f t="shared" ca="1" si="95"/>
        <v>1.1238957624191022</v>
      </c>
      <c r="V710" s="8">
        <f ca="1">RawData[[#This Row],[Z (smoothed demand size)]]/RawData[[#This Row],[X (smoothed interval)]]</f>
        <v>6.208905012230594</v>
      </c>
    </row>
    <row r="711" spans="1:22">
      <c r="A711" t="s">
        <v>27</v>
      </c>
      <c r="B711" t="s">
        <v>14</v>
      </c>
      <c r="C711">
        <v>28</v>
      </c>
      <c r="D711" t="s">
        <v>22</v>
      </c>
      <c r="E711" t="s">
        <v>16</v>
      </c>
      <c r="F711" s="1">
        <v>44928</v>
      </c>
      <c r="G711">
        <v>10</v>
      </c>
      <c r="H711">
        <v>8</v>
      </c>
      <c r="I711">
        <v>8</v>
      </c>
      <c r="J711">
        <v>0</v>
      </c>
      <c r="K711">
        <v>1</v>
      </c>
      <c r="L711">
        <v>528</v>
      </c>
      <c r="M711">
        <v>30</v>
      </c>
      <c r="N711" s="1">
        <f t="shared" si="88"/>
        <v>44938</v>
      </c>
      <c r="O711" s="1">
        <f t="shared" si="89"/>
        <v>43101</v>
      </c>
      <c r="P711" s="1">
        <f t="shared" si="90"/>
        <v>44958</v>
      </c>
      <c r="Q711" s="8">
        <f t="shared" si="91"/>
        <v>0</v>
      </c>
      <c r="R711" s="8">
        <f t="shared" si="92"/>
        <v>62</v>
      </c>
      <c r="S711" s="8">
        <f t="shared" ca="1" si="93"/>
        <v>62</v>
      </c>
      <c r="T711">
        <f t="shared" ca="1" si="94"/>
        <v>7.5825296260069512</v>
      </c>
      <c r="U711" s="8">
        <f t="shared" ca="1" si="95"/>
        <v>1.0991166099352818</v>
      </c>
      <c r="V711" s="8">
        <f ca="1">RawData[[#This Row],[Z (smoothed demand size)]]/RawData[[#This Row],[X (smoothed interval)]]</f>
        <v>6.8987490112204073</v>
      </c>
    </row>
    <row r="712" spans="1:22">
      <c r="A712" t="s">
        <v>27</v>
      </c>
      <c r="B712" t="s">
        <v>14</v>
      </c>
      <c r="C712">
        <v>28</v>
      </c>
      <c r="D712" t="s">
        <v>22</v>
      </c>
      <c r="E712" t="s">
        <v>16</v>
      </c>
      <c r="F712" s="1">
        <v>44929</v>
      </c>
      <c r="G712">
        <v>8</v>
      </c>
      <c r="H712">
        <v>8</v>
      </c>
      <c r="I712">
        <v>10</v>
      </c>
      <c r="J712">
        <v>2</v>
      </c>
      <c r="K712">
        <v>0</v>
      </c>
      <c r="L712">
        <v>527</v>
      </c>
      <c r="M712">
        <v>45</v>
      </c>
      <c r="N712" s="1">
        <f t="shared" si="88"/>
        <v>44938</v>
      </c>
      <c r="O712" s="1">
        <f t="shared" si="89"/>
        <v>43101</v>
      </c>
      <c r="P712" s="1">
        <f t="shared" si="90"/>
        <v>44986</v>
      </c>
      <c r="Q712" s="8">
        <f t="shared" si="91"/>
        <v>0</v>
      </c>
      <c r="R712" s="8">
        <f t="shared" si="92"/>
        <v>63</v>
      </c>
      <c r="S712" s="8">
        <f t="shared" ca="1" si="93"/>
        <v>63</v>
      </c>
      <c r="T712">
        <f t="shared" ca="1" si="94"/>
        <v>7.6660237008055621</v>
      </c>
      <c r="U712" s="8">
        <f t="shared" ca="1" si="95"/>
        <v>1.0792932879482255</v>
      </c>
      <c r="V712" s="8">
        <f ca="1">RawData[[#This Row],[Z (smoothed demand size)]]/RawData[[#This Row],[X (smoothed interval)]]</f>
        <v>7.1028179146550077</v>
      </c>
    </row>
    <row r="713" spans="1:22">
      <c r="A713" t="s">
        <v>27</v>
      </c>
      <c r="B713" t="s">
        <v>14</v>
      </c>
      <c r="C713">
        <v>28</v>
      </c>
      <c r="D713" t="s">
        <v>22</v>
      </c>
      <c r="E713" t="s">
        <v>16</v>
      </c>
      <c r="F713" s="1">
        <v>44930</v>
      </c>
      <c r="G713">
        <v>8</v>
      </c>
      <c r="H713">
        <v>2</v>
      </c>
      <c r="I713">
        <v>2</v>
      </c>
      <c r="J713">
        <v>0</v>
      </c>
      <c r="K713">
        <v>1</v>
      </c>
      <c r="L713">
        <v>524</v>
      </c>
      <c r="M713">
        <v>30</v>
      </c>
      <c r="N713" s="1">
        <f t="shared" si="88"/>
        <v>44938</v>
      </c>
      <c r="O713" s="1">
        <f t="shared" si="89"/>
        <v>43101</v>
      </c>
      <c r="P713" s="1">
        <f t="shared" si="90"/>
        <v>45017</v>
      </c>
      <c r="Q713" s="8">
        <f t="shared" si="91"/>
        <v>0</v>
      </c>
      <c r="R713" s="8">
        <f t="shared" si="92"/>
        <v>64</v>
      </c>
      <c r="S713" s="8">
        <f t="shared" ca="1" si="93"/>
        <v>64</v>
      </c>
      <c r="T713">
        <f t="shared" ca="1" si="94"/>
        <v>7.7328189606444493</v>
      </c>
      <c r="U713" s="8">
        <f t="shared" ca="1" si="95"/>
        <v>1.0634346303585804</v>
      </c>
      <c r="V713" s="8">
        <f ca="1">RawData[[#This Row],[Z (smoothed demand size)]]/RawData[[#This Row],[X (smoothed interval)]]</f>
        <v>7.2715508221102541</v>
      </c>
    </row>
    <row r="714" spans="1:22">
      <c r="A714" t="s">
        <v>27</v>
      </c>
      <c r="B714" t="s">
        <v>14</v>
      </c>
      <c r="C714">
        <v>28</v>
      </c>
      <c r="D714" t="s">
        <v>22</v>
      </c>
      <c r="E714" t="s">
        <v>16</v>
      </c>
      <c r="F714" s="1">
        <v>44931</v>
      </c>
      <c r="G714">
        <v>6</v>
      </c>
      <c r="H714">
        <v>6</v>
      </c>
      <c r="I714">
        <v>8</v>
      </c>
      <c r="J714">
        <v>2</v>
      </c>
      <c r="K714">
        <v>0</v>
      </c>
      <c r="L714">
        <v>524</v>
      </c>
      <c r="M714">
        <v>45</v>
      </c>
      <c r="N714" s="1">
        <f t="shared" si="88"/>
        <v>44938</v>
      </c>
      <c r="O714" s="1">
        <f t="shared" si="89"/>
        <v>43101</v>
      </c>
      <c r="P714" s="1">
        <f t="shared" si="90"/>
        <v>45047</v>
      </c>
      <c r="Q714" s="8">
        <f t="shared" si="91"/>
        <v>0</v>
      </c>
      <c r="R714" s="8">
        <f t="shared" si="92"/>
        <v>65</v>
      </c>
      <c r="S714" s="8">
        <f t="shared" ca="1" si="93"/>
        <v>65</v>
      </c>
      <c r="T714">
        <f t="shared" ca="1" si="94"/>
        <v>7.38625516851556</v>
      </c>
      <c r="U714" s="8">
        <f t="shared" ca="1" si="95"/>
        <v>1.0507477042868645</v>
      </c>
      <c r="V714" s="8">
        <f ca="1">RawData[[#This Row],[Z (smoothed demand size)]]/RawData[[#This Row],[X (smoothed interval)]]</f>
        <v>7.0295230133560578</v>
      </c>
    </row>
    <row r="715" spans="1:22">
      <c r="A715" t="s">
        <v>27</v>
      </c>
      <c r="B715" t="s">
        <v>14</v>
      </c>
      <c r="C715">
        <v>28</v>
      </c>
      <c r="D715" t="s">
        <v>22</v>
      </c>
      <c r="E715" t="s">
        <v>16</v>
      </c>
      <c r="F715" s="1">
        <v>44932</v>
      </c>
      <c r="G715">
        <v>6</v>
      </c>
      <c r="H715">
        <v>2</v>
      </c>
      <c r="I715">
        <v>2</v>
      </c>
      <c r="J715">
        <v>0</v>
      </c>
      <c r="K715">
        <v>1</v>
      </c>
      <c r="L715">
        <v>610</v>
      </c>
      <c r="M715">
        <v>15</v>
      </c>
      <c r="N715" s="1">
        <f t="shared" si="88"/>
        <v>44938</v>
      </c>
      <c r="O715" s="1">
        <f t="shared" si="89"/>
        <v>43101</v>
      </c>
      <c r="P715" s="1">
        <f t="shared" si="90"/>
        <v>45078</v>
      </c>
      <c r="Q715" s="8">
        <f t="shared" si="91"/>
        <v>0</v>
      </c>
      <c r="R715" s="8">
        <f t="shared" si="92"/>
        <v>66</v>
      </c>
      <c r="S715" s="8">
        <f t="shared" ca="1" si="93"/>
        <v>66</v>
      </c>
      <c r="T715">
        <f t="shared" ca="1" si="94"/>
        <v>7.1090041348124489</v>
      </c>
      <c r="U715" s="8">
        <f t="shared" ca="1" si="95"/>
        <v>1.0405981634294916</v>
      </c>
      <c r="V715" s="8">
        <f ca="1">RawData[[#This Row],[Z (smoothed demand size)]]/RawData[[#This Row],[X (smoothed interval)]]</f>
        <v>6.8316516256220909</v>
      </c>
    </row>
    <row r="716" spans="1:22">
      <c r="A716" t="s">
        <v>27</v>
      </c>
      <c r="B716" t="s">
        <v>14</v>
      </c>
      <c r="C716">
        <v>28</v>
      </c>
      <c r="D716" t="s">
        <v>22</v>
      </c>
      <c r="E716" t="s">
        <v>16</v>
      </c>
      <c r="F716" s="1">
        <v>44933</v>
      </c>
      <c r="G716">
        <v>10</v>
      </c>
      <c r="H716">
        <v>8</v>
      </c>
      <c r="I716">
        <v>8</v>
      </c>
      <c r="J716">
        <v>0</v>
      </c>
      <c r="K716">
        <v>1</v>
      </c>
      <c r="L716">
        <v>603</v>
      </c>
      <c r="M716">
        <v>15</v>
      </c>
      <c r="N716" s="1">
        <f t="shared" si="88"/>
        <v>44938</v>
      </c>
      <c r="O716" s="1">
        <f t="shared" si="89"/>
        <v>43101</v>
      </c>
      <c r="P716" s="1">
        <f t="shared" si="90"/>
        <v>45108</v>
      </c>
      <c r="Q716" s="8">
        <f t="shared" si="91"/>
        <v>0</v>
      </c>
      <c r="R716" s="8">
        <f t="shared" si="92"/>
        <v>67</v>
      </c>
      <c r="S716" s="8">
        <f t="shared" ca="1" si="93"/>
        <v>67</v>
      </c>
      <c r="T716">
        <f t="shared" ca="1" si="94"/>
        <v>7.6872033078499591</v>
      </c>
      <c r="U716" s="8">
        <f t="shared" ca="1" si="95"/>
        <v>1.0324785307435933</v>
      </c>
      <c r="V716" s="8">
        <f ca="1">RawData[[#This Row],[Z (smoothed demand size)]]/RawData[[#This Row],[X (smoothed interval)]]</f>
        <v>7.4453880433849005</v>
      </c>
    </row>
    <row r="717" spans="1:22">
      <c r="A717" t="s">
        <v>27</v>
      </c>
      <c r="B717" t="s">
        <v>14</v>
      </c>
      <c r="C717">
        <v>28</v>
      </c>
      <c r="D717" t="s">
        <v>22</v>
      </c>
      <c r="E717" t="s">
        <v>16</v>
      </c>
      <c r="F717" s="1">
        <v>44934</v>
      </c>
      <c r="G717">
        <v>0</v>
      </c>
      <c r="H717">
        <v>0</v>
      </c>
      <c r="I717">
        <v>9</v>
      </c>
      <c r="J717">
        <v>9</v>
      </c>
      <c r="K717">
        <v>0</v>
      </c>
      <c r="L717">
        <v>612</v>
      </c>
      <c r="M717">
        <v>15</v>
      </c>
      <c r="N717" s="1">
        <f t="shared" si="88"/>
        <v>44938</v>
      </c>
      <c r="O717" s="1">
        <f t="shared" si="89"/>
        <v>43101</v>
      </c>
      <c r="P717" s="1">
        <f t="shared" si="90"/>
        <v>45139</v>
      </c>
      <c r="Q717" s="8">
        <f t="shared" si="91"/>
        <v>0</v>
      </c>
      <c r="R717" s="8">
        <f t="shared" si="92"/>
        <v>68</v>
      </c>
      <c r="S717" s="8">
        <f t="shared" ca="1" si="93"/>
        <v>67</v>
      </c>
      <c r="T717">
        <f t="shared" ca="1" si="94"/>
        <v>7.6872033078499591</v>
      </c>
      <c r="U717" s="8">
        <f t="shared" ca="1" si="95"/>
        <v>1.0324785307435933</v>
      </c>
      <c r="V717" s="8">
        <f ca="1">RawData[[#This Row],[Z (smoothed demand size)]]/RawData[[#This Row],[X (smoothed interval)]]</f>
        <v>7.4453880433849005</v>
      </c>
    </row>
    <row r="718" spans="1:22">
      <c r="A718" t="s">
        <v>27</v>
      </c>
      <c r="B718" t="s">
        <v>14</v>
      </c>
      <c r="C718">
        <v>28</v>
      </c>
      <c r="D718" t="s">
        <v>22</v>
      </c>
      <c r="E718" t="s">
        <v>16</v>
      </c>
      <c r="F718" s="1">
        <v>44935</v>
      </c>
      <c r="G718">
        <v>5</v>
      </c>
      <c r="H718">
        <v>5</v>
      </c>
      <c r="I718">
        <v>9</v>
      </c>
      <c r="J718">
        <v>4</v>
      </c>
      <c r="K718">
        <v>0</v>
      </c>
      <c r="L718">
        <v>528</v>
      </c>
      <c r="M718">
        <v>30</v>
      </c>
      <c r="N718" s="1">
        <f t="shared" si="88"/>
        <v>44938</v>
      </c>
      <c r="O718" s="1">
        <f t="shared" si="89"/>
        <v>43101</v>
      </c>
      <c r="P718" s="1">
        <f t="shared" si="90"/>
        <v>45170</v>
      </c>
      <c r="Q718" s="8">
        <f t="shared" si="91"/>
        <v>0</v>
      </c>
      <c r="R718" s="8">
        <f t="shared" si="92"/>
        <v>69</v>
      </c>
      <c r="S718" s="8">
        <f t="shared" ca="1" si="93"/>
        <v>69</v>
      </c>
      <c r="T718">
        <f t="shared" ca="1" si="94"/>
        <v>7.1497626462799673</v>
      </c>
      <c r="U718" s="8">
        <f t="shared" ca="1" si="95"/>
        <v>1.2259828245948747</v>
      </c>
      <c r="V718" s="8">
        <f ca="1">RawData[[#This Row],[Z (smoothed demand size)]]/RawData[[#This Row],[X (smoothed interval)]]</f>
        <v>5.8318619990802905</v>
      </c>
    </row>
    <row r="719" spans="1:22">
      <c r="A719" t="s">
        <v>27</v>
      </c>
      <c r="B719" t="s">
        <v>14</v>
      </c>
      <c r="C719">
        <v>28</v>
      </c>
      <c r="D719" t="s">
        <v>22</v>
      </c>
      <c r="E719" t="s">
        <v>16</v>
      </c>
      <c r="F719" s="1">
        <v>44936</v>
      </c>
      <c r="G719">
        <v>12</v>
      </c>
      <c r="H719">
        <v>12</v>
      </c>
      <c r="I719">
        <v>15</v>
      </c>
      <c r="J719">
        <v>3</v>
      </c>
      <c r="K719">
        <v>0</v>
      </c>
      <c r="L719">
        <v>532</v>
      </c>
      <c r="M719">
        <v>45</v>
      </c>
      <c r="N719" s="1">
        <f t="shared" si="88"/>
        <v>44938</v>
      </c>
      <c r="O719" s="1">
        <f t="shared" si="89"/>
        <v>43101</v>
      </c>
      <c r="P719" s="1">
        <f t="shared" si="90"/>
        <v>45200</v>
      </c>
      <c r="Q719" s="8">
        <f t="shared" si="91"/>
        <v>0</v>
      </c>
      <c r="R719" s="8">
        <f t="shared" si="92"/>
        <v>70</v>
      </c>
      <c r="S719" s="8">
        <f t="shared" ca="1" si="93"/>
        <v>70</v>
      </c>
      <c r="T719">
        <f t="shared" ca="1" si="94"/>
        <v>8.1198101170239738</v>
      </c>
      <c r="U719" s="8">
        <f t="shared" ca="1" si="95"/>
        <v>1.1807862596758998</v>
      </c>
      <c r="V719" s="8">
        <f ca="1">RawData[[#This Row],[Z (smoothed demand size)]]/RawData[[#This Row],[X (smoothed interval)]]</f>
        <v>6.8766129775702893</v>
      </c>
    </row>
    <row r="720" spans="1:22">
      <c r="A720" t="s">
        <v>27</v>
      </c>
      <c r="B720" t="s">
        <v>14</v>
      </c>
      <c r="C720">
        <v>28</v>
      </c>
      <c r="D720" t="s">
        <v>22</v>
      </c>
      <c r="E720" t="s">
        <v>16</v>
      </c>
      <c r="F720" s="1">
        <v>44937</v>
      </c>
      <c r="G720">
        <v>0</v>
      </c>
      <c r="H720">
        <v>0</v>
      </c>
      <c r="I720">
        <v>3</v>
      </c>
      <c r="J720">
        <v>3</v>
      </c>
      <c r="K720">
        <v>0</v>
      </c>
      <c r="L720">
        <v>531</v>
      </c>
      <c r="M720">
        <v>60</v>
      </c>
      <c r="N720" s="1">
        <f t="shared" si="88"/>
        <v>44938</v>
      </c>
      <c r="O720" s="1">
        <f t="shared" si="89"/>
        <v>43101</v>
      </c>
      <c r="P720" s="1">
        <f t="shared" si="90"/>
        <v>45231</v>
      </c>
      <c r="Q720" s="8">
        <f t="shared" si="91"/>
        <v>0</v>
      </c>
      <c r="R720" s="8">
        <f t="shared" si="92"/>
        <v>71</v>
      </c>
      <c r="S720" s="8">
        <f t="shared" ca="1" si="93"/>
        <v>70</v>
      </c>
      <c r="T720">
        <f t="shared" ca="1" si="94"/>
        <v>8.1198101170239738</v>
      </c>
      <c r="U720" s="8">
        <f t="shared" ca="1" si="95"/>
        <v>1.1807862596758998</v>
      </c>
      <c r="V720" s="8">
        <f ca="1">RawData[[#This Row],[Z (smoothed demand size)]]/RawData[[#This Row],[X (smoothed interval)]]</f>
        <v>6.8766129775702893</v>
      </c>
    </row>
    <row r="721" spans="1:22">
      <c r="A721" t="s">
        <v>27</v>
      </c>
      <c r="B721" t="s">
        <v>14</v>
      </c>
      <c r="C721">
        <v>28</v>
      </c>
      <c r="D721" t="s">
        <v>22</v>
      </c>
      <c r="E721" t="s">
        <v>16</v>
      </c>
      <c r="F721" s="1">
        <v>44938</v>
      </c>
      <c r="G721">
        <v>13</v>
      </c>
      <c r="H721">
        <v>13</v>
      </c>
      <c r="I721">
        <v>15</v>
      </c>
      <c r="J721">
        <v>2</v>
      </c>
      <c r="K721">
        <v>0</v>
      </c>
      <c r="L721">
        <v>612</v>
      </c>
      <c r="M721">
        <v>30</v>
      </c>
      <c r="N721" s="1">
        <f t="shared" si="88"/>
        <v>44938</v>
      </c>
      <c r="O721" s="1">
        <f t="shared" si="89"/>
        <v>43101</v>
      </c>
      <c r="P721" s="1">
        <f t="shared" si="90"/>
        <v>45261</v>
      </c>
      <c r="Q721" s="8">
        <f t="shared" si="91"/>
        <v>0</v>
      </c>
      <c r="R721" s="8">
        <f t="shared" si="92"/>
        <v>72</v>
      </c>
      <c r="S721" s="8">
        <f t="shared" ca="1" si="93"/>
        <v>72</v>
      </c>
      <c r="T721">
        <f t="shared" ca="1" si="94"/>
        <v>9.0958480936191801</v>
      </c>
      <c r="U721" s="8">
        <f t="shared" ca="1" si="95"/>
        <v>1.3446290077407199</v>
      </c>
      <c r="V721" s="8">
        <f ca="1">RawData[[#This Row],[Z (smoothed demand size)]]/RawData[[#This Row],[X (smoothed interval)]]</f>
        <v>6.7645782154456544</v>
      </c>
    </row>
    <row r="722" spans="1:22">
      <c r="A722" t="s">
        <v>28</v>
      </c>
      <c r="B722" t="s">
        <v>14</v>
      </c>
      <c r="C722">
        <v>24</v>
      </c>
      <c r="D722" t="s">
        <v>18</v>
      </c>
      <c r="E722" t="s">
        <v>16</v>
      </c>
      <c r="F722" s="1">
        <v>43101</v>
      </c>
      <c r="G722">
        <v>7</v>
      </c>
      <c r="H722">
        <v>7</v>
      </c>
      <c r="I722">
        <v>21</v>
      </c>
      <c r="J722">
        <v>14</v>
      </c>
      <c r="K722">
        <v>0</v>
      </c>
      <c r="L722">
        <v>427</v>
      </c>
      <c r="M722">
        <v>30</v>
      </c>
      <c r="N722" s="1">
        <f t="shared" si="88"/>
        <v>44938</v>
      </c>
      <c r="O722" s="1">
        <f t="shared" si="89"/>
        <v>43101</v>
      </c>
      <c r="P722" s="1">
        <f t="shared" si="90"/>
        <v>43101</v>
      </c>
      <c r="Q722" s="8">
        <f t="shared" si="91"/>
        <v>1</v>
      </c>
      <c r="R722" s="8">
        <f t="shared" si="92"/>
        <v>1</v>
      </c>
      <c r="S722" s="8">
        <f t="shared" ca="1" si="93"/>
        <v>1</v>
      </c>
      <c r="T722">
        <f t="shared" ca="1" si="94"/>
        <v>7</v>
      </c>
      <c r="U722" s="8">
        <f t="shared" ca="1" si="95"/>
        <v>1</v>
      </c>
      <c r="V722" s="8">
        <f ca="1">RawData[[#This Row],[Z (smoothed demand size)]]/RawData[[#This Row],[X (smoothed interval)]]</f>
        <v>7</v>
      </c>
    </row>
    <row r="723" spans="1:22">
      <c r="A723" t="s">
        <v>28</v>
      </c>
      <c r="B723" t="s">
        <v>14</v>
      </c>
      <c r="C723">
        <v>24</v>
      </c>
      <c r="D723" t="s">
        <v>18</v>
      </c>
      <c r="E723" t="s">
        <v>16</v>
      </c>
      <c r="F723" s="1">
        <v>43102</v>
      </c>
      <c r="G723">
        <v>5</v>
      </c>
      <c r="H723">
        <v>5</v>
      </c>
      <c r="I723">
        <v>14</v>
      </c>
      <c r="J723">
        <v>9</v>
      </c>
      <c r="K723">
        <v>0</v>
      </c>
      <c r="L723">
        <v>420</v>
      </c>
      <c r="M723">
        <v>30</v>
      </c>
      <c r="N723" s="1">
        <f t="shared" si="88"/>
        <v>44938</v>
      </c>
      <c r="O723" s="1">
        <f t="shared" si="89"/>
        <v>43101</v>
      </c>
      <c r="P723" s="1">
        <f t="shared" si="90"/>
        <v>43132</v>
      </c>
      <c r="Q723" s="8">
        <f t="shared" si="91"/>
        <v>0</v>
      </c>
      <c r="R723" s="8">
        <f t="shared" si="92"/>
        <v>2</v>
      </c>
      <c r="S723" s="8">
        <f t="shared" ca="1" si="93"/>
        <v>2</v>
      </c>
      <c r="T723">
        <f t="shared" ca="1" si="94"/>
        <v>6.6000000000000005</v>
      </c>
      <c r="U723" s="8">
        <f t="shared" ca="1" si="95"/>
        <v>1</v>
      </c>
      <c r="V723" s="8">
        <f ca="1">RawData[[#This Row],[Z (smoothed demand size)]]/RawData[[#This Row],[X (smoothed interval)]]</f>
        <v>6.6000000000000005</v>
      </c>
    </row>
    <row r="724" spans="1:22">
      <c r="A724" t="s">
        <v>28</v>
      </c>
      <c r="B724" t="s">
        <v>14</v>
      </c>
      <c r="C724">
        <v>24</v>
      </c>
      <c r="D724" t="s">
        <v>18</v>
      </c>
      <c r="E724" t="s">
        <v>16</v>
      </c>
      <c r="F724" s="1">
        <v>43103</v>
      </c>
      <c r="G724">
        <v>5</v>
      </c>
      <c r="H724">
        <v>5</v>
      </c>
      <c r="I724">
        <v>9</v>
      </c>
      <c r="J724">
        <v>4</v>
      </c>
      <c r="K724">
        <v>0</v>
      </c>
      <c r="L724">
        <v>417</v>
      </c>
      <c r="M724">
        <v>60</v>
      </c>
      <c r="N724" s="1">
        <f t="shared" si="88"/>
        <v>44938</v>
      </c>
      <c r="O724" s="1">
        <f t="shared" si="89"/>
        <v>43101</v>
      </c>
      <c r="P724" s="1">
        <f t="shared" si="90"/>
        <v>43160</v>
      </c>
      <c r="Q724" s="8">
        <f t="shared" si="91"/>
        <v>0</v>
      </c>
      <c r="R724" s="8">
        <f t="shared" si="92"/>
        <v>3</v>
      </c>
      <c r="S724" s="8">
        <f t="shared" ca="1" si="93"/>
        <v>3</v>
      </c>
      <c r="T724">
        <f t="shared" ca="1" si="94"/>
        <v>6.2800000000000011</v>
      </c>
      <c r="U724" s="8">
        <f t="shared" ca="1" si="95"/>
        <v>1</v>
      </c>
      <c r="V724" s="8">
        <f ca="1">RawData[[#This Row],[Z (smoothed demand size)]]/RawData[[#This Row],[X (smoothed interval)]]</f>
        <v>6.2800000000000011</v>
      </c>
    </row>
    <row r="725" spans="1:22">
      <c r="A725" t="s">
        <v>28</v>
      </c>
      <c r="B725" t="s">
        <v>14</v>
      </c>
      <c r="C725">
        <v>24</v>
      </c>
      <c r="D725" t="s">
        <v>18</v>
      </c>
      <c r="E725" t="s">
        <v>16</v>
      </c>
      <c r="F725" s="1">
        <v>43104</v>
      </c>
      <c r="G725">
        <v>5</v>
      </c>
      <c r="H725">
        <v>4</v>
      </c>
      <c r="I725">
        <v>4</v>
      </c>
      <c r="J725">
        <v>0</v>
      </c>
      <c r="K725">
        <v>1</v>
      </c>
      <c r="L725">
        <v>424</v>
      </c>
      <c r="M725">
        <v>45</v>
      </c>
      <c r="N725" s="1">
        <f t="shared" si="88"/>
        <v>44938</v>
      </c>
      <c r="O725" s="1">
        <f t="shared" si="89"/>
        <v>43101</v>
      </c>
      <c r="P725" s="1">
        <f t="shared" si="90"/>
        <v>43191</v>
      </c>
      <c r="Q725" s="8">
        <f t="shared" si="91"/>
        <v>0</v>
      </c>
      <c r="R725" s="8">
        <f t="shared" si="92"/>
        <v>4</v>
      </c>
      <c r="S725" s="8">
        <f t="shared" ca="1" si="93"/>
        <v>4</v>
      </c>
      <c r="T725">
        <f t="shared" ca="1" si="94"/>
        <v>6.0240000000000009</v>
      </c>
      <c r="U725" s="8">
        <f t="shared" ca="1" si="95"/>
        <v>1</v>
      </c>
      <c r="V725" s="8">
        <f ca="1">RawData[[#This Row],[Z (smoothed demand size)]]/RawData[[#This Row],[X (smoothed interval)]]</f>
        <v>6.0240000000000009</v>
      </c>
    </row>
    <row r="726" spans="1:22">
      <c r="A726" t="s">
        <v>28</v>
      </c>
      <c r="B726" t="s">
        <v>14</v>
      </c>
      <c r="C726">
        <v>24</v>
      </c>
      <c r="D726" t="s">
        <v>18</v>
      </c>
      <c r="E726" t="s">
        <v>16</v>
      </c>
      <c r="F726" s="1">
        <v>43105</v>
      </c>
      <c r="G726">
        <v>7</v>
      </c>
      <c r="H726">
        <v>7</v>
      </c>
      <c r="I726">
        <v>7</v>
      </c>
      <c r="J726">
        <v>0</v>
      </c>
      <c r="K726">
        <v>0</v>
      </c>
      <c r="L726">
        <v>413</v>
      </c>
      <c r="M726">
        <v>60</v>
      </c>
      <c r="N726" s="1">
        <f t="shared" si="88"/>
        <v>44938</v>
      </c>
      <c r="O726" s="1">
        <f t="shared" si="89"/>
        <v>43101</v>
      </c>
      <c r="P726" s="1">
        <f t="shared" si="90"/>
        <v>43221</v>
      </c>
      <c r="Q726" s="8">
        <f t="shared" si="91"/>
        <v>0</v>
      </c>
      <c r="R726" s="8">
        <f t="shared" si="92"/>
        <v>5</v>
      </c>
      <c r="S726" s="8">
        <f t="shared" ca="1" si="93"/>
        <v>5</v>
      </c>
      <c r="T726">
        <f t="shared" ca="1" si="94"/>
        <v>6.2192000000000016</v>
      </c>
      <c r="U726" s="8">
        <f t="shared" ca="1" si="95"/>
        <v>1</v>
      </c>
      <c r="V726" s="8">
        <f ca="1">RawData[[#This Row],[Z (smoothed demand size)]]/RawData[[#This Row],[X (smoothed interval)]]</f>
        <v>6.2192000000000016</v>
      </c>
    </row>
    <row r="727" spans="1:22">
      <c r="A727" t="s">
        <v>28</v>
      </c>
      <c r="B727" t="s">
        <v>14</v>
      </c>
      <c r="C727">
        <v>24</v>
      </c>
      <c r="D727" t="s">
        <v>18</v>
      </c>
      <c r="E727" t="s">
        <v>16</v>
      </c>
      <c r="F727" s="1">
        <v>43106</v>
      </c>
      <c r="G727">
        <v>11</v>
      </c>
      <c r="H727">
        <v>0</v>
      </c>
      <c r="I727">
        <v>0</v>
      </c>
      <c r="J727">
        <v>0</v>
      </c>
      <c r="K727">
        <v>1</v>
      </c>
      <c r="L727">
        <v>484</v>
      </c>
      <c r="M727">
        <v>60</v>
      </c>
      <c r="N727" s="1">
        <f t="shared" si="88"/>
        <v>44938</v>
      </c>
      <c r="O727" s="1">
        <f t="shared" si="89"/>
        <v>43101</v>
      </c>
      <c r="P727" s="1">
        <f t="shared" si="90"/>
        <v>43252</v>
      </c>
      <c r="Q727" s="8">
        <f t="shared" si="91"/>
        <v>0</v>
      </c>
      <c r="R727" s="8">
        <f t="shared" si="92"/>
        <v>6</v>
      </c>
      <c r="S727" s="8">
        <f t="shared" ca="1" si="93"/>
        <v>6</v>
      </c>
      <c r="T727">
        <f t="shared" ca="1" si="94"/>
        <v>7.1753600000000022</v>
      </c>
      <c r="U727" s="8">
        <f t="shared" ca="1" si="95"/>
        <v>1</v>
      </c>
      <c r="V727" s="8">
        <f ca="1">RawData[[#This Row],[Z (smoothed demand size)]]/RawData[[#This Row],[X (smoothed interval)]]</f>
        <v>7.1753600000000022</v>
      </c>
    </row>
    <row r="728" spans="1:22">
      <c r="A728" t="s">
        <v>28</v>
      </c>
      <c r="B728" t="s">
        <v>14</v>
      </c>
      <c r="C728">
        <v>24</v>
      </c>
      <c r="D728" t="s">
        <v>18</v>
      </c>
      <c r="E728" t="s">
        <v>16</v>
      </c>
      <c r="F728" s="1">
        <v>43107</v>
      </c>
      <c r="G728">
        <v>5</v>
      </c>
      <c r="H728">
        <v>5</v>
      </c>
      <c r="I728">
        <v>12</v>
      </c>
      <c r="J728">
        <v>7</v>
      </c>
      <c r="K728">
        <v>0</v>
      </c>
      <c r="L728">
        <v>483</v>
      </c>
      <c r="M728">
        <v>30</v>
      </c>
      <c r="N728" s="1">
        <f t="shared" si="88"/>
        <v>44938</v>
      </c>
      <c r="O728" s="1">
        <f t="shared" si="89"/>
        <v>43101</v>
      </c>
      <c r="P728" s="1">
        <f t="shared" si="90"/>
        <v>43282</v>
      </c>
      <c r="Q728" s="8">
        <f t="shared" si="91"/>
        <v>0</v>
      </c>
      <c r="R728" s="8">
        <f t="shared" si="92"/>
        <v>7</v>
      </c>
      <c r="S728" s="8">
        <f t="shared" ca="1" si="93"/>
        <v>7</v>
      </c>
      <c r="T728">
        <f t="shared" ca="1" si="94"/>
        <v>6.7402880000000023</v>
      </c>
      <c r="U728" s="8">
        <f t="shared" ca="1" si="95"/>
        <v>1</v>
      </c>
      <c r="V728" s="8">
        <f ca="1">RawData[[#This Row],[Z (smoothed demand size)]]/RawData[[#This Row],[X (smoothed interval)]]</f>
        <v>6.7402880000000023</v>
      </c>
    </row>
    <row r="729" spans="1:22">
      <c r="A729" t="s">
        <v>28</v>
      </c>
      <c r="B729" t="s">
        <v>14</v>
      </c>
      <c r="C729">
        <v>24</v>
      </c>
      <c r="D729" t="s">
        <v>18</v>
      </c>
      <c r="E729" t="s">
        <v>16</v>
      </c>
      <c r="F729" s="1">
        <v>43108</v>
      </c>
      <c r="G729">
        <v>10</v>
      </c>
      <c r="H729">
        <v>10</v>
      </c>
      <c r="I729">
        <v>17</v>
      </c>
      <c r="J729">
        <v>7</v>
      </c>
      <c r="K729">
        <v>0</v>
      </c>
      <c r="L729">
        <v>489</v>
      </c>
      <c r="M729">
        <v>45</v>
      </c>
      <c r="N729" s="1">
        <f t="shared" si="88"/>
        <v>44938</v>
      </c>
      <c r="O729" s="1">
        <f t="shared" si="89"/>
        <v>43101</v>
      </c>
      <c r="P729" s="1">
        <f t="shared" si="90"/>
        <v>43313</v>
      </c>
      <c r="Q729" s="8">
        <f t="shared" si="91"/>
        <v>0</v>
      </c>
      <c r="R729" s="8">
        <f t="shared" si="92"/>
        <v>8</v>
      </c>
      <c r="S729" s="8">
        <f t="shared" ca="1" si="93"/>
        <v>8</v>
      </c>
      <c r="T729">
        <f t="shared" ca="1" si="94"/>
        <v>7.3922304000000025</v>
      </c>
      <c r="U729" s="8">
        <f t="shared" ca="1" si="95"/>
        <v>1</v>
      </c>
      <c r="V729" s="8">
        <f ca="1">RawData[[#This Row],[Z (smoothed demand size)]]/RawData[[#This Row],[X (smoothed interval)]]</f>
        <v>7.3922304000000025</v>
      </c>
    </row>
    <row r="730" spans="1:22">
      <c r="A730" t="s">
        <v>28</v>
      </c>
      <c r="B730" t="s">
        <v>14</v>
      </c>
      <c r="C730">
        <v>24</v>
      </c>
      <c r="D730" t="s">
        <v>18</v>
      </c>
      <c r="E730" t="s">
        <v>16</v>
      </c>
      <c r="F730" s="1">
        <v>43109</v>
      </c>
      <c r="G730">
        <v>9</v>
      </c>
      <c r="H730">
        <v>7</v>
      </c>
      <c r="I730">
        <v>7</v>
      </c>
      <c r="J730">
        <v>0</v>
      </c>
      <c r="K730">
        <v>1</v>
      </c>
      <c r="L730">
        <v>426</v>
      </c>
      <c r="M730">
        <v>60</v>
      </c>
      <c r="N730" s="1">
        <f t="shared" si="88"/>
        <v>44938</v>
      </c>
      <c r="O730" s="1">
        <f t="shared" si="89"/>
        <v>43101</v>
      </c>
      <c r="P730" s="1">
        <f t="shared" si="90"/>
        <v>43344</v>
      </c>
      <c r="Q730" s="8">
        <f t="shared" si="91"/>
        <v>0</v>
      </c>
      <c r="R730" s="8">
        <f t="shared" si="92"/>
        <v>9</v>
      </c>
      <c r="S730" s="8">
        <f t="shared" ca="1" si="93"/>
        <v>9</v>
      </c>
      <c r="T730">
        <f t="shared" ca="1" si="94"/>
        <v>7.713784320000002</v>
      </c>
      <c r="U730" s="8">
        <f t="shared" ca="1" si="95"/>
        <v>1</v>
      </c>
      <c r="V730" s="8">
        <f ca="1">RawData[[#This Row],[Z (smoothed demand size)]]/RawData[[#This Row],[X (smoothed interval)]]</f>
        <v>7.713784320000002</v>
      </c>
    </row>
    <row r="731" spans="1:22">
      <c r="A731" t="s">
        <v>28</v>
      </c>
      <c r="B731" t="s">
        <v>14</v>
      </c>
      <c r="C731">
        <v>24</v>
      </c>
      <c r="D731" t="s">
        <v>18</v>
      </c>
      <c r="E731" t="s">
        <v>16</v>
      </c>
      <c r="F731" s="1">
        <v>43110</v>
      </c>
      <c r="G731">
        <v>10</v>
      </c>
      <c r="H731">
        <v>10</v>
      </c>
      <c r="I731">
        <v>12</v>
      </c>
      <c r="J731">
        <v>2</v>
      </c>
      <c r="K731">
        <v>0</v>
      </c>
      <c r="L731">
        <v>416</v>
      </c>
      <c r="M731">
        <v>30</v>
      </c>
      <c r="N731" s="1">
        <f t="shared" si="88"/>
        <v>44938</v>
      </c>
      <c r="O731" s="1">
        <f t="shared" si="89"/>
        <v>43101</v>
      </c>
      <c r="P731" s="1">
        <f t="shared" si="90"/>
        <v>43374</v>
      </c>
      <c r="Q731" s="8">
        <f t="shared" si="91"/>
        <v>0</v>
      </c>
      <c r="R731" s="8">
        <f t="shared" si="92"/>
        <v>10</v>
      </c>
      <c r="S731" s="8">
        <f t="shared" ca="1" si="93"/>
        <v>10</v>
      </c>
      <c r="T731">
        <f t="shared" ca="1" si="94"/>
        <v>8.1710274560000009</v>
      </c>
      <c r="U731" s="8">
        <f t="shared" ca="1" si="95"/>
        <v>1</v>
      </c>
      <c r="V731" s="8">
        <f ca="1">RawData[[#This Row],[Z (smoothed demand size)]]/RawData[[#This Row],[X (smoothed interval)]]</f>
        <v>8.1710274560000009</v>
      </c>
    </row>
    <row r="732" spans="1:22">
      <c r="A732" t="s">
        <v>28</v>
      </c>
      <c r="B732" t="s">
        <v>14</v>
      </c>
      <c r="C732">
        <v>24</v>
      </c>
      <c r="D732" t="s">
        <v>18</v>
      </c>
      <c r="E732" t="s">
        <v>16</v>
      </c>
      <c r="F732" s="1">
        <v>43111</v>
      </c>
      <c r="G732">
        <v>4</v>
      </c>
      <c r="H732">
        <v>4</v>
      </c>
      <c r="I732">
        <v>9</v>
      </c>
      <c r="J732">
        <v>5</v>
      </c>
      <c r="K732">
        <v>0</v>
      </c>
      <c r="L732">
        <v>421</v>
      </c>
      <c r="M732">
        <v>30</v>
      </c>
      <c r="N732" s="1">
        <f t="shared" si="88"/>
        <v>44938</v>
      </c>
      <c r="O732" s="1">
        <f t="shared" si="89"/>
        <v>43101</v>
      </c>
      <c r="P732" s="1">
        <f t="shared" si="90"/>
        <v>43405</v>
      </c>
      <c r="Q732" s="8">
        <f t="shared" si="91"/>
        <v>0</v>
      </c>
      <c r="R732" s="8">
        <f t="shared" si="92"/>
        <v>11</v>
      </c>
      <c r="S732" s="8">
        <f t="shared" ca="1" si="93"/>
        <v>11</v>
      </c>
      <c r="T732">
        <f t="shared" ca="1" si="94"/>
        <v>7.3368219648000013</v>
      </c>
      <c r="U732" s="8">
        <f t="shared" ca="1" si="95"/>
        <v>1</v>
      </c>
      <c r="V732" s="8">
        <f ca="1">RawData[[#This Row],[Z (smoothed demand size)]]/RawData[[#This Row],[X (smoothed interval)]]</f>
        <v>7.3368219648000013</v>
      </c>
    </row>
    <row r="733" spans="1:22">
      <c r="A733" t="s">
        <v>28</v>
      </c>
      <c r="B733" t="s">
        <v>14</v>
      </c>
      <c r="C733">
        <v>24</v>
      </c>
      <c r="D733" t="s">
        <v>18</v>
      </c>
      <c r="E733" t="s">
        <v>16</v>
      </c>
      <c r="F733" s="1">
        <v>43112</v>
      </c>
      <c r="G733">
        <v>19</v>
      </c>
      <c r="H733">
        <v>13</v>
      </c>
      <c r="I733">
        <v>13</v>
      </c>
      <c r="J733">
        <v>0</v>
      </c>
      <c r="K733">
        <v>1</v>
      </c>
      <c r="L733">
        <v>480</v>
      </c>
      <c r="M733">
        <v>30</v>
      </c>
      <c r="N733" s="1">
        <f t="shared" si="88"/>
        <v>44938</v>
      </c>
      <c r="O733" s="1">
        <f t="shared" si="89"/>
        <v>43101</v>
      </c>
      <c r="P733" s="1">
        <f t="shared" si="90"/>
        <v>43435</v>
      </c>
      <c r="Q733" s="8">
        <f t="shared" si="91"/>
        <v>0</v>
      </c>
      <c r="R733" s="8">
        <f t="shared" si="92"/>
        <v>12</v>
      </c>
      <c r="S733" s="8">
        <f t="shared" ca="1" si="93"/>
        <v>12</v>
      </c>
      <c r="T733">
        <f t="shared" ca="1" si="94"/>
        <v>9.6694575718400024</v>
      </c>
      <c r="U733" s="8">
        <f t="shared" ca="1" si="95"/>
        <v>1</v>
      </c>
      <c r="V733" s="8">
        <f ca="1">RawData[[#This Row],[Z (smoothed demand size)]]/RawData[[#This Row],[X (smoothed interval)]]</f>
        <v>9.6694575718400024</v>
      </c>
    </row>
    <row r="734" spans="1:22">
      <c r="A734" t="s">
        <v>28</v>
      </c>
      <c r="B734" t="s">
        <v>14</v>
      </c>
      <c r="C734">
        <v>24</v>
      </c>
      <c r="D734" t="s">
        <v>18</v>
      </c>
      <c r="E734" t="s">
        <v>16</v>
      </c>
      <c r="F734" s="1">
        <v>43466</v>
      </c>
      <c r="G734">
        <v>9</v>
      </c>
      <c r="H734">
        <v>9</v>
      </c>
      <c r="I734">
        <v>12</v>
      </c>
      <c r="J734">
        <v>3</v>
      </c>
      <c r="K734">
        <v>0</v>
      </c>
      <c r="L734">
        <v>418</v>
      </c>
      <c r="M734">
        <v>15</v>
      </c>
      <c r="N734" s="1">
        <f t="shared" si="88"/>
        <v>44938</v>
      </c>
      <c r="O734" s="1">
        <f t="shared" si="89"/>
        <v>43101</v>
      </c>
      <c r="P734" s="1">
        <f t="shared" si="90"/>
        <v>43466</v>
      </c>
      <c r="Q734" s="8">
        <f t="shared" si="91"/>
        <v>0</v>
      </c>
      <c r="R734" s="8">
        <f t="shared" si="92"/>
        <v>13</v>
      </c>
      <c r="S734" s="8">
        <f t="shared" ca="1" si="93"/>
        <v>13</v>
      </c>
      <c r="T734">
        <f t="shared" ca="1" si="94"/>
        <v>9.5355660574720034</v>
      </c>
      <c r="U734" s="8">
        <f t="shared" ca="1" si="95"/>
        <v>1</v>
      </c>
      <c r="V734" s="8">
        <f ca="1">RawData[[#This Row],[Z (smoothed demand size)]]/RawData[[#This Row],[X (smoothed interval)]]</f>
        <v>9.5355660574720034</v>
      </c>
    </row>
    <row r="735" spans="1:22">
      <c r="A735" t="s">
        <v>28</v>
      </c>
      <c r="B735" t="s">
        <v>14</v>
      </c>
      <c r="C735">
        <v>24</v>
      </c>
      <c r="D735" t="s">
        <v>18</v>
      </c>
      <c r="E735" t="s">
        <v>16</v>
      </c>
      <c r="F735" s="1">
        <v>43467</v>
      </c>
      <c r="G735">
        <v>4</v>
      </c>
      <c r="H735">
        <v>4</v>
      </c>
      <c r="I735">
        <v>12</v>
      </c>
      <c r="J735">
        <v>8</v>
      </c>
      <c r="K735">
        <v>0</v>
      </c>
      <c r="L735">
        <v>421</v>
      </c>
      <c r="M735">
        <v>30</v>
      </c>
      <c r="N735" s="1">
        <f t="shared" si="88"/>
        <v>44938</v>
      </c>
      <c r="O735" s="1">
        <f t="shared" si="89"/>
        <v>43101</v>
      </c>
      <c r="P735" s="1">
        <f t="shared" si="90"/>
        <v>43497</v>
      </c>
      <c r="Q735" s="8">
        <f t="shared" si="91"/>
        <v>0</v>
      </c>
      <c r="R735" s="8">
        <f t="shared" si="92"/>
        <v>14</v>
      </c>
      <c r="S735" s="8">
        <f t="shared" ca="1" si="93"/>
        <v>14</v>
      </c>
      <c r="T735">
        <f t="shared" ca="1" si="94"/>
        <v>8.4284528459776027</v>
      </c>
      <c r="U735" s="8">
        <f t="shared" ca="1" si="95"/>
        <v>1</v>
      </c>
      <c r="V735" s="8">
        <f ca="1">RawData[[#This Row],[Z (smoothed demand size)]]/RawData[[#This Row],[X (smoothed interval)]]</f>
        <v>8.4284528459776027</v>
      </c>
    </row>
    <row r="736" spans="1:22">
      <c r="A736" t="s">
        <v>28</v>
      </c>
      <c r="B736" t="s">
        <v>14</v>
      </c>
      <c r="C736">
        <v>24</v>
      </c>
      <c r="D736" t="s">
        <v>18</v>
      </c>
      <c r="E736" t="s">
        <v>16</v>
      </c>
      <c r="F736" s="1">
        <v>43468</v>
      </c>
      <c r="G736">
        <v>10</v>
      </c>
      <c r="H736">
        <v>10</v>
      </c>
      <c r="I736">
        <v>16</v>
      </c>
      <c r="J736">
        <v>6</v>
      </c>
      <c r="K736">
        <v>0</v>
      </c>
      <c r="L736">
        <v>417</v>
      </c>
      <c r="M736">
        <v>15</v>
      </c>
      <c r="N736" s="1">
        <f t="shared" si="88"/>
        <v>44938</v>
      </c>
      <c r="O736" s="1">
        <f t="shared" si="89"/>
        <v>43101</v>
      </c>
      <c r="P736" s="1">
        <f t="shared" si="90"/>
        <v>43525</v>
      </c>
      <c r="Q736" s="8">
        <f t="shared" si="91"/>
        <v>0</v>
      </c>
      <c r="R736" s="8">
        <f t="shared" si="92"/>
        <v>15</v>
      </c>
      <c r="S736" s="8">
        <f t="shared" ca="1" si="93"/>
        <v>15</v>
      </c>
      <c r="T736">
        <f t="shared" ca="1" si="94"/>
        <v>8.7427622767820825</v>
      </c>
      <c r="U736" s="8">
        <f t="shared" ca="1" si="95"/>
        <v>1</v>
      </c>
      <c r="V736" s="8">
        <f ca="1">RawData[[#This Row],[Z (smoothed demand size)]]/RawData[[#This Row],[X (smoothed interval)]]</f>
        <v>8.7427622767820825</v>
      </c>
    </row>
    <row r="737" spans="1:22">
      <c r="A737" t="s">
        <v>28</v>
      </c>
      <c r="B737" t="s">
        <v>14</v>
      </c>
      <c r="C737">
        <v>24</v>
      </c>
      <c r="D737" t="s">
        <v>18</v>
      </c>
      <c r="E737" t="s">
        <v>16</v>
      </c>
      <c r="F737" s="1">
        <v>43469</v>
      </c>
      <c r="G737">
        <v>4</v>
      </c>
      <c r="H737">
        <v>4</v>
      </c>
      <c r="I737">
        <v>18</v>
      </c>
      <c r="J737">
        <v>14</v>
      </c>
      <c r="K737">
        <v>0</v>
      </c>
      <c r="L737">
        <v>420</v>
      </c>
      <c r="M737">
        <v>45</v>
      </c>
      <c r="N737" s="1">
        <f t="shared" si="88"/>
        <v>44938</v>
      </c>
      <c r="O737" s="1">
        <f t="shared" si="89"/>
        <v>43101</v>
      </c>
      <c r="P737" s="1">
        <f t="shared" si="90"/>
        <v>43556</v>
      </c>
      <c r="Q737" s="8">
        <f t="shared" si="91"/>
        <v>0</v>
      </c>
      <c r="R737" s="8">
        <f t="shared" si="92"/>
        <v>16</v>
      </c>
      <c r="S737" s="8">
        <f t="shared" ca="1" si="93"/>
        <v>16</v>
      </c>
      <c r="T737">
        <f t="shared" ca="1" si="94"/>
        <v>7.7942098214256665</v>
      </c>
      <c r="U737" s="8">
        <f t="shared" ca="1" si="95"/>
        <v>1</v>
      </c>
      <c r="V737" s="8">
        <f ca="1">RawData[[#This Row],[Z (smoothed demand size)]]/RawData[[#This Row],[X (smoothed interval)]]</f>
        <v>7.7942098214256665</v>
      </c>
    </row>
    <row r="738" spans="1:22">
      <c r="A738" t="s">
        <v>28</v>
      </c>
      <c r="B738" t="s">
        <v>14</v>
      </c>
      <c r="C738">
        <v>24</v>
      </c>
      <c r="D738" t="s">
        <v>18</v>
      </c>
      <c r="E738" t="s">
        <v>16</v>
      </c>
      <c r="F738" s="1">
        <v>43470</v>
      </c>
      <c r="G738">
        <v>7</v>
      </c>
      <c r="H738">
        <v>7</v>
      </c>
      <c r="I738">
        <v>14</v>
      </c>
      <c r="J738">
        <v>7</v>
      </c>
      <c r="K738">
        <v>0</v>
      </c>
      <c r="L738">
        <v>423</v>
      </c>
      <c r="M738">
        <v>15</v>
      </c>
      <c r="N738" s="1">
        <f t="shared" si="88"/>
        <v>44938</v>
      </c>
      <c r="O738" s="1">
        <f t="shared" si="89"/>
        <v>43101</v>
      </c>
      <c r="P738" s="1">
        <f t="shared" si="90"/>
        <v>43586</v>
      </c>
      <c r="Q738" s="8">
        <f t="shared" si="91"/>
        <v>0</v>
      </c>
      <c r="R738" s="8">
        <f t="shared" si="92"/>
        <v>17</v>
      </c>
      <c r="S738" s="8">
        <f t="shared" ca="1" si="93"/>
        <v>17</v>
      </c>
      <c r="T738">
        <f t="shared" ca="1" si="94"/>
        <v>7.6353678571405341</v>
      </c>
      <c r="U738" s="8">
        <f t="shared" ca="1" si="95"/>
        <v>1</v>
      </c>
      <c r="V738" s="8">
        <f ca="1">RawData[[#This Row],[Z (smoothed demand size)]]/RawData[[#This Row],[X (smoothed interval)]]</f>
        <v>7.6353678571405341</v>
      </c>
    </row>
    <row r="739" spans="1:22">
      <c r="A739" t="s">
        <v>28</v>
      </c>
      <c r="B739" t="s">
        <v>14</v>
      </c>
      <c r="C739">
        <v>24</v>
      </c>
      <c r="D739" t="s">
        <v>18</v>
      </c>
      <c r="E739" t="s">
        <v>16</v>
      </c>
      <c r="F739" s="1">
        <v>43471</v>
      </c>
      <c r="G739">
        <v>13</v>
      </c>
      <c r="H739">
        <v>13</v>
      </c>
      <c r="I739">
        <v>17</v>
      </c>
      <c r="J739">
        <v>4</v>
      </c>
      <c r="K739">
        <v>0</v>
      </c>
      <c r="L739">
        <v>489</v>
      </c>
      <c r="M739">
        <v>45</v>
      </c>
      <c r="N739" s="1">
        <f t="shared" si="88"/>
        <v>44938</v>
      </c>
      <c r="O739" s="1">
        <f t="shared" si="89"/>
        <v>43101</v>
      </c>
      <c r="P739" s="1">
        <f t="shared" si="90"/>
        <v>43617</v>
      </c>
      <c r="Q739" s="8">
        <f t="shared" si="91"/>
        <v>0</v>
      </c>
      <c r="R739" s="8">
        <f t="shared" si="92"/>
        <v>18</v>
      </c>
      <c r="S739" s="8">
        <f t="shared" ca="1" si="93"/>
        <v>18</v>
      </c>
      <c r="T739">
        <f t="shared" ca="1" si="94"/>
        <v>8.7082942857124284</v>
      </c>
      <c r="U739" s="8">
        <f t="shared" ca="1" si="95"/>
        <v>1</v>
      </c>
      <c r="V739" s="8">
        <f ca="1">RawData[[#This Row],[Z (smoothed demand size)]]/RawData[[#This Row],[X (smoothed interval)]]</f>
        <v>8.7082942857124284</v>
      </c>
    </row>
    <row r="740" spans="1:22">
      <c r="A740" t="s">
        <v>28</v>
      </c>
      <c r="B740" t="s">
        <v>14</v>
      </c>
      <c r="C740">
        <v>24</v>
      </c>
      <c r="D740" t="s">
        <v>18</v>
      </c>
      <c r="E740" t="s">
        <v>16</v>
      </c>
      <c r="F740" s="1">
        <v>43472</v>
      </c>
      <c r="G740">
        <v>7</v>
      </c>
      <c r="H740">
        <v>4</v>
      </c>
      <c r="I740">
        <v>4</v>
      </c>
      <c r="J740">
        <v>0</v>
      </c>
      <c r="K740">
        <v>1</v>
      </c>
      <c r="L740">
        <v>483</v>
      </c>
      <c r="M740">
        <v>60</v>
      </c>
      <c r="N740" s="1">
        <f t="shared" si="88"/>
        <v>44938</v>
      </c>
      <c r="O740" s="1">
        <f t="shared" si="89"/>
        <v>43101</v>
      </c>
      <c r="P740" s="1">
        <f t="shared" si="90"/>
        <v>43647</v>
      </c>
      <c r="Q740" s="8">
        <f t="shared" si="91"/>
        <v>0</v>
      </c>
      <c r="R740" s="8">
        <f t="shared" si="92"/>
        <v>19</v>
      </c>
      <c r="S740" s="8">
        <f t="shared" ca="1" si="93"/>
        <v>19</v>
      </c>
      <c r="T740">
        <f t="shared" ca="1" si="94"/>
        <v>8.3666354285699427</v>
      </c>
      <c r="U740" s="8">
        <f t="shared" ca="1" si="95"/>
        <v>1</v>
      </c>
      <c r="V740" s="8">
        <f ca="1">RawData[[#This Row],[Z (smoothed demand size)]]/RawData[[#This Row],[X (smoothed interval)]]</f>
        <v>8.3666354285699427</v>
      </c>
    </row>
    <row r="741" spans="1:22">
      <c r="A741" t="s">
        <v>28</v>
      </c>
      <c r="B741" t="s">
        <v>14</v>
      </c>
      <c r="C741">
        <v>24</v>
      </c>
      <c r="D741" t="s">
        <v>18</v>
      </c>
      <c r="E741" t="s">
        <v>16</v>
      </c>
      <c r="F741" s="1">
        <v>43473</v>
      </c>
      <c r="G741">
        <v>10</v>
      </c>
      <c r="H741">
        <v>9</v>
      </c>
      <c r="I741">
        <v>9</v>
      </c>
      <c r="J741">
        <v>0</v>
      </c>
      <c r="K741">
        <v>1</v>
      </c>
      <c r="L741">
        <v>482</v>
      </c>
      <c r="M741">
        <v>60</v>
      </c>
      <c r="N741" s="1">
        <f t="shared" si="88"/>
        <v>44938</v>
      </c>
      <c r="O741" s="1">
        <f t="shared" si="89"/>
        <v>43101</v>
      </c>
      <c r="P741" s="1">
        <f t="shared" si="90"/>
        <v>43678</v>
      </c>
      <c r="Q741" s="8">
        <f t="shared" si="91"/>
        <v>0</v>
      </c>
      <c r="R741" s="8">
        <f t="shared" si="92"/>
        <v>20</v>
      </c>
      <c r="S741" s="8">
        <f t="shared" ca="1" si="93"/>
        <v>20</v>
      </c>
      <c r="T741">
        <f t="shared" ca="1" si="94"/>
        <v>8.6933083428559534</v>
      </c>
      <c r="U741" s="8">
        <f t="shared" ca="1" si="95"/>
        <v>1</v>
      </c>
      <c r="V741" s="8">
        <f ca="1">RawData[[#This Row],[Z (smoothed demand size)]]/RawData[[#This Row],[X (smoothed interval)]]</f>
        <v>8.6933083428559534</v>
      </c>
    </row>
    <row r="742" spans="1:22">
      <c r="A742" t="s">
        <v>28</v>
      </c>
      <c r="B742" t="s">
        <v>14</v>
      </c>
      <c r="C742">
        <v>24</v>
      </c>
      <c r="D742" t="s">
        <v>18</v>
      </c>
      <c r="E742" t="s">
        <v>16</v>
      </c>
      <c r="F742" s="1">
        <v>43474</v>
      </c>
      <c r="G742">
        <v>8</v>
      </c>
      <c r="H742">
        <v>0</v>
      </c>
      <c r="I742">
        <v>0</v>
      </c>
      <c r="J742">
        <v>0</v>
      </c>
      <c r="K742">
        <v>1</v>
      </c>
      <c r="L742">
        <v>414</v>
      </c>
      <c r="M742">
        <v>45</v>
      </c>
      <c r="N742" s="1">
        <f t="shared" si="88"/>
        <v>44938</v>
      </c>
      <c r="O742" s="1">
        <f t="shared" si="89"/>
        <v>43101</v>
      </c>
      <c r="P742" s="1">
        <f t="shared" si="90"/>
        <v>43709</v>
      </c>
      <c r="Q742" s="8">
        <f t="shared" si="91"/>
        <v>0</v>
      </c>
      <c r="R742" s="8">
        <f t="shared" si="92"/>
        <v>21</v>
      </c>
      <c r="S742" s="8">
        <f t="shared" ca="1" si="93"/>
        <v>21</v>
      </c>
      <c r="T742">
        <f t="shared" ca="1" si="94"/>
        <v>8.5546466742847631</v>
      </c>
      <c r="U742" s="8">
        <f t="shared" ca="1" si="95"/>
        <v>1</v>
      </c>
      <c r="V742" s="8">
        <f ca="1">RawData[[#This Row],[Z (smoothed demand size)]]/RawData[[#This Row],[X (smoothed interval)]]</f>
        <v>8.5546466742847631</v>
      </c>
    </row>
    <row r="743" spans="1:22">
      <c r="A743" t="s">
        <v>28</v>
      </c>
      <c r="B743" t="s">
        <v>14</v>
      </c>
      <c r="C743">
        <v>24</v>
      </c>
      <c r="D743" t="s">
        <v>18</v>
      </c>
      <c r="E743" t="s">
        <v>16</v>
      </c>
      <c r="F743" s="1">
        <v>43475</v>
      </c>
      <c r="G743">
        <v>8</v>
      </c>
      <c r="H743">
        <v>8</v>
      </c>
      <c r="I743">
        <v>11</v>
      </c>
      <c r="J743">
        <v>3</v>
      </c>
      <c r="K743">
        <v>0</v>
      </c>
      <c r="L743">
        <v>425</v>
      </c>
      <c r="M743">
        <v>30</v>
      </c>
      <c r="N743" s="1">
        <f t="shared" si="88"/>
        <v>44938</v>
      </c>
      <c r="O743" s="1">
        <f t="shared" si="89"/>
        <v>43101</v>
      </c>
      <c r="P743" s="1">
        <f t="shared" si="90"/>
        <v>43739</v>
      </c>
      <c r="Q743" s="8">
        <f t="shared" si="91"/>
        <v>0</v>
      </c>
      <c r="R743" s="8">
        <f t="shared" si="92"/>
        <v>22</v>
      </c>
      <c r="S743" s="8">
        <f t="shared" ca="1" si="93"/>
        <v>22</v>
      </c>
      <c r="T743">
        <f t="shared" ca="1" si="94"/>
        <v>8.4437173394278116</v>
      </c>
      <c r="U743" s="8">
        <f t="shared" ca="1" si="95"/>
        <v>1</v>
      </c>
      <c r="V743" s="8">
        <f ca="1">RawData[[#This Row],[Z (smoothed demand size)]]/RawData[[#This Row],[X (smoothed interval)]]</f>
        <v>8.4437173394278116</v>
      </c>
    </row>
    <row r="744" spans="1:22">
      <c r="A744" t="s">
        <v>28</v>
      </c>
      <c r="B744" t="s">
        <v>14</v>
      </c>
      <c r="C744">
        <v>24</v>
      </c>
      <c r="D744" t="s">
        <v>18</v>
      </c>
      <c r="E744" t="s">
        <v>16</v>
      </c>
      <c r="F744" s="1">
        <v>43476</v>
      </c>
      <c r="G744">
        <v>12</v>
      </c>
      <c r="H744">
        <v>11</v>
      </c>
      <c r="I744">
        <v>11</v>
      </c>
      <c r="J744">
        <v>0</v>
      </c>
      <c r="K744">
        <v>1</v>
      </c>
      <c r="L744">
        <v>421</v>
      </c>
      <c r="M744">
        <v>15</v>
      </c>
      <c r="N744" s="1">
        <f t="shared" si="88"/>
        <v>44938</v>
      </c>
      <c r="O744" s="1">
        <f t="shared" si="89"/>
        <v>43101</v>
      </c>
      <c r="P744" s="1">
        <f t="shared" si="90"/>
        <v>43770</v>
      </c>
      <c r="Q744" s="8">
        <f t="shared" si="91"/>
        <v>0</v>
      </c>
      <c r="R744" s="8">
        <f t="shared" si="92"/>
        <v>23</v>
      </c>
      <c r="S744" s="8">
        <f t="shared" ca="1" si="93"/>
        <v>23</v>
      </c>
      <c r="T744">
        <f t="shared" ca="1" si="94"/>
        <v>9.15497387154225</v>
      </c>
      <c r="U744" s="8">
        <f t="shared" ca="1" si="95"/>
        <v>1</v>
      </c>
      <c r="V744" s="8">
        <f ca="1">RawData[[#This Row],[Z (smoothed demand size)]]/RawData[[#This Row],[X (smoothed interval)]]</f>
        <v>9.15497387154225</v>
      </c>
    </row>
    <row r="745" spans="1:22">
      <c r="A745" t="s">
        <v>28</v>
      </c>
      <c r="B745" t="s">
        <v>14</v>
      </c>
      <c r="C745">
        <v>24</v>
      </c>
      <c r="D745" t="s">
        <v>18</v>
      </c>
      <c r="E745" t="s">
        <v>16</v>
      </c>
      <c r="F745" s="1">
        <v>43477</v>
      </c>
      <c r="G745">
        <v>19</v>
      </c>
      <c r="H745">
        <v>12</v>
      </c>
      <c r="I745">
        <v>12</v>
      </c>
      <c r="J745">
        <v>0</v>
      </c>
      <c r="K745">
        <v>1</v>
      </c>
      <c r="L745">
        <v>482</v>
      </c>
      <c r="M745">
        <v>60</v>
      </c>
      <c r="N745" s="1">
        <f t="shared" si="88"/>
        <v>44938</v>
      </c>
      <c r="O745" s="1">
        <f t="shared" si="89"/>
        <v>43101</v>
      </c>
      <c r="P745" s="1">
        <f t="shared" si="90"/>
        <v>43800</v>
      </c>
      <c r="Q745" s="8">
        <f t="shared" si="91"/>
        <v>0</v>
      </c>
      <c r="R745" s="8">
        <f t="shared" si="92"/>
        <v>24</v>
      </c>
      <c r="S745" s="8">
        <f t="shared" ca="1" si="93"/>
        <v>24</v>
      </c>
      <c r="T745">
        <f t="shared" ca="1" si="94"/>
        <v>11.1239790972338</v>
      </c>
      <c r="U745" s="8">
        <f t="shared" ca="1" si="95"/>
        <v>1</v>
      </c>
      <c r="V745" s="8">
        <f ca="1">RawData[[#This Row],[Z (smoothed demand size)]]/RawData[[#This Row],[X (smoothed interval)]]</f>
        <v>11.1239790972338</v>
      </c>
    </row>
    <row r="746" spans="1:22">
      <c r="A746" t="s">
        <v>28</v>
      </c>
      <c r="B746" t="s">
        <v>14</v>
      </c>
      <c r="C746">
        <v>24</v>
      </c>
      <c r="D746" t="s">
        <v>18</v>
      </c>
      <c r="E746" t="s">
        <v>16</v>
      </c>
      <c r="F746" s="1">
        <v>43831</v>
      </c>
      <c r="G746">
        <v>8</v>
      </c>
      <c r="H746">
        <v>0</v>
      </c>
      <c r="I746">
        <v>0</v>
      </c>
      <c r="J746">
        <v>0</v>
      </c>
      <c r="K746">
        <v>1</v>
      </c>
      <c r="L746">
        <v>418</v>
      </c>
      <c r="M746">
        <v>60</v>
      </c>
      <c r="N746" s="1">
        <f t="shared" si="88"/>
        <v>44938</v>
      </c>
      <c r="O746" s="1">
        <f t="shared" si="89"/>
        <v>43101</v>
      </c>
      <c r="P746" s="1">
        <f t="shared" si="90"/>
        <v>43831</v>
      </c>
      <c r="Q746" s="8">
        <f t="shared" si="91"/>
        <v>0</v>
      </c>
      <c r="R746" s="8">
        <f t="shared" si="92"/>
        <v>25</v>
      </c>
      <c r="S746" s="8">
        <f t="shared" ca="1" si="93"/>
        <v>25</v>
      </c>
      <c r="T746">
        <f t="shared" ca="1" si="94"/>
        <v>10.49918327778704</v>
      </c>
      <c r="U746" s="8">
        <f t="shared" ca="1" si="95"/>
        <v>1</v>
      </c>
      <c r="V746" s="8">
        <f ca="1">RawData[[#This Row],[Z (smoothed demand size)]]/RawData[[#This Row],[X (smoothed interval)]]</f>
        <v>10.49918327778704</v>
      </c>
    </row>
    <row r="747" spans="1:22">
      <c r="A747" t="s">
        <v>28</v>
      </c>
      <c r="B747" t="s">
        <v>14</v>
      </c>
      <c r="C747">
        <v>24</v>
      </c>
      <c r="D747" t="s">
        <v>18</v>
      </c>
      <c r="E747" t="s">
        <v>16</v>
      </c>
      <c r="F747" s="1">
        <v>43832</v>
      </c>
      <c r="G747">
        <v>8</v>
      </c>
      <c r="H747">
        <v>8</v>
      </c>
      <c r="I747">
        <v>8</v>
      </c>
      <c r="J747">
        <v>0</v>
      </c>
      <c r="K747">
        <v>0</v>
      </c>
      <c r="L747">
        <v>419</v>
      </c>
      <c r="M747">
        <v>15</v>
      </c>
      <c r="N747" s="1">
        <f t="shared" si="88"/>
        <v>44938</v>
      </c>
      <c r="O747" s="1">
        <f t="shared" si="89"/>
        <v>43101</v>
      </c>
      <c r="P747" s="1">
        <f t="shared" si="90"/>
        <v>43862</v>
      </c>
      <c r="Q747" s="8">
        <f t="shared" si="91"/>
        <v>0</v>
      </c>
      <c r="R747" s="8">
        <f t="shared" si="92"/>
        <v>26</v>
      </c>
      <c r="S747" s="8">
        <f t="shared" ca="1" si="93"/>
        <v>26</v>
      </c>
      <c r="T747">
        <f t="shared" ca="1" si="94"/>
        <v>9.9993466222296323</v>
      </c>
      <c r="U747" s="8">
        <f t="shared" ca="1" si="95"/>
        <v>1</v>
      </c>
      <c r="V747" s="8">
        <f ca="1">RawData[[#This Row],[Z (smoothed demand size)]]/RawData[[#This Row],[X (smoothed interval)]]</f>
        <v>9.9993466222296323</v>
      </c>
    </row>
    <row r="748" spans="1:22">
      <c r="A748" t="s">
        <v>28</v>
      </c>
      <c r="B748" t="s">
        <v>14</v>
      </c>
      <c r="C748">
        <v>24</v>
      </c>
      <c r="D748" t="s">
        <v>18</v>
      </c>
      <c r="E748" t="s">
        <v>16</v>
      </c>
      <c r="F748" s="1">
        <v>43833</v>
      </c>
      <c r="G748">
        <v>4</v>
      </c>
      <c r="H748">
        <v>4</v>
      </c>
      <c r="I748">
        <v>8</v>
      </c>
      <c r="J748">
        <v>4</v>
      </c>
      <c r="K748">
        <v>0</v>
      </c>
      <c r="L748">
        <v>421</v>
      </c>
      <c r="M748">
        <v>15</v>
      </c>
      <c r="N748" s="1">
        <f t="shared" si="88"/>
        <v>44938</v>
      </c>
      <c r="O748" s="1">
        <f t="shared" si="89"/>
        <v>43101</v>
      </c>
      <c r="P748" s="1">
        <f t="shared" si="90"/>
        <v>43891</v>
      </c>
      <c r="Q748" s="8">
        <f t="shared" si="91"/>
        <v>0</v>
      </c>
      <c r="R748" s="8">
        <f t="shared" si="92"/>
        <v>27</v>
      </c>
      <c r="S748" s="8">
        <f t="shared" ca="1" si="93"/>
        <v>27</v>
      </c>
      <c r="T748">
        <f t="shared" ca="1" si="94"/>
        <v>8.7994772977837066</v>
      </c>
      <c r="U748" s="8">
        <f t="shared" ca="1" si="95"/>
        <v>1</v>
      </c>
      <c r="V748" s="8">
        <f ca="1">RawData[[#This Row],[Z (smoothed demand size)]]/RawData[[#This Row],[X (smoothed interval)]]</f>
        <v>8.7994772977837066</v>
      </c>
    </row>
    <row r="749" spans="1:22">
      <c r="A749" t="s">
        <v>28</v>
      </c>
      <c r="B749" t="s">
        <v>14</v>
      </c>
      <c r="C749">
        <v>24</v>
      </c>
      <c r="D749" t="s">
        <v>18</v>
      </c>
      <c r="E749" t="s">
        <v>16</v>
      </c>
      <c r="F749" s="1">
        <v>43834</v>
      </c>
      <c r="G749">
        <v>6</v>
      </c>
      <c r="H749">
        <v>6</v>
      </c>
      <c r="I749">
        <v>13</v>
      </c>
      <c r="J749">
        <v>7</v>
      </c>
      <c r="K749">
        <v>0</v>
      </c>
      <c r="L749">
        <v>421</v>
      </c>
      <c r="M749">
        <v>30</v>
      </c>
      <c r="N749" s="1">
        <f t="shared" si="88"/>
        <v>44938</v>
      </c>
      <c r="O749" s="1">
        <f t="shared" si="89"/>
        <v>43101</v>
      </c>
      <c r="P749" s="1">
        <f t="shared" si="90"/>
        <v>43922</v>
      </c>
      <c r="Q749" s="8">
        <f t="shared" si="91"/>
        <v>0</v>
      </c>
      <c r="R749" s="8">
        <f t="shared" si="92"/>
        <v>28</v>
      </c>
      <c r="S749" s="8">
        <f t="shared" ca="1" si="93"/>
        <v>28</v>
      </c>
      <c r="T749">
        <f t="shared" ca="1" si="94"/>
        <v>8.2395818382269645</v>
      </c>
      <c r="U749" s="8">
        <f t="shared" ca="1" si="95"/>
        <v>1</v>
      </c>
      <c r="V749" s="8">
        <f ca="1">RawData[[#This Row],[Z (smoothed demand size)]]/RawData[[#This Row],[X (smoothed interval)]]</f>
        <v>8.2395818382269645</v>
      </c>
    </row>
    <row r="750" spans="1:22">
      <c r="A750" t="s">
        <v>28</v>
      </c>
      <c r="B750" t="s">
        <v>14</v>
      </c>
      <c r="C750">
        <v>24</v>
      </c>
      <c r="D750" t="s">
        <v>18</v>
      </c>
      <c r="E750" t="s">
        <v>16</v>
      </c>
      <c r="F750" s="1">
        <v>43835</v>
      </c>
      <c r="G750">
        <v>4</v>
      </c>
      <c r="H750">
        <v>4</v>
      </c>
      <c r="I750">
        <v>17</v>
      </c>
      <c r="J750">
        <v>13</v>
      </c>
      <c r="K750">
        <v>0</v>
      </c>
      <c r="L750">
        <v>424</v>
      </c>
      <c r="M750">
        <v>30</v>
      </c>
      <c r="N750" s="1">
        <f t="shared" si="88"/>
        <v>44938</v>
      </c>
      <c r="O750" s="1">
        <f t="shared" si="89"/>
        <v>43101</v>
      </c>
      <c r="P750" s="1">
        <f t="shared" si="90"/>
        <v>43952</v>
      </c>
      <c r="Q750" s="8">
        <f t="shared" si="91"/>
        <v>0</v>
      </c>
      <c r="R750" s="8">
        <f t="shared" si="92"/>
        <v>29</v>
      </c>
      <c r="S750" s="8">
        <f t="shared" ca="1" si="93"/>
        <v>29</v>
      </c>
      <c r="T750">
        <f t="shared" ca="1" si="94"/>
        <v>7.3916654705815716</v>
      </c>
      <c r="U750" s="8">
        <f t="shared" ca="1" si="95"/>
        <v>1</v>
      </c>
      <c r="V750" s="8">
        <f ca="1">RawData[[#This Row],[Z (smoothed demand size)]]/RawData[[#This Row],[X (smoothed interval)]]</f>
        <v>7.3916654705815716</v>
      </c>
    </row>
    <row r="751" spans="1:22">
      <c r="A751" t="s">
        <v>28</v>
      </c>
      <c r="B751" t="s">
        <v>14</v>
      </c>
      <c r="C751">
        <v>24</v>
      </c>
      <c r="D751" t="s">
        <v>18</v>
      </c>
      <c r="E751" t="s">
        <v>16</v>
      </c>
      <c r="F751" s="1">
        <v>43836</v>
      </c>
      <c r="G751">
        <v>5</v>
      </c>
      <c r="H751">
        <v>5</v>
      </c>
      <c r="I751">
        <v>13</v>
      </c>
      <c r="J751">
        <v>8</v>
      </c>
      <c r="K751">
        <v>0</v>
      </c>
      <c r="L751">
        <v>481</v>
      </c>
      <c r="M751">
        <v>15</v>
      </c>
      <c r="N751" s="1">
        <f t="shared" si="88"/>
        <v>44938</v>
      </c>
      <c r="O751" s="1">
        <f t="shared" si="89"/>
        <v>43101</v>
      </c>
      <c r="P751" s="1">
        <f t="shared" si="90"/>
        <v>43983</v>
      </c>
      <c r="Q751" s="8">
        <f t="shared" si="91"/>
        <v>0</v>
      </c>
      <c r="R751" s="8">
        <f t="shared" si="92"/>
        <v>30</v>
      </c>
      <c r="S751" s="8">
        <f t="shared" ca="1" si="93"/>
        <v>30</v>
      </c>
      <c r="T751">
        <f t="shared" ca="1" si="94"/>
        <v>6.9133323764652577</v>
      </c>
      <c r="U751" s="8">
        <f t="shared" ca="1" si="95"/>
        <v>1</v>
      </c>
      <c r="V751" s="8">
        <f ca="1">RawData[[#This Row],[Z (smoothed demand size)]]/RawData[[#This Row],[X (smoothed interval)]]</f>
        <v>6.9133323764652577</v>
      </c>
    </row>
    <row r="752" spans="1:22">
      <c r="A752" t="s">
        <v>28</v>
      </c>
      <c r="B752" t="s">
        <v>14</v>
      </c>
      <c r="C752">
        <v>24</v>
      </c>
      <c r="D752" t="s">
        <v>18</v>
      </c>
      <c r="E752" t="s">
        <v>16</v>
      </c>
      <c r="F752" s="1">
        <v>43837</v>
      </c>
      <c r="G752">
        <v>10</v>
      </c>
      <c r="H752">
        <v>10</v>
      </c>
      <c r="I752">
        <v>15</v>
      </c>
      <c r="J752">
        <v>5</v>
      </c>
      <c r="K752">
        <v>0</v>
      </c>
      <c r="L752">
        <v>489</v>
      </c>
      <c r="M752">
        <v>60</v>
      </c>
      <c r="N752" s="1">
        <f t="shared" si="88"/>
        <v>44938</v>
      </c>
      <c r="O752" s="1">
        <f t="shared" si="89"/>
        <v>43101</v>
      </c>
      <c r="P752" s="1">
        <f t="shared" si="90"/>
        <v>44013</v>
      </c>
      <c r="Q752" s="8">
        <f t="shared" si="91"/>
        <v>0</v>
      </c>
      <c r="R752" s="8">
        <f t="shared" si="92"/>
        <v>31</v>
      </c>
      <c r="S752" s="8">
        <f t="shared" ca="1" si="93"/>
        <v>31</v>
      </c>
      <c r="T752">
        <f t="shared" ca="1" si="94"/>
        <v>7.5306659011722061</v>
      </c>
      <c r="U752" s="8">
        <f t="shared" ca="1" si="95"/>
        <v>1</v>
      </c>
      <c r="V752" s="8">
        <f ca="1">RawData[[#This Row],[Z (smoothed demand size)]]/RawData[[#This Row],[X (smoothed interval)]]</f>
        <v>7.5306659011722061</v>
      </c>
    </row>
    <row r="753" spans="1:22">
      <c r="A753" t="s">
        <v>28</v>
      </c>
      <c r="B753" t="s">
        <v>14</v>
      </c>
      <c r="C753">
        <v>24</v>
      </c>
      <c r="D753" t="s">
        <v>18</v>
      </c>
      <c r="E753" t="s">
        <v>16</v>
      </c>
      <c r="F753" s="1">
        <v>43838</v>
      </c>
      <c r="G753">
        <v>5</v>
      </c>
      <c r="H753">
        <v>5</v>
      </c>
      <c r="I753">
        <v>5</v>
      </c>
      <c r="J753">
        <v>0</v>
      </c>
      <c r="K753">
        <v>0</v>
      </c>
      <c r="L753">
        <v>485</v>
      </c>
      <c r="M753">
        <v>60</v>
      </c>
      <c r="N753" s="1">
        <f t="shared" si="88"/>
        <v>44938</v>
      </c>
      <c r="O753" s="1">
        <f t="shared" si="89"/>
        <v>43101</v>
      </c>
      <c r="P753" s="1">
        <f t="shared" si="90"/>
        <v>44044</v>
      </c>
      <c r="Q753" s="8">
        <f t="shared" si="91"/>
        <v>0</v>
      </c>
      <c r="R753" s="8">
        <f t="shared" si="92"/>
        <v>32</v>
      </c>
      <c r="S753" s="8">
        <f t="shared" ca="1" si="93"/>
        <v>32</v>
      </c>
      <c r="T753">
        <f t="shared" ca="1" si="94"/>
        <v>7.0245327209377653</v>
      </c>
      <c r="U753" s="8">
        <f t="shared" ca="1" si="95"/>
        <v>1</v>
      </c>
      <c r="V753" s="8">
        <f ca="1">RawData[[#This Row],[Z (smoothed demand size)]]/RawData[[#This Row],[X (smoothed interval)]]</f>
        <v>7.0245327209377653</v>
      </c>
    </row>
    <row r="754" spans="1:22">
      <c r="A754" t="s">
        <v>28</v>
      </c>
      <c r="B754" t="s">
        <v>14</v>
      </c>
      <c r="C754">
        <v>24</v>
      </c>
      <c r="D754" t="s">
        <v>18</v>
      </c>
      <c r="E754" t="s">
        <v>16</v>
      </c>
      <c r="F754" s="1">
        <v>43839</v>
      </c>
      <c r="G754">
        <v>0</v>
      </c>
      <c r="H754">
        <v>0</v>
      </c>
      <c r="I754">
        <v>10</v>
      </c>
      <c r="J754">
        <v>10</v>
      </c>
      <c r="K754">
        <v>0</v>
      </c>
      <c r="L754">
        <v>417</v>
      </c>
      <c r="M754">
        <v>15</v>
      </c>
      <c r="N754" s="1">
        <f t="shared" si="88"/>
        <v>44938</v>
      </c>
      <c r="O754" s="1">
        <f t="shared" si="89"/>
        <v>43101</v>
      </c>
      <c r="P754" s="1">
        <f t="shared" si="90"/>
        <v>44075</v>
      </c>
      <c r="Q754" s="8">
        <f t="shared" si="91"/>
        <v>0</v>
      </c>
      <c r="R754" s="8">
        <f t="shared" si="92"/>
        <v>33</v>
      </c>
      <c r="S754" s="8">
        <f t="shared" ca="1" si="93"/>
        <v>32</v>
      </c>
      <c r="T754">
        <f t="shared" ca="1" si="94"/>
        <v>7.0245327209377653</v>
      </c>
      <c r="U754" s="8">
        <f t="shared" ca="1" si="95"/>
        <v>1</v>
      </c>
      <c r="V754" s="8">
        <f ca="1">RawData[[#This Row],[Z (smoothed demand size)]]/RawData[[#This Row],[X (smoothed interval)]]</f>
        <v>7.0245327209377653</v>
      </c>
    </row>
    <row r="755" spans="1:22">
      <c r="A755" t="s">
        <v>28</v>
      </c>
      <c r="B755" t="s">
        <v>14</v>
      </c>
      <c r="C755">
        <v>24</v>
      </c>
      <c r="D755" t="s">
        <v>18</v>
      </c>
      <c r="E755" t="s">
        <v>16</v>
      </c>
      <c r="F755" s="1">
        <v>43840</v>
      </c>
      <c r="G755">
        <v>7</v>
      </c>
      <c r="H755">
        <v>7</v>
      </c>
      <c r="I755">
        <v>10</v>
      </c>
      <c r="J755">
        <v>3</v>
      </c>
      <c r="K755">
        <v>0</v>
      </c>
      <c r="L755">
        <v>411</v>
      </c>
      <c r="M755">
        <v>30</v>
      </c>
      <c r="N755" s="1">
        <f t="shared" si="88"/>
        <v>44938</v>
      </c>
      <c r="O755" s="1">
        <f t="shared" si="89"/>
        <v>43101</v>
      </c>
      <c r="P755" s="1">
        <f t="shared" si="90"/>
        <v>44105</v>
      </c>
      <c r="Q755" s="8">
        <f t="shared" si="91"/>
        <v>0</v>
      </c>
      <c r="R755" s="8">
        <f t="shared" si="92"/>
        <v>34</v>
      </c>
      <c r="S755" s="8">
        <f t="shared" ca="1" si="93"/>
        <v>34</v>
      </c>
      <c r="T755">
        <f t="shared" ca="1" si="94"/>
        <v>7.0196261767502133</v>
      </c>
      <c r="U755" s="8">
        <f t="shared" ca="1" si="95"/>
        <v>1.2000000000000002</v>
      </c>
      <c r="V755" s="8">
        <f ca="1">RawData[[#This Row],[Z (smoothed demand size)]]/RawData[[#This Row],[X (smoothed interval)]]</f>
        <v>5.8496884806251765</v>
      </c>
    </row>
    <row r="756" spans="1:22">
      <c r="A756" t="s">
        <v>28</v>
      </c>
      <c r="B756" t="s">
        <v>14</v>
      </c>
      <c r="C756">
        <v>24</v>
      </c>
      <c r="D756" t="s">
        <v>18</v>
      </c>
      <c r="E756" t="s">
        <v>16</v>
      </c>
      <c r="F756" s="1">
        <v>43841</v>
      </c>
      <c r="G756">
        <v>0</v>
      </c>
      <c r="H756">
        <v>0</v>
      </c>
      <c r="I756">
        <v>10</v>
      </c>
      <c r="J756">
        <v>10</v>
      </c>
      <c r="K756">
        <v>0</v>
      </c>
      <c r="L756">
        <v>418</v>
      </c>
      <c r="M756">
        <v>60</v>
      </c>
      <c r="N756" s="1">
        <f t="shared" si="88"/>
        <v>44938</v>
      </c>
      <c r="O756" s="1">
        <f t="shared" si="89"/>
        <v>43101</v>
      </c>
      <c r="P756" s="1">
        <f t="shared" si="90"/>
        <v>44136</v>
      </c>
      <c r="Q756" s="8">
        <f t="shared" si="91"/>
        <v>0</v>
      </c>
      <c r="R756" s="8">
        <f t="shared" si="92"/>
        <v>35</v>
      </c>
      <c r="S756" s="8">
        <f t="shared" ca="1" si="93"/>
        <v>34</v>
      </c>
      <c r="T756">
        <f t="shared" ca="1" si="94"/>
        <v>7.0196261767502133</v>
      </c>
      <c r="U756" s="8">
        <f t="shared" ca="1" si="95"/>
        <v>1.2000000000000002</v>
      </c>
      <c r="V756" s="8">
        <f ca="1">RawData[[#This Row],[Z (smoothed demand size)]]/RawData[[#This Row],[X (smoothed interval)]]</f>
        <v>5.8496884806251765</v>
      </c>
    </row>
    <row r="757" spans="1:22">
      <c r="A757" t="s">
        <v>28</v>
      </c>
      <c r="B757" t="s">
        <v>14</v>
      </c>
      <c r="C757">
        <v>24</v>
      </c>
      <c r="D757" t="s">
        <v>18</v>
      </c>
      <c r="E757" t="s">
        <v>16</v>
      </c>
      <c r="F757" s="1">
        <v>43842</v>
      </c>
      <c r="G757">
        <v>13</v>
      </c>
      <c r="H757">
        <v>10</v>
      </c>
      <c r="I757">
        <v>10</v>
      </c>
      <c r="J757">
        <v>0</v>
      </c>
      <c r="K757">
        <v>1</v>
      </c>
      <c r="L757">
        <v>488</v>
      </c>
      <c r="M757">
        <v>15</v>
      </c>
      <c r="N757" s="1">
        <f t="shared" si="88"/>
        <v>44938</v>
      </c>
      <c r="O757" s="1">
        <f t="shared" si="89"/>
        <v>43101</v>
      </c>
      <c r="P757" s="1">
        <f t="shared" si="90"/>
        <v>44166</v>
      </c>
      <c r="Q757" s="8">
        <f t="shared" si="91"/>
        <v>0</v>
      </c>
      <c r="R757" s="8">
        <f t="shared" si="92"/>
        <v>36</v>
      </c>
      <c r="S757" s="8">
        <f t="shared" ca="1" si="93"/>
        <v>36</v>
      </c>
      <c r="T757">
        <f t="shared" ca="1" si="94"/>
        <v>8.2157009414001703</v>
      </c>
      <c r="U757" s="8">
        <f t="shared" ca="1" si="95"/>
        <v>1.3600000000000003</v>
      </c>
      <c r="V757" s="8">
        <f ca="1">RawData[[#This Row],[Z (smoothed demand size)]]/RawData[[#This Row],[X (smoothed interval)]]</f>
        <v>6.0409565745589475</v>
      </c>
    </row>
    <row r="758" spans="1:22">
      <c r="A758" t="s">
        <v>28</v>
      </c>
      <c r="B758" t="s">
        <v>14</v>
      </c>
      <c r="C758">
        <v>24</v>
      </c>
      <c r="D758" t="s">
        <v>18</v>
      </c>
      <c r="E758" t="s">
        <v>16</v>
      </c>
      <c r="F758" s="1">
        <v>44197</v>
      </c>
      <c r="G758">
        <v>8</v>
      </c>
      <c r="H758">
        <v>8</v>
      </c>
      <c r="I758">
        <v>11</v>
      </c>
      <c r="J758">
        <v>3</v>
      </c>
      <c r="K758">
        <v>0</v>
      </c>
      <c r="L758">
        <v>413</v>
      </c>
      <c r="M758">
        <v>15</v>
      </c>
      <c r="N758" s="1">
        <f t="shared" si="88"/>
        <v>44938</v>
      </c>
      <c r="O758" s="1">
        <f t="shared" si="89"/>
        <v>43101</v>
      </c>
      <c r="P758" s="1">
        <f t="shared" si="90"/>
        <v>44197</v>
      </c>
      <c r="Q758" s="8">
        <f t="shared" si="91"/>
        <v>0</v>
      </c>
      <c r="R758" s="8">
        <f t="shared" si="92"/>
        <v>37</v>
      </c>
      <c r="S758" s="8">
        <f t="shared" ca="1" si="93"/>
        <v>37</v>
      </c>
      <c r="T758">
        <f t="shared" ca="1" si="94"/>
        <v>8.1725607531201359</v>
      </c>
      <c r="U758" s="8">
        <f t="shared" ca="1" si="95"/>
        <v>1.2880000000000003</v>
      </c>
      <c r="V758" s="8">
        <f ca="1">RawData[[#This Row],[Z (smoothed demand size)]]/RawData[[#This Row],[X (smoothed interval)]]</f>
        <v>6.3451558642237069</v>
      </c>
    </row>
    <row r="759" spans="1:22">
      <c r="A759" t="s">
        <v>28</v>
      </c>
      <c r="B759" t="s">
        <v>14</v>
      </c>
      <c r="C759">
        <v>24</v>
      </c>
      <c r="D759" t="s">
        <v>18</v>
      </c>
      <c r="E759" t="s">
        <v>16</v>
      </c>
      <c r="F759" s="1">
        <v>44198</v>
      </c>
      <c r="G759">
        <v>6</v>
      </c>
      <c r="H759">
        <v>6</v>
      </c>
      <c r="I759">
        <v>14</v>
      </c>
      <c r="J759">
        <v>8</v>
      </c>
      <c r="K759">
        <v>0</v>
      </c>
      <c r="L759">
        <v>417</v>
      </c>
      <c r="M759">
        <v>30</v>
      </c>
      <c r="N759" s="1">
        <f t="shared" si="88"/>
        <v>44938</v>
      </c>
      <c r="O759" s="1">
        <f t="shared" si="89"/>
        <v>43101</v>
      </c>
      <c r="P759" s="1">
        <f t="shared" si="90"/>
        <v>44228</v>
      </c>
      <c r="Q759" s="8">
        <f t="shared" si="91"/>
        <v>0</v>
      </c>
      <c r="R759" s="8">
        <f t="shared" si="92"/>
        <v>38</v>
      </c>
      <c r="S759" s="8">
        <f t="shared" ca="1" si="93"/>
        <v>38</v>
      </c>
      <c r="T759">
        <f t="shared" ca="1" si="94"/>
        <v>7.738048602496109</v>
      </c>
      <c r="U759" s="8">
        <f t="shared" ca="1" si="95"/>
        <v>1.2304000000000002</v>
      </c>
      <c r="V759" s="8">
        <f ca="1">RawData[[#This Row],[Z (smoothed demand size)]]/RawData[[#This Row],[X (smoothed interval)]]</f>
        <v>6.2890512048895548</v>
      </c>
    </row>
    <row r="760" spans="1:22">
      <c r="A760" t="s">
        <v>28</v>
      </c>
      <c r="B760" t="s">
        <v>14</v>
      </c>
      <c r="C760">
        <v>24</v>
      </c>
      <c r="D760" t="s">
        <v>18</v>
      </c>
      <c r="E760" t="s">
        <v>16</v>
      </c>
      <c r="F760" s="1">
        <v>44199</v>
      </c>
      <c r="G760">
        <v>3</v>
      </c>
      <c r="H760">
        <v>3</v>
      </c>
      <c r="I760">
        <v>20</v>
      </c>
      <c r="J760">
        <v>17</v>
      </c>
      <c r="K760">
        <v>0</v>
      </c>
      <c r="L760">
        <v>417</v>
      </c>
      <c r="M760">
        <v>15</v>
      </c>
      <c r="N760" s="1">
        <f t="shared" si="88"/>
        <v>44938</v>
      </c>
      <c r="O760" s="1">
        <f t="shared" si="89"/>
        <v>43101</v>
      </c>
      <c r="P760" s="1">
        <f t="shared" si="90"/>
        <v>44256</v>
      </c>
      <c r="Q760" s="8">
        <f t="shared" si="91"/>
        <v>0</v>
      </c>
      <c r="R760" s="8">
        <f t="shared" si="92"/>
        <v>39</v>
      </c>
      <c r="S760" s="8">
        <f t="shared" ca="1" si="93"/>
        <v>39</v>
      </c>
      <c r="T760">
        <f t="shared" ca="1" si="94"/>
        <v>6.7904388819968879</v>
      </c>
      <c r="U760" s="8">
        <f t="shared" ca="1" si="95"/>
        <v>1.1843200000000003</v>
      </c>
      <c r="V760" s="8">
        <f ca="1">RawData[[#This Row],[Z (smoothed demand size)]]/RawData[[#This Row],[X (smoothed interval)]]</f>
        <v>5.7336183480789709</v>
      </c>
    </row>
    <row r="761" spans="1:22">
      <c r="A761" t="s">
        <v>28</v>
      </c>
      <c r="B761" t="s">
        <v>14</v>
      </c>
      <c r="C761">
        <v>24</v>
      </c>
      <c r="D761" t="s">
        <v>18</v>
      </c>
      <c r="E761" t="s">
        <v>16</v>
      </c>
      <c r="F761" s="1">
        <v>44200</v>
      </c>
      <c r="G761">
        <v>8</v>
      </c>
      <c r="H761">
        <v>8</v>
      </c>
      <c r="I761">
        <v>17</v>
      </c>
      <c r="J761">
        <v>9</v>
      </c>
      <c r="K761">
        <v>0</v>
      </c>
      <c r="L761">
        <v>420</v>
      </c>
      <c r="M761">
        <v>30</v>
      </c>
      <c r="N761" s="1">
        <f t="shared" si="88"/>
        <v>44938</v>
      </c>
      <c r="O761" s="1">
        <f t="shared" si="89"/>
        <v>43101</v>
      </c>
      <c r="P761" s="1">
        <f t="shared" si="90"/>
        <v>44287</v>
      </c>
      <c r="Q761" s="8">
        <f t="shared" si="91"/>
        <v>0</v>
      </c>
      <c r="R761" s="8">
        <f t="shared" si="92"/>
        <v>40</v>
      </c>
      <c r="S761" s="8">
        <f t="shared" ca="1" si="93"/>
        <v>40</v>
      </c>
      <c r="T761">
        <f t="shared" ca="1" si="94"/>
        <v>7.0323511055975114</v>
      </c>
      <c r="U761" s="8">
        <f t="shared" ca="1" si="95"/>
        <v>1.1474560000000003</v>
      </c>
      <c r="V761" s="8">
        <f ca="1">RawData[[#This Row],[Z (smoothed demand size)]]/RawData[[#This Row],[X (smoothed interval)]]</f>
        <v>6.1286455477138206</v>
      </c>
    </row>
    <row r="762" spans="1:22">
      <c r="A762" t="s">
        <v>28</v>
      </c>
      <c r="B762" t="s">
        <v>14</v>
      </c>
      <c r="C762">
        <v>24</v>
      </c>
      <c r="D762" t="s">
        <v>18</v>
      </c>
      <c r="E762" t="s">
        <v>16</v>
      </c>
      <c r="F762" s="1">
        <v>44201</v>
      </c>
      <c r="G762">
        <v>6</v>
      </c>
      <c r="H762">
        <v>6</v>
      </c>
      <c r="I762">
        <v>9</v>
      </c>
      <c r="J762">
        <v>3</v>
      </c>
      <c r="K762">
        <v>0</v>
      </c>
      <c r="L762">
        <v>415</v>
      </c>
      <c r="M762">
        <v>45</v>
      </c>
      <c r="N762" s="1">
        <f t="shared" si="88"/>
        <v>44938</v>
      </c>
      <c r="O762" s="1">
        <f t="shared" si="89"/>
        <v>43101</v>
      </c>
      <c r="P762" s="1">
        <f t="shared" si="90"/>
        <v>44317</v>
      </c>
      <c r="Q762" s="8">
        <f t="shared" si="91"/>
        <v>0</v>
      </c>
      <c r="R762" s="8">
        <f t="shared" si="92"/>
        <v>41</v>
      </c>
      <c r="S762" s="8">
        <f t="shared" ca="1" si="93"/>
        <v>41</v>
      </c>
      <c r="T762">
        <f t="shared" ca="1" si="94"/>
        <v>6.8258808844780097</v>
      </c>
      <c r="U762" s="8">
        <f t="shared" ca="1" si="95"/>
        <v>1.1179648000000002</v>
      </c>
      <c r="V762" s="8">
        <f ca="1">RawData[[#This Row],[Z (smoothed demand size)]]/RawData[[#This Row],[X (smoothed interval)]]</f>
        <v>6.1056313083184808</v>
      </c>
    </row>
    <row r="763" spans="1:22">
      <c r="A763" t="s">
        <v>28</v>
      </c>
      <c r="B763" t="s">
        <v>14</v>
      </c>
      <c r="C763">
        <v>24</v>
      </c>
      <c r="D763" t="s">
        <v>18</v>
      </c>
      <c r="E763" t="s">
        <v>16</v>
      </c>
      <c r="F763" s="1">
        <v>44202</v>
      </c>
      <c r="G763">
        <v>7</v>
      </c>
      <c r="H763">
        <v>3</v>
      </c>
      <c r="I763">
        <v>3</v>
      </c>
      <c r="J763">
        <v>0</v>
      </c>
      <c r="K763">
        <v>1</v>
      </c>
      <c r="L763">
        <v>474</v>
      </c>
      <c r="M763">
        <v>45</v>
      </c>
      <c r="N763" s="1">
        <f t="shared" si="88"/>
        <v>44938</v>
      </c>
      <c r="O763" s="1">
        <f t="shared" si="89"/>
        <v>43101</v>
      </c>
      <c r="P763" s="1">
        <f t="shared" si="90"/>
        <v>44348</v>
      </c>
      <c r="Q763" s="8">
        <f t="shared" si="91"/>
        <v>0</v>
      </c>
      <c r="R763" s="8">
        <f t="shared" si="92"/>
        <v>42</v>
      </c>
      <c r="S763" s="8">
        <f t="shared" ca="1" si="93"/>
        <v>42</v>
      </c>
      <c r="T763">
        <f t="shared" ca="1" si="94"/>
        <v>6.8607047075824088</v>
      </c>
      <c r="U763" s="8">
        <f t="shared" ca="1" si="95"/>
        <v>1.0943718400000002</v>
      </c>
      <c r="V763" s="8">
        <f ca="1">RawData[[#This Row],[Z (smoothed demand size)]]/RawData[[#This Row],[X (smoothed interval)]]</f>
        <v>6.2690800848662258</v>
      </c>
    </row>
    <row r="764" spans="1:22">
      <c r="A764" t="s">
        <v>28</v>
      </c>
      <c r="B764" t="s">
        <v>14</v>
      </c>
      <c r="C764">
        <v>24</v>
      </c>
      <c r="D764" t="s">
        <v>18</v>
      </c>
      <c r="E764" t="s">
        <v>16</v>
      </c>
      <c r="F764" s="1">
        <v>44203</v>
      </c>
      <c r="G764">
        <v>5</v>
      </c>
      <c r="H764">
        <v>5</v>
      </c>
      <c r="I764">
        <v>12</v>
      </c>
      <c r="J764">
        <v>7</v>
      </c>
      <c r="K764">
        <v>0</v>
      </c>
      <c r="L764">
        <v>481</v>
      </c>
      <c r="M764">
        <v>15</v>
      </c>
      <c r="N764" s="1">
        <f t="shared" si="88"/>
        <v>44938</v>
      </c>
      <c r="O764" s="1">
        <f t="shared" si="89"/>
        <v>43101</v>
      </c>
      <c r="P764" s="1">
        <f t="shared" si="90"/>
        <v>44378</v>
      </c>
      <c r="Q764" s="8">
        <f t="shared" si="91"/>
        <v>0</v>
      </c>
      <c r="R764" s="8">
        <f t="shared" si="92"/>
        <v>43</v>
      </c>
      <c r="S764" s="8">
        <f t="shared" ca="1" si="93"/>
        <v>43</v>
      </c>
      <c r="T764">
        <f t="shared" ca="1" si="94"/>
        <v>6.4885637660659272</v>
      </c>
      <c r="U764" s="8">
        <f t="shared" ca="1" si="95"/>
        <v>1.0754974720000001</v>
      </c>
      <c r="V764" s="8">
        <f ca="1">RawData[[#This Row],[Z (smoothed demand size)]]/RawData[[#This Row],[X (smoothed interval)]]</f>
        <v>6.0330813739615436</v>
      </c>
    </row>
    <row r="765" spans="1:22">
      <c r="A765" t="s">
        <v>28</v>
      </c>
      <c r="B765" t="s">
        <v>14</v>
      </c>
      <c r="C765">
        <v>24</v>
      </c>
      <c r="D765" t="s">
        <v>18</v>
      </c>
      <c r="E765" t="s">
        <v>16</v>
      </c>
      <c r="F765" s="1">
        <v>44204</v>
      </c>
      <c r="G765">
        <v>7</v>
      </c>
      <c r="H765">
        <v>7</v>
      </c>
      <c r="I765">
        <v>17</v>
      </c>
      <c r="J765">
        <v>10</v>
      </c>
      <c r="K765">
        <v>0</v>
      </c>
      <c r="L765">
        <v>475</v>
      </c>
      <c r="M765">
        <v>30</v>
      </c>
      <c r="N765" s="1">
        <f t="shared" si="88"/>
        <v>44938</v>
      </c>
      <c r="O765" s="1">
        <f t="shared" si="89"/>
        <v>43101</v>
      </c>
      <c r="P765" s="1">
        <f t="shared" si="90"/>
        <v>44409</v>
      </c>
      <c r="Q765" s="8">
        <f t="shared" si="91"/>
        <v>0</v>
      </c>
      <c r="R765" s="8">
        <f t="shared" si="92"/>
        <v>44</v>
      </c>
      <c r="S765" s="8">
        <f t="shared" ca="1" si="93"/>
        <v>44</v>
      </c>
      <c r="T765">
        <f t="shared" ca="1" si="94"/>
        <v>6.5908510128527427</v>
      </c>
      <c r="U765" s="8">
        <f t="shared" ca="1" si="95"/>
        <v>1.0603979776000001</v>
      </c>
      <c r="V765" s="8">
        <f ca="1">RawData[[#This Row],[Z (smoothed demand size)]]/RawData[[#This Row],[X (smoothed interval)]]</f>
        <v>6.2154503800260192</v>
      </c>
    </row>
    <row r="766" spans="1:22">
      <c r="A766" t="s">
        <v>28</v>
      </c>
      <c r="B766" t="s">
        <v>14</v>
      </c>
      <c r="C766">
        <v>24</v>
      </c>
      <c r="D766" t="s">
        <v>18</v>
      </c>
      <c r="E766" t="s">
        <v>16</v>
      </c>
      <c r="F766" s="1">
        <v>44205</v>
      </c>
      <c r="G766">
        <v>9</v>
      </c>
      <c r="H766">
        <v>9</v>
      </c>
      <c r="I766">
        <v>10</v>
      </c>
      <c r="J766">
        <v>1</v>
      </c>
      <c r="K766">
        <v>0</v>
      </c>
      <c r="L766">
        <v>409</v>
      </c>
      <c r="M766">
        <v>60</v>
      </c>
      <c r="N766" s="1">
        <f t="shared" si="88"/>
        <v>44938</v>
      </c>
      <c r="O766" s="1">
        <f t="shared" si="89"/>
        <v>43101</v>
      </c>
      <c r="P766" s="1">
        <f t="shared" si="90"/>
        <v>44440</v>
      </c>
      <c r="Q766" s="8">
        <f t="shared" si="91"/>
        <v>0</v>
      </c>
      <c r="R766" s="8">
        <f t="shared" si="92"/>
        <v>45</v>
      </c>
      <c r="S766" s="8">
        <f t="shared" ca="1" si="93"/>
        <v>45</v>
      </c>
      <c r="T766">
        <f t="shared" ca="1" si="94"/>
        <v>7.0726808102821943</v>
      </c>
      <c r="U766" s="8">
        <f t="shared" ca="1" si="95"/>
        <v>1.0483183820800002</v>
      </c>
      <c r="V766" s="8">
        <f ca="1">RawData[[#This Row],[Z (smoothed demand size)]]/RawData[[#This Row],[X (smoothed interval)]]</f>
        <v>6.7466915883408198</v>
      </c>
    </row>
    <row r="767" spans="1:22">
      <c r="A767" t="s">
        <v>28</v>
      </c>
      <c r="B767" t="s">
        <v>14</v>
      </c>
      <c r="C767">
        <v>24</v>
      </c>
      <c r="D767" t="s">
        <v>18</v>
      </c>
      <c r="E767" t="s">
        <v>16</v>
      </c>
      <c r="F767" s="1">
        <v>44206</v>
      </c>
      <c r="G767">
        <v>7</v>
      </c>
      <c r="H767">
        <v>1</v>
      </c>
      <c r="I767">
        <v>1</v>
      </c>
      <c r="J767">
        <v>0</v>
      </c>
      <c r="K767">
        <v>1</v>
      </c>
      <c r="L767">
        <v>424</v>
      </c>
      <c r="M767">
        <v>60</v>
      </c>
      <c r="N767" s="1">
        <f t="shared" si="88"/>
        <v>44938</v>
      </c>
      <c r="O767" s="1">
        <f t="shared" si="89"/>
        <v>43101</v>
      </c>
      <c r="P767" s="1">
        <f t="shared" si="90"/>
        <v>44470</v>
      </c>
      <c r="Q767" s="8">
        <f t="shared" si="91"/>
        <v>0</v>
      </c>
      <c r="R767" s="8">
        <f t="shared" si="92"/>
        <v>46</v>
      </c>
      <c r="S767" s="8">
        <f t="shared" ca="1" si="93"/>
        <v>46</v>
      </c>
      <c r="T767">
        <f t="shared" ca="1" si="94"/>
        <v>7.0581446482257562</v>
      </c>
      <c r="U767" s="8">
        <f t="shared" ca="1" si="95"/>
        <v>1.0386547056640001</v>
      </c>
      <c r="V767" s="8">
        <f ca="1">RawData[[#This Row],[Z (smoothed demand size)]]/RawData[[#This Row],[X (smoothed interval)]]</f>
        <v>6.7954678390577978</v>
      </c>
    </row>
    <row r="768" spans="1:22">
      <c r="A768" t="s">
        <v>28</v>
      </c>
      <c r="B768" t="s">
        <v>14</v>
      </c>
      <c r="C768">
        <v>24</v>
      </c>
      <c r="D768" t="s">
        <v>18</v>
      </c>
      <c r="E768" t="s">
        <v>16</v>
      </c>
      <c r="F768" s="1">
        <v>44207</v>
      </c>
      <c r="G768">
        <v>12</v>
      </c>
      <c r="H768">
        <v>10</v>
      </c>
      <c r="I768">
        <v>10</v>
      </c>
      <c r="J768">
        <v>0</v>
      </c>
      <c r="K768">
        <v>1</v>
      </c>
      <c r="L768">
        <v>420</v>
      </c>
      <c r="M768">
        <v>15</v>
      </c>
      <c r="N768" s="1">
        <f t="shared" si="88"/>
        <v>44938</v>
      </c>
      <c r="O768" s="1">
        <f t="shared" si="89"/>
        <v>43101</v>
      </c>
      <c r="P768" s="1">
        <f t="shared" si="90"/>
        <v>44501</v>
      </c>
      <c r="Q768" s="8">
        <f t="shared" si="91"/>
        <v>0</v>
      </c>
      <c r="R768" s="8">
        <f t="shared" si="92"/>
        <v>47</v>
      </c>
      <c r="S768" s="8">
        <f t="shared" ca="1" si="93"/>
        <v>47</v>
      </c>
      <c r="T768">
        <f t="shared" ca="1" si="94"/>
        <v>8.046515718580606</v>
      </c>
      <c r="U768" s="8">
        <f t="shared" ca="1" si="95"/>
        <v>1.0309237645312002</v>
      </c>
      <c r="V768" s="8">
        <f ca="1">RawData[[#This Row],[Z (smoothed demand size)]]/RawData[[#This Row],[X (smoothed interval)]]</f>
        <v>7.8051510649186167</v>
      </c>
    </row>
    <row r="769" spans="1:22">
      <c r="A769" t="s">
        <v>28</v>
      </c>
      <c r="B769" t="s">
        <v>14</v>
      </c>
      <c r="C769">
        <v>24</v>
      </c>
      <c r="D769" t="s">
        <v>18</v>
      </c>
      <c r="E769" t="s">
        <v>16</v>
      </c>
      <c r="F769" s="1">
        <v>44208</v>
      </c>
      <c r="G769">
        <v>9</v>
      </c>
      <c r="H769">
        <v>9</v>
      </c>
      <c r="I769">
        <v>10</v>
      </c>
      <c r="J769">
        <v>1</v>
      </c>
      <c r="K769">
        <v>0</v>
      </c>
      <c r="L769">
        <v>488</v>
      </c>
      <c r="M769">
        <v>45</v>
      </c>
      <c r="N769" s="1">
        <f t="shared" si="88"/>
        <v>44938</v>
      </c>
      <c r="O769" s="1">
        <f t="shared" si="89"/>
        <v>43101</v>
      </c>
      <c r="P769" s="1">
        <f t="shared" si="90"/>
        <v>44531</v>
      </c>
      <c r="Q769" s="8">
        <f t="shared" si="91"/>
        <v>0</v>
      </c>
      <c r="R769" s="8">
        <f t="shared" si="92"/>
        <v>48</v>
      </c>
      <c r="S769" s="8">
        <f t="shared" ca="1" si="93"/>
        <v>48</v>
      </c>
      <c r="T769">
        <f t="shared" ca="1" si="94"/>
        <v>8.2372125748644862</v>
      </c>
      <c r="U769" s="8">
        <f t="shared" ca="1" si="95"/>
        <v>1.0247390116249602</v>
      </c>
      <c r="V769" s="8">
        <f ca="1">RawData[[#This Row],[Z (smoothed demand size)]]/RawData[[#This Row],[X (smoothed interval)]]</f>
        <v>8.038351698743746</v>
      </c>
    </row>
    <row r="770" spans="1:22">
      <c r="A770" t="s">
        <v>28</v>
      </c>
      <c r="B770" t="s">
        <v>14</v>
      </c>
      <c r="C770">
        <v>24</v>
      </c>
      <c r="D770" t="s">
        <v>18</v>
      </c>
      <c r="E770" t="s">
        <v>16</v>
      </c>
      <c r="F770" s="1">
        <v>44562</v>
      </c>
      <c r="G770">
        <v>4</v>
      </c>
      <c r="H770">
        <v>1</v>
      </c>
      <c r="I770">
        <v>1</v>
      </c>
      <c r="J770">
        <v>0</v>
      </c>
      <c r="K770">
        <v>1</v>
      </c>
      <c r="L770">
        <v>419</v>
      </c>
      <c r="M770">
        <v>30</v>
      </c>
      <c r="N770" s="1">
        <f t="shared" ref="N770:N833" si="96">MAX(F:F)</f>
        <v>44938</v>
      </c>
      <c r="O770" s="1">
        <f t="shared" ref="O770:O833" si="97">MIN(F:F)</f>
        <v>43101</v>
      </c>
      <c r="P770" s="1">
        <f t="shared" ref="P770:P833" si="98">DATE(YEAR(F770), DAY(F770), 1)</f>
        <v>44562</v>
      </c>
      <c r="Q770" s="8">
        <f t="shared" ref="Q770:Q833" si="99" xml:space="preserve"> IF(A770&lt;&gt;A769, 1, 0)</f>
        <v>0</v>
      </c>
      <c r="R770" s="8">
        <f t="shared" ref="R770:R833" si="100">IF(Q770=1,1,R769+1)</f>
        <v>49</v>
      </c>
      <c r="S770" s="8">
        <f t="shared" ref="S770:S833" ca="1" si="101" xml:space="preserve"> IF(Q770=1, IF(G770&gt;0, R770, 0), IF(G770&gt;0, R770, OFFSET(S770,-1,0)))</f>
        <v>49</v>
      </c>
      <c r="T770">
        <f t="shared" ref="T770:T833" ca="1" si="102" xml:space="preserve"> IF(Q770=1, IF(G770&gt;0, G770, 0), IF(G770&gt;0, $X$1*G770+(1-$X$1)*OFFSET(T770,-1,0), OFFSET(T770,-1,0)))</f>
        <v>7.389770059891589</v>
      </c>
      <c r="U770" s="8">
        <f t="shared" ref="U770:U833" ca="1" si="103" xml:space="preserve"> IF(Q770=1, 1, IF(G770&gt;0, $X$1*(R770-OFFSET(S770,-1,0))+(1-$X$1)*OFFSET(U770,-1,0), OFFSET(U770,-1,0)))</f>
        <v>1.0197912092999681</v>
      </c>
      <c r="V770" s="8">
        <f ca="1">RawData[[#This Row],[Z (smoothed demand size)]]/RawData[[#This Row],[X (smoothed interval)]]</f>
        <v>7.2463559133484479</v>
      </c>
    </row>
    <row r="771" spans="1:22">
      <c r="A771" t="s">
        <v>28</v>
      </c>
      <c r="B771" t="s">
        <v>14</v>
      </c>
      <c r="C771">
        <v>24</v>
      </c>
      <c r="D771" t="s">
        <v>18</v>
      </c>
      <c r="E771" t="s">
        <v>16</v>
      </c>
      <c r="F771" s="1">
        <v>44563</v>
      </c>
      <c r="G771">
        <v>7</v>
      </c>
      <c r="H771">
        <v>7</v>
      </c>
      <c r="I771">
        <v>9</v>
      </c>
      <c r="J771">
        <v>2</v>
      </c>
      <c r="K771">
        <v>0</v>
      </c>
      <c r="L771">
        <v>418</v>
      </c>
      <c r="M771">
        <v>45</v>
      </c>
      <c r="N771" s="1">
        <f t="shared" si="96"/>
        <v>44938</v>
      </c>
      <c r="O771" s="1">
        <f t="shared" si="97"/>
        <v>43101</v>
      </c>
      <c r="P771" s="1">
        <f t="shared" si="98"/>
        <v>44593</v>
      </c>
      <c r="Q771" s="8">
        <f t="shared" si="99"/>
        <v>0</v>
      </c>
      <c r="R771" s="8">
        <f t="shared" si="100"/>
        <v>50</v>
      </c>
      <c r="S771" s="8">
        <f t="shared" ca="1" si="101"/>
        <v>50</v>
      </c>
      <c r="T771">
        <f t="shared" ca="1" si="102"/>
        <v>7.3118160479132719</v>
      </c>
      <c r="U771" s="8">
        <f t="shared" ca="1" si="103"/>
        <v>1.0158329674399746</v>
      </c>
      <c r="V771" s="8">
        <f ca="1">RawData[[#This Row],[Z (smoothed demand size)]]/RawData[[#This Row],[X (smoothed interval)]]</f>
        <v>7.1978526807807359</v>
      </c>
    </row>
    <row r="772" spans="1:22">
      <c r="A772" t="s">
        <v>28</v>
      </c>
      <c r="B772" t="s">
        <v>14</v>
      </c>
      <c r="C772">
        <v>24</v>
      </c>
      <c r="D772" t="s">
        <v>18</v>
      </c>
      <c r="E772" t="s">
        <v>16</v>
      </c>
      <c r="F772" s="1">
        <v>44564</v>
      </c>
      <c r="G772">
        <v>5</v>
      </c>
      <c r="H772">
        <v>2</v>
      </c>
      <c r="I772">
        <v>2</v>
      </c>
      <c r="J772">
        <v>0</v>
      </c>
      <c r="K772">
        <v>1</v>
      </c>
      <c r="L772">
        <v>416</v>
      </c>
      <c r="M772">
        <v>30</v>
      </c>
      <c r="N772" s="1">
        <f t="shared" si="96"/>
        <v>44938</v>
      </c>
      <c r="O772" s="1">
        <f t="shared" si="97"/>
        <v>43101</v>
      </c>
      <c r="P772" s="1">
        <f t="shared" si="98"/>
        <v>44621</v>
      </c>
      <c r="Q772" s="8">
        <f t="shared" si="99"/>
        <v>0</v>
      </c>
      <c r="R772" s="8">
        <f t="shared" si="100"/>
        <v>51</v>
      </c>
      <c r="S772" s="8">
        <f t="shared" ca="1" si="101"/>
        <v>51</v>
      </c>
      <c r="T772">
        <f t="shared" ca="1" si="102"/>
        <v>6.8494528383306177</v>
      </c>
      <c r="U772" s="8">
        <f t="shared" ca="1" si="103"/>
        <v>1.0126663739519797</v>
      </c>
      <c r="V772" s="8">
        <f ca="1">RawData[[#This Row],[Z (smoothed demand size)]]/RawData[[#This Row],[X (smoothed interval)]]</f>
        <v>6.7637802681255188</v>
      </c>
    </row>
    <row r="773" spans="1:22">
      <c r="A773" t="s">
        <v>28</v>
      </c>
      <c r="B773" t="s">
        <v>14</v>
      </c>
      <c r="C773">
        <v>24</v>
      </c>
      <c r="D773" t="s">
        <v>18</v>
      </c>
      <c r="E773" t="s">
        <v>16</v>
      </c>
      <c r="F773" s="1">
        <v>44565</v>
      </c>
      <c r="G773">
        <v>10</v>
      </c>
      <c r="H773">
        <v>9</v>
      </c>
      <c r="I773">
        <v>9</v>
      </c>
      <c r="J773">
        <v>0</v>
      </c>
      <c r="K773">
        <v>1</v>
      </c>
      <c r="L773">
        <v>414</v>
      </c>
      <c r="M773">
        <v>45</v>
      </c>
      <c r="N773" s="1">
        <f t="shared" si="96"/>
        <v>44938</v>
      </c>
      <c r="O773" s="1">
        <f t="shared" si="97"/>
        <v>43101</v>
      </c>
      <c r="P773" s="1">
        <f t="shared" si="98"/>
        <v>44652</v>
      </c>
      <c r="Q773" s="8">
        <f t="shared" si="99"/>
        <v>0</v>
      </c>
      <c r="R773" s="8">
        <f t="shared" si="100"/>
        <v>52</v>
      </c>
      <c r="S773" s="8">
        <f t="shared" ca="1" si="101"/>
        <v>52</v>
      </c>
      <c r="T773">
        <f t="shared" ca="1" si="102"/>
        <v>7.4795622706644949</v>
      </c>
      <c r="U773" s="8">
        <f t="shared" ca="1" si="103"/>
        <v>1.0101330991615838</v>
      </c>
      <c r="V773" s="8">
        <f ca="1">RawData[[#This Row],[Z (smoothed demand size)]]/RawData[[#This Row],[X (smoothed interval)]]</f>
        <v>7.4045314195451812</v>
      </c>
    </row>
    <row r="774" spans="1:22">
      <c r="A774" t="s">
        <v>28</v>
      </c>
      <c r="B774" t="s">
        <v>14</v>
      </c>
      <c r="C774">
        <v>24</v>
      </c>
      <c r="D774" t="s">
        <v>18</v>
      </c>
      <c r="E774" t="s">
        <v>16</v>
      </c>
      <c r="F774" s="1">
        <v>44566</v>
      </c>
      <c r="G774">
        <v>4</v>
      </c>
      <c r="H774">
        <v>0</v>
      </c>
      <c r="I774">
        <v>0</v>
      </c>
      <c r="J774">
        <v>0</v>
      </c>
      <c r="K774">
        <v>1</v>
      </c>
      <c r="L774">
        <v>417</v>
      </c>
      <c r="M774">
        <v>15</v>
      </c>
      <c r="N774" s="1">
        <f t="shared" si="96"/>
        <v>44938</v>
      </c>
      <c r="O774" s="1">
        <f t="shared" si="97"/>
        <v>43101</v>
      </c>
      <c r="P774" s="1">
        <f t="shared" si="98"/>
        <v>44682</v>
      </c>
      <c r="Q774" s="8">
        <f t="shared" si="99"/>
        <v>0</v>
      </c>
      <c r="R774" s="8">
        <f t="shared" si="100"/>
        <v>53</v>
      </c>
      <c r="S774" s="8">
        <f t="shared" ca="1" si="101"/>
        <v>53</v>
      </c>
      <c r="T774">
        <f t="shared" ca="1" si="102"/>
        <v>6.7836498165315957</v>
      </c>
      <c r="U774" s="8">
        <f t="shared" ca="1" si="103"/>
        <v>1.0081064793292671</v>
      </c>
      <c r="V774" s="8">
        <f ca="1">RawData[[#This Row],[Z (smoothed demand size)]]/RawData[[#This Row],[X (smoothed interval)]]</f>
        <v>6.729100502404294</v>
      </c>
    </row>
    <row r="775" spans="1:22">
      <c r="A775" t="s">
        <v>28</v>
      </c>
      <c r="B775" t="s">
        <v>14</v>
      </c>
      <c r="C775">
        <v>24</v>
      </c>
      <c r="D775" t="s">
        <v>18</v>
      </c>
      <c r="E775" t="s">
        <v>16</v>
      </c>
      <c r="F775" s="1">
        <v>44567</v>
      </c>
      <c r="G775">
        <v>12</v>
      </c>
      <c r="H775">
        <v>11</v>
      </c>
      <c r="I775">
        <v>11</v>
      </c>
      <c r="J775">
        <v>0</v>
      </c>
      <c r="K775">
        <v>1</v>
      </c>
      <c r="L775">
        <v>475</v>
      </c>
      <c r="M775">
        <v>60</v>
      </c>
      <c r="N775" s="1">
        <f t="shared" si="96"/>
        <v>44938</v>
      </c>
      <c r="O775" s="1">
        <f t="shared" si="97"/>
        <v>43101</v>
      </c>
      <c r="P775" s="1">
        <f t="shared" si="98"/>
        <v>44713</v>
      </c>
      <c r="Q775" s="8">
        <f t="shared" si="99"/>
        <v>0</v>
      </c>
      <c r="R775" s="8">
        <f t="shared" si="100"/>
        <v>54</v>
      </c>
      <c r="S775" s="8">
        <f t="shared" ca="1" si="101"/>
        <v>54</v>
      </c>
      <c r="T775">
        <f t="shared" ca="1" si="102"/>
        <v>7.8269198532252773</v>
      </c>
      <c r="U775" s="8">
        <f t="shared" ca="1" si="103"/>
        <v>1.0064851834634136</v>
      </c>
      <c r="V775" s="8">
        <f ca="1">RawData[[#This Row],[Z (smoothed demand size)]]/RawData[[#This Row],[X (smoothed interval)]]</f>
        <v>7.7764879024766991</v>
      </c>
    </row>
    <row r="776" spans="1:22">
      <c r="A776" t="s">
        <v>28</v>
      </c>
      <c r="B776" t="s">
        <v>14</v>
      </c>
      <c r="C776">
        <v>24</v>
      </c>
      <c r="D776" t="s">
        <v>18</v>
      </c>
      <c r="E776" t="s">
        <v>16</v>
      </c>
      <c r="F776" s="1">
        <v>44568</v>
      </c>
      <c r="G776">
        <v>8</v>
      </c>
      <c r="H776">
        <v>0</v>
      </c>
      <c r="I776">
        <v>0</v>
      </c>
      <c r="J776">
        <v>0</v>
      </c>
      <c r="K776">
        <v>1</v>
      </c>
      <c r="L776">
        <v>472</v>
      </c>
      <c r="M776">
        <v>15</v>
      </c>
      <c r="N776" s="1">
        <f t="shared" si="96"/>
        <v>44938</v>
      </c>
      <c r="O776" s="1">
        <f t="shared" si="97"/>
        <v>43101</v>
      </c>
      <c r="P776" s="1">
        <f t="shared" si="98"/>
        <v>44743</v>
      </c>
      <c r="Q776" s="8">
        <f t="shared" si="99"/>
        <v>0</v>
      </c>
      <c r="R776" s="8">
        <f t="shared" si="100"/>
        <v>55</v>
      </c>
      <c r="S776" s="8">
        <f t="shared" ca="1" si="101"/>
        <v>55</v>
      </c>
      <c r="T776">
        <f t="shared" ca="1" si="102"/>
        <v>7.8615358825802222</v>
      </c>
      <c r="U776" s="8">
        <f t="shared" ca="1" si="103"/>
        <v>1.0051881467707309</v>
      </c>
      <c r="V776" s="8">
        <f ca="1">RawData[[#This Row],[Z (smoothed demand size)]]/RawData[[#This Row],[X (smoothed interval)]]</f>
        <v>7.8209595963066274</v>
      </c>
    </row>
    <row r="777" spans="1:22">
      <c r="A777" t="s">
        <v>28</v>
      </c>
      <c r="B777" t="s">
        <v>14</v>
      </c>
      <c r="C777">
        <v>24</v>
      </c>
      <c r="D777" t="s">
        <v>18</v>
      </c>
      <c r="E777" t="s">
        <v>16</v>
      </c>
      <c r="F777" s="1">
        <v>44569</v>
      </c>
      <c r="G777">
        <v>15</v>
      </c>
      <c r="H777">
        <v>8</v>
      </c>
      <c r="I777">
        <v>8</v>
      </c>
      <c r="J777">
        <v>0</v>
      </c>
      <c r="K777">
        <v>1</v>
      </c>
      <c r="L777">
        <v>476</v>
      </c>
      <c r="M777">
        <v>15</v>
      </c>
      <c r="N777" s="1">
        <f t="shared" si="96"/>
        <v>44938</v>
      </c>
      <c r="O777" s="1">
        <f t="shared" si="97"/>
        <v>43101</v>
      </c>
      <c r="P777" s="1">
        <f t="shared" si="98"/>
        <v>44774</v>
      </c>
      <c r="Q777" s="8">
        <f t="shared" si="99"/>
        <v>0</v>
      </c>
      <c r="R777" s="8">
        <f t="shared" si="100"/>
        <v>56</v>
      </c>
      <c r="S777" s="8">
        <f t="shared" ca="1" si="101"/>
        <v>56</v>
      </c>
      <c r="T777">
        <f t="shared" ca="1" si="102"/>
        <v>9.2892287060641792</v>
      </c>
      <c r="U777" s="8">
        <f t="shared" ca="1" si="103"/>
        <v>1.0041505174165848</v>
      </c>
      <c r="V777" s="8">
        <f ca="1">RawData[[#This Row],[Z (smoothed demand size)]]/RawData[[#This Row],[X (smoothed interval)]]</f>
        <v>9.2508329627344335</v>
      </c>
    </row>
    <row r="778" spans="1:22">
      <c r="A778" t="s">
        <v>28</v>
      </c>
      <c r="B778" t="s">
        <v>14</v>
      </c>
      <c r="C778">
        <v>24</v>
      </c>
      <c r="D778" t="s">
        <v>18</v>
      </c>
      <c r="E778" t="s">
        <v>16</v>
      </c>
      <c r="F778" s="1">
        <v>44570</v>
      </c>
      <c r="G778">
        <v>4</v>
      </c>
      <c r="H778">
        <v>4</v>
      </c>
      <c r="I778">
        <v>7</v>
      </c>
      <c r="J778">
        <v>3</v>
      </c>
      <c r="K778">
        <v>0</v>
      </c>
      <c r="L778">
        <v>420</v>
      </c>
      <c r="M778">
        <v>60</v>
      </c>
      <c r="N778" s="1">
        <f t="shared" si="96"/>
        <v>44938</v>
      </c>
      <c r="O778" s="1">
        <f t="shared" si="97"/>
        <v>43101</v>
      </c>
      <c r="P778" s="1">
        <f t="shared" si="98"/>
        <v>44805</v>
      </c>
      <c r="Q778" s="8">
        <f t="shared" si="99"/>
        <v>0</v>
      </c>
      <c r="R778" s="8">
        <f t="shared" si="100"/>
        <v>57</v>
      </c>
      <c r="S778" s="8">
        <f t="shared" ca="1" si="101"/>
        <v>57</v>
      </c>
      <c r="T778">
        <f t="shared" ca="1" si="102"/>
        <v>8.2313829648513437</v>
      </c>
      <c r="U778" s="8">
        <f t="shared" ca="1" si="103"/>
        <v>1.0033204139332679</v>
      </c>
      <c r="V778" s="8">
        <f ca="1">RawData[[#This Row],[Z (smoothed demand size)]]/RawData[[#This Row],[X (smoothed interval)]]</f>
        <v>8.2041418180481909</v>
      </c>
    </row>
    <row r="779" spans="1:22">
      <c r="A779" t="s">
        <v>28</v>
      </c>
      <c r="B779" t="s">
        <v>14</v>
      </c>
      <c r="C779">
        <v>24</v>
      </c>
      <c r="D779" t="s">
        <v>18</v>
      </c>
      <c r="E779" t="s">
        <v>16</v>
      </c>
      <c r="F779" s="1">
        <v>44571</v>
      </c>
      <c r="G779">
        <v>9</v>
      </c>
      <c r="H779">
        <v>3</v>
      </c>
      <c r="I779">
        <v>3</v>
      </c>
      <c r="J779">
        <v>0</v>
      </c>
      <c r="K779">
        <v>1</v>
      </c>
      <c r="L779">
        <v>410</v>
      </c>
      <c r="M779">
        <v>60</v>
      </c>
      <c r="N779" s="1">
        <f t="shared" si="96"/>
        <v>44938</v>
      </c>
      <c r="O779" s="1">
        <f t="shared" si="97"/>
        <v>43101</v>
      </c>
      <c r="P779" s="1">
        <f t="shared" si="98"/>
        <v>44835</v>
      </c>
      <c r="Q779" s="8">
        <f t="shared" si="99"/>
        <v>0</v>
      </c>
      <c r="R779" s="8">
        <f t="shared" si="100"/>
        <v>58</v>
      </c>
      <c r="S779" s="8">
        <f t="shared" ca="1" si="101"/>
        <v>58</v>
      </c>
      <c r="T779">
        <f t="shared" ca="1" si="102"/>
        <v>8.3851063718810757</v>
      </c>
      <c r="U779" s="8">
        <f t="shared" ca="1" si="103"/>
        <v>1.0026563311466143</v>
      </c>
      <c r="V779" s="8">
        <f ca="1">RawData[[#This Row],[Z (smoothed demand size)]]/RawData[[#This Row],[X (smoothed interval)]]</f>
        <v>8.3628917620178633</v>
      </c>
    </row>
    <row r="780" spans="1:22">
      <c r="A780" t="s">
        <v>28</v>
      </c>
      <c r="B780" t="s">
        <v>14</v>
      </c>
      <c r="C780">
        <v>24</v>
      </c>
      <c r="D780" t="s">
        <v>18</v>
      </c>
      <c r="E780" t="s">
        <v>16</v>
      </c>
      <c r="F780" s="1">
        <v>44572</v>
      </c>
      <c r="G780">
        <v>9</v>
      </c>
      <c r="H780">
        <v>8</v>
      </c>
      <c r="I780">
        <v>8</v>
      </c>
      <c r="J780">
        <v>0</v>
      </c>
      <c r="K780">
        <v>1</v>
      </c>
      <c r="L780">
        <v>410</v>
      </c>
      <c r="M780">
        <v>15</v>
      </c>
      <c r="N780" s="1">
        <f t="shared" si="96"/>
        <v>44938</v>
      </c>
      <c r="O780" s="1">
        <f t="shared" si="97"/>
        <v>43101</v>
      </c>
      <c r="P780" s="1">
        <f t="shared" si="98"/>
        <v>44866</v>
      </c>
      <c r="Q780" s="8">
        <f t="shared" si="99"/>
        <v>0</v>
      </c>
      <c r="R780" s="8">
        <f t="shared" si="100"/>
        <v>59</v>
      </c>
      <c r="S780" s="8">
        <f t="shared" ca="1" si="101"/>
        <v>59</v>
      </c>
      <c r="T780">
        <f t="shared" ca="1" si="102"/>
        <v>8.5080850975048605</v>
      </c>
      <c r="U780" s="8">
        <f t="shared" ca="1" si="103"/>
        <v>1.0021250649172915</v>
      </c>
      <c r="V780" s="8">
        <f ca="1">RawData[[#This Row],[Z (smoothed demand size)]]/RawData[[#This Row],[X (smoothed interval)]]</f>
        <v>8.4900432045445946</v>
      </c>
    </row>
    <row r="781" spans="1:22">
      <c r="A781" t="s">
        <v>28</v>
      </c>
      <c r="B781" t="s">
        <v>14</v>
      </c>
      <c r="C781">
        <v>24</v>
      </c>
      <c r="D781" t="s">
        <v>18</v>
      </c>
      <c r="E781" t="s">
        <v>16</v>
      </c>
      <c r="F781" s="1">
        <v>44573</v>
      </c>
      <c r="G781">
        <v>8</v>
      </c>
      <c r="H781">
        <v>8</v>
      </c>
      <c r="I781">
        <v>10</v>
      </c>
      <c r="J781">
        <v>2</v>
      </c>
      <c r="K781">
        <v>0</v>
      </c>
      <c r="L781">
        <v>480</v>
      </c>
      <c r="M781">
        <v>30</v>
      </c>
      <c r="N781" s="1">
        <f t="shared" si="96"/>
        <v>44938</v>
      </c>
      <c r="O781" s="1">
        <f t="shared" si="97"/>
        <v>43101</v>
      </c>
      <c r="P781" s="1">
        <f t="shared" si="98"/>
        <v>44896</v>
      </c>
      <c r="Q781" s="8">
        <f t="shared" si="99"/>
        <v>0</v>
      </c>
      <c r="R781" s="8">
        <f t="shared" si="100"/>
        <v>60</v>
      </c>
      <c r="S781" s="8">
        <f t="shared" ca="1" si="101"/>
        <v>60</v>
      </c>
      <c r="T781">
        <f t="shared" ca="1" si="102"/>
        <v>8.4064680780038881</v>
      </c>
      <c r="U781" s="8">
        <f t="shared" ca="1" si="103"/>
        <v>1.0017000519338333</v>
      </c>
      <c r="V781" s="8">
        <f ca="1">RawData[[#This Row],[Z (smoothed demand size)]]/RawData[[#This Row],[X (smoothed interval)]]</f>
        <v>8.3922009006336484</v>
      </c>
    </row>
    <row r="782" spans="1:22">
      <c r="A782" t="s">
        <v>28</v>
      </c>
      <c r="B782" t="s">
        <v>14</v>
      </c>
      <c r="C782">
        <v>24</v>
      </c>
      <c r="D782" t="s">
        <v>18</v>
      </c>
      <c r="E782" t="s">
        <v>16</v>
      </c>
      <c r="F782" s="1">
        <v>44927</v>
      </c>
      <c r="G782">
        <v>7</v>
      </c>
      <c r="H782">
        <v>7</v>
      </c>
      <c r="I782">
        <v>12</v>
      </c>
      <c r="J782">
        <v>5</v>
      </c>
      <c r="K782">
        <v>0</v>
      </c>
      <c r="L782">
        <v>412</v>
      </c>
      <c r="M782">
        <v>60</v>
      </c>
      <c r="N782" s="1">
        <f t="shared" si="96"/>
        <v>44938</v>
      </c>
      <c r="O782" s="1">
        <f t="shared" si="97"/>
        <v>43101</v>
      </c>
      <c r="P782" s="1">
        <f t="shared" si="98"/>
        <v>44927</v>
      </c>
      <c r="Q782" s="8">
        <f t="shared" si="99"/>
        <v>0</v>
      </c>
      <c r="R782" s="8">
        <f t="shared" si="100"/>
        <v>61</v>
      </c>
      <c r="S782" s="8">
        <f t="shared" ca="1" si="101"/>
        <v>61</v>
      </c>
      <c r="T782">
        <f t="shared" ca="1" si="102"/>
        <v>8.1251744624031108</v>
      </c>
      <c r="U782" s="8">
        <f t="shared" ca="1" si="103"/>
        <v>1.0013600415470667</v>
      </c>
      <c r="V782" s="8">
        <f ca="1">RawData[[#This Row],[Z (smoothed demand size)]]/RawData[[#This Row],[X (smoothed interval)]]</f>
        <v>8.1141388963853576</v>
      </c>
    </row>
    <row r="783" spans="1:22">
      <c r="A783" t="s">
        <v>28</v>
      </c>
      <c r="B783" t="s">
        <v>14</v>
      </c>
      <c r="C783">
        <v>24</v>
      </c>
      <c r="D783" t="s">
        <v>18</v>
      </c>
      <c r="E783" t="s">
        <v>16</v>
      </c>
      <c r="F783" s="1">
        <v>44928</v>
      </c>
      <c r="G783">
        <v>6</v>
      </c>
      <c r="H783">
        <v>5</v>
      </c>
      <c r="I783">
        <v>5</v>
      </c>
      <c r="J783">
        <v>0</v>
      </c>
      <c r="K783">
        <v>1</v>
      </c>
      <c r="L783">
        <v>416</v>
      </c>
      <c r="M783">
        <v>45</v>
      </c>
      <c r="N783" s="1">
        <f t="shared" si="96"/>
        <v>44938</v>
      </c>
      <c r="O783" s="1">
        <f t="shared" si="97"/>
        <v>43101</v>
      </c>
      <c r="P783" s="1">
        <f t="shared" si="98"/>
        <v>44958</v>
      </c>
      <c r="Q783" s="8">
        <f t="shared" si="99"/>
        <v>0</v>
      </c>
      <c r="R783" s="8">
        <f t="shared" si="100"/>
        <v>62</v>
      </c>
      <c r="S783" s="8">
        <f t="shared" ca="1" si="101"/>
        <v>62</v>
      </c>
      <c r="T783">
        <f t="shared" ca="1" si="102"/>
        <v>7.7001395699224888</v>
      </c>
      <c r="U783" s="8">
        <f t="shared" ca="1" si="103"/>
        <v>1.0010880332376535</v>
      </c>
      <c r="V783" s="8">
        <f ca="1">RawData[[#This Row],[Z (smoothed demand size)]]/RawData[[#This Row],[X (smoothed interval)]]</f>
        <v>7.6917706677795366</v>
      </c>
    </row>
    <row r="784" spans="1:22">
      <c r="A784" t="s">
        <v>28</v>
      </c>
      <c r="B784" t="s">
        <v>14</v>
      </c>
      <c r="C784">
        <v>24</v>
      </c>
      <c r="D784" t="s">
        <v>18</v>
      </c>
      <c r="E784" t="s">
        <v>16</v>
      </c>
      <c r="F784" s="1">
        <v>44929</v>
      </c>
      <c r="G784">
        <v>4</v>
      </c>
      <c r="H784">
        <v>4</v>
      </c>
      <c r="I784">
        <v>10</v>
      </c>
      <c r="J784">
        <v>6</v>
      </c>
      <c r="K784">
        <v>0</v>
      </c>
      <c r="L784">
        <v>418</v>
      </c>
      <c r="M784">
        <v>30</v>
      </c>
      <c r="N784" s="1">
        <f t="shared" si="96"/>
        <v>44938</v>
      </c>
      <c r="O784" s="1">
        <f t="shared" si="97"/>
        <v>43101</v>
      </c>
      <c r="P784" s="1">
        <f t="shared" si="98"/>
        <v>44986</v>
      </c>
      <c r="Q784" s="8">
        <f t="shared" si="99"/>
        <v>0</v>
      </c>
      <c r="R784" s="8">
        <f t="shared" si="100"/>
        <v>63</v>
      </c>
      <c r="S784" s="8">
        <f t="shared" ca="1" si="101"/>
        <v>63</v>
      </c>
      <c r="T784">
        <f t="shared" ca="1" si="102"/>
        <v>6.9601116559379914</v>
      </c>
      <c r="U784" s="8">
        <f t="shared" ca="1" si="103"/>
        <v>1.0008704265901229</v>
      </c>
      <c r="V784" s="8">
        <f ca="1">RawData[[#This Row],[Z (smoothed demand size)]]/RawData[[#This Row],[X (smoothed interval)]]</f>
        <v>6.9540586583724693</v>
      </c>
    </row>
    <row r="785" spans="1:22">
      <c r="A785" t="s">
        <v>28</v>
      </c>
      <c r="B785" t="s">
        <v>14</v>
      </c>
      <c r="C785">
        <v>24</v>
      </c>
      <c r="D785" t="s">
        <v>18</v>
      </c>
      <c r="E785" t="s">
        <v>16</v>
      </c>
      <c r="F785" s="1">
        <v>44930</v>
      </c>
      <c r="G785">
        <v>9</v>
      </c>
      <c r="H785">
        <v>9</v>
      </c>
      <c r="I785">
        <v>13</v>
      </c>
      <c r="J785">
        <v>4</v>
      </c>
      <c r="K785">
        <v>0</v>
      </c>
      <c r="L785">
        <v>416</v>
      </c>
      <c r="M785">
        <v>15</v>
      </c>
      <c r="N785" s="1">
        <f t="shared" si="96"/>
        <v>44938</v>
      </c>
      <c r="O785" s="1">
        <f t="shared" si="97"/>
        <v>43101</v>
      </c>
      <c r="P785" s="1">
        <f t="shared" si="98"/>
        <v>45017</v>
      </c>
      <c r="Q785" s="8">
        <f t="shared" si="99"/>
        <v>0</v>
      </c>
      <c r="R785" s="8">
        <f t="shared" si="100"/>
        <v>64</v>
      </c>
      <c r="S785" s="8">
        <f t="shared" ca="1" si="101"/>
        <v>64</v>
      </c>
      <c r="T785">
        <f t="shared" ca="1" si="102"/>
        <v>7.3680893247503931</v>
      </c>
      <c r="U785" s="8">
        <f t="shared" ca="1" si="103"/>
        <v>1.0006963412720984</v>
      </c>
      <c r="V785" s="8">
        <f ca="1">RawData[[#This Row],[Z (smoothed demand size)]]/RawData[[#This Row],[X (smoothed interval)]]</f>
        <v>7.362962190292393</v>
      </c>
    </row>
    <row r="786" spans="1:22">
      <c r="A786" t="s">
        <v>28</v>
      </c>
      <c r="B786" t="s">
        <v>14</v>
      </c>
      <c r="C786">
        <v>24</v>
      </c>
      <c r="D786" t="s">
        <v>18</v>
      </c>
      <c r="E786" t="s">
        <v>16</v>
      </c>
      <c r="F786" s="1">
        <v>44931</v>
      </c>
      <c r="G786">
        <v>7</v>
      </c>
      <c r="H786">
        <v>7</v>
      </c>
      <c r="I786">
        <v>12</v>
      </c>
      <c r="J786">
        <v>5</v>
      </c>
      <c r="K786">
        <v>0</v>
      </c>
      <c r="L786">
        <v>411</v>
      </c>
      <c r="M786">
        <v>45</v>
      </c>
      <c r="N786" s="1">
        <f t="shared" si="96"/>
        <v>44938</v>
      </c>
      <c r="O786" s="1">
        <f t="shared" si="97"/>
        <v>43101</v>
      </c>
      <c r="P786" s="1">
        <f t="shared" si="98"/>
        <v>45047</v>
      </c>
      <c r="Q786" s="8">
        <f t="shared" si="99"/>
        <v>0</v>
      </c>
      <c r="R786" s="8">
        <f t="shared" si="100"/>
        <v>65</v>
      </c>
      <c r="S786" s="8">
        <f t="shared" ca="1" si="101"/>
        <v>65</v>
      </c>
      <c r="T786">
        <f t="shared" ca="1" si="102"/>
        <v>7.2944714598003149</v>
      </c>
      <c r="U786" s="8">
        <f t="shared" ca="1" si="103"/>
        <v>1.0005570730176787</v>
      </c>
      <c r="V786" s="8">
        <f ca="1">RawData[[#This Row],[Z (smoothed demand size)]]/RawData[[#This Row],[X (smoothed interval)]]</f>
        <v>7.2904101690073499</v>
      </c>
    </row>
    <row r="787" spans="1:22">
      <c r="A787" t="s">
        <v>28</v>
      </c>
      <c r="B787" t="s">
        <v>14</v>
      </c>
      <c r="C787">
        <v>24</v>
      </c>
      <c r="D787" t="s">
        <v>18</v>
      </c>
      <c r="E787" t="s">
        <v>16</v>
      </c>
      <c r="F787" s="1">
        <v>44932</v>
      </c>
      <c r="G787">
        <v>11</v>
      </c>
      <c r="H787">
        <v>5</v>
      </c>
      <c r="I787">
        <v>5</v>
      </c>
      <c r="J787">
        <v>0</v>
      </c>
      <c r="K787">
        <v>1</v>
      </c>
      <c r="L787">
        <v>482</v>
      </c>
      <c r="M787">
        <v>30</v>
      </c>
      <c r="N787" s="1">
        <f t="shared" si="96"/>
        <v>44938</v>
      </c>
      <c r="O787" s="1">
        <f t="shared" si="97"/>
        <v>43101</v>
      </c>
      <c r="P787" s="1">
        <f t="shared" si="98"/>
        <v>45078</v>
      </c>
      <c r="Q787" s="8">
        <f t="shared" si="99"/>
        <v>0</v>
      </c>
      <c r="R787" s="8">
        <f t="shared" si="100"/>
        <v>66</v>
      </c>
      <c r="S787" s="8">
        <f t="shared" ca="1" si="101"/>
        <v>66</v>
      </c>
      <c r="T787">
        <f t="shared" ca="1" si="102"/>
        <v>8.0355771678402519</v>
      </c>
      <c r="U787" s="8">
        <f t="shared" ca="1" si="103"/>
        <v>1.000445658414143</v>
      </c>
      <c r="V787" s="8">
        <f ca="1">RawData[[#This Row],[Z (smoothed demand size)]]/RawData[[#This Row],[X (smoothed interval)]]</f>
        <v>8.0319976405093829</v>
      </c>
    </row>
    <row r="788" spans="1:22">
      <c r="A788" t="s">
        <v>28</v>
      </c>
      <c r="B788" t="s">
        <v>14</v>
      </c>
      <c r="C788">
        <v>24</v>
      </c>
      <c r="D788" t="s">
        <v>18</v>
      </c>
      <c r="E788" t="s">
        <v>16</v>
      </c>
      <c r="F788" s="1">
        <v>44933</v>
      </c>
      <c r="G788">
        <v>13</v>
      </c>
      <c r="H788">
        <v>7</v>
      </c>
      <c r="I788">
        <v>7</v>
      </c>
      <c r="J788">
        <v>0</v>
      </c>
      <c r="K788">
        <v>1</v>
      </c>
      <c r="L788">
        <v>479</v>
      </c>
      <c r="M788">
        <v>45</v>
      </c>
      <c r="N788" s="1">
        <f t="shared" si="96"/>
        <v>44938</v>
      </c>
      <c r="O788" s="1">
        <f t="shared" si="97"/>
        <v>43101</v>
      </c>
      <c r="P788" s="1">
        <f t="shared" si="98"/>
        <v>45108</v>
      </c>
      <c r="Q788" s="8">
        <f t="shared" si="99"/>
        <v>0</v>
      </c>
      <c r="R788" s="8">
        <f t="shared" si="100"/>
        <v>67</v>
      </c>
      <c r="S788" s="8">
        <f t="shared" ca="1" si="101"/>
        <v>67</v>
      </c>
      <c r="T788">
        <f t="shared" ca="1" si="102"/>
        <v>9.0284617342722022</v>
      </c>
      <c r="U788" s="8">
        <f t="shared" ca="1" si="103"/>
        <v>1.0003565267313144</v>
      </c>
      <c r="V788" s="8">
        <f ca="1">RawData[[#This Row],[Z (smoothed demand size)]]/RawData[[#This Row],[X (smoothed interval)]]</f>
        <v>9.0252439935318733</v>
      </c>
    </row>
    <row r="789" spans="1:22">
      <c r="A789" t="s">
        <v>28</v>
      </c>
      <c r="B789" t="s">
        <v>14</v>
      </c>
      <c r="C789">
        <v>24</v>
      </c>
      <c r="D789" t="s">
        <v>18</v>
      </c>
      <c r="E789" t="s">
        <v>16</v>
      </c>
      <c r="F789" s="1">
        <v>44934</v>
      </c>
      <c r="G789">
        <v>10</v>
      </c>
      <c r="H789">
        <v>0</v>
      </c>
      <c r="I789">
        <v>0</v>
      </c>
      <c r="J789">
        <v>0</v>
      </c>
      <c r="K789">
        <v>1</v>
      </c>
      <c r="L789">
        <v>476</v>
      </c>
      <c r="M789">
        <v>60</v>
      </c>
      <c r="N789" s="1">
        <f t="shared" si="96"/>
        <v>44938</v>
      </c>
      <c r="O789" s="1">
        <f t="shared" si="97"/>
        <v>43101</v>
      </c>
      <c r="P789" s="1">
        <f t="shared" si="98"/>
        <v>45139</v>
      </c>
      <c r="Q789" s="8">
        <f t="shared" si="99"/>
        <v>0</v>
      </c>
      <c r="R789" s="8">
        <f t="shared" si="100"/>
        <v>68</v>
      </c>
      <c r="S789" s="8">
        <f t="shared" ca="1" si="101"/>
        <v>68</v>
      </c>
      <c r="T789">
        <f t="shared" ca="1" si="102"/>
        <v>9.2227693874177632</v>
      </c>
      <c r="U789" s="8">
        <f t="shared" ca="1" si="103"/>
        <v>1.0002852213850515</v>
      </c>
      <c r="V789" s="8">
        <f ca="1">RawData[[#This Row],[Z (smoothed demand size)]]/RawData[[#This Row],[X (smoothed interval)]]</f>
        <v>9.2201396064288499</v>
      </c>
    </row>
    <row r="790" spans="1:22">
      <c r="A790" t="s">
        <v>28</v>
      </c>
      <c r="B790" t="s">
        <v>14</v>
      </c>
      <c r="C790">
        <v>24</v>
      </c>
      <c r="D790" t="s">
        <v>18</v>
      </c>
      <c r="E790" t="s">
        <v>16</v>
      </c>
      <c r="F790" s="1">
        <v>44935</v>
      </c>
      <c r="G790">
        <v>8</v>
      </c>
      <c r="H790">
        <v>8</v>
      </c>
      <c r="I790">
        <v>12</v>
      </c>
      <c r="J790">
        <v>4</v>
      </c>
      <c r="K790">
        <v>0</v>
      </c>
      <c r="L790">
        <v>414</v>
      </c>
      <c r="M790">
        <v>15</v>
      </c>
      <c r="N790" s="1">
        <f t="shared" si="96"/>
        <v>44938</v>
      </c>
      <c r="O790" s="1">
        <f t="shared" si="97"/>
        <v>43101</v>
      </c>
      <c r="P790" s="1">
        <f t="shared" si="98"/>
        <v>45170</v>
      </c>
      <c r="Q790" s="8">
        <f t="shared" si="99"/>
        <v>0</v>
      </c>
      <c r="R790" s="8">
        <f t="shared" si="100"/>
        <v>69</v>
      </c>
      <c r="S790" s="8">
        <f t="shared" ca="1" si="101"/>
        <v>69</v>
      </c>
      <c r="T790">
        <f t="shared" ca="1" si="102"/>
        <v>8.9782155099342109</v>
      </c>
      <c r="U790" s="8">
        <f t="shared" ca="1" si="103"/>
        <v>1.0002281771080412</v>
      </c>
      <c r="V790" s="8">
        <f ca="1">RawData[[#This Row],[Z (smoothed demand size)]]/RawData[[#This Row],[X (smoothed interval)]]</f>
        <v>8.9761673540260745</v>
      </c>
    </row>
    <row r="791" spans="1:22">
      <c r="A791" t="s">
        <v>28</v>
      </c>
      <c r="B791" t="s">
        <v>14</v>
      </c>
      <c r="C791">
        <v>24</v>
      </c>
      <c r="D791" t="s">
        <v>18</v>
      </c>
      <c r="E791" t="s">
        <v>16</v>
      </c>
      <c r="F791" s="1">
        <v>44936</v>
      </c>
      <c r="G791">
        <v>12</v>
      </c>
      <c r="H791">
        <v>11</v>
      </c>
      <c r="I791">
        <v>11</v>
      </c>
      <c r="J791">
        <v>0</v>
      </c>
      <c r="K791">
        <v>1</v>
      </c>
      <c r="L791">
        <v>415</v>
      </c>
      <c r="M791">
        <v>45</v>
      </c>
      <c r="N791" s="1">
        <f t="shared" si="96"/>
        <v>44938</v>
      </c>
      <c r="O791" s="1">
        <f t="shared" si="97"/>
        <v>43101</v>
      </c>
      <c r="P791" s="1">
        <f t="shared" si="98"/>
        <v>45200</v>
      </c>
      <c r="Q791" s="8">
        <f t="shared" si="99"/>
        <v>0</v>
      </c>
      <c r="R791" s="8">
        <f t="shared" si="100"/>
        <v>70</v>
      </c>
      <c r="S791" s="8">
        <f t="shared" ca="1" si="101"/>
        <v>70</v>
      </c>
      <c r="T791">
        <f t="shared" ca="1" si="102"/>
        <v>9.5825724079473691</v>
      </c>
      <c r="U791" s="8">
        <f t="shared" ca="1" si="103"/>
        <v>1.0001825416864329</v>
      </c>
      <c r="V791" s="8">
        <f ca="1">RawData[[#This Row],[Z (smoothed demand size)]]/RawData[[#This Row],[X (smoothed interval)]]</f>
        <v>9.5808235082667537</v>
      </c>
    </row>
    <row r="792" spans="1:22">
      <c r="A792" t="s">
        <v>28</v>
      </c>
      <c r="B792" t="s">
        <v>14</v>
      </c>
      <c r="C792">
        <v>24</v>
      </c>
      <c r="D792" t="s">
        <v>18</v>
      </c>
      <c r="E792" t="s">
        <v>16</v>
      </c>
      <c r="F792" s="1">
        <v>44937</v>
      </c>
      <c r="G792">
        <v>7</v>
      </c>
      <c r="H792">
        <v>0</v>
      </c>
      <c r="I792">
        <v>0</v>
      </c>
      <c r="J792">
        <v>0</v>
      </c>
      <c r="K792">
        <v>1</v>
      </c>
      <c r="L792">
        <v>412</v>
      </c>
      <c r="M792">
        <v>30</v>
      </c>
      <c r="N792" s="1">
        <f t="shared" si="96"/>
        <v>44938</v>
      </c>
      <c r="O792" s="1">
        <f t="shared" si="97"/>
        <v>43101</v>
      </c>
      <c r="P792" s="1">
        <f t="shared" si="98"/>
        <v>45231</v>
      </c>
      <c r="Q792" s="8">
        <f t="shared" si="99"/>
        <v>0</v>
      </c>
      <c r="R792" s="8">
        <f t="shared" si="100"/>
        <v>71</v>
      </c>
      <c r="S792" s="8">
        <f t="shared" ca="1" si="101"/>
        <v>71</v>
      </c>
      <c r="T792">
        <f t="shared" ca="1" si="102"/>
        <v>9.066057926357896</v>
      </c>
      <c r="U792" s="8">
        <f t="shared" ca="1" si="103"/>
        <v>1.0001460333491463</v>
      </c>
      <c r="V792" s="8">
        <f ca="1">RawData[[#This Row],[Z (smoothed demand size)]]/RawData[[#This Row],[X (smoothed interval)]]</f>
        <v>9.0647341728675119</v>
      </c>
    </row>
    <row r="793" spans="1:22">
      <c r="A793" t="s">
        <v>28</v>
      </c>
      <c r="B793" t="s">
        <v>14</v>
      </c>
      <c r="C793">
        <v>24</v>
      </c>
      <c r="D793" t="s">
        <v>18</v>
      </c>
      <c r="E793" t="s">
        <v>16</v>
      </c>
      <c r="F793" s="1">
        <v>44938</v>
      </c>
      <c r="G793">
        <v>6</v>
      </c>
      <c r="H793">
        <v>6</v>
      </c>
      <c r="I793">
        <v>12</v>
      </c>
      <c r="J793">
        <v>6</v>
      </c>
      <c r="K793">
        <v>0</v>
      </c>
      <c r="L793">
        <v>468</v>
      </c>
      <c r="M793">
        <v>60</v>
      </c>
      <c r="N793" s="1">
        <f t="shared" si="96"/>
        <v>44938</v>
      </c>
      <c r="O793" s="1">
        <f t="shared" si="97"/>
        <v>43101</v>
      </c>
      <c r="P793" s="1">
        <f t="shared" si="98"/>
        <v>45261</v>
      </c>
      <c r="Q793" s="8">
        <f t="shared" si="99"/>
        <v>0</v>
      </c>
      <c r="R793" s="8">
        <f t="shared" si="100"/>
        <v>72</v>
      </c>
      <c r="S793" s="8">
        <f t="shared" ca="1" si="101"/>
        <v>72</v>
      </c>
      <c r="T793">
        <f t="shared" ca="1" si="102"/>
        <v>8.4528463410863175</v>
      </c>
      <c r="U793" s="8">
        <f t="shared" ca="1" si="103"/>
        <v>1.000116826679317</v>
      </c>
      <c r="V793" s="8">
        <f ca="1">RawData[[#This Row],[Z (smoothed demand size)]]/RawData[[#This Row],[X (smoothed interval)]]</f>
        <v>8.4518589384724798</v>
      </c>
    </row>
    <row r="794" spans="1:22">
      <c r="A794" t="s">
        <v>29</v>
      </c>
      <c r="B794" t="s">
        <v>14</v>
      </c>
      <c r="C794">
        <v>49</v>
      </c>
      <c r="D794" t="s">
        <v>18</v>
      </c>
      <c r="E794" t="s">
        <v>16</v>
      </c>
      <c r="F794" s="1">
        <v>43101</v>
      </c>
      <c r="G794">
        <v>7</v>
      </c>
      <c r="H794">
        <v>7</v>
      </c>
      <c r="I794">
        <v>25</v>
      </c>
      <c r="J794">
        <v>18</v>
      </c>
      <c r="K794">
        <v>0</v>
      </c>
      <c r="L794">
        <v>408</v>
      </c>
      <c r="M794">
        <v>45</v>
      </c>
      <c r="N794" s="1">
        <f t="shared" si="96"/>
        <v>44938</v>
      </c>
      <c r="O794" s="1">
        <f t="shared" si="97"/>
        <v>43101</v>
      </c>
      <c r="P794" s="1">
        <f t="shared" si="98"/>
        <v>43101</v>
      </c>
      <c r="Q794" s="8">
        <f t="shared" si="99"/>
        <v>1</v>
      </c>
      <c r="R794" s="8">
        <f t="shared" si="100"/>
        <v>1</v>
      </c>
      <c r="S794" s="8">
        <f t="shared" ca="1" si="101"/>
        <v>1</v>
      </c>
      <c r="T794">
        <f t="shared" ca="1" si="102"/>
        <v>7</v>
      </c>
      <c r="U794" s="8">
        <f t="shared" ca="1" si="103"/>
        <v>1</v>
      </c>
      <c r="V794" s="8">
        <f ca="1">RawData[[#This Row],[Z (smoothed demand size)]]/RawData[[#This Row],[X (smoothed interval)]]</f>
        <v>7</v>
      </c>
    </row>
    <row r="795" spans="1:22">
      <c r="A795" t="s">
        <v>29</v>
      </c>
      <c r="B795" t="s">
        <v>14</v>
      </c>
      <c r="C795">
        <v>49</v>
      </c>
      <c r="D795" t="s">
        <v>18</v>
      </c>
      <c r="E795" t="s">
        <v>16</v>
      </c>
      <c r="F795" s="1">
        <v>43102</v>
      </c>
      <c r="G795">
        <v>5</v>
      </c>
      <c r="H795">
        <v>5</v>
      </c>
      <c r="I795">
        <v>18</v>
      </c>
      <c r="J795">
        <v>13</v>
      </c>
      <c r="K795">
        <v>0</v>
      </c>
      <c r="L795">
        <v>408</v>
      </c>
      <c r="M795">
        <v>15</v>
      </c>
      <c r="N795" s="1">
        <f t="shared" si="96"/>
        <v>44938</v>
      </c>
      <c r="O795" s="1">
        <f t="shared" si="97"/>
        <v>43101</v>
      </c>
      <c r="P795" s="1">
        <f t="shared" si="98"/>
        <v>43132</v>
      </c>
      <c r="Q795" s="8">
        <f t="shared" si="99"/>
        <v>0</v>
      </c>
      <c r="R795" s="8">
        <f t="shared" si="100"/>
        <v>2</v>
      </c>
      <c r="S795" s="8">
        <f t="shared" ca="1" si="101"/>
        <v>2</v>
      </c>
      <c r="T795">
        <f t="shared" ca="1" si="102"/>
        <v>6.6000000000000005</v>
      </c>
      <c r="U795" s="8">
        <f t="shared" ca="1" si="103"/>
        <v>1</v>
      </c>
      <c r="V795" s="8">
        <f ca="1">RawData[[#This Row],[Z (smoothed demand size)]]/RawData[[#This Row],[X (smoothed interval)]]</f>
        <v>6.6000000000000005</v>
      </c>
    </row>
    <row r="796" spans="1:22">
      <c r="A796" t="s">
        <v>29</v>
      </c>
      <c r="B796" t="s">
        <v>14</v>
      </c>
      <c r="C796">
        <v>49</v>
      </c>
      <c r="D796" t="s">
        <v>18</v>
      </c>
      <c r="E796" t="s">
        <v>16</v>
      </c>
      <c r="F796" s="1">
        <v>43103</v>
      </c>
      <c r="G796">
        <v>8</v>
      </c>
      <c r="H796">
        <v>8</v>
      </c>
      <c r="I796">
        <v>13</v>
      </c>
      <c r="J796">
        <v>5</v>
      </c>
      <c r="K796">
        <v>0</v>
      </c>
      <c r="L796">
        <v>413</v>
      </c>
      <c r="M796">
        <v>45</v>
      </c>
      <c r="N796" s="1">
        <f t="shared" si="96"/>
        <v>44938</v>
      </c>
      <c r="O796" s="1">
        <f t="shared" si="97"/>
        <v>43101</v>
      </c>
      <c r="P796" s="1">
        <f t="shared" si="98"/>
        <v>43160</v>
      </c>
      <c r="Q796" s="8">
        <f t="shared" si="99"/>
        <v>0</v>
      </c>
      <c r="R796" s="8">
        <f t="shared" si="100"/>
        <v>3</v>
      </c>
      <c r="S796" s="8">
        <f t="shared" ca="1" si="101"/>
        <v>3</v>
      </c>
      <c r="T796">
        <f t="shared" ca="1" si="102"/>
        <v>6.8800000000000008</v>
      </c>
      <c r="U796" s="8">
        <f t="shared" ca="1" si="103"/>
        <v>1</v>
      </c>
      <c r="V796" s="8">
        <f ca="1">RawData[[#This Row],[Z (smoothed demand size)]]/RawData[[#This Row],[X (smoothed interval)]]</f>
        <v>6.8800000000000008</v>
      </c>
    </row>
    <row r="797" spans="1:22">
      <c r="A797" t="s">
        <v>29</v>
      </c>
      <c r="B797" t="s">
        <v>14</v>
      </c>
      <c r="C797">
        <v>49</v>
      </c>
      <c r="D797" t="s">
        <v>18</v>
      </c>
      <c r="E797" t="s">
        <v>16</v>
      </c>
      <c r="F797" s="1">
        <v>43104</v>
      </c>
      <c r="G797">
        <v>6</v>
      </c>
      <c r="H797">
        <v>5</v>
      </c>
      <c r="I797">
        <v>5</v>
      </c>
      <c r="J797">
        <v>0</v>
      </c>
      <c r="K797">
        <v>1</v>
      </c>
      <c r="L797">
        <v>413</v>
      </c>
      <c r="M797">
        <v>30</v>
      </c>
      <c r="N797" s="1">
        <f t="shared" si="96"/>
        <v>44938</v>
      </c>
      <c r="O797" s="1">
        <f t="shared" si="97"/>
        <v>43101</v>
      </c>
      <c r="P797" s="1">
        <f t="shared" si="98"/>
        <v>43191</v>
      </c>
      <c r="Q797" s="8">
        <f t="shared" si="99"/>
        <v>0</v>
      </c>
      <c r="R797" s="8">
        <f t="shared" si="100"/>
        <v>4</v>
      </c>
      <c r="S797" s="8">
        <f t="shared" ca="1" si="101"/>
        <v>4</v>
      </c>
      <c r="T797">
        <f t="shared" ca="1" si="102"/>
        <v>6.7040000000000015</v>
      </c>
      <c r="U797" s="8">
        <f t="shared" ca="1" si="103"/>
        <v>1</v>
      </c>
      <c r="V797" s="8">
        <f ca="1">RawData[[#This Row],[Z (smoothed demand size)]]/RawData[[#This Row],[X (smoothed interval)]]</f>
        <v>6.7040000000000015</v>
      </c>
    </row>
    <row r="798" spans="1:22">
      <c r="A798" t="s">
        <v>29</v>
      </c>
      <c r="B798" t="s">
        <v>14</v>
      </c>
      <c r="C798">
        <v>49</v>
      </c>
      <c r="D798" t="s">
        <v>18</v>
      </c>
      <c r="E798" t="s">
        <v>16</v>
      </c>
      <c r="F798" s="1">
        <v>43105</v>
      </c>
      <c r="G798">
        <v>12</v>
      </c>
      <c r="H798">
        <v>9</v>
      </c>
      <c r="I798">
        <v>9</v>
      </c>
      <c r="J798">
        <v>0</v>
      </c>
      <c r="K798">
        <v>1</v>
      </c>
      <c r="L798">
        <v>411</v>
      </c>
      <c r="M798">
        <v>45</v>
      </c>
      <c r="N798" s="1">
        <f t="shared" si="96"/>
        <v>44938</v>
      </c>
      <c r="O798" s="1">
        <f t="shared" si="97"/>
        <v>43101</v>
      </c>
      <c r="P798" s="1">
        <f t="shared" si="98"/>
        <v>43221</v>
      </c>
      <c r="Q798" s="8">
        <f t="shared" si="99"/>
        <v>0</v>
      </c>
      <c r="R798" s="8">
        <f t="shared" si="100"/>
        <v>5</v>
      </c>
      <c r="S798" s="8">
        <f t="shared" ca="1" si="101"/>
        <v>5</v>
      </c>
      <c r="T798">
        <f t="shared" ca="1" si="102"/>
        <v>7.7632000000000021</v>
      </c>
      <c r="U798" s="8">
        <f t="shared" ca="1" si="103"/>
        <v>1</v>
      </c>
      <c r="V798" s="8">
        <f ca="1">RawData[[#This Row],[Z (smoothed demand size)]]/RawData[[#This Row],[X (smoothed interval)]]</f>
        <v>7.7632000000000021</v>
      </c>
    </row>
    <row r="799" spans="1:22">
      <c r="A799" t="s">
        <v>29</v>
      </c>
      <c r="B799" t="s">
        <v>14</v>
      </c>
      <c r="C799">
        <v>49</v>
      </c>
      <c r="D799" t="s">
        <v>18</v>
      </c>
      <c r="E799" t="s">
        <v>16</v>
      </c>
      <c r="F799" s="1">
        <v>43106</v>
      </c>
      <c r="G799">
        <v>12</v>
      </c>
      <c r="H799">
        <v>0</v>
      </c>
      <c r="I799">
        <v>0</v>
      </c>
      <c r="J799">
        <v>0</v>
      </c>
      <c r="K799">
        <v>1</v>
      </c>
      <c r="L799">
        <v>477</v>
      </c>
      <c r="M799">
        <v>60</v>
      </c>
      <c r="N799" s="1">
        <f t="shared" si="96"/>
        <v>44938</v>
      </c>
      <c r="O799" s="1">
        <f t="shared" si="97"/>
        <v>43101</v>
      </c>
      <c r="P799" s="1">
        <f t="shared" si="98"/>
        <v>43252</v>
      </c>
      <c r="Q799" s="8">
        <f t="shared" si="99"/>
        <v>0</v>
      </c>
      <c r="R799" s="8">
        <f t="shared" si="100"/>
        <v>6</v>
      </c>
      <c r="S799" s="8">
        <f t="shared" ca="1" si="101"/>
        <v>6</v>
      </c>
      <c r="T799">
        <f t="shared" ca="1" si="102"/>
        <v>8.6105600000000031</v>
      </c>
      <c r="U799" s="8">
        <f t="shared" ca="1" si="103"/>
        <v>1</v>
      </c>
      <c r="V799" s="8">
        <f ca="1">RawData[[#This Row],[Z (smoothed demand size)]]/RawData[[#This Row],[X (smoothed interval)]]</f>
        <v>8.6105600000000031</v>
      </c>
    </row>
    <row r="800" spans="1:22">
      <c r="A800" t="s">
        <v>29</v>
      </c>
      <c r="B800" t="s">
        <v>14</v>
      </c>
      <c r="C800">
        <v>49</v>
      </c>
      <c r="D800" t="s">
        <v>18</v>
      </c>
      <c r="E800" t="s">
        <v>16</v>
      </c>
      <c r="F800" s="1">
        <v>43107</v>
      </c>
      <c r="G800">
        <v>8</v>
      </c>
      <c r="H800">
        <v>8</v>
      </c>
      <c r="I800">
        <v>12</v>
      </c>
      <c r="J800">
        <v>4</v>
      </c>
      <c r="K800">
        <v>0</v>
      </c>
      <c r="L800">
        <v>474</v>
      </c>
      <c r="M800">
        <v>15</v>
      </c>
      <c r="N800" s="1">
        <f t="shared" si="96"/>
        <v>44938</v>
      </c>
      <c r="O800" s="1">
        <f t="shared" si="97"/>
        <v>43101</v>
      </c>
      <c r="P800" s="1">
        <f t="shared" si="98"/>
        <v>43282</v>
      </c>
      <c r="Q800" s="8">
        <f t="shared" si="99"/>
        <v>0</v>
      </c>
      <c r="R800" s="8">
        <f t="shared" si="100"/>
        <v>7</v>
      </c>
      <c r="S800" s="8">
        <f t="shared" ca="1" si="101"/>
        <v>7</v>
      </c>
      <c r="T800">
        <f t="shared" ca="1" si="102"/>
        <v>8.4884480000000035</v>
      </c>
      <c r="U800" s="8">
        <f t="shared" ca="1" si="103"/>
        <v>1</v>
      </c>
      <c r="V800" s="8">
        <f ca="1">RawData[[#This Row],[Z (smoothed demand size)]]/RawData[[#This Row],[X (smoothed interval)]]</f>
        <v>8.4884480000000035</v>
      </c>
    </row>
    <row r="801" spans="1:22">
      <c r="A801" t="s">
        <v>29</v>
      </c>
      <c r="B801" t="s">
        <v>14</v>
      </c>
      <c r="C801">
        <v>49</v>
      </c>
      <c r="D801" t="s">
        <v>18</v>
      </c>
      <c r="E801" t="s">
        <v>16</v>
      </c>
      <c r="F801" s="1">
        <v>43108</v>
      </c>
      <c r="G801">
        <v>4</v>
      </c>
      <c r="H801">
        <v>4</v>
      </c>
      <c r="I801">
        <v>16</v>
      </c>
      <c r="J801">
        <v>12</v>
      </c>
      <c r="K801">
        <v>0</v>
      </c>
      <c r="L801">
        <v>482</v>
      </c>
      <c r="M801">
        <v>45</v>
      </c>
      <c r="N801" s="1">
        <f t="shared" si="96"/>
        <v>44938</v>
      </c>
      <c r="O801" s="1">
        <f t="shared" si="97"/>
        <v>43101</v>
      </c>
      <c r="P801" s="1">
        <f t="shared" si="98"/>
        <v>43313</v>
      </c>
      <c r="Q801" s="8">
        <f t="shared" si="99"/>
        <v>0</v>
      </c>
      <c r="R801" s="8">
        <f t="shared" si="100"/>
        <v>8</v>
      </c>
      <c r="S801" s="8">
        <f t="shared" ca="1" si="101"/>
        <v>8</v>
      </c>
      <c r="T801">
        <f t="shared" ca="1" si="102"/>
        <v>7.590758400000003</v>
      </c>
      <c r="U801" s="8">
        <f t="shared" ca="1" si="103"/>
        <v>1</v>
      </c>
      <c r="V801" s="8">
        <f ca="1">RawData[[#This Row],[Z (smoothed demand size)]]/RawData[[#This Row],[X (smoothed interval)]]</f>
        <v>7.590758400000003</v>
      </c>
    </row>
    <row r="802" spans="1:22">
      <c r="A802" t="s">
        <v>29</v>
      </c>
      <c r="B802" t="s">
        <v>14</v>
      </c>
      <c r="C802">
        <v>49</v>
      </c>
      <c r="D802" t="s">
        <v>18</v>
      </c>
      <c r="E802" t="s">
        <v>16</v>
      </c>
      <c r="F802" s="1">
        <v>43109</v>
      </c>
      <c r="G802">
        <v>4</v>
      </c>
      <c r="H802">
        <v>4</v>
      </c>
      <c r="I802">
        <v>12</v>
      </c>
      <c r="J802">
        <v>8</v>
      </c>
      <c r="K802">
        <v>0</v>
      </c>
      <c r="L802">
        <v>411</v>
      </c>
      <c r="M802">
        <v>15</v>
      </c>
      <c r="N802" s="1">
        <f t="shared" si="96"/>
        <v>44938</v>
      </c>
      <c r="O802" s="1">
        <f t="shared" si="97"/>
        <v>43101</v>
      </c>
      <c r="P802" s="1">
        <f t="shared" si="98"/>
        <v>43344</v>
      </c>
      <c r="Q802" s="8">
        <f t="shared" si="99"/>
        <v>0</v>
      </c>
      <c r="R802" s="8">
        <f t="shared" si="100"/>
        <v>9</v>
      </c>
      <c r="S802" s="8">
        <f t="shared" ca="1" si="101"/>
        <v>9</v>
      </c>
      <c r="T802">
        <f t="shared" ca="1" si="102"/>
        <v>6.8726067200000029</v>
      </c>
      <c r="U802" s="8">
        <f t="shared" ca="1" si="103"/>
        <v>1</v>
      </c>
      <c r="V802" s="8">
        <f ca="1">RawData[[#This Row],[Z (smoothed demand size)]]/RawData[[#This Row],[X (smoothed interval)]]</f>
        <v>6.8726067200000029</v>
      </c>
    </row>
    <row r="803" spans="1:22">
      <c r="A803" t="s">
        <v>29</v>
      </c>
      <c r="B803" t="s">
        <v>14</v>
      </c>
      <c r="C803">
        <v>49</v>
      </c>
      <c r="D803" t="s">
        <v>18</v>
      </c>
      <c r="E803" t="s">
        <v>16</v>
      </c>
      <c r="F803" s="1">
        <v>43110</v>
      </c>
      <c r="G803">
        <v>9</v>
      </c>
      <c r="H803">
        <v>9</v>
      </c>
      <c r="I803">
        <v>20</v>
      </c>
      <c r="J803">
        <v>11</v>
      </c>
      <c r="K803">
        <v>0</v>
      </c>
      <c r="L803">
        <v>407</v>
      </c>
      <c r="M803">
        <v>30</v>
      </c>
      <c r="N803" s="1">
        <f t="shared" si="96"/>
        <v>44938</v>
      </c>
      <c r="O803" s="1">
        <f t="shared" si="97"/>
        <v>43101</v>
      </c>
      <c r="P803" s="1">
        <f t="shared" si="98"/>
        <v>43374</v>
      </c>
      <c r="Q803" s="8">
        <f t="shared" si="99"/>
        <v>0</v>
      </c>
      <c r="R803" s="8">
        <f t="shared" si="100"/>
        <v>10</v>
      </c>
      <c r="S803" s="8">
        <f t="shared" ca="1" si="101"/>
        <v>10</v>
      </c>
      <c r="T803">
        <f t="shared" ca="1" si="102"/>
        <v>7.2980853760000022</v>
      </c>
      <c r="U803" s="8">
        <f t="shared" ca="1" si="103"/>
        <v>1</v>
      </c>
      <c r="V803" s="8">
        <f ca="1">RawData[[#This Row],[Z (smoothed demand size)]]/RawData[[#This Row],[X (smoothed interval)]]</f>
        <v>7.2980853760000022</v>
      </c>
    </row>
    <row r="804" spans="1:22">
      <c r="A804" t="s">
        <v>29</v>
      </c>
      <c r="B804" t="s">
        <v>14</v>
      </c>
      <c r="C804">
        <v>49</v>
      </c>
      <c r="D804" t="s">
        <v>18</v>
      </c>
      <c r="E804" t="s">
        <v>16</v>
      </c>
      <c r="F804" s="1">
        <v>43111</v>
      </c>
      <c r="G804">
        <v>9</v>
      </c>
      <c r="H804">
        <v>9</v>
      </c>
      <c r="I804">
        <v>11</v>
      </c>
      <c r="J804">
        <v>2</v>
      </c>
      <c r="K804">
        <v>0</v>
      </c>
      <c r="L804">
        <v>409</v>
      </c>
      <c r="M804">
        <v>30</v>
      </c>
      <c r="N804" s="1">
        <f t="shared" si="96"/>
        <v>44938</v>
      </c>
      <c r="O804" s="1">
        <f t="shared" si="97"/>
        <v>43101</v>
      </c>
      <c r="P804" s="1">
        <f t="shared" si="98"/>
        <v>43405</v>
      </c>
      <c r="Q804" s="8">
        <f t="shared" si="99"/>
        <v>0</v>
      </c>
      <c r="R804" s="8">
        <f t="shared" si="100"/>
        <v>11</v>
      </c>
      <c r="S804" s="8">
        <f t="shared" ca="1" si="101"/>
        <v>11</v>
      </c>
      <c r="T804">
        <f t="shared" ca="1" si="102"/>
        <v>7.6384683008000023</v>
      </c>
      <c r="U804" s="8">
        <f t="shared" ca="1" si="103"/>
        <v>1</v>
      </c>
      <c r="V804" s="8">
        <f ca="1">RawData[[#This Row],[Z (smoothed demand size)]]/RawData[[#This Row],[X (smoothed interval)]]</f>
        <v>7.6384683008000023</v>
      </c>
    </row>
    <row r="805" spans="1:22">
      <c r="A805" t="s">
        <v>29</v>
      </c>
      <c r="B805" t="s">
        <v>14</v>
      </c>
      <c r="C805">
        <v>49</v>
      </c>
      <c r="D805" t="s">
        <v>18</v>
      </c>
      <c r="E805" t="s">
        <v>16</v>
      </c>
      <c r="F805" s="1">
        <v>43112</v>
      </c>
      <c r="G805">
        <v>15</v>
      </c>
      <c r="H805">
        <v>14</v>
      </c>
      <c r="I805">
        <v>14</v>
      </c>
      <c r="J805">
        <v>0</v>
      </c>
      <c r="K805">
        <v>1</v>
      </c>
      <c r="L805">
        <v>475</v>
      </c>
      <c r="M805">
        <v>45</v>
      </c>
      <c r="N805" s="1">
        <f t="shared" si="96"/>
        <v>44938</v>
      </c>
      <c r="O805" s="1">
        <f t="shared" si="97"/>
        <v>43101</v>
      </c>
      <c r="P805" s="1">
        <f t="shared" si="98"/>
        <v>43435</v>
      </c>
      <c r="Q805" s="8">
        <f t="shared" si="99"/>
        <v>0</v>
      </c>
      <c r="R805" s="8">
        <f t="shared" si="100"/>
        <v>12</v>
      </c>
      <c r="S805" s="8">
        <f t="shared" ca="1" si="101"/>
        <v>12</v>
      </c>
      <c r="T805">
        <f t="shared" ca="1" si="102"/>
        <v>9.1107746406400025</v>
      </c>
      <c r="U805" s="8">
        <f t="shared" ca="1" si="103"/>
        <v>1</v>
      </c>
      <c r="V805" s="8">
        <f ca="1">RawData[[#This Row],[Z (smoothed demand size)]]/RawData[[#This Row],[X (smoothed interval)]]</f>
        <v>9.1107746406400025</v>
      </c>
    </row>
    <row r="806" spans="1:22">
      <c r="A806" t="s">
        <v>29</v>
      </c>
      <c r="B806" t="s">
        <v>14</v>
      </c>
      <c r="C806">
        <v>49</v>
      </c>
      <c r="D806" t="s">
        <v>18</v>
      </c>
      <c r="E806" t="s">
        <v>16</v>
      </c>
      <c r="F806" s="1">
        <v>43466</v>
      </c>
      <c r="G806">
        <v>13</v>
      </c>
      <c r="H806">
        <v>0</v>
      </c>
      <c r="I806">
        <v>0</v>
      </c>
      <c r="J806">
        <v>0</v>
      </c>
      <c r="K806">
        <v>1</v>
      </c>
      <c r="L806">
        <v>412</v>
      </c>
      <c r="M806">
        <v>15</v>
      </c>
      <c r="N806" s="1">
        <f t="shared" si="96"/>
        <v>44938</v>
      </c>
      <c r="O806" s="1">
        <f t="shared" si="97"/>
        <v>43101</v>
      </c>
      <c r="P806" s="1">
        <f t="shared" si="98"/>
        <v>43466</v>
      </c>
      <c r="Q806" s="8">
        <f t="shared" si="99"/>
        <v>0</v>
      </c>
      <c r="R806" s="8">
        <f t="shared" si="100"/>
        <v>13</v>
      </c>
      <c r="S806" s="8">
        <f t="shared" ca="1" si="101"/>
        <v>13</v>
      </c>
      <c r="T806">
        <f t="shared" ca="1" si="102"/>
        <v>9.8886197125120017</v>
      </c>
      <c r="U806" s="8">
        <f t="shared" ca="1" si="103"/>
        <v>1</v>
      </c>
      <c r="V806" s="8">
        <f ca="1">RawData[[#This Row],[Z (smoothed demand size)]]/RawData[[#This Row],[X (smoothed interval)]]</f>
        <v>9.8886197125120017</v>
      </c>
    </row>
    <row r="807" spans="1:22">
      <c r="A807" t="s">
        <v>29</v>
      </c>
      <c r="B807" t="s">
        <v>14</v>
      </c>
      <c r="C807">
        <v>49</v>
      </c>
      <c r="D807" t="s">
        <v>18</v>
      </c>
      <c r="E807" t="s">
        <v>16</v>
      </c>
      <c r="F807" s="1">
        <v>43467</v>
      </c>
      <c r="G807">
        <v>6</v>
      </c>
      <c r="H807">
        <v>6</v>
      </c>
      <c r="I807">
        <v>7</v>
      </c>
      <c r="J807">
        <v>1</v>
      </c>
      <c r="K807">
        <v>0</v>
      </c>
      <c r="L807">
        <v>411</v>
      </c>
      <c r="M807">
        <v>60</v>
      </c>
      <c r="N807" s="1">
        <f t="shared" si="96"/>
        <v>44938</v>
      </c>
      <c r="O807" s="1">
        <f t="shared" si="97"/>
        <v>43101</v>
      </c>
      <c r="P807" s="1">
        <f t="shared" si="98"/>
        <v>43497</v>
      </c>
      <c r="Q807" s="8">
        <f t="shared" si="99"/>
        <v>0</v>
      </c>
      <c r="R807" s="8">
        <f t="shared" si="100"/>
        <v>14</v>
      </c>
      <c r="S807" s="8">
        <f t="shared" ca="1" si="101"/>
        <v>14</v>
      </c>
      <c r="T807">
        <f t="shared" ca="1" si="102"/>
        <v>9.110895770009602</v>
      </c>
      <c r="U807" s="8">
        <f t="shared" ca="1" si="103"/>
        <v>1</v>
      </c>
      <c r="V807" s="8">
        <f ca="1">RawData[[#This Row],[Z (smoothed demand size)]]/RawData[[#This Row],[X (smoothed interval)]]</f>
        <v>9.110895770009602</v>
      </c>
    </row>
    <row r="808" spans="1:22">
      <c r="A808" t="s">
        <v>29</v>
      </c>
      <c r="B808" t="s">
        <v>14</v>
      </c>
      <c r="C808">
        <v>49</v>
      </c>
      <c r="D808" t="s">
        <v>18</v>
      </c>
      <c r="E808" t="s">
        <v>16</v>
      </c>
      <c r="F808" s="1">
        <v>43468</v>
      </c>
      <c r="G808">
        <v>10</v>
      </c>
      <c r="H808">
        <v>1</v>
      </c>
      <c r="I808">
        <v>1</v>
      </c>
      <c r="J808">
        <v>0</v>
      </c>
      <c r="K808">
        <v>1</v>
      </c>
      <c r="L808">
        <v>406</v>
      </c>
      <c r="M808">
        <v>15</v>
      </c>
      <c r="N808" s="1">
        <f t="shared" si="96"/>
        <v>44938</v>
      </c>
      <c r="O808" s="1">
        <f t="shared" si="97"/>
        <v>43101</v>
      </c>
      <c r="P808" s="1">
        <f t="shared" si="98"/>
        <v>43525</v>
      </c>
      <c r="Q808" s="8">
        <f t="shared" si="99"/>
        <v>0</v>
      </c>
      <c r="R808" s="8">
        <f t="shared" si="100"/>
        <v>15</v>
      </c>
      <c r="S808" s="8">
        <f t="shared" ca="1" si="101"/>
        <v>15</v>
      </c>
      <c r="T808">
        <f t="shared" ca="1" si="102"/>
        <v>9.2887166160076831</v>
      </c>
      <c r="U808" s="8">
        <f t="shared" ca="1" si="103"/>
        <v>1</v>
      </c>
      <c r="V808" s="8">
        <f ca="1">RawData[[#This Row],[Z (smoothed demand size)]]/RawData[[#This Row],[X (smoothed interval)]]</f>
        <v>9.2887166160076831</v>
      </c>
    </row>
    <row r="809" spans="1:22">
      <c r="A809" t="s">
        <v>29</v>
      </c>
      <c r="B809" t="s">
        <v>14</v>
      </c>
      <c r="C809">
        <v>49</v>
      </c>
      <c r="D809" t="s">
        <v>18</v>
      </c>
      <c r="E809" t="s">
        <v>16</v>
      </c>
      <c r="F809" s="1">
        <v>43469</v>
      </c>
      <c r="G809">
        <v>11</v>
      </c>
      <c r="H809">
        <v>9</v>
      </c>
      <c r="I809">
        <v>9</v>
      </c>
      <c r="J809">
        <v>0</v>
      </c>
      <c r="K809">
        <v>1</v>
      </c>
      <c r="L809">
        <v>414</v>
      </c>
      <c r="M809">
        <v>15</v>
      </c>
      <c r="N809" s="1">
        <f t="shared" si="96"/>
        <v>44938</v>
      </c>
      <c r="O809" s="1">
        <f t="shared" si="97"/>
        <v>43101</v>
      </c>
      <c r="P809" s="1">
        <f t="shared" si="98"/>
        <v>43556</v>
      </c>
      <c r="Q809" s="8">
        <f t="shared" si="99"/>
        <v>0</v>
      </c>
      <c r="R809" s="8">
        <f t="shared" si="100"/>
        <v>16</v>
      </c>
      <c r="S809" s="8">
        <f t="shared" ca="1" si="101"/>
        <v>16</v>
      </c>
      <c r="T809">
        <f t="shared" ca="1" si="102"/>
        <v>9.6309732928061464</v>
      </c>
      <c r="U809" s="8">
        <f t="shared" ca="1" si="103"/>
        <v>1</v>
      </c>
      <c r="V809" s="8">
        <f ca="1">RawData[[#This Row],[Z (smoothed demand size)]]/RawData[[#This Row],[X (smoothed interval)]]</f>
        <v>9.6309732928061464</v>
      </c>
    </row>
    <row r="810" spans="1:22">
      <c r="A810" t="s">
        <v>29</v>
      </c>
      <c r="B810" t="s">
        <v>14</v>
      </c>
      <c r="C810">
        <v>49</v>
      </c>
      <c r="D810" t="s">
        <v>18</v>
      </c>
      <c r="E810" t="s">
        <v>16</v>
      </c>
      <c r="F810" s="1">
        <v>43470</v>
      </c>
      <c r="G810">
        <v>11</v>
      </c>
      <c r="H810">
        <v>11</v>
      </c>
      <c r="I810">
        <v>12</v>
      </c>
      <c r="J810">
        <v>1</v>
      </c>
      <c r="K810">
        <v>0</v>
      </c>
      <c r="L810">
        <v>418</v>
      </c>
      <c r="M810">
        <v>45</v>
      </c>
      <c r="N810" s="1">
        <f t="shared" si="96"/>
        <v>44938</v>
      </c>
      <c r="O810" s="1">
        <f t="shared" si="97"/>
        <v>43101</v>
      </c>
      <c r="P810" s="1">
        <f t="shared" si="98"/>
        <v>43586</v>
      </c>
      <c r="Q810" s="8">
        <f t="shared" si="99"/>
        <v>0</v>
      </c>
      <c r="R810" s="8">
        <f t="shared" si="100"/>
        <v>17</v>
      </c>
      <c r="S810" s="8">
        <f t="shared" ca="1" si="101"/>
        <v>17</v>
      </c>
      <c r="T810">
        <f t="shared" ca="1" si="102"/>
        <v>9.9047786342449164</v>
      </c>
      <c r="U810" s="8">
        <f t="shared" ca="1" si="103"/>
        <v>1</v>
      </c>
      <c r="V810" s="8">
        <f ca="1">RawData[[#This Row],[Z (smoothed demand size)]]/RawData[[#This Row],[X (smoothed interval)]]</f>
        <v>9.9047786342449164</v>
      </c>
    </row>
    <row r="811" spans="1:22">
      <c r="A811" t="s">
        <v>29</v>
      </c>
      <c r="B811" t="s">
        <v>14</v>
      </c>
      <c r="C811">
        <v>49</v>
      </c>
      <c r="D811" t="s">
        <v>18</v>
      </c>
      <c r="E811" t="s">
        <v>16</v>
      </c>
      <c r="F811" s="1">
        <v>43471</v>
      </c>
      <c r="G811">
        <v>9</v>
      </c>
      <c r="H811">
        <v>1</v>
      </c>
      <c r="I811">
        <v>1</v>
      </c>
      <c r="J811">
        <v>0</v>
      </c>
      <c r="K811">
        <v>1</v>
      </c>
      <c r="L811">
        <v>471</v>
      </c>
      <c r="M811">
        <v>45</v>
      </c>
      <c r="N811" s="1">
        <f t="shared" si="96"/>
        <v>44938</v>
      </c>
      <c r="O811" s="1">
        <f t="shared" si="97"/>
        <v>43101</v>
      </c>
      <c r="P811" s="1">
        <f t="shared" si="98"/>
        <v>43617</v>
      </c>
      <c r="Q811" s="8">
        <f t="shared" si="99"/>
        <v>0</v>
      </c>
      <c r="R811" s="8">
        <f t="shared" si="100"/>
        <v>18</v>
      </c>
      <c r="S811" s="8">
        <f t="shared" ca="1" si="101"/>
        <v>18</v>
      </c>
      <c r="T811">
        <f t="shared" ca="1" si="102"/>
        <v>9.7238229073959346</v>
      </c>
      <c r="U811" s="8">
        <f t="shared" ca="1" si="103"/>
        <v>1</v>
      </c>
      <c r="V811" s="8">
        <f ca="1">RawData[[#This Row],[Z (smoothed demand size)]]/RawData[[#This Row],[X (smoothed interval)]]</f>
        <v>9.7238229073959346</v>
      </c>
    </row>
    <row r="812" spans="1:22">
      <c r="A812" t="s">
        <v>29</v>
      </c>
      <c r="B812" t="s">
        <v>14</v>
      </c>
      <c r="C812">
        <v>49</v>
      </c>
      <c r="D812" t="s">
        <v>18</v>
      </c>
      <c r="E812" t="s">
        <v>16</v>
      </c>
      <c r="F812" s="1">
        <v>43472</v>
      </c>
      <c r="G812">
        <v>14</v>
      </c>
      <c r="H812">
        <v>10</v>
      </c>
      <c r="I812">
        <v>10</v>
      </c>
      <c r="J812">
        <v>0</v>
      </c>
      <c r="K812">
        <v>1</v>
      </c>
      <c r="L812">
        <v>480</v>
      </c>
      <c r="M812">
        <v>30</v>
      </c>
      <c r="N812" s="1">
        <f t="shared" si="96"/>
        <v>44938</v>
      </c>
      <c r="O812" s="1">
        <f t="shared" si="97"/>
        <v>43101</v>
      </c>
      <c r="P812" s="1">
        <f t="shared" si="98"/>
        <v>43647</v>
      </c>
      <c r="Q812" s="8">
        <f t="shared" si="99"/>
        <v>0</v>
      </c>
      <c r="R812" s="8">
        <f t="shared" si="100"/>
        <v>19</v>
      </c>
      <c r="S812" s="8">
        <f t="shared" ca="1" si="101"/>
        <v>19</v>
      </c>
      <c r="T812">
        <f t="shared" ca="1" si="102"/>
        <v>10.579058325916748</v>
      </c>
      <c r="U812" s="8">
        <f t="shared" ca="1" si="103"/>
        <v>1</v>
      </c>
      <c r="V812" s="8">
        <f ca="1">RawData[[#This Row],[Z (smoothed demand size)]]/RawData[[#This Row],[X (smoothed interval)]]</f>
        <v>10.579058325916748</v>
      </c>
    </row>
    <row r="813" spans="1:22">
      <c r="A813" t="s">
        <v>29</v>
      </c>
      <c r="B813" t="s">
        <v>14</v>
      </c>
      <c r="C813">
        <v>49</v>
      </c>
      <c r="D813" t="s">
        <v>18</v>
      </c>
      <c r="E813" t="s">
        <v>16</v>
      </c>
      <c r="F813" s="1">
        <v>43473</v>
      </c>
      <c r="G813">
        <v>8</v>
      </c>
      <c r="H813">
        <v>8</v>
      </c>
      <c r="I813">
        <v>12</v>
      </c>
      <c r="J813">
        <v>4</v>
      </c>
      <c r="K813">
        <v>0</v>
      </c>
      <c r="L813">
        <v>475</v>
      </c>
      <c r="M813">
        <v>45</v>
      </c>
      <c r="N813" s="1">
        <f t="shared" si="96"/>
        <v>44938</v>
      </c>
      <c r="O813" s="1">
        <f t="shared" si="97"/>
        <v>43101</v>
      </c>
      <c r="P813" s="1">
        <f t="shared" si="98"/>
        <v>43678</v>
      </c>
      <c r="Q813" s="8">
        <f t="shared" si="99"/>
        <v>0</v>
      </c>
      <c r="R813" s="8">
        <f t="shared" si="100"/>
        <v>20</v>
      </c>
      <c r="S813" s="8">
        <f t="shared" ca="1" si="101"/>
        <v>20</v>
      </c>
      <c r="T813">
        <f t="shared" ca="1" si="102"/>
        <v>10.063246660733398</v>
      </c>
      <c r="U813" s="8">
        <f t="shared" ca="1" si="103"/>
        <v>1</v>
      </c>
      <c r="V813" s="8">
        <f ca="1">RawData[[#This Row],[Z (smoothed demand size)]]/RawData[[#This Row],[X (smoothed interval)]]</f>
        <v>10.063246660733398</v>
      </c>
    </row>
    <row r="814" spans="1:22">
      <c r="A814" t="s">
        <v>29</v>
      </c>
      <c r="B814" t="s">
        <v>14</v>
      </c>
      <c r="C814">
        <v>49</v>
      </c>
      <c r="D814" t="s">
        <v>18</v>
      </c>
      <c r="E814" t="s">
        <v>16</v>
      </c>
      <c r="F814" s="1">
        <v>43474</v>
      </c>
      <c r="G814">
        <v>11</v>
      </c>
      <c r="H814">
        <v>4</v>
      </c>
      <c r="I814">
        <v>4</v>
      </c>
      <c r="J814">
        <v>0</v>
      </c>
      <c r="K814">
        <v>1</v>
      </c>
      <c r="L814">
        <v>419</v>
      </c>
      <c r="M814">
        <v>60</v>
      </c>
      <c r="N814" s="1">
        <f t="shared" si="96"/>
        <v>44938</v>
      </c>
      <c r="O814" s="1">
        <f t="shared" si="97"/>
        <v>43101</v>
      </c>
      <c r="P814" s="1">
        <f t="shared" si="98"/>
        <v>43709</v>
      </c>
      <c r="Q814" s="8">
        <f t="shared" si="99"/>
        <v>0</v>
      </c>
      <c r="R814" s="8">
        <f t="shared" si="100"/>
        <v>21</v>
      </c>
      <c r="S814" s="8">
        <f t="shared" ca="1" si="101"/>
        <v>21</v>
      </c>
      <c r="T814">
        <f t="shared" ca="1" si="102"/>
        <v>10.250597328586718</v>
      </c>
      <c r="U814" s="8">
        <f t="shared" ca="1" si="103"/>
        <v>1</v>
      </c>
      <c r="V814" s="8">
        <f ca="1">RawData[[#This Row],[Z (smoothed demand size)]]/RawData[[#This Row],[X (smoothed interval)]]</f>
        <v>10.250597328586718</v>
      </c>
    </row>
    <row r="815" spans="1:22">
      <c r="A815" t="s">
        <v>29</v>
      </c>
      <c r="B815" t="s">
        <v>14</v>
      </c>
      <c r="C815">
        <v>49</v>
      </c>
      <c r="D815" t="s">
        <v>18</v>
      </c>
      <c r="E815" t="s">
        <v>16</v>
      </c>
      <c r="F815" s="1">
        <v>43475</v>
      </c>
      <c r="G815">
        <v>2</v>
      </c>
      <c r="H815">
        <v>2</v>
      </c>
      <c r="I815">
        <v>10</v>
      </c>
      <c r="J815">
        <v>8</v>
      </c>
      <c r="K815">
        <v>0</v>
      </c>
      <c r="L815">
        <v>412</v>
      </c>
      <c r="M815">
        <v>15</v>
      </c>
      <c r="N815" s="1">
        <f t="shared" si="96"/>
        <v>44938</v>
      </c>
      <c r="O815" s="1">
        <f t="shared" si="97"/>
        <v>43101</v>
      </c>
      <c r="P815" s="1">
        <f t="shared" si="98"/>
        <v>43739</v>
      </c>
      <c r="Q815" s="8">
        <f t="shared" si="99"/>
        <v>0</v>
      </c>
      <c r="R815" s="8">
        <f t="shared" si="100"/>
        <v>22</v>
      </c>
      <c r="S815" s="8">
        <f t="shared" ca="1" si="101"/>
        <v>22</v>
      </c>
      <c r="T815">
        <f t="shared" ca="1" si="102"/>
        <v>8.6004778628693757</v>
      </c>
      <c r="U815" s="8">
        <f t="shared" ca="1" si="103"/>
        <v>1</v>
      </c>
      <c r="V815" s="8">
        <f ca="1">RawData[[#This Row],[Z (smoothed demand size)]]/RawData[[#This Row],[X (smoothed interval)]]</f>
        <v>8.6004778628693757</v>
      </c>
    </row>
    <row r="816" spans="1:22">
      <c r="A816" t="s">
        <v>29</v>
      </c>
      <c r="B816" t="s">
        <v>14</v>
      </c>
      <c r="C816">
        <v>49</v>
      </c>
      <c r="D816" t="s">
        <v>18</v>
      </c>
      <c r="E816" t="s">
        <v>16</v>
      </c>
      <c r="F816" s="1">
        <v>43476</v>
      </c>
      <c r="G816">
        <v>8</v>
      </c>
      <c r="H816">
        <v>8</v>
      </c>
      <c r="I816">
        <v>16</v>
      </c>
      <c r="J816">
        <v>8</v>
      </c>
      <c r="K816">
        <v>0</v>
      </c>
      <c r="L816">
        <v>410</v>
      </c>
      <c r="M816">
        <v>60</v>
      </c>
      <c r="N816" s="1">
        <f t="shared" si="96"/>
        <v>44938</v>
      </c>
      <c r="O816" s="1">
        <f t="shared" si="97"/>
        <v>43101</v>
      </c>
      <c r="P816" s="1">
        <f t="shared" si="98"/>
        <v>43770</v>
      </c>
      <c r="Q816" s="8">
        <f t="shared" si="99"/>
        <v>0</v>
      </c>
      <c r="R816" s="8">
        <f t="shared" si="100"/>
        <v>23</v>
      </c>
      <c r="S816" s="8">
        <f t="shared" ca="1" si="101"/>
        <v>23</v>
      </c>
      <c r="T816">
        <f t="shared" ca="1" si="102"/>
        <v>8.4803822902955002</v>
      </c>
      <c r="U816" s="8">
        <f t="shared" ca="1" si="103"/>
        <v>1</v>
      </c>
      <c r="V816" s="8">
        <f ca="1">RawData[[#This Row],[Z (smoothed demand size)]]/RawData[[#This Row],[X (smoothed interval)]]</f>
        <v>8.4803822902955002</v>
      </c>
    </row>
    <row r="817" spans="1:22">
      <c r="A817" t="s">
        <v>29</v>
      </c>
      <c r="B817" t="s">
        <v>14</v>
      </c>
      <c r="C817">
        <v>49</v>
      </c>
      <c r="D817" t="s">
        <v>18</v>
      </c>
      <c r="E817" t="s">
        <v>16</v>
      </c>
      <c r="F817" s="1">
        <v>43477</v>
      </c>
      <c r="G817">
        <v>10</v>
      </c>
      <c r="H817">
        <v>8</v>
      </c>
      <c r="I817">
        <v>8</v>
      </c>
      <c r="J817">
        <v>0</v>
      </c>
      <c r="K817">
        <v>1</v>
      </c>
      <c r="L817">
        <v>475</v>
      </c>
      <c r="M817">
        <v>30</v>
      </c>
      <c r="N817" s="1">
        <f t="shared" si="96"/>
        <v>44938</v>
      </c>
      <c r="O817" s="1">
        <f t="shared" si="97"/>
        <v>43101</v>
      </c>
      <c r="P817" s="1">
        <f t="shared" si="98"/>
        <v>43800</v>
      </c>
      <c r="Q817" s="8">
        <f t="shared" si="99"/>
        <v>0</v>
      </c>
      <c r="R817" s="8">
        <f t="shared" si="100"/>
        <v>24</v>
      </c>
      <c r="S817" s="8">
        <f t="shared" ca="1" si="101"/>
        <v>24</v>
      </c>
      <c r="T817">
        <f t="shared" ca="1" si="102"/>
        <v>8.7843058322364005</v>
      </c>
      <c r="U817" s="8">
        <f t="shared" ca="1" si="103"/>
        <v>1</v>
      </c>
      <c r="V817" s="8">
        <f ca="1">RawData[[#This Row],[Z (smoothed demand size)]]/RawData[[#This Row],[X (smoothed interval)]]</f>
        <v>8.7843058322364005</v>
      </c>
    </row>
    <row r="818" spans="1:22">
      <c r="A818" t="s">
        <v>29</v>
      </c>
      <c r="B818" t="s">
        <v>14</v>
      </c>
      <c r="C818">
        <v>49</v>
      </c>
      <c r="D818" t="s">
        <v>18</v>
      </c>
      <c r="E818" t="s">
        <v>16</v>
      </c>
      <c r="F818" s="1">
        <v>43831</v>
      </c>
      <c r="G818">
        <v>9</v>
      </c>
      <c r="H818">
        <v>7</v>
      </c>
      <c r="I818">
        <v>7</v>
      </c>
      <c r="J818">
        <v>0</v>
      </c>
      <c r="K818">
        <v>1</v>
      </c>
      <c r="L818">
        <v>407</v>
      </c>
      <c r="M818">
        <v>15</v>
      </c>
      <c r="N818" s="1">
        <f t="shared" si="96"/>
        <v>44938</v>
      </c>
      <c r="O818" s="1">
        <f t="shared" si="97"/>
        <v>43101</v>
      </c>
      <c r="P818" s="1">
        <f t="shared" si="98"/>
        <v>43831</v>
      </c>
      <c r="Q818" s="8">
        <f t="shared" si="99"/>
        <v>0</v>
      </c>
      <c r="R818" s="8">
        <f t="shared" si="100"/>
        <v>25</v>
      </c>
      <c r="S818" s="8">
        <f t="shared" ca="1" si="101"/>
        <v>25</v>
      </c>
      <c r="T818">
        <f t="shared" ca="1" si="102"/>
        <v>8.8274446657891215</v>
      </c>
      <c r="U818" s="8">
        <f t="shared" ca="1" si="103"/>
        <v>1</v>
      </c>
      <c r="V818" s="8">
        <f ca="1">RawData[[#This Row],[Z (smoothed demand size)]]/RawData[[#This Row],[X (smoothed interval)]]</f>
        <v>8.8274446657891215</v>
      </c>
    </row>
    <row r="819" spans="1:22">
      <c r="A819" t="s">
        <v>29</v>
      </c>
      <c r="B819" t="s">
        <v>14</v>
      </c>
      <c r="C819">
        <v>49</v>
      </c>
      <c r="D819" t="s">
        <v>18</v>
      </c>
      <c r="E819" t="s">
        <v>16</v>
      </c>
      <c r="F819" s="1">
        <v>43832</v>
      </c>
      <c r="G819">
        <v>8</v>
      </c>
      <c r="H819">
        <v>8</v>
      </c>
      <c r="I819">
        <v>11</v>
      </c>
      <c r="J819">
        <v>3</v>
      </c>
      <c r="K819">
        <v>0</v>
      </c>
      <c r="L819">
        <v>410</v>
      </c>
      <c r="M819">
        <v>60</v>
      </c>
      <c r="N819" s="1">
        <f t="shared" si="96"/>
        <v>44938</v>
      </c>
      <c r="O819" s="1">
        <f t="shared" si="97"/>
        <v>43101</v>
      </c>
      <c r="P819" s="1">
        <f t="shared" si="98"/>
        <v>43862</v>
      </c>
      <c r="Q819" s="8">
        <f t="shared" si="99"/>
        <v>0</v>
      </c>
      <c r="R819" s="8">
        <f t="shared" si="100"/>
        <v>26</v>
      </c>
      <c r="S819" s="8">
        <f t="shared" ca="1" si="101"/>
        <v>26</v>
      </c>
      <c r="T819">
        <f t="shared" ca="1" si="102"/>
        <v>8.6619557326312968</v>
      </c>
      <c r="U819" s="8">
        <f t="shared" ca="1" si="103"/>
        <v>1</v>
      </c>
      <c r="V819" s="8">
        <f ca="1">RawData[[#This Row],[Z (smoothed demand size)]]/RawData[[#This Row],[X (smoothed interval)]]</f>
        <v>8.6619557326312968</v>
      </c>
    </row>
    <row r="820" spans="1:22">
      <c r="A820" t="s">
        <v>29</v>
      </c>
      <c r="B820" t="s">
        <v>14</v>
      </c>
      <c r="C820">
        <v>49</v>
      </c>
      <c r="D820" t="s">
        <v>18</v>
      </c>
      <c r="E820" t="s">
        <v>16</v>
      </c>
      <c r="F820" s="1">
        <v>43833</v>
      </c>
      <c r="G820">
        <v>8</v>
      </c>
      <c r="H820">
        <v>3</v>
      </c>
      <c r="I820">
        <v>3</v>
      </c>
      <c r="J820">
        <v>0</v>
      </c>
      <c r="K820">
        <v>1</v>
      </c>
      <c r="L820">
        <v>414</v>
      </c>
      <c r="M820">
        <v>45</v>
      </c>
      <c r="N820" s="1">
        <f t="shared" si="96"/>
        <v>44938</v>
      </c>
      <c r="O820" s="1">
        <f t="shared" si="97"/>
        <v>43101</v>
      </c>
      <c r="P820" s="1">
        <f t="shared" si="98"/>
        <v>43891</v>
      </c>
      <c r="Q820" s="8">
        <f t="shared" si="99"/>
        <v>0</v>
      </c>
      <c r="R820" s="8">
        <f t="shared" si="100"/>
        <v>27</v>
      </c>
      <c r="S820" s="8">
        <f t="shared" ca="1" si="101"/>
        <v>27</v>
      </c>
      <c r="T820">
        <f t="shared" ca="1" si="102"/>
        <v>8.5295645861050371</v>
      </c>
      <c r="U820" s="8">
        <f t="shared" ca="1" si="103"/>
        <v>1</v>
      </c>
      <c r="V820" s="8">
        <f ca="1">RawData[[#This Row],[Z (smoothed demand size)]]/RawData[[#This Row],[X (smoothed interval)]]</f>
        <v>8.5295645861050371</v>
      </c>
    </row>
    <row r="821" spans="1:22">
      <c r="A821" t="s">
        <v>29</v>
      </c>
      <c r="B821" t="s">
        <v>14</v>
      </c>
      <c r="C821">
        <v>49</v>
      </c>
      <c r="D821" t="s">
        <v>18</v>
      </c>
      <c r="E821" t="s">
        <v>16</v>
      </c>
      <c r="F821" s="1">
        <v>43834</v>
      </c>
      <c r="G821">
        <v>8</v>
      </c>
      <c r="H821">
        <v>8</v>
      </c>
      <c r="I821">
        <v>8</v>
      </c>
      <c r="J821">
        <v>0</v>
      </c>
      <c r="K821">
        <v>0</v>
      </c>
      <c r="L821">
        <v>412</v>
      </c>
      <c r="M821">
        <v>60</v>
      </c>
      <c r="N821" s="1">
        <f t="shared" si="96"/>
        <v>44938</v>
      </c>
      <c r="O821" s="1">
        <f t="shared" si="97"/>
        <v>43101</v>
      </c>
      <c r="P821" s="1">
        <f t="shared" si="98"/>
        <v>43922</v>
      </c>
      <c r="Q821" s="8">
        <f t="shared" si="99"/>
        <v>0</v>
      </c>
      <c r="R821" s="8">
        <f t="shared" si="100"/>
        <v>28</v>
      </c>
      <c r="S821" s="8">
        <f t="shared" ca="1" si="101"/>
        <v>28</v>
      </c>
      <c r="T821">
        <f t="shared" ca="1" si="102"/>
        <v>8.4236516688840304</v>
      </c>
      <c r="U821" s="8">
        <f t="shared" ca="1" si="103"/>
        <v>1</v>
      </c>
      <c r="V821" s="8">
        <f ca="1">RawData[[#This Row],[Z (smoothed demand size)]]/RawData[[#This Row],[X (smoothed interval)]]</f>
        <v>8.4236516688840304</v>
      </c>
    </row>
    <row r="822" spans="1:22">
      <c r="A822" t="s">
        <v>29</v>
      </c>
      <c r="B822" t="s">
        <v>14</v>
      </c>
      <c r="C822">
        <v>49</v>
      </c>
      <c r="D822" t="s">
        <v>18</v>
      </c>
      <c r="E822" t="s">
        <v>16</v>
      </c>
      <c r="F822" s="1">
        <v>43835</v>
      </c>
      <c r="G822">
        <v>13</v>
      </c>
      <c r="H822">
        <v>0</v>
      </c>
      <c r="I822">
        <v>0</v>
      </c>
      <c r="J822">
        <v>0</v>
      </c>
      <c r="K822">
        <v>1</v>
      </c>
      <c r="L822">
        <v>408</v>
      </c>
      <c r="M822">
        <v>60</v>
      </c>
      <c r="N822" s="1">
        <f t="shared" si="96"/>
        <v>44938</v>
      </c>
      <c r="O822" s="1">
        <f t="shared" si="97"/>
        <v>43101</v>
      </c>
      <c r="P822" s="1">
        <f t="shared" si="98"/>
        <v>43952</v>
      </c>
      <c r="Q822" s="8">
        <f t="shared" si="99"/>
        <v>0</v>
      </c>
      <c r="R822" s="8">
        <f t="shared" si="100"/>
        <v>29</v>
      </c>
      <c r="S822" s="8">
        <f t="shared" ca="1" si="101"/>
        <v>29</v>
      </c>
      <c r="T822">
        <f t="shared" ca="1" si="102"/>
        <v>9.3389213351072247</v>
      </c>
      <c r="U822" s="8">
        <f t="shared" ca="1" si="103"/>
        <v>1</v>
      </c>
      <c r="V822" s="8">
        <f ca="1">RawData[[#This Row],[Z (smoothed demand size)]]/RawData[[#This Row],[X (smoothed interval)]]</f>
        <v>9.3389213351072247</v>
      </c>
    </row>
    <row r="823" spans="1:22">
      <c r="A823" t="s">
        <v>29</v>
      </c>
      <c r="B823" t="s">
        <v>14</v>
      </c>
      <c r="C823">
        <v>49</v>
      </c>
      <c r="D823" t="s">
        <v>18</v>
      </c>
      <c r="E823" t="s">
        <v>16</v>
      </c>
      <c r="F823" s="1">
        <v>43836</v>
      </c>
      <c r="G823">
        <v>6</v>
      </c>
      <c r="H823">
        <v>6</v>
      </c>
      <c r="I823">
        <v>12</v>
      </c>
      <c r="J823">
        <v>6</v>
      </c>
      <c r="K823">
        <v>0</v>
      </c>
      <c r="L823">
        <v>471</v>
      </c>
      <c r="M823">
        <v>30</v>
      </c>
      <c r="N823" s="1">
        <f t="shared" si="96"/>
        <v>44938</v>
      </c>
      <c r="O823" s="1">
        <f t="shared" si="97"/>
        <v>43101</v>
      </c>
      <c r="P823" s="1">
        <f t="shared" si="98"/>
        <v>43983</v>
      </c>
      <c r="Q823" s="8">
        <f t="shared" si="99"/>
        <v>0</v>
      </c>
      <c r="R823" s="8">
        <f t="shared" si="100"/>
        <v>30</v>
      </c>
      <c r="S823" s="8">
        <f t="shared" ca="1" si="101"/>
        <v>30</v>
      </c>
      <c r="T823">
        <f t="shared" ca="1" si="102"/>
        <v>8.6711370680857804</v>
      </c>
      <c r="U823" s="8">
        <f t="shared" ca="1" si="103"/>
        <v>1</v>
      </c>
      <c r="V823" s="8">
        <f ca="1">RawData[[#This Row],[Z (smoothed demand size)]]/RawData[[#This Row],[X (smoothed interval)]]</f>
        <v>8.6711370680857804</v>
      </c>
    </row>
    <row r="824" spans="1:22">
      <c r="A824" t="s">
        <v>29</v>
      </c>
      <c r="B824" t="s">
        <v>14</v>
      </c>
      <c r="C824">
        <v>49</v>
      </c>
      <c r="D824" t="s">
        <v>18</v>
      </c>
      <c r="E824" t="s">
        <v>16</v>
      </c>
      <c r="F824" s="1">
        <v>43837</v>
      </c>
      <c r="G824">
        <v>10</v>
      </c>
      <c r="H824">
        <v>10</v>
      </c>
      <c r="I824">
        <v>13</v>
      </c>
      <c r="J824">
        <v>3</v>
      </c>
      <c r="K824">
        <v>0</v>
      </c>
      <c r="L824">
        <v>473</v>
      </c>
      <c r="M824">
        <v>45</v>
      </c>
      <c r="N824" s="1">
        <f t="shared" si="96"/>
        <v>44938</v>
      </c>
      <c r="O824" s="1">
        <f t="shared" si="97"/>
        <v>43101</v>
      </c>
      <c r="P824" s="1">
        <f t="shared" si="98"/>
        <v>44013</v>
      </c>
      <c r="Q824" s="8">
        <f t="shared" si="99"/>
        <v>0</v>
      </c>
      <c r="R824" s="8">
        <f t="shared" si="100"/>
        <v>31</v>
      </c>
      <c r="S824" s="8">
        <f t="shared" ca="1" si="101"/>
        <v>31</v>
      </c>
      <c r="T824">
        <f t="shared" ca="1" si="102"/>
        <v>8.9369096544686251</v>
      </c>
      <c r="U824" s="8">
        <f t="shared" ca="1" si="103"/>
        <v>1</v>
      </c>
      <c r="V824" s="8">
        <f ca="1">RawData[[#This Row],[Z (smoothed demand size)]]/RawData[[#This Row],[X (smoothed interval)]]</f>
        <v>8.9369096544686251</v>
      </c>
    </row>
    <row r="825" spans="1:22">
      <c r="A825" t="s">
        <v>29</v>
      </c>
      <c r="B825" t="s">
        <v>14</v>
      </c>
      <c r="C825">
        <v>49</v>
      </c>
      <c r="D825" t="s">
        <v>18</v>
      </c>
      <c r="E825" t="s">
        <v>16</v>
      </c>
      <c r="F825" s="1">
        <v>43838</v>
      </c>
      <c r="G825">
        <v>10</v>
      </c>
      <c r="H825">
        <v>3</v>
      </c>
      <c r="I825">
        <v>3</v>
      </c>
      <c r="J825">
        <v>0</v>
      </c>
      <c r="K825">
        <v>1</v>
      </c>
      <c r="L825">
        <v>473</v>
      </c>
      <c r="M825">
        <v>30</v>
      </c>
      <c r="N825" s="1">
        <f t="shared" si="96"/>
        <v>44938</v>
      </c>
      <c r="O825" s="1">
        <f t="shared" si="97"/>
        <v>43101</v>
      </c>
      <c r="P825" s="1">
        <f t="shared" si="98"/>
        <v>44044</v>
      </c>
      <c r="Q825" s="8">
        <f t="shared" si="99"/>
        <v>0</v>
      </c>
      <c r="R825" s="8">
        <f t="shared" si="100"/>
        <v>32</v>
      </c>
      <c r="S825" s="8">
        <f t="shared" ca="1" si="101"/>
        <v>32</v>
      </c>
      <c r="T825">
        <f t="shared" ca="1" si="102"/>
        <v>9.1495277235749004</v>
      </c>
      <c r="U825" s="8">
        <f t="shared" ca="1" si="103"/>
        <v>1</v>
      </c>
      <c r="V825" s="8">
        <f ca="1">RawData[[#This Row],[Z (smoothed demand size)]]/RawData[[#This Row],[X (smoothed interval)]]</f>
        <v>9.1495277235749004</v>
      </c>
    </row>
    <row r="826" spans="1:22">
      <c r="A826" t="s">
        <v>29</v>
      </c>
      <c r="B826" t="s">
        <v>14</v>
      </c>
      <c r="C826">
        <v>49</v>
      </c>
      <c r="D826" t="s">
        <v>18</v>
      </c>
      <c r="E826" t="s">
        <v>16</v>
      </c>
      <c r="F826" s="1">
        <v>43839</v>
      </c>
      <c r="G826">
        <v>7</v>
      </c>
      <c r="H826">
        <v>7</v>
      </c>
      <c r="I826">
        <v>10</v>
      </c>
      <c r="J826">
        <v>3</v>
      </c>
      <c r="K826">
        <v>0</v>
      </c>
      <c r="L826">
        <v>412</v>
      </c>
      <c r="M826">
        <v>45</v>
      </c>
      <c r="N826" s="1">
        <f t="shared" si="96"/>
        <v>44938</v>
      </c>
      <c r="O826" s="1">
        <f t="shared" si="97"/>
        <v>43101</v>
      </c>
      <c r="P826" s="1">
        <f t="shared" si="98"/>
        <v>44075</v>
      </c>
      <c r="Q826" s="8">
        <f t="shared" si="99"/>
        <v>0</v>
      </c>
      <c r="R826" s="8">
        <f t="shared" si="100"/>
        <v>33</v>
      </c>
      <c r="S826" s="8">
        <f t="shared" ca="1" si="101"/>
        <v>33</v>
      </c>
      <c r="T826">
        <f t="shared" ca="1" si="102"/>
        <v>8.71962217885992</v>
      </c>
      <c r="U826" s="8">
        <f t="shared" ca="1" si="103"/>
        <v>1</v>
      </c>
      <c r="V826" s="8">
        <f ca="1">RawData[[#This Row],[Z (smoothed demand size)]]/RawData[[#This Row],[X (smoothed interval)]]</f>
        <v>8.71962217885992</v>
      </c>
    </row>
    <row r="827" spans="1:22">
      <c r="A827" t="s">
        <v>29</v>
      </c>
      <c r="B827" t="s">
        <v>14</v>
      </c>
      <c r="C827">
        <v>49</v>
      </c>
      <c r="D827" t="s">
        <v>18</v>
      </c>
      <c r="E827" t="s">
        <v>16</v>
      </c>
      <c r="F827" s="1">
        <v>43840</v>
      </c>
      <c r="G827">
        <v>11</v>
      </c>
      <c r="H827">
        <v>3</v>
      </c>
      <c r="I827">
        <v>3</v>
      </c>
      <c r="J827">
        <v>0</v>
      </c>
      <c r="K827">
        <v>1</v>
      </c>
      <c r="L827">
        <v>410</v>
      </c>
      <c r="M827">
        <v>30</v>
      </c>
      <c r="N827" s="1">
        <f t="shared" si="96"/>
        <v>44938</v>
      </c>
      <c r="O827" s="1">
        <f t="shared" si="97"/>
        <v>43101</v>
      </c>
      <c r="P827" s="1">
        <f t="shared" si="98"/>
        <v>44105</v>
      </c>
      <c r="Q827" s="8">
        <f t="shared" si="99"/>
        <v>0</v>
      </c>
      <c r="R827" s="8">
        <f t="shared" si="100"/>
        <v>34</v>
      </c>
      <c r="S827" s="8">
        <f t="shared" ca="1" si="101"/>
        <v>34</v>
      </c>
      <c r="T827">
        <f t="shared" ca="1" si="102"/>
        <v>9.1756977430879374</v>
      </c>
      <c r="U827" s="8">
        <f t="shared" ca="1" si="103"/>
        <v>1</v>
      </c>
      <c r="V827" s="8">
        <f ca="1">RawData[[#This Row],[Z (smoothed demand size)]]/RawData[[#This Row],[X (smoothed interval)]]</f>
        <v>9.1756977430879374</v>
      </c>
    </row>
    <row r="828" spans="1:22">
      <c r="A828" t="s">
        <v>29</v>
      </c>
      <c r="B828" t="s">
        <v>14</v>
      </c>
      <c r="C828">
        <v>49</v>
      </c>
      <c r="D828" t="s">
        <v>18</v>
      </c>
      <c r="E828" t="s">
        <v>16</v>
      </c>
      <c r="F828" s="1">
        <v>43841</v>
      </c>
      <c r="G828">
        <v>11</v>
      </c>
      <c r="H828">
        <v>10</v>
      </c>
      <c r="I828">
        <v>10</v>
      </c>
      <c r="J828">
        <v>0</v>
      </c>
      <c r="K828">
        <v>1</v>
      </c>
      <c r="L828">
        <v>405</v>
      </c>
      <c r="M828">
        <v>30</v>
      </c>
      <c r="N828" s="1">
        <f t="shared" si="96"/>
        <v>44938</v>
      </c>
      <c r="O828" s="1">
        <f t="shared" si="97"/>
        <v>43101</v>
      </c>
      <c r="P828" s="1">
        <f t="shared" si="98"/>
        <v>44136</v>
      </c>
      <c r="Q828" s="8">
        <f t="shared" si="99"/>
        <v>0</v>
      </c>
      <c r="R828" s="8">
        <f t="shared" si="100"/>
        <v>35</v>
      </c>
      <c r="S828" s="8">
        <f t="shared" ca="1" si="101"/>
        <v>35</v>
      </c>
      <c r="T828">
        <f t="shared" ca="1" si="102"/>
        <v>9.5405581944703499</v>
      </c>
      <c r="U828" s="8">
        <f t="shared" ca="1" si="103"/>
        <v>1</v>
      </c>
      <c r="V828" s="8">
        <f ca="1">RawData[[#This Row],[Z (smoothed demand size)]]/RawData[[#This Row],[X (smoothed interval)]]</f>
        <v>9.5405581944703499</v>
      </c>
    </row>
    <row r="829" spans="1:22">
      <c r="A829" t="s">
        <v>29</v>
      </c>
      <c r="B829" t="s">
        <v>14</v>
      </c>
      <c r="C829">
        <v>49</v>
      </c>
      <c r="D829" t="s">
        <v>18</v>
      </c>
      <c r="E829" t="s">
        <v>16</v>
      </c>
      <c r="F829" s="1">
        <v>43842</v>
      </c>
      <c r="G829">
        <v>7</v>
      </c>
      <c r="H829">
        <v>7</v>
      </c>
      <c r="I829">
        <v>9</v>
      </c>
      <c r="J829">
        <v>2</v>
      </c>
      <c r="K829">
        <v>0</v>
      </c>
      <c r="L829">
        <v>467</v>
      </c>
      <c r="M829">
        <v>30</v>
      </c>
      <c r="N829" s="1">
        <f t="shared" si="96"/>
        <v>44938</v>
      </c>
      <c r="O829" s="1">
        <f t="shared" si="97"/>
        <v>43101</v>
      </c>
      <c r="P829" s="1">
        <f t="shared" si="98"/>
        <v>44166</v>
      </c>
      <c r="Q829" s="8">
        <f t="shared" si="99"/>
        <v>0</v>
      </c>
      <c r="R829" s="8">
        <f t="shared" si="100"/>
        <v>36</v>
      </c>
      <c r="S829" s="8">
        <f t="shared" ca="1" si="101"/>
        <v>36</v>
      </c>
      <c r="T829">
        <f t="shared" ca="1" si="102"/>
        <v>9.0324465555762803</v>
      </c>
      <c r="U829" s="8">
        <f t="shared" ca="1" si="103"/>
        <v>1</v>
      </c>
      <c r="V829" s="8">
        <f ca="1">RawData[[#This Row],[Z (smoothed demand size)]]/RawData[[#This Row],[X (smoothed interval)]]</f>
        <v>9.0324465555762803</v>
      </c>
    </row>
    <row r="830" spans="1:22">
      <c r="A830" t="s">
        <v>29</v>
      </c>
      <c r="B830" t="s">
        <v>14</v>
      </c>
      <c r="C830">
        <v>49</v>
      </c>
      <c r="D830" t="s">
        <v>18</v>
      </c>
      <c r="E830" t="s">
        <v>16</v>
      </c>
      <c r="F830" s="1">
        <v>44197</v>
      </c>
      <c r="G830">
        <v>7</v>
      </c>
      <c r="H830">
        <v>7</v>
      </c>
      <c r="I830">
        <v>13</v>
      </c>
      <c r="J830">
        <v>6</v>
      </c>
      <c r="K830">
        <v>0</v>
      </c>
      <c r="L830">
        <v>409</v>
      </c>
      <c r="M830">
        <v>15</v>
      </c>
      <c r="N830" s="1">
        <f t="shared" si="96"/>
        <v>44938</v>
      </c>
      <c r="O830" s="1">
        <f t="shared" si="97"/>
        <v>43101</v>
      </c>
      <c r="P830" s="1">
        <f t="shared" si="98"/>
        <v>44197</v>
      </c>
      <c r="Q830" s="8">
        <f t="shared" si="99"/>
        <v>0</v>
      </c>
      <c r="R830" s="8">
        <f t="shared" si="100"/>
        <v>37</v>
      </c>
      <c r="S830" s="8">
        <f t="shared" ca="1" si="101"/>
        <v>37</v>
      </c>
      <c r="T830">
        <f t="shared" ca="1" si="102"/>
        <v>8.6259572444610253</v>
      </c>
      <c r="U830" s="8">
        <f t="shared" ca="1" si="103"/>
        <v>1</v>
      </c>
      <c r="V830" s="8">
        <f ca="1">RawData[[#This Row],[Z (smoothed demand size)]]/RawData[[#This Row],[X (smoothed interval)]]</f>
        <v>8.6259572444610253</v>
      </c>
    </row>
    <row r="831" spans="1:22">
      <c r="A831" t="s">
        <v>29</v>
      </c>
      <c r="B831" t="s">
        <v>14</v>
      </c>
      <c r="C831">
        <v>49</v>
      </c>
      <c r="D831" t="s">
        <v>18</v>
      </c>
      <c r="E831" t="s">
        <v>16</v>
      </c>
      <c r="F831" s="1">
        <v>44198</v>
      </c>
      <c r="G831">
        <v>6</v>
      </c>
      <c r="H831">
        <v>6</v>
      </c>
      <c r="I831">
        <v>14</v>
      </c>
      <c r="J831">
        <v>8</v>
      </c>
      <c r="K831">
        <v>0</v>
      </c>
      <c r="L831">
        <v>411</v>
      </c>
      <c r="M831">
        <v>45</v>
      </c>
      <c r="N831" s="1">
        <f t="shared" si="96"/>
        <v>44938</v>
      </c>
      <c r="O831" s="1">
        <f t="shared" si="97"/>
        <v>43101</v>
      </c>
      <c r="P831" s="1">
        <f t="shared" si="98"/>
        <v>44228</v>
      </c>
      <c r="Q831" s="8">
        <f t="shared" si="99"/>
        <v>0</v>
      </c>
      <c r="R831" s="8">
        <f t="shared" si="100"/>
        <v>38</v>
      </c>
      <c r="S831" s="8">
        <f t="shared" ca="1" si="101"/>
        <v>38</v>
      </c>
      <c r="T831">
        <f t="shared" ca="1" si="102"/>
        <v>8.1007657955688206</v>
      </c>
      <c r="U831" s="8">
        <f t="shared" ca="1" si="103"/>
        <v>1</v>
      </c>
      <c r="V831" s="8">
        <f ca="1">RawData[[#This Row],[Z (smoothed demand size)]]/RawData[[#This Row],[X (smoothed interval)]]</f>
        <v>8.1007657955688206</v>
      </c>
    </row>
    <row r="832" spans="1:22">
      <c r="A832" t="s">
        <v>29</v>
      </c>
      <c r="B832" t="s">
        <v>14</v>
      </c>
      <c r="C832">
        <v>49</v>
      </c>
      <c r="D832" t="s">
        <v>18</v>
      </c>
      <c r="E832" t="s">
        <v>16</v>
      </c>
      <c r="F832" s="1">
        <v>44199</v>
      </c>
      <c r="G832">
        <v>11</v>
      </c>
      <c r="H832">
        <v>8</v>
      </c>
      <c r="I832">
        <v>8</v>
      </c>
      <c r="J832">
        <v>0</v>
      </c>
      <c r="K832">
        <v>1</v>
      </c>
      <c r="L832">
        <v>410</v>
      </c>
      <c r="M832">
        <v>60</v>
      </c>
      <c r="N832" s="1">
        <f t="shared" si="96"/>
        <v>44938</v>
      </c>
      <c r="O832" s="1">
        <f t="shared" si="97"/>
        <v>43101</v>
      </c>
      <c r="P832" s="1">
        <f t="shared" si="98"/>
        <v>44256</v>
      </c>
      <c r="Q832" s="8">
        <f t="shared" si="99"/>
        <v>0</v>
      </c>
      <c r="R832" s="8">
        <f t="shared" si="100"/>
        <v>39</v>
      </c>
      <c r="S832" s="8">
        <f t="shared" ca="1" si="101"/>
        <v>39</v>
      </c>
      <c r="T832">
        <f t="shared" ca="1" si="102"/>
        <v>8.6806126364550558</v>
      </c>
      <c r="U832" s="8">
        <f t="shared" ca="1" si="103"/>
        <v>1</v>
      </c>
      <c r="V832" s="8">
        <f ca="1">RawData[[#This Row],[Z (smoothed demand size)]]/RawData[[#This Row],[X (smoothed interval)]]</f>
        <v>8.6806126364550558</v>
      </c>
    </row>
    <row r="833" spans="1:22">
      <c r="A833" t="s">
        <v>29</v>
      </c>
      <c r="B833" t="s">
        <v>14</v>
      </c>
      <c r="C833">
        <v>49</v>
      </c>
      <c r="D833" t="s">
        <v>18</v>
      </c>
      <c r="E833" t="s">
        <v>16</v>
      </c>
      <c r="F833" s="1">
        <v>44200</v>
      </c>
      <c r="G833">
        <v>6</v>
      </c>
      <c r="H833">
        <v>6</v>
      </c>
      <c r="I833">
        <v>7</v>
      </c>
      <c r="J833">
        <v>1</v>
      </c>
      <c r="K833">
        <v>0</v>
      </c>
      <c r="L833">
        <v>405</v>
      </c>
      <c r="M833">
        <v>60</v>
      </c>
      <c r="N833" s="1">
        <f t="shared" si="96"/>
        <v>44938</v>
      </c>
      <c r="O833" s="1">
        <f t="shared" si="97"/>
        <v>43101</v>
      </c>
      <c r="P833" s="1">
        <f t="shared" si="98"/>
        <v>44287</v>
      </c>
      <c r="Q833" s="8">
        <f t="shared" si="99"/>
        <v>0</v>
      </c>
      <c r="R833" s="8">
        <f t="shared" si="100"/>
        <v>40</v>
      </c>
      <c r="S833" s="8">
        <f t="shared" ca="1" si="101"/>
        <v>40</v>
      </c>
      <c r="T833">
        <f t="shared" ca="1" si="102"/>
        <v>8.144490109164046</v>
      </c>
      <c r="U833" s="8">
        <f t="shared" ca="1" si="103"/>
        <v>1</v>
      </c>
      <c r="V833" s="8">
        <f ca="1">RawData[[#This Row],[Z (smoothed demand size)]]/RawData[[#This Row],[X (smoothed interval)]]</f>
        <v>8.144490109164046</v>
      </c>
    </row>
    <row r="834" spans="1:22">
      <c r="A834" t="s">
        <v>29</v>
      </c>
      <c r="B834" t="s">
        <v>14</v>
      </c>
      <c r="C834">
        <v>49</v>
      </c>
      <c r="D834" t="s">
        <v>18</v>
      </c>
      <c r="E834" t="s">
        <v>16</v>
      </c>
      <c r="F834" s="1">
        <v>44201</v>
      </c>
      <c r="G834">
        <v>4</v>
      </c>
      <c r="H834">
        <v>1</v>
      </c>
      <c r="I834">
        <v>1</v>
      </c>
      <c r="J834">
        <v>0</v>
      </c>
      <c r="K834">
        <v>1</v>
      </c>
      <c r="L834">
        <v>407</v>
      </c>
      <c r="M834">
        <v>45</v>
      </c>
      <c r="N834" s="1">
        <f t="shared" ref="N834:N897" si="104">MAX(F:F)</f>
        <v>44938</v>
      </c>
      <c r="O834" s="1">
        <f t="shared" ref="O834:O897" si="105">MIN(F:F)</f>
        <v>43101</v>
      </c>
      <c r="P834" s="1">
        <f t="shared" ref="P834:P897" si="106">DATE(YEAR(F834), DAY(F834), 1)</f>
        <v>44317</v>
      </c>
      <c r="Q834" s="8">
        <f t="shared" ref="Q834:Q897" si="107" xml:space="preserve"> IF(A834&lt;&gt;A833, 1, 0)</f>
        <v>0</v>
      </c>
      <c r="R834" s="8">
        <f t="shared" ref="R834:R897" si="108">IF(Q834=1,1,R833+1)</f>
        <v>41</v>
      </c>
      <c r="S834" s="8">
        <f t="shared" ref="S834:S897" ca="1" si="109" xml:space="preserve"> IF(Q834=1, IF(G834&gt;0, R834, 0), IF(G834&gt;0, R834, OFFSET(S834,-1,0)))</f>
        <v>41</v>
      </c>
      <c r="T834">
        <f t="shared" ref="T834:T897" ca="1" si="110" xml:space="preserve"> IF(Q834=1, IF(G834&gt;0, G834, 0), IF(G834&gt;0, $X$1*G834+(1-$X$1)*OFFSET(T834,-1,0), OFFSET(T834,-1,0)))</f>
        <v>7.315592087331237</v>
      </c>
      <c r="U834" s="8">
        <f t="shared" ref="U834:U897" ca="1" si="111" xml:space="preserve"> IF(Q834=1, 1, IF(G834&gt;0, $X$1*(R834-OFFSET(S834,-1,0))+(1-$X$1)*OFFSET(U834,-1,0), OFFSET(U834,-1,0)))</f>
        <v>1</v>
      </c>
      <c r="V834" s="8">
        <f ca="1">RawData[[#This Row],[Z (smoothed demand size)]]/RawData[[#This Row],[X (smoothed interval)]]</f>
        <v>7.315592087331237</v>
      </c>
    </row>
    <row r="835" spans="1:22">
      <c r="A835" t="s">
        <v>29</v>
      </c>
      <c r="B835" t="s">
        <v>14</v>
      </c>
      <c r="C835">
        <v>49</v>
      </c>
      <c r="D835" t="s">
        <v>18</v>
      </c>
      <c r="E835" t="s">
        <v>16</v>
      </c>
      <c r="F835" s="1">
        <v>44202</v>
      </c>
      <c r="G835">
        <v>8</v>
      </c>
      <c r="H835">
        <v>8</v>
      </c>
      <c r="I835">
        <v>8</v>
      </c>
      <c r="J835">
        <v>0</v>
      </c>
      <c r="K835">
        <v>0</v>
      </c>
      <c r="L835">
        <v>463</v>
      </c>
      <c r="M835">
        <v>30</v>
      </c>
      <c r="N835" s="1">
        <f t="shared" si="104"/>
        <v>44938</v>
      </c>
      <c r="O835" s="1">
        <f t="shared" si="105"/>
        <v>43101</v>
      </c>
      <c r="P835" s="1">
        <f t="shared" si="106"/>
        <v>44348</v>
      </c>
      <c r="Q835" s="8">
        <f t="shared" si="107"/>
        <v>0</v>
      </c>
      <c r="R835" s="8">
        <f t="shared" si="108"/>
        <v>42</v>
      </c>
      <c r="S835" s="8">
        <f t="shared" ca="1" si="109"/>
        <v>42</v>
      </c>
      <c r="T835">
        <f t="shared" ca="1" si="110"/>
        <v>7.4524736698649896</v>
      </c>
      <c r="U835" s="8">
        <f t="shared" ca="1" si="111"/>
        <v>1</v>
      </c>
      <c r="V835" s="8">
        <f ca="1">RawData[[#This Row],[Z (smoothed demand size)]]/RawData[[#This Row],[X (smoothed interval)]]</f>
        <v>7.4524736698649896</v>
      </c>
    </row>
    <row r="836" spans="1:22">
      <c r="A836" t="s">
        <v>29</v>
      </c>
      <c r="B836" t="s">
        <v>14</v>
      </c>
      <c r="C836">
        <v>49</v>
      </c>
      <c r="D836" t="s">
        <v>18</v>
      </c>
      <c r="E836" t="s">
        <v>16</v>
      </c>
      <c r="F836" s="1">
        <v>44203</v>
      </c>
      <c r="G836">
        <v>14</v>
      </c>
      <c r="H836">
        <v>8</v>
      </c>
      <c r="I836">
        <v>8</v>
      </c>
      <c r="J836">
        <v>0</v>
      </c>
      <c r="K836">
        <v>1</v>
      </c>
      <c r="L836">
        <v>462</v>
      </c>
      <c r="M836">
        <v>15</v>
      </c>
      <c r="N836" s="1">
        <f t="shared" si="104"/>
        <v>44938</v>
      </c>
      <c r="O836" s="1">
        <f t="shared" si="105"/>
        <v>43101</v>
      </c>
      <c r="P836" s="1">
        <f t="shared" si="106"/>
        <v>44378</v>
      </c>
      <c r="Q836" s="8">
        <f t="shared" si="107"/>
        <v>0</v>
      </c>
      <c r="R836" s="8">
        <f t="shared" si="108"/>
        <v>43</v>
      </c>
      <c r="S836" s="8">
        <f t="shared" ca="1" si="109"/>
        <v>43</v>
      </c>
      <c r="T836">
        <f t="shared" ca="1" si="110"/>
        <v>8.7619789358919924</v>
      </c>
      <c r="U836" s="8">
        <f t="shared" ca="1" si="111"/>
        <v>1</v>
      </c>
      <c r="V836" s="8">
        <f ca="1">RawData[[#This Row],[Z (smoothed demand size)]]/RawData[[#This Row],[X (smoothed interval)]]</f>
        <v>8.7619789358919924</v>
      </c>
    </row>
    <row r="837" spans="1:22">
      <c r="A837" t="s">
        <v>29</v>
      </c>
      <c r="B837" t="s">
        <v>14</v>
      </c>
      <c r="C837">
        <v>49</v>
      </c>
      <c r="D837" t="s">
        <v>18</v>
      </c>
      <c r="E837" t="s">
        <v>16</v>
      </c>
      <c r="F837" s="1">
        <v>44204</v>
      </c>
      <c r="G837">
        <v>12</v>
      </c>
      <c r="H837">
        <v>12</v>
      </c>
      <c r="I837">
        <v>12</v>
      </c>
      <c r="J837">
        <v>0</v>
      </c>
      <c r="K837">
        <v>0</v>
      </c>
      <c r="L837">
        <v>469</v>
      </c>
      <c r="M837">
        <v>60</v>
      </c>
      <c r="N837" s="1">
        <f t="shared" si="104"/>
        <v>44938</v>
      </c>
      <c r="O837" s="1">
        <f t="shared" si="105"/>
        <v>43101</v>
      </c>
      <c r="P837" s="1">
        <f t="shared" si="106"/>
        <v>44409</v>
      </c>
      <c r="Q837" s="8">
        <f t="shared" si="107"/>
        <v>0</v>
      </c>
      <c r="R837" s="8">
        <f t="shared" si="108"/>
        <v>44</v>
      </c>
      <c r="S837" s="8">
        <f t="shared" ca="1" si="109"/>
        <v>44</v>
      </c>
      <c r="T837">
        <f t="shared" ca="1" si="110"/>
        <v>9.4095831487135939</v>
      </c>
      <c r="U837" s="8">
        <f t="shared" ca="1" si="111"/>
        <v>1</v>
      </c>
      <c r="V837" s="8">
        <f ca="1">RawData[[#This Row],[Z (smoothed demand size)]]/RawData[[#This Row],[X (smoothed interval)]]</f>
        <v>9.4095831487135939</v>
      </c>
    </row>
    <row r="838" spans="1:22">
      <c r="A838" t="s">
        <v>29</v>
      </c>
      <c r="B838" t="s">
        <v>14</v>
      </c>
      <c r="C838">
        <v>49</v>
      </c>
      <c r="D838" t="s">
        <v>18</v>
      </c>
      <c r="E838" t="s">
        <v>16</v>
      </c>
      <c r="F838" s="1">
        <v>44205</v>
      </c>
      <c r="G838">
        <v>6</v>
      </c>
      <c r="H838">
        <v>0</v>
      </c>
      <c r="I838">
        <v>0</v>
      </c>
      <c r="J838">
        <v>0</v>
      </c>
      <c r="K838">
        <v>1</v>
      </c>
      <c r="L838">
        <v>413</v>
      </c>
      <c r="M838">
        <v>15</v>
      </c>
      <c r="N838" s="1">
        <f t="shared" si="104"/>
        <v>44938</v>
      </c>
      <c r="O838" s="1">
        <f t="shared" si="105"/>
        <v>43101</v>
      </c>
      <c r="P838" s="1">
        <f t="shared" si="106"/>
        <v>44440</v>
      </c>
      <c r="Q838" s="8">
        <f t="shared" si="107"/>
        <v>0</v>
      </c>
      <c r="R838" s="8">
        <f t="shared" si="108"/>
        <v>45</v>
      </c>
      <c r="S838" s="8">
        <f t="shared" ca="1" si="109"/>
        <v>45</v>
      </c>
      <c r="T838">
        <f t="shared" ca="1" si="110"/>
        <v>8.7276665189708744</v>
      </c>
      <c r="U838" s="8">
        <f t="shared" ca="1" si="111"/>
        <v>1</v>
      </c>
      <c r="V838" s="8">
        <f ca="1">RawData[[#This Row],[Z (smoothed demand size)]]/RawData[[#This Row],[X (smoothed interval)]]</f>
        <v>8.7276665189708744</v>
      </c>
    </row>
    <row r="839" spans="1:22">
      <c r="A839" t="s">
        <v>29</v>
      </c>
      <c r="B839" t="s">
        <v>14</v>
      </c>
      <c r="C839">
        <v>49</v>
      </c>
      <c r="D839" t="s">
        <v>18</v>
      </c>
      <c r="E839" t="s">
        <v>16</v>
      </c>
      <c r="F839" s="1">
        <v>44206</v>
      </c>
      <c r="G839">
        <v>4</v>
      </c>
      <c r="H839">
        <v>4</v>
      </c>
      <c r="I839">
        <v>12</v>
      </c>
      <c r="J839">
        <v>8</v>
      </c>
      <c r="K839">
        <v>0</v>
      </c>
      <c r="L839">
        <v>408</v>
      </c>
      <c r="M839">
        <v>60</v>
      </c>
      <c r="N839" s="1">
        <f t="shared" si="104"/>
        <v>44938</v>
      </c>
      <c r="O839" s="1">
        <f t="shared" si="105"/>
        <v>43101</v>
      </c>
      <c r="P839" s="1">
        <f t="shared" si="106"/>
        <v>44470</v>
      </c>
      <c r="Q839" s="8">
        <f t="shared" si="107"/>
        <v>0</v>
      </c>
      <c r="R839" s="8">
        <f t="shared" si="108"/>
        <v>46</v>
      </c>
      <c r="S839" s="8">
        <f t="shared" ca="1" si="109"/>
        <v>46</v>
      </c>
      <c r="T839">
        <f t="shared" ca="1" si="110"/>
        <v>7.7821332151766995</v>
      </c>
      <c r="U839" s="8">
        <f t="shared" ca="1" si="111"/>
        <v>1</v>
      </c>
      <c r="V839" s="8">
        <f ca="1">RawData[[#This Row],[Z (smoothed demand size)]]/RawData[[#This Row],[X (smoothed interval)]]</f>
        <v>7.7821332151766995</v>
      </c>
    </row>
    <row r="840" spans="1:22">
      <c r="A840" t="s">
        <v>29</v>
      </c>
      <c r="B840" t="s">
        <v>14</v>
      </c>
      <c r="C840">
        <v>49</v>
      </c>
      <c r="D840" t="s">
        <v>18</v>
      </c>
      <c r="E840" t="s">
        <v>16</v>
      </c>
      <c r="F840" s="1">
        <v>44207</v>
      </c>
      <c r="G840">
        <v>8</v>
      </c>
      <c r="H840">
        <v>8</v>
      </c>
      <c r="I840">
        <v>8</v>
      </c>
      <c r="J840">
        <v>0</v>
      </c>
      <c r="K840">
        <v>0</v>
      </c>
      <c r="L840">
        <v>415</v>
      </c>
      <c r="M840">
        <v>45</v>
      </c>
      <c r="N840" s="1">
        <f t="shared" si="104"/>
        <v>44938</v>
      </c>
      <c r="O840" s="1">
        <f t="shared" si="105"/>
        <v>43101</v>
      </c>
      <c r="P840" s="1">
        <f t="shared" si="106"/>
        <v>44501</v>
      </c>
      <c r="Q840" s="8">
        <f t="shared" si="107"/>
        <v>0</v>
      </c>
      <c r="R840" s="8">
        <f t="shared" si="108"/>
        <v>47</v>
      </c>
      <c r="S840" s="8">
        <f t="shared" ca="1" si="109"/>
        <v>47</v>
      </c>
      <c r="T840">
        <f t="shared" ca="1" si="110"/>
        <v>7.8257065721413603</v>
      </c>
      <c r="U840" s="8">
        <f t="shared" ca="1" si="111"/>
        <v>1</v>
      </c>
      <c r="V840" s="8">
        <f ca="1">RawData[[#This Row],[Z (smoothed demand size)]]/RawData[[#This Row],[X (smoothed interval)]]</f>
        <v>7.8257065721413603</v>
      </c>
    </row>
    <row r="841" spans="1:22">
      <c r="A841" t="s">
        <v>29</v>
      </c>
      <c r="B841" t="s">
        <v>14</v>
      </c>
      <c r="C841">
        <v>49</v>
      </c>
      <c r="D841" t="s">
        <v>18</v>
      </c>
      <c r="E841" t="s">
        <v>16</v>
      </c>
      <c r="F841" s="1">
        <v>44208</v>
      </c>
      <c r="G841">
        <v>11</v>
      </c>
      <c r="H841">
        <v>10</v>
      </c>
      <c r="I841">
        <v>10</v>
      </c>
      <c r="J841">
        <v>0</v>
      </c>
      <c r="K841">
        <v>1</v>
      </c>
      <c r="L841">
        <v>468</v>
      </c>
      <c r="M841">
        <v>30</v>
      </c>
      <c r="N841" s="1">
        <f t="shared" si="104"/>
        <v>44938</v>
      </c>
      <c r="O841" s="1">
        <f t="shared" si="105"/>
        <v>43101</v>
      </c>
      <c r="P841" s="1">
        <f t="shared" si="106"/>
        <v>44531</v>
      </c>
      <c r="Q841" s="8">
        <f t="shared" si="107"/>
        <v>0</v>
      </c>
      <c r="R841" s="8">
        <f t="shared" si="108"/>
        <v>48</v>
      </c>
      <c r="S841" s="8">
        <f t="shared" ca="1" si="109"/>
        <v>48</v>
      </c>
      <c r="T841">
        <f t="shared" ca="1" si="110"/>
        <v>8.460565257713089</v>
      </c>
      <c r="U841" s="8">
        <f t="shared" ca="1" si="111"/>
        <v>1</v>
      </c>
      <c r="V841" s="8">
        <f ca="1">RawData[[#This Row],[Z (smoothed demand size)]]/RawData[[#This Row],[X (smoothed interval)]]</f>
        <v>8.460565257713089</v>
      </c>
    </row>
    <row r="842" spans="1:22">
      <c r="A842" t="s">
        <v>29</v>
      </c>
      <c r="B842" t="s">
        <v>14</v>
      </c>
      <c r="C842">
        <v>49</v>
      </c>
      <c r="D842" t="s">
        <v>18</v>
      </c>
      <c r="E842" t="s">
        <v>16</v>
      </c>
      <c r="F842" s="1">
        <v>44562</v>
      </c>
      <c r="G842">
        <v>6</v>
      </c>
      <c r="H842">
        <v>6</v>
      </c>
      <c r="I842">
        <v>8</v>
      </c>
      <c r="J842">
        <v>2</v>
      </c>
      <c r="K842">
        <v>0</v>
      </c>
      <c r="L842">
        <v>406</v>
      </c>
      <c r="M842">
        <v>30</v>
      </c>
      <c r="N842" s="1">
        <f t="shared" si="104"/>
        <v>44938</v>
      </c>
      <c r="O842" s="1">
        <f t="shared" si="105"/>
        <v>43101</v>
      </c>
      <c r="P842" s="1">
        <f t="shared" si="106"/>
        <v>44562</v>
      </c>
      <c r="Q842" s="8">
        <f t="shared" si="107"/>
        <v>0</v>
      </c>
      <c r="R842" s="8">
        <f t="shared" si="108"/>
        <v>49</v>
      </c>
      <c r="S842" s="8">
        <f t="shared" ca="1" si="109"/>
        <v>49</v>
      </c>
      <c r="T842">
        <f t="shared" ca="1" si="110"/>
        <v>7.9684522061704719</v>
      </c>
      <c r="U842" s="8">
        <f t="shared" ca="1" si="111"/>
        <v>1</v>
      </c>
      <c r="V842" s="8">
        <f ca="1">RawData[[#This Row],[Z (smoothed demand size)]]/RawData[[#This Row],[X (smoothed interval)]]</f>
        <v>7.9684522061704719</v>
      </c>
    </row>
    <row r="843" spans="1:22">
      <c r="A843" t="s">
        <v>29</v>
      </c>
      <c r="B843" t="s">
        <v>14</v>
      </c>
      <c r="C843">
        <v>49</v>
      </c>
      <c r="D843" t="s">
        <v>18</v>
      </c>
      <c r="E843" t="s">
        <v>16</v>
      </c>
      <c r="F843" s="1">
        <v>44563</v>
      </c>
      <c r="G843">
        <v>6</v>
      </c>
      <c r="H843">
        <v>6</v>
      </c>
      <c r="I843">
        <v>10</v>
      </c>
      <c r="J843">
        <v>4</v>
      </c>
      <c r="K843">
        <v>0</v>
      </c>
      <c r="L843">
        <v>402</v>
      </c>
      <c r="M843">
        <v>60</v>
      </c>
      <c r="N843" s="1">
        <f t="shared" si="104"/>
        <v>44938</v>
      </c>
      <c r="O843" s="1">
        <f t="shared" si="105"/>
        <v>43101</v>
      </c>
      <c r="P843" s="1">
        <f t="shared" si="106"/>
        <v>44593</v>
      </c>
      <c r="Q843" s="8">
        <f t="shared" si="107"/>
        <v>0</v>
      </c>
      <c r="R843" s="8">
        <f t="shared" si="108"/>
        <v>50</v>
      </c>
      <c r="S843" s="8">
        <f t="shared" ca="1" si="109"/>
        <v>50</v>
      </c>
      <c r="T843">
        <f t="shared" ca="1" si="110"/>
        <v>7.5747617649363779</v>
      </c>
      <c r="U843" s="8">
        <f t="shared" ca="1" si="111"/>
        <v>1</v>
      </c>
      <c r="V843" s="8">
        <f ca="1">RawData[[#This Row],[Z (smoothed demand size)]]/RawData[[#This Row],[X (smoothed interval)]]</f>
        <v>7.5747617649363779</v>
      </c>
    </row>
    <row r="844" spans="1:22">
      <c r="A844" t="s">
        <v>29</v>
      </c>
      <c r="B844" t="s">
        <v>14</v>
      </c>
      <c r="C844">
        <v>49</v>
      </c>
      <c r="D844" t="s">
        <v>18</v>
      </c>
      <c r="E844" t="s">
        <v>16</v>
      </c>
      <c r="F844" s="1">
        <v>44564</v>
      </c>
      <c r="G844">
        <v>12</v>
      </c>
      <c r="H844">
        <v>4</v>
      </c>
      <c r="I844">
        <v>4</v>
      </c>
      <c r="J844">
        <v>0</v>
      </c>
      <c r="K844">
        <v>1</v>
      </c>
      <c r="L844">
        <v>405</v>
      </c>
      <c r="M844">
        <v>60</v>
      </c>
      <c r="N844" s="1">
        <f t="shared" si="104"/>
        <v>44938</v>
      </c>
      <c r="O844" s="1">
        <f t="shared" si="105"/>
        <v>43101</v>
      </c>
      <c r="P844" s="1">
        <f t="shared" si="106"/>
        <v>44621</v>
      </c>
      <c r="Q844" s="8">
        <f t="shared" si="107"/>
        <v>0</v>
      </c>
      <c r="R844" s="8">
        <f t="shared" si="108"/>
        <v>51</v>
      </c>
      <c r="S844" s="8">
        <f t="shared" ca="1" si="109"/>
        <v>51</v>
      </c>
      <c r="T844">
        <f t="shared" ca="1" si="110"/>
        <v>8.4598094119491023</v>
      </c>
      <c r="U844" s="8">
        <f t="shared" ca="1" si="111"/>
        <v>1</v>
      </c>
      <c r="V844" s="8">
        <f ca="1">RawData[[#This Row],[Z (smoothed demand size)]]/RawData[[#This Row],[X (smoothed interval)]]</f>
        <v>8.4598094119491023</v>
      </c>
    </row>
    <row r="845" spans="1:22">
      <c r="A845" t="s">
        <v>29</v>
      </c>
      <c r="B845" t="s">
        <v>14</v>
      </c>
      <c r="C845">
        <v>49</v>
      </c>
      <c r="D845" t="s">
        <v>18</v>
      </c>
      <c r="E845" t="s">
        <v>16</v>
      </c>
      <c r="F845" s="1">
        <v>44565</v>
      </c>
      <c r="G845">
        <v>10</v>
      </c>
      <c r="H845">
        <v>10</v>
      </c>
      <c r="I845">
        <v>12</v>
      </c>
      <c r="J845">
        <v>2</v>
      </c>
      <c r="K845">
        <v>0</v>
      </c>
      <c r="L845">
        <v>401</v>
      </c>
      <c r="M845">
        <v>60</v>
      </c>
      <c r="N845" s="1">
        <f t="shared" si="104"/>
        <v>44938</v>
      </c>
      <c r="O845" s="1">
        <f t="shared" si="105"/>
        <v>43101</v>
      </c>
      <c r="P845" s="1">
        <f t="shared" si="106"/>
        <v>44652</v>
      </c>
      <c r="Q845" s="8">
        <f t="shared" si="107"/>
        <v>0</v>
      </c>
      <c r="R845" s="8">
        <f t="shared" si="108"/>
        <v>52</v>
      </c>
      <c r="S845" s="8">
        <f t="shared" ca="1" si="109"/>
        <v>52</v>
      </c>
      <c r="T845">
        <f t="shared" ca="1" si="110"/>
        <v>8.7678475295592833</v>
      </c>
      <c r="U845" s="8">
        <f t="shared" ca="1" si="111"/>
        <v>1</v>
      </c>
      <c r="V845" s="8">
        <f ca="1">RawData[[#This Row],[Z (smoothed demand size)]]/RawData[[#This Row],[X (smoothed interval)]]</f>
        <v>8.7678475295592833</v>
      </c>
    </row>
    <row r="846" spans="1:22">
      <c r="A846" t="s">
        <v>29</v>
      </c>
      <c r="B846" t="s">
        <v>14</v>
      </c>
      <c r="C846">
        <v>49</v>
      </c>
      <c r="D846" t="s">
        <v>18</v>
      </c>
      <c r="E846" t="s">
        <v>16</v>
      </c>
      <c r="F846" s="1">
        <v>44566</v>
      </c>
      <c r="G846">
        <v>12</v>
      </c>
      <c r="H846">
        <v>2</v>
      </c>
      <c r="I846">
        <v>2</v>
      </c>
      <c r="J846">
        <v>0</v>
      </c>
      <c r="K846">
        <v>1</v>
      </c>
      <c r="L846">
        <v>400</v>
      </c>
      <c r="M846">
        <v>45</v>
      </c>
      <c r="N846" s="1">
        <f t="shared" si="104"/>
        <v>44938</v>
      </c>
      <c r="O846" s="1">
        <f t="shared" si="105"/>
        <v>43101</v>
      </c>
      <c r="P846" s="1">
        <f t="shared" si="106"/>
        <v>44682</v>
      </c>
      <c r="Q846" s="8">
        <f t="shared" si="107"/>
        <v>0</v>
      </c>
      <c r="R846" s="8">
        <f t="shared" si="108"/>
        <v>53</v>
      </c>
      <c r="S846" s="8">
        <f t="shared" ca="1" si="109"/>
        <v>53</v>
      </c>
      <c r="T846">
        <f t="shared" ca="1" si="110"/>
        <v>9.4142780236474266</v>
      </c>
      <c r="U846" s="8">
        <f t="shared" ca="1" si="111"/>
        <v>1</v>
      </c>
      <c r="V846" s="8">
        <f ca="1">RawData[[#This Row],[Z (smoothed demand size)]]/RawData[[#This Row],[X (smoothed interval)]]</f>
        <v>9.4142780236474266</v>
      </c>
    </row>
    <row r="847" spans="1:22">
      <c r="A847" t="s">
        <v>29</v>
      </c>
      <c r="B847" t="s">
        <v>14</v>
      </c>
      <c r="C847">
        <v>49</v>
      </c>
      <c r="D847" t="s">
        <v>18</v>
      </c>
      <c r="E847" t="s">
        <v>16</v>
      </c>
      <c r="F847" s="1">
        <v>44567</v>
      </c>
      <c r="G847">
        <v>7</v>
      </c>
      <c r="H847">
        <v>7</v>
      </c>
      <c r="I847">
        <v>7</v>
      </c>
      <c r="J847">
        <v>0</v>
      </c>
      <c r="K847">
        <v>0</v>
      </c>
      <c r="L847">
        <v>462</v>
      </c>
      <c r="M847">
        <v>60</v>
      </c>
      <c r="N847" s="1">
        <f t="shared" si="104"/>
        <v>44938</v>
      </c>
      <c r="O847" s="1">
        <f t="shared" si="105"/>
        <v>43101</v>
      </c>
      <c r="P847" s="1">
        <f t="shared" si="106"/>
        <v>44713</v>
      </c>
      <c r="Q847" s="8">
        <f t="shared" si="107"/>
        <v>0</v>
      </c>
      <c r="R847" s="8">
        <f t="shared" si="108"/>
        <v>54</v>
      </c>
      <c r="S847" s="8">
        <f t="shared" ca="1" si="109"/>
        <v>54</v>
      </c>
      <c r="T847">
        <f t="shared" ca="1" si="110"/>
        <v>8.9314224189179416</v>
      </c>
      <c r="U847" s="8">
        <f t="shared" ca="1" si="111"/>
        <v>1</v>
      </c>
      <c r="V847" s="8">
        <f ca="1">RawData[[#This Row],[Z (smoothed demand size)]]/RawData[[#This Row],[X (smoothed interval)]]</f>
        <v>8.9314224189179416</v>
      </c>
    </row>
    <row r="848" spans="1:22">
      <c r="A848" t="s">
        <v>29</v>
      </c>
      <c r="B848" t="s">
        <v>14</v>
      </c>
      <c r="C848">
        <v>49</v>
      </c>
      <c r="D848" t="s">
        <v>18</v>
      </c>
      <c r="E848" t="s">
        <v>16</v>
      </c>
      <c r="F848" s="1">
        <v>44568</v>
      </c>
      <c r="G848">
        <v>7</v>
      </c>
      <c r="H848">
        <v>0</v>
      </c>
      <c r="I848">
        <v>0</v>
      </c>
      <c r="J848">
        <v>0</v>
      </c>
      <c r="K848">
        <v>1</v>
      </c>
      <c r="L848">
        <v>467</v>
      </c>
      <c r="M848">
        <v>45</v>
      </c>
      <c r="N848" s="1">
        <f t="shared" si="104"/>
        <v>44938</v>
      </c>
      <c r="O848" s="1">
        <f t="shared" si="105"/>
        <v>43101</v>
      </c>
      <c r="P848" s="1">
        <f t="shared" si="106"/>
        <v>44743</v>
      </c>
      <c r="Q848" s="8">
        <f t="shared" si="107"/>
        <v>0</v>
      </c>
      <c r="R848" s="8">
        <f t="shared" si="108"/>
        <v>55</v>
      </c>
      <c r="S848" s="8">
        <f t="shared" ca="1" si="109"/>
        <v>55</v>
      </c>
      <c r="T848">
        <f t="shared" ca="1" si="110"/>
        <v>8.5451379351343544</v>
      </c>
      <c r="U848" s="8">
        <f t="shared" ca="1" si="111"/>
        <v>1</v>
      </c>
      <c r="V848" s="8">
        <f ca="1">RawData[[#This Row],[Z (smoothed demand size)]]/RawData[[#This Row],[X (smoothed interval)]]</f>
        <v>8.5451379351343544</v>
      </c>
    </row>
    <row r="849" spans="1:22">
      <c r="A849" t="s">
        <v>29</v>
      </c>
      <c r="B849" t="s">
        <v>14</v>
      </c>
      <c r="C849">
        <v>49</v>
      </c>
      <c r="D849" t="s">
        <v>18</v>
      </c>
      <c r="E849" t="s">
        <v>16</v>
      </c>
      <c r="F849" s="1">
        <v>44569</v>
      </c>
      <c r="G849">
        <v>9</v>
      </c>
      <c r="H849">
        <v>9</v>
      </c>
      <c r="I849">
        <v>10</v>
      </c>
      <c r="J849">
        <v>1</v>
      </c>
      <c r="K849">
        <v>0</v>
      </c>
      <c r="L849">
        <v>464</v>
      </c>
      <c r="M849">
        <v>30</v>
      </c>
      <c r="N849" s="1">
        <f t="shared" si="104"/>
        <v>44938</v>
      </c>
      <c r="O849" s="1">
        <f t="shared" si="105"/>
        <v>43101</v>
      </c>
      <c r="P849" s="1">
        <f t="shared" si="106"/>
        <v>44774</v>
      </c>
      <c r="Q849" s="8">
        <f t="shared" si="107"/>
        <v>0</v>
      </c>
      <c r="R849" s="8">
        <f t="shared" si="108"/>
        <v>56</v>
      </c>
      <c r="S849" s="8">
        <f t="shared" ca="1" si="109"/>
        <v>56</v>
      </c>
      <c r="T849">
        <f t="shared" ca="1" si="110"/>
        <v>8.6361103481074846</v>
      </c>
      <c r="U849" s="8">
        <f t="shared" ca="1" si="111"/>
        <v>1</v>
      </c>
      <c r="V849" s="8">
        <f ca="1">RawData[[#This Row],[Z (smoothed demand size)]]/RawData[[#This Row],[X (smoothed interval)]]</f>
        <v>8.6361103481074846</v>
      </c>
    </row>
    <row r="850" spans="1:22">
      <c r="A850" t="s">
        <v>29</v>
      </c>
      <c r="B850" t="s">
        <v>14</v>
      </c>
      <c r="C850">
        <v>49</v>
      </c>
      <c r="D850" t="s">
        <v>18</v>
      </c>
      <c r="E850" t="s">
        <v>16</v>
      </c>
      <c r="F850" s="1">
        <v>44570</v>
      </c>
      <c r="G850">
        <v>8</v>
      </c>
      <c r="H850">
        <v>8</v>
      </c>
      <c r="I850">
        <v>12</v>
      </c>
      <c r="J850">
        <v>4</v>
      </c>
      <c r="K850">
        <v>0</v>
      </c>
      <c r="L850">
        <v>404</v>
      </c>
      <c r="M850">
        <v>45</v>
      </c>
      <c r="N850" s="1">
        <f t="shared" si="104"/>
        <v>44938</v>
      </c>
      <c r="O850" s="1">
        <f t="shared" si="105"/>
        <v>43101</v>
      </c>
      <c r="P850" s="1">
        <f t="shared" si="106"/>
        <v>44805</v>
      </c>
      <c r="Q850" s="8">
        <f t="shared" si="107"/>
        <v>0</v>
      </c>
      <c r="R850" s="8">
        <f t="shared" si="108"/>
        <v>57</v>
      </c>
      <c r="S850" s="8">
        <f t="shared" ca="1" si="109"/>
        <v>57</v>
      </c>
      <c r="T850">
        <f t="shared" ca="1" si="110"/>
        <v>8.5088882784859887</v>
      </c>
      <c r="U850" s="8">
        <f t="shared" ca="1" si="111"/>
        <v>1</v>
      </c>
      <c r="V850" s="8">
        <f ca="1">RawData[[#This Row],[Z (smoothed demand size)]]/RawData[[#This Row],[X (smoothed interval)]]</f>
        <v>8.5088882784859887</v>
      </c>
    </row>
    <row r="851" spans="1:22">
      <c r="A851" t="s">
        <v>29</v>
      </c>
      <c r="B851" t="s">
        <v>14</v>
      </c>
      <c r="C851">
        <v>49</v>
      </c>
      <c r="D851" t="s">
        <v>18</v>
      </c>
      <c r="E851" t="s">
        <v>16</v>
      </c>
      <c r="F851" s="1">
        <v>44571</v>
      </c>
      <c r="G851">
        <v>7</v>
      </c>
      <c r="H851">
        <v>4</v>
      </c>
      <c r="I851">
        <v>4</v>
      </c>
      <c r="J851">
        <v>0</v>
      </c>
      <c r="K851">
        <v>1</v>
      </c>
      <c r="L851">
        <v>408</v>
      </c>
      <c r="M851">
        <v>15</v>
      </c>
      <c r="N851" s="1">
        <f t="shared" si="104"/>
        <v>44938</v>
      </c>
      <c r="O851" s="1">
        <f t="shared" si="105"/>
        <v>43101</v>
      </c>
      <c r="P851" s="1">
        <f t="shared" si="106"/>
        <v>44835</v>
      </c>
      <c r="Q851" s="8">
        <f t="shared" si="107"/>
        <v>0</v>
      </c>
      <c r="R851" s="8">
        <f t="shared" si="108"/>
        <v>58</v>
      </c>
      <c r="S851" s="8">
        <f t="shared" ca="1" si="109"/>
        <v>58</v>
      </c>
      <c r="T851">
        <f t="shared" ca="1" si="110"/>
        <v>8.2071106227887913</v>
      </c>
      <c r="U851" s="8">
        <f t="shared" ca="1" si="111"/>
        <v>1</v>
      </c>
      <c r="V851" s="8">
        <f ca="1">RawData[[#This Row],[Z (smoothed demand size)]]/RawData[[#This Row],[X (smoothed interval)]]</f>
        <v>8.2071106227887913</v>
      </c>
    </row>
    <row r="852" spans="1:22">
      <c r="A852" t="s">
        <v>29</v>
      </c>
      <c r="B852" t="s">
        <v>14</v>
      </c>
      <c r="C852">
        <v>49</v>
      </c>
      <c r="D852" t="s">
        <v>18</v>
      </c>
      <c r="E852" t="s">
        <v>16</v>
      </c>
      <c r="F852" s="1">
        <v>44572</v>
      </c>
      <c r="G852">
        <v>6</v>
      </c>
      <c r="H852">
        <v>6</v>
      </c>
      <c r="I852">
        <v>10</v>
      </c>
      <c r="J852">
        <v>4</v>
      </c>
      <c r="K852">
        <v>0</v>
      </c>
      <c r="L852">
        <v>400</v>
      </c>
      <c r="M852">
        <v>60</v>
      </c>
      <c r="N852" s="1">
        <f t="shared" si="104"/>
        <v>44938</v>
      </c>
      <c r="O852" s="1">
        <f t="shared" si="105"/>
        <v>43101</v>
      </c>
      <c r="P852" s="1">
        <f t="shared" si="106"/>
        <v>44866</v>
      </c>
      <c r="Q852" s="8">
        <f t="shared" si="107"/>
        <v>0</v>
      </c>
      <c r="R852" s="8">
        <f t="shared" si="108"/>
        <v>59</v>
      </c>
      <c r="S852" s="8">
        <f t="shared" ca="1" si="109"/>
        <v>59</v>
      </c>
      <c r="T852">
        <f t="shared" ca="1" si="110"/>
        <v>7.7656884982310332</v>
      </c>
      <c r="U852" s="8">
        <f t="shared" ca="1" si="111"/>
        <v>1</v>
      </c>
      <c r="V852" s="8">
        <f ca="1">RawData[[#This Row],[Z (smoothed demand size)]]/RawData[[#This Row],[X (smoothed interval)]]</f>
        <v>7.7656884982310332</v>
      </c>
    </row>
    <row r="853" spans="1:22">
      <c r="A853" t="s">
        <v>29</v>
      </c>
      <c r="B853" t="s">
        <v>14</v>
      </c>
      <c r="C853">
        <v>49</v>
      </c>
      <c r="D853" t="s">
        <v>18</v>
      </c>
      <c r="E853" t="s">
        <v>16</v>
      </c>
      <c r="F853" s="1">
        <v>44573</v>
      </c>
      <c r="G853">
        <v>8</v>
      </c>
      <c r="H853">
        <v>4</v>
      </c>
      <c r="I853">
        <v>4</v>
      </c>
      <c r="J853">
        <v>0</v>
      </c>
      <c r="K853">
        <v>1</v>
      </c>
      <c r="L853">
        <v>467</v>
      </c>
      <c r="M853">
        <v>60</v>
      </c>
      <c r="N853" s="1">
        <f t="shared" si="104"/>
        <v>44938</v>
      </c>
      <c r="O853" s="1">
        <f t="shared" si="105"/>
        <v>43101</v>
      </c>
      <c r="P853" s="1">
        <f t="shared" si="106"/>
        <v>44896</v>
      </c>
      <c r="Q853" s="8">
        <f t="shared" si="107"/>
        <v>0</v>
      </c>
      <c r="R853" s="8">
        <f t="shared" si="108"/>
        <v>60</v>
      </c>
      <c r="S853" s="8">
        <f t="shared" ca="1" si="109"/>
        <v>60</v>
      </c>
      <c r="T853">
        <f t="shared" ca="1" si="110"/>
        <v>7.8125507985848266</v>
      </c>
      <c r="U853" s="8">
        <f t="shared" ca="1" si="111"/>
        <v>1</v>
      </c>
      <c r="V853" s="8">
        <f ca="1">RawData[[#This Row],[Z (smoothed demand size)]]/RawData[[#This Row],[X (smoothed interval)]]</f>
        <v>7.8125507985848266</v>
      </c>
    </row>
    <row r="854" spans="1:22">
      <c r="A854" t="s">
        <v>29</v>
      </c>
      <c r="B854" t="s">
        <v>14</v>
      </c>
      <c r="C854">
        <v>49</v>
      </c>
      <c r="D854" t="s">
        <v>18</v>
      </c>
      <c r="E854" t="s">
        <v>16</v>
      </c>
      <c r="F854" s="1">
        <v>44927</v>
      </c>
      <c r="G854">
        <v>4</v>
      </c>
      <c r="H854">
        <v>4</v>
      </c>
      <c r="I854">
        <v>10</v>
      </c>
      <c r="J854">
        <v>6</v>
      </c>
      <c r="K854">
        <v>0</v>
      </c>
      <c r="L854">
        <v>408</v>
      </c>
      <c r="M854">
        <v>45</v>
      </c>
      <c r="N854" s="1">
        <f t="shared" si="104"/>
        <v>44938</v>
      </c>
      <c r="O854" s="1">
        <f t="shared" si="105"/>
        <v>43101</v>
      </c>
      <c r="P854" s="1">
        <f t="shared" si="106"/>
        <v>44927</v>
      </c>
      <c r="Q854" s="8">
        <f t="shared" si="107"/>
        <v>0</v>
      </c>
      <c r="R854" s="8">
        <f t="shared" si="108"/>
        <v>61</v>
      </c>
      <c r="S854" s="8">
        <f t="shared" ca="1" si="109"/>
        <v>61</v>
      </c>
      <c r="T854">
        <f t="shared" ca="1" si="110"/>
        <v>7.0500406388678618</v>
      </c>
      <c r="U854" s="8">
        <f t="shared" ca="1" si="111"/>
        <v>1</v>
      </c>
      <c r="V854" s="8">
        <f ca="1">RawData[[#This Row],[Z (smoothed demand size)]]/RawData[[#This Row],[X (smoothed interval)]]</f>
        <v>7.0500406388678618</v>
      </c>
    </row>
    <row r="855" spans="1:22">
      <c r="A855" t="s">
        <v>29</v>
      </c>
      <c r="B855" t="s">
        <v>14</v>
      </c>
      <c r="C855">
        <v>49</v>
      </c>
      <c r="D855" t="s">
        <v>18</v>
      </c>
      <c r="E855" t="s">
        <v>16</v>
      </c>
      <c r="F855" s="1">
        <v>44928</v>
      </c>
      <c r="G855">
        <v>8</v>
      </c>
      <c r="H855">
        <v>6</v>
      </c>
      <c r="I855">
        <v>6</v>
      </c>
      <c r="J855">
        <v>0</v>
      </c>
      <c r="K855">
        <v>1</v>
      </c>
      <c r="L855">
        <v>409</v>
      </c>
      <c r="M855">
        <v>60</v>
      </c>
      <c r="N855" s="1">
        <f t="shared" si="104"/>
        <v>44938</v>
      </c>
      <c r="O855" s="1">
        <f t="shared" si="105"/>
        <v>43101</v>
      </c>
      <c r="P855" s="1">
        <f t="shared" si="106"/>
        <v>44958</v>
      </c>
      <c r="Q855" s="8">
        <f t="shared" si="107"/>
        <v>0</v>
      </c>
      <c r="R855" s="8">
        <f t="shared" si="108"/>
        <v>62</v>
      </c>
      <c r="S855" s="8">
        <f t="shared" ca="1" si="109"/>
        <v>62</v>
      </c>
      <c r="T855">
        <f t="shared" ca="1" si="110"/>
        <v>7.2400325110942898</v>
      </c>
      <c r="U855" s="8">
        <f t="shared" ca="1" si="111"/>
        <v>1</v>
      </c>
      <c r="V855" s="8">
        <f ca="1">RawData[[#This Row],[Z (smoothed demand size)]]/RawData[[#This Row],[X (smoothed interval)]]</f>
        <v>7.2400325110942898</v>
      </c>
    </row>
    <row r="856" spans="1:22">
      <c r="A856" t="s">
        <v>29</v>
      </c>
      <c r="B856" t="s">
        <v>14</v>
      </c>
      <c r="C856">
        <v>49</v>
      </c>
      <c r="D856" t="s">
        <v>18</v>
      </c>
      <c r="E856" t="s">
        <v>16</v>
      </c>
      <c r="F856" s="1">
        <v>44929</v>
      </c>
      <c r="G856">
        <v>9</v>
      </c>
      <c r="H856">
        <v>9</v>
      </c>
      <c r="I856">
        <v>10</v>
      </c>
      <c r="J856">
        <v>1</v>
      </c>
      <c r="K856">
        <v>0</v>
      </c>
      <c r="L856">
        <v>407</v>
      </c>
      <c r="M856">
        <v>15</v>
      </c>
      <c r="N856" s="1">
        <f t="shared" si="104"/>
        <v>44938</v>
      </c>
      <c r="O856" s="1">
        <f t="shared" si="105"/>
        <v>43101</v>
      </c>
      <c r="P856" s="1">
        <f t="shared" si="106"/>
        <v>44986</v>
      </c>
      <c r="Q856" s="8">
        <f t="shared" si="107"/>
        <v>0</v>
      </c>
      <c r="R856" s="8">
        <f t="shared" si="108"/>
        <v>63</v>
      </c>
      <c r="S856" s="8">
        <f t="shared" ca="1" si="109"/>
        <v>63</v>
      </c>
      <c r="T856">
        <f t="shared" ca="1" si="110"/>
        <v>7.5920260088754317</v>
      </c>
      <c r="U856" s="8">
        <f t="shared" ca="1" si="111"/>
        <v>1</v>
      </c>
      <c r="V856" s="8">
        <f ca="1">RawData[[#This Row],[Z (smoothed demand size)]]/RawData[[#This Row],[X (smoothed interval)]]</f>
        <v>7.5920260088754317</v>
      </c>
    </row>
    <row r="857" spans="1:22">
      <c r="A857" t="s">
        <v>29</v>
      </c>
      <c r="B857" t="s">
        <v>14</v>
      </c>
      <c r="C857">
        <v>49</v>
      </c>
      <c r="D857" t="s">
        <v>18</v>
      </c>
      <c r="E857" t="s">
        <v>16</v>
      </c>
      <c r="F857" s="1">
        <v>44930</v>
      </c>
      <c r="G857">
        <v>6</v>
      </c>
      <c r="H857">
        <v>6</v>
      </c>
      <c r="I857">
        <v>10</v>
      </c>
      <c r="J857">
        <v>4</v>
      </c>
      <c r="K857">
        <v>0</v>
      </c>
      <c r="L857">
        <v>405</v>
      </c>
      <c r="M857">
        <v>15</v>
      </c>
      <c r="N857" s="1">
        <f t="shared" si="104"/>
        <v>44938</v>
      </c>
      <c r="O857" s="1">
        <f t="shared" si="105"/>
        <v>43101</v>
      </c>
      <c r="P857" s="1">
        <f t="shared" si="106"/>
        <v>45017</v>
      </c>
      <c r="Q857" s="8">
        <f t="shared" si="107"/>
        <v>0</v>
      </c>
      <c r="R857" s="8">
        <f t="shared" si="108"/>
        <v>64</v>
      </c>
      <c r="S857" s="8">
        <f t="shared" ca="1" si="109"/>
        <v>64</v>
      </c>
      <c r="T857">
        <f t="shared" ca="1" si="110"/>
        <v>7.2736208071003459</v>
      </c>
      <c r="U857" s="8">
        <f t="shared" ca="1" si="111"/>
        <v>1</v>
      </c>
      <c r="V857" s="8">
        <f ca="1">RawData[[#This Row],[Z (smoothed demand size)]]/RawData[[#This Row],[X (smoothed interval)]]</f>
        <v>7.2736208071003459</v>
      </c>
    </row>
    <row r="858" spans="1:22">
      <c r="A858" t="s">
        <v>29</v>
      </c>
      <c r="B858" t="s">
        <v>14</v>
      </c>
      <c r="C858">
        <v>49</v>
      </c>
      <c r="D858" t="s">
        <v>18</v>
      </c>
      <c r="E858" t="s">
        <v>16</v>
      </c>
      <c r="F858" s="1">
        <v>44931</v>
      </c>
      <c r="G858">
        <v>9</v>
      </c>
      <c r="H858">
        <v>9</v>
      </c>
      <c r="I858">
        <v>15</v>
      </c>
      <c r="J858">
        <v>6</v>
      </c>
      <c r="K858">
        <v>0</v>
      </c>
      <c r="L858">
        <v>402</v>
      </c>
      <c r="M858">
        <v>30</v>
      </c>
      <c r="N858" s="1">
        <f t="shared" si="104"/>
        <v>44938</v>
      </c>
      <c r="O858" s="1">
        <f t="shared" si="105"/>
        <v>43101</v>
      </c>
      <c r="P858" s="1">
        <f t="shared" si="106"/>
        <v>45047</v>
      </c>
      <c r="Q858" s="8">
        <f t="shared" si="107"/>
        <v>0</v>
      </c>
      <c r="R858" s="8">
        <f t="shared" si="108"/>
        <v>65</v>
      </c>
      <c r="S858" s="8">
        <f t="shared" ca="1" si="109"/>
        <v>65</v>
      </c>
      <c r="T858">
        <f t="shared" ca="1" si="110"/>
        <v>7.6188966456802767</v>
      </c>
      <c r="U858" s="8">
        <f t="shared" ca="1" si="111"/>
        <v>1</v>
      </c>
      <c r="V858" s="8">
        <f ca="1">RawData[[#This Row],[Z (smoothed demand size)]]/RawData[[#This Row],[X (smoothed interval)]]</f>
        <v>7.6188966456802767</v>
      </c>
    </row>
    <row r="859" spans="1:22">
      <c r="A859" t="s">
        <v>29</v>
      </c>
      <c r="B859" t="s">
        <v>14</v>
      </c>
      <c r="C859">
        <v>49</v>
      </c>
      <c r="D859" t="s">
        <v>18</v>
      </c>
      <c r="E859" t="s">
        <v>16</v>
      </c>
      <c r="F859" s="1">
        <v>44932</v>
      </c>
      <c r="G859">
        <v>10</v>
      </c>
      <c r="H859">
        <v>10</v>
      </c>
      <c r="I859">
        <v>13</v>
      </c>
      <c r="J859">
        <v>3</v>
      </c>
      <c r="K859">
        <v>0</v>
      </c>
      <c r="L859">
        <v>465</v>
      </c>
      <c r="M859">
        <v>60</v>
      </c>
      <c r="N859" s="1">
        <f t="shared" si="104"/>
        <v>44938</v>
      </c>
      <c r="O859" s="1">
        <f t="shared" si="105"/>
        <v>43101</v>
      </c>
      <c r="P859" s="1">
        <f t="shared" si="106"/>
        <v>45078</v>
      </c>
      <c r="Q859" s="8">
        <f t="shared" si="107"/>
        <v>0</v>
      </c>
      <c r="R859" s="8">
        <f t="shared" si="108"/>
        <v>66</v>
      </c>
      <c r="S859" s="8">
        <f t="shared" ca="1" si="109"/>
        <v>66</v>
      </c>
      <c r="T859">
        <f t="shared" ca="1" si="110"/>
        <v>8.0951173165442221</v>
      </c>
      <c r="U859" s="8">
        <f t="shared" ca="1" si="111"/>
        <v>1</v>
      </c>
      <c r="V859" s="8">
        <f ca="1">RawData[[#This Row],[Z (smoothed demand size)]]/RawData[[#This Row],[X (smoothed interval)]]</f>
        <v>8.0951173165442221</v>
      </c>
    </row>
    <row r="860" spans="1:22">
      <c r="A860" t="s">
        <v>29</v>
      </c>
      <c r="B860" t="s">
        <v>14</v>
      </c>
      <c r="C860">
        <v>49</v>
      </c>
      <c r="D860" t="s">
        <v>18</v>
      </c>
      <c r="E860" t="s">
        <v>16</v>
      </c>
      <c r="F860" s="1">
        <v>44933</v>
      </c>
      <c r="G860">
        <v>12</v>
      </c>
      <c r="H860">
        <v>3</v>
      </c>
      <c r="I860">
        <v>3</v>
      </c>
      <c r="J860">
        <v>0</v>
      </c>
      <c r="K860">
        <v>1</v>
      </c>
      <c r="L860">
        <v>473</v>
      </c>
      <c r="M860">
        <v>15</v>
      </c>
      <c r="N860" s="1">
        <f t="shared" si="104"/>
        <v>44938</v>
      </c>
      <c r="O860" s="1">
        <f t="shared" si="105"/>
        <v>43101</v>
      </c>
      <c r="P860" s="1">
        <f t="shared" si="106"/>
        <v>45108</v>
      </c>
      <c r="Q860" s="8">
        <f t="shared" si="107"/>
        <v>0</v>
      </c>
      <c r="R860" s="8">
        <f t="shared" si="108"/>
        <v>67</v>
      </c>
      <c r="S860" s="8">
        <f t="shared" ca="1" si="109"/>
        <v>67</v>
      </c>
      <c r="T860">
        <f t="shared" ca="1" si="110"/>
        <v>8.8760938532353784</v>
      </c>
      <c r="U860" s="8">
        <f t="shared" ca="1" si="111"/>
        <v>1</v>
      </c>
      <c r="V860" s="8">
        <f ca="1">RawData[[#This Row],[Z (smoothed demand size)]]/RawData[[#This Row],[X (smoothed interval)]]</f>
        <v>8.8760938532353784</v>
      </c>
    </row>
    <row r="861" spans="1:22">
      <c r="A861" t="s">
        <v>29</v>
      </c>
      <c r="B861" t="s">
        <v>14</v>
      </c>
      <c r="C861">
        <v>49</v>
      </c>
      <c r="D861" t="s">
        <v>18</v>
      </c>
      <c r="E861" t="s">
        <v>16</v>
      </c>
      <c r="F861" s="1">
        <v>44934</v>
      </c>
      <c r="G861">
        <v>9</v>
      </c>
      <c r="H861">
        <v>8</v>
      </c>
      <c r="I861">
        <v>8</v>
      </c>
      <c r="J861">
        <v>0</v>
      </c>
      <c r="K861">
        <v>1</v>
      </c>
      <c r="L861">
        <v>467</v>
      </c>
      <c r="M861">
        <v>15</v>
      </c>
      <c r="N861" s="1">
        <f t="shared" si="104"/>
        <v>44938</v>
      </c>
      <c r="O861" s="1">
        <f t="shared" si="105"/>
        <v>43101</v>
      </c>
      <c r="P861" s="1">
        <f t="shared" si="106"/>
        <v>45139</v>
      </c>
      <c r="Q861" s="8">
        <f t="shared" si="107"/>
        <v>0</v>
      </c>
      <c r="R861" s="8">
        <f t="shared" si="108"/>
        <v>68</v>
      </c>
      <c r="S861" s="8">
        <f t="shared" ca="1" si="109"/>
        <v>68</v>
      </c>
      <c r="T861">
        <f t="shared" ca="1" si="110"/>
        <v>8.9008750825883034</v>
      </c>
      <c r="U861" s="8">
        <f t="shared" ca="1" si="111"/>
        <v>1</v>
      </c>
      <c r="V861" s="8">
        <f ca="1">RawData[[#This Row],[Z (smoothed demand size)]]/RawData[[#This Row],[X (smoothed interval)]]</f>
        <v>8.9008750825883034</v>
      </c>
    </row>
    <row r="862" spans="1:22">
      <c r="A862" t="s">
        <v>29</v>
      </c>
      <c r="B862" t="s">
        <v>14</v>
      </c>
      <c r="C862">
        <v>49</v>
      </c>
      <c r="D862" t="s">
        <v>18</v>
      </c>
      <c r="E862" t="s">
        <v>16</v>
      </c>
      <c r="F862" s="1">
        <v>44935</v>
      </c>
      <c r="G862">
        <v>8</v>
      </c>
      <c r="H862">
        <v>8</v>
      </c>
      <c r="I862">
        <v>10</v>
      </c>
      <c r="J862">
        <v>2</v>
      </c>
      <c r="K862">
        <v>0</v>
      </c>
      <c r="L862">
        <v>404</v>
      </c>
      <c r="M862">
        <v>30</v>
      </c>
      <c r="N862" s="1">
        <f t="shared" si="104"/>
        <v>44938</v>
      </c>
      <c r="O862" s="1">
        <f t="shared" si="105"/>
        <v>43101</v>
      </c>
      <c r="P862" s="1">
        <f t="shared" si="106"/>
        <v>45170</v>
      </c>
      <c r="Q862" s="8">
        <f t="shared" si="107"/>
        <v>0</v>
      </c>
      <c r="R862" s="8">
        <f t="shared" si="108"/>
        <v>69</v>
      </c>
      <c r="S862" s="8">
        <f t="shared" ca="1" si="109"/>
        <v>69</v>
      </c>
      <c r="T862">
        <f t="shared" ca="1" si="110"/>
        <v>8.7207000660706431</v>
      </c>
      <c r="U862" s="8">
        <f t="shared" ca="1" si="111"/>
        <v>1</v>
      </c>
      <c r="V862" s="8">
        <f ca="1">RawData[[#This Row],[Z (smoothed demand size)]]/RawData[[#This Row],[X (smoothed interval)]]</f>
        <v>8.7207000660706431</v>
      </c>
    </row>
    <row r="863" spans="1:22">
      <c r="A863" t="s">
        <v>29</v>
      </c>
      <c r="B863" t="s">
        <v>14</v>
      </c>
      <c r="C863">
        <v>49</v>
      </c>
      <c r="D863" t="s">
        <v>18</v>
      </c>
      <c r="E863" t="s">
        <v>16</v>
      </c>
      <c r="F863" s="1">
        <v>44936</v>
      </c>
      <c r="G863">
        <v>3</v>
      </c>
      <c r="H863">
        <v>3</v>
      </c>
      <c r="I863">
        <v>12</v>
      </c>
      <c r="J863">
        <v>9</v>
      </c>
      <c r="K863">
        <v>0</v>
      </c>
      <c r="L863">
        <v>407</v>
      </c>
      <c r="M863">
        <v>30</v>
      </c>
      <c r="N863" s="1">
        <f t="shared" si="104"/>
        <v>44938</v>
      </c>
      <c r="O863" s="1">
        <f t="shared" si="105"/>
        <v>43101</v>
      </c>
      <c r="P863" s="1">
        <f t="shared" si="106"/>
        <v>45200</v>
      </c>
      <c r="Q863" s="8">
        <f t="shared" si="107"/>
        <v>0</v>
      </c>
      <c r="R863" s="8">
        <f t="shared" si="108"/>
        <v>70</v>
      </c>
      <c r="S863" s="8">
        <f t="shared" ca="1" si="109"/>
        <v>70</v>
      </c>
      <c r="T863">
        <f t="shared" ca="1" si="110"/>
        <v>7.5765600528565145</v>
      </c>
      <c r="U863" s="8">
        <f t="shared" ca="1" si="111"/>
        <v>1</v>
      </c>
      <c r="V863" s="8">
        <f ca="1">RawData[[#This Row],[Z (smoothed demand size)]]/RawData[[#This Row],[X (smoothed interval)]]</f>
        <v>7.5765600528565145</v>
      </c>
    </row>
    <row r="864" spans="1:22">
      <c r="A864" t="s">
        <v>29</v>
      </c>
      <c r="B864" t="s">
        <v>14</v>
      </c>
      <c r="C864">
        <v>49</v>
      </c>
      <c r="D864" t="s">
        <v>18</v>
      </c>
      <c r="E864" t="s">
        <v>16</v>
      </c>
      <c r="F864" s="1">
        <v>44937</v>
      </c>
      <c r="G864">
        <v>12</v>
      </c>
      <c r="H864">
        <v>9</v>
      </c>
      <c r="I864">
        <v>9</v>
      </c>
      <c r="J864">
        <v>0</v>
      </c>
      <c r="K864">
        <v>1</v>
      </c>
      <c r="L864">
        <v>405</v>
      </c>
      <c r="M864">
        <v>60</v>
      </c>
      <c r="N864" s="1">
        <f t="shared" si="104"/>
        <v>44938</v>
      </c>
      <c r="O864" s="1">
        <f t="shared" si="105"/>
        <v>43101</v>
      </c>
      <c r="P864" s="1">
        <f t="shared" si="106"/>
        <v>45231</v>
      </c>
      <c r="Q864" s="8">
        <f t="shared" si="107"/>
        <v>0</v>
      </c>
      <c r="R864" s="8">
        <f t="shared" si="108"/>
        <v>71</v>
      </c>
      <c r="S864" s="8">
        <f t="shared" ca="1" si="109"/>
        <v>71</v>
      </c>
      <c r="T864">
        <f t="shared" ca="1" si="110"/>
        <v>8.461248042285213</v>
      </c>
      <c r="U864" s="8">
        <f t="shared" ca="1" si="111"/>
        <v>1</v>
      </c>
      <c r="V864" s="8">
        <f ca="1">RawData[[#This Row],[Z (smoothed demand size)]]/RawData[[#This Row],[X (smoothed interval)]]</f>
        <v>8.461248042285213</v>
      </c>
    </row>
    <row r="865" spans="1:22">
      <c r="A865" t="s">
        <v>29</v>
      </c>
      <c r="B865" t="s">
        <v>14</v>
      </c>
      <c r="C865">
        <v>49</v>
      </c>
      <c r="D865" t="s">
        <v>18</v>
      </c>
      <c r="E865" t="s">
        <v>16</v>
      </c>
      <c r="F865" s="1">
        <v>44938</v>
      </c>
      <c r="G865">
        <v>8</v>
      </c>
      <c r="H865">
        <v>0</v>
      </c>
      <c r="I865">
        <v>0</v>
      </c>
      <c r="J865">
        <v>0</v>
      </c>
      <c r="K865">
        <v>1</v>
      </c>
      <c r="L865">
        <v>467</v>
      </c>
      <c r="M865">
        <v>60</v>
      </c>
      <c r="N865" s="1">
        <f t="shared" si="104"/>
        <v>44938</v>
      </c>
      <c r="O865" s="1">
        <f t="shared" si="105"/>
        <v>43101</v>
      </c>
      <c r="P865" s="1">
        <f t="shared" si="106"/>
        <v>45261</v>
      </c>
      <c r="Q865" s="8">
        <f t="shared" si="107"/>
        <v>0</v>
      </c>
      <c r="R865" s="8">
        <f t="shared" si="108"/>
        <v>72</v>
      </c>
      <c r="S865" s="8">
        <f t="shared" ca="1" si="109"/>
        <v>72</v>
      </c>
      <c r="T865">
        <f t="shared" ca="1" si="110"/>
        <v>8.3689984338281711</v>
      </c>
      <c r="U865" s="8">
        <f t="shared" ca="1" si="111"/>
        <v>1</v>
      </c>
      <c r="V865" s="10">
        <f ca="1">RawData[[#This Row],[Z (smoothed demand size)]]/RawData[[#This Row],[X (smoothed interval)]]</f>
        <v>8.3689984338281711</v>
      </c>
    </row>
    <row r="866" spans="1:22">
      <c r="A866" t="s">
        <v>30</v>
      </c>
      <c r="B866" t="s">
        <v>14</v>
      </c>
      <c r="C866">
        <v>32</v>
      </c>
      <c r="D866" t="s">
        <v>22</v>
      </c>
      <c r="E866" t="s">
        <v>16</v>
      </c>
      <c r="F866" s="1">
        <v>43101</v>
      </c>
      <c r="G866">
        <v>7</v>
      </c>
      <c r="H866">
        <v>7</v>
      </c>
      <c r="I866">
        <v>25</v>
      </c>
      <c r="J866">
        <v>18</v>
      </c>
      <c r="K866">
        <v>0</v>
      </c>
      <c r="L866">
        <v>479</v>
      </c>
      <c r="M866">
        <v>30</v>
      </c>
      <c r="N866" s="1">
        <f t="shared" si="104"/>
        <v>44938</v>
      </c>
      <c r="O866" s="1">
        <f t="shared" si="105"/>
        <v>43101</v>
      </c>
      <c r="P866" s="1">
        <f t="shared" si="106"/>
        <v>43101</v>
      </c>
      <c r="Q866" s="8">
        <f t="shared" si="107"/>
        <v>1</v>
      </c>
      <c r="R866" s="8">
        <f t="shared" si="108"/>
        <v>1</v>
      </c>
      <c r="S866" s="8">
        <f t="shared" ca="1" si="109"/>
        <v>1</v>
      </c>
      <c r="T866">
        <f t="shared" ca="1" si="110"/>
        <v>7</v>
      </c>
      <c r="U866" s="8">
        <f t="shared" ca="1" si="111"/>
        <v>1</v>
      </c>
      <c r="V866" s="8">
        <f ca="1">RawData[[#This Row],[Z (smoothed demand size)]]/RawData[[#This Row],[X (smoothed interval)]]</f>
        <v>7</v>
      </c>
    </row>
    <row r="867" spans="1:22">
      <c r="A867" t="s">
        <v>30</v>
      </c>
      <c r="B867" t="s">
        <v>14</v>
      </c>
      <c r="C867">
        <v>32</v>
      </c>
      <c r="D867" t="s">
        <v>22</v>
      </c>
      <c r="E867" t="s">
        <v>16</v>
      </c>
      <c r="F867" s="1">
        <v>43102</v>
      </c>
      <c r="G867">
        <v>3</v>
      </c>
      <c r="H867">
        <v>3</v>
      </c>
      <c r="I867">
        <v>18</v>
      </c>
      <c r="J867">
        <v>15</v>
      </c>
      <c r="K867">
        <v>0</v>
      </c>
      <c r="L867">
        <v>484</v>
      </c>
      <c r="M867">
        <v>45</v>
      </c>
      <c r="N867" s="1">
        <f t="shared" si="104"/>
        <v>44938</v>
      </c>
      <c r="O867" s="1">
        <f t="shared" si="105"/>
        <v>43101</v>
      </c>
      <c r="P867" s="1">
        <f t="shared" si="106"/>
        <v>43132</v>
      </c>
      <c r="Q867" s="8">
        <f t="shared" si="107"/>
        <v>0</v>
      </c>
      <c r="R867" s="8">
        <f t="shared" si="108"/>
        <v>2</v>
      </c>
      <c r="S867" s="8">
        <f t="shared" ca="1" si="109"/>
        <v>2</v>
      </c>
      <c r="T867">
        <f t="shared" ca="1" si="110"/>
        <v>6.2000000000000011</v>
      </c>
      <c r="U867" s="8">
        <f t="shared" ca="1" si="111"/>
        <v>1</v>
      </c>
      <c r="V867" s="8">
        <f ca="1">RawData[[#This Row],[Z (smoothed demand size)]]/RawData[[#This Row],[X (smoothed interval)]]</f>
        <v>6.2000000000000011</v>
      </c>
    </row>
    <row r="868" spans="1:22">
      <c r="A868" t="s">
        <v>30</v>
      </c>
      <c r="B868" t="s">
        <v>14</v>
      </c>
      <c r="C868">
        <v>32</v>
      </c>
      <c r="D868" t="s">
        <v>22</v>
      </c>
      <c r="E868" t="s">
        <v>16</v>
      </c>
      <c r="F868" s="1">
        <v>43103</v>
      </c>
      <c r="G868">
        <v>6</v>
      </c>
      <c r="H868">
        <v>6</v>
      </c>
      <c r="I868">
        <v>15</v>
      </c>
      <c r="J868">
        <v>9</v>
      </c>
      <c r="K868">
        <v>0</v>
      </c>
      <c r="L868">
        <v>481</v>
      </c>
      <c r="M868">
        <v>15</v>
      </c>
      <c r="N868" s="1">
        <f t="shared" si="104"/>
        <v>44938</v>
      </c>
      <c r="O868" s="1">
        <f t="shared" si="105"/>
        <v>43101</v>
      </c>
      <c r="P868" s="1">
        <f t="shared" si="106"/>
        <v>43160</v>
      </c>
      <c r="Q868" s="8">
        <f t="shared" si="107"/>
        <v>0</v>
      </c>
      <c r="R868" s="8">
        <f t="shared" si="108"/>
        <v>3</v>
      </c>
      <c r="S868" s="8">
        <f t="shared" ca="1" si="109"/>
        <v>3</v>
      </c>
      <c r="T868">
        <f t="shared" ca="1" si="110"/>
        <v>6.160000000000001</v>
      </c>
      <c r="U868" s="8">
        <f t="shared" ca="1" si="111"/>
        <v>1</v>
      </c>
      <c r="V868" s="8">
        <f ca="1">RawData[[#This Row],[Z (smoothed demand size)]]/RawData[[#This Row],[X (smoothed interval)]]</f>
        <v>6.160000000000001</v>
      </c>
    </row>
    <row r="869" spans="1:22">
      <c r="A869" t="s">
        <v>30</v>
      </c>
      <c r="B869" t="s">
        <v>14</v>
      </c>
      <c r="C869">
        <v>32</v>
      </c>
      <c r="D869" t="s">
        <v>22</v>
      </c>
      <c r="E869" t="s">
        <v>16</v>
      </c>
      <c r="F869" s="1">
        <v>43104</v>
      </c>
      <c r="G869">
        <v>12</v>
      </c>
      <c r="H869">
        <v>9</v>
      </c>
      <c r="I869">
        <v>9</v>
      </c>
      <c r="J869">
        <v>0</v>
      </c>
      <c r="K869">
        <v>1</v>
      </c>
      <c r="L869">
        <v>480</v>
      </c>
      <c r="M869">
        <v>60</v>
      </c>
      <c r="N869" s="1">
        <f t="shared" si="104"/>
        <v>44938</v>
      </c>
      <c r="O869" s="1">
        <f t="shared" si="105"/>
        <v>43101</v>
      </c>
      <c r="P869" s="1">
        <f t="shared" si="106"/>
        <v>43191</v>
      </c>
      <c r="Q869" s="8">
        <f t="shared" si="107"/>
        <v>0</v>
      </c>
      <c r="R869" s="8">
        <f t="shared" si="108"/>
        <v>4</v>
      </c>
      <c r="S869" s="8">
        <f t="shared" ca="1" si="109"/>
        <v>4</v>
      </c>
      <c r="T869">
        <f t="shared" ca="1" si="110"/>
        <v>7.3280000000000012</v>
      </c>
      <c r="U869" s="8">
        <f t="shared" ca="1" si="111"/>
        <v>1</v>
      </c>
      <c r="V869" s="8">
        <f ca="1">RawData[[#This Row],[Z (smoothed demand size)]]/RawData[[#This Row],[X (smoothed interval)]]</f>
        <v>7.3280000000000012</v>
      </c>
    </row>
    <row r="870" spans="1:22">
      <c r="A870" t="s">
        <v>30</v>
      </c>
      <c r="B870" t="s">
        <v>14</v>
      </c>
      <c r="C870">
        <v>32</v>
      </c>
      <c r="D870" t="s">
        <v>22</v>
      </c>
      <c r="E870" t="s">
        <v>16</v>
      </c>
      <c r="F870" s="1">
        <v>43105</v>
      </c>
      <c r="G870">
        <v>5</v>
      </c>
      <c r="H870">
        <v>0</v>
      </c>
      <c r="I870">
        <v>0</v>
      </c>
      <c r="J870">
        <v>0</v>
      </c>
      <c r="K870">
        <v>1</v>
      </c>
      <c r="L870">
        <v>486</v>
      </c>
      <c r="M870">
        <v>15</v>
      </c>
      <c r="N870" s="1">
        <f t="shared" si="104"/>
        <v>44938</v>
      </c>
      <c r="O870" s="1">
        <f t="shared" si="105"/>
        <v>43101</v>
      </c>
      <c r="P870" s="1">
        <f t="shared" si="106"/>
        <v>43221</v>
      </c>
      <c r="Q870" s="8">
        <f t="shared" si="107"/>
        <v>0</v>
      </c>
      <c r="R870" s="8">
        <f t="shared" si="108"/>
        <v>5</v>
      </c>
      <c r="S870" s="8">
        <f t="shared" ca="1" si="109"/>
        <v>5</v>
      </c>
      <c r="T870">
        <f t="shared" ca="1" si="110"/>
        <v>6.8624000000000009</v>
      </c>
      <c r="U870" s="8">
        <f t="shared" ca="1" si="111"/>
        <v>1</v>
      </c>
      <c r="V870" s="8">
        <f ca="1">RawData[[#This Row],[Z (smoothed demand size)]]/RawData[[#This Row],[X (smoothed interval)]]</f>
        <v>6.8624000000000009</v>
      </c>
    </row>
    <row r="871" spans="1:22">
      <c r="A871" t="s">
        <v>30</v>
      </c>
      <c r="B871" t="s">
        <v>14</v>
      </c>
      <c r="C871">
        <v>32</v>
      </c>
      <c r="D871" t="s">
        <v>22</v>
      </c>
      <c r="E871" t="s">
        <v>16</v>
      </c>
      <c r="F871" s="1">
        <v>43106</v>
      </c>
      <c r="G871">
        <v>7</v>
      </c>
      <c r="H871">
        <v>7</v>
      </c>
      <c r="I871">
        <v>12</v>
      </c>
      <c r="J871">
        <v>5</v>
      </c>
      <c r="K871">
        <v>0</v>
      </c>
      <c r="L871">
        <v>553</v>
      </c>
      <c r="M871">
        <v>15</v>
      </c>
      <c r="N871" s="1">
        <f t="shared" si="104"/>
        <v>44938</v>
      </c>
      <c r="O871" s="1">
        <f t="shared" si="105"/>
        <v>43101</v>
      </c>
      <c r="P871" s="1">
        <f t="shared" si="106"/>
        <v>43252</v>
      </c>
      <c r="Q871" s="8">
        <f t="shared" si="107"/>
        <v>0</v>
      </c>
      <c r="R871" s="8">
        <f t="shared" si="108"/>
        <v>6</v>
      </c>
      <c r="S871" s="8">
        <f t="shared" ca="1" si="109"/>
        <v>6</v>
      </c>
      <c r="T871">
        <f t="shared" ca="1" si="110"/>
        <v>6.8899200000000018</v>
      </c>
      <c r="U871" s="8">
        <f t="shared" ca="1" si="111"/>
        <v>1</v>
      </c>
      <c r="V871" s="8">
        <f ca="1">RawData[[#This Row],[Z (smoothed demand size)]]/RawData[[#This Row],[X (smoothed interval)]]</f>
        <v>6.8899200000000018</v>
      </c>
    </row>
    <row r="872" spans="1:22">
      <c r="A872" t="s">
        <v>30</v>
      </c>
      <c r="B872" t="s">
        <v>14</v>
      </c>
      <c r="C872">
        <v>32</v>
      </c>
      <c r="D872" t="s">
        <v>22</v>
      </c>
      <c r="E872" t="s">
        <v>16</v>
      </c>
      <c r="F872" s="1">
        <v>43107</v>
      </c>
      <c r="G872">
        <v>12</v>
      </c>
      <c r="H872">
        <v>12</v>
      </c>
      <c r="I872">
        <v>16</v>
      </c>
      <c r="J872">
        <v>4</v>
      </c>
      <c r="K872">
        <v>0</v>
      </c>
      <c r="L872">
        <v>555</v>
      </c>
      <c r="M872">
        <v>30</v>
      </c>
      <c r="N872" s="1">
        <f t="shared" si="104"/>
        <v>44938</v>
      </c>
      <c r="O872" s="1">
        <f t="shared" si="105"/>
        <v>43101</v>
      </c>
      <c r="P872" s="1">
        <f t="shared" si="106"/>
        <v>43282</v>
      </c>
      <c r="Q872" s="8">
        <f t="shared" si="107"/>
        <v>0</v>
      </c>
      <c r="R872" s="8">
        <f t="shared" si="108"/>
        <v>7</v>
      </c>
      <c r="S872" s="8">
        <f t="shared" ca="1" si="109"/>
        <v>7</v>
      </c>
      <c r="T872">
        <f t="shared" ca="1" si="110"/>
        <v>7.9119360000000025</v>
      </c>
      <c r="U872" s="8">
        <f t="shared" ca="1" si="111"/>
        <v>1</v>
      </c>
      <c r="V872" s="8">
        <f ca="1">RawData[[#This Row],[Z (smoothed demand size)]]/RawData[[#This Row],[X (smoothed interval)]]</f>
        <v>7.9119360000000025</v>
      </c>
    </row>
    <row r="873" spans="1:22">
      <c r="A873" t="s">
        <v>30</v>
      </c>
      <c r="B873" t="s">
        <v>14</v>
      </c>
      <c r="C873">
        <v>32</v>
      </c>
      <c r="D873" t="s">
        <v>22</v>
      </c>
      <c r="E873" t="s">
        <v>16</v>
      </c>
      <c r="F873" s="1">
        <v>43108</v>
      </c>
      <c r="G873">
        <v>5</v>
      </c>
      <c r="H873">
        <v>5</v>
      </c>
      <c r="I873">
        <v>11</v>
      </c>
      <c r="J873">
        <v>6</v>
      </c>
      <c r="K873">
        <v>0</v>
      </c>
      <c r="L873">
        <v>570</v>
      </c>
      <c r="M873">
        <v>60</v>
      </c>
      <c r="N873" s="1">
        <f t="shared" si="104"/>
        <v>44938</v>
      </c>
      <c r="O873" s="1">
        <f t="shared" si="105"/>
        <v>43101</v>
      </c>
      <c r="P873" s="1">
        <f t="shared" si="106"/>
        <v>43313</v>
      </c>
      <c r="Q873" s="8">
        <f t="shared" si="107"/>
        <v>0</v>
      </c>
      <c r="R873" s="8">
        <f t="shared" si="108"/>
        <v>8</v>
      </c>
      <c r="S873" s="8">
        <f t="shared" ca="1" si="109"/>
        <v>8</v>
      </c>
      <c r="T873">
        <f t="shared" ca="1" si="110"/>
        <v>7.3295488000000022</v>
      </c>
      <c r="U873" s="8">
        <f t="shared" ca="1" si="111"/>
        <v>1</v>
      </c>
      <c r="V873" s="8">
        <f ca="1">RawData[[#This Row],[Z (smoothed demand size)]]/RawData[[#This Row],[X (smoothed interval)]]</f>
        <v>7.3295488000000022</v>
      </c>
    </row>
    <row r="874" spans="1:22">
      <c r="A874" t="s">
        <v>30</v>
      </c>
      <c r="B874" t="s">
        <v>14</v>
      </c>
      <c r="C874">
        <v>32</v>
      </c>
      <c r="D874" t="s">
        <v>22</v>
      </c>
      <c r="E874" t="s">
        <v>16</v>
      </c>
      <c r="F874" s="1">
        <v>43109</v>
      </c>
      <c r="G874">
        <v>6</v>
      </c>
      <c r="H874">
        <v>6</v>
      </c>
      <c r="I874">
        <v>6</v>
      </c>
      <c r="J874">
        <v>0</v>
      </c>
      <c r="K874">
        <v>0</v>
      </c>
      <c r="L874">
        <v>481</v>
      </c>
      <c r="M874">
        <v>30</v>
      </c>
      <c r="N874" s="1">
        <f t="shared" si="104"/>
        <v>44938</v>
      </c>
      <c r="O874" s="1">
        <f t="shared" si="105"/>
        <v>43101</v>
      </c>
      <c r="P874" s="1">
        <f t="shared" si="106"/>
        <v>43344</v>
      </c>
      <c r="Q874" s="8">
        <f t="shared" si="107"/>
        <v>0</v>
      </c>
      <c r="R874" s="8">
        <f t="shared" si="108"/>
        <v>9</v>
      </c>
      <c r="S874" s="8">
        <f t="shared" ca="1" si="109"/>
        <v>9</v>
      </c>
      <c r="T874">
        <f t="shared" ca="1" si="110"/>
        <v>7.0636390400000026</v>
      </c>
      <c r="U874" s="8">
        <f t="shared" ca="1" si="111"/>
        <v>1</v>
      </c>
      <c r="V874" s="8">
        <f ca="1">RawData[[#This Row],[Z (smoothed demand size)]]/RawData[[#This Row],[X (smoothed interval)]]</f>
        <v>7.0636390400000026</v>
      </c>
    </row>
    <row r="875" spans="1:22">
      <c r="A875" t="s">
        <v>30</v>
      </c>
      <c r="B875" t="s">
        <v>14</v>
      </c>
      <c r="C875">
        <v>32</v>
      </c>
      <c r="D875" t="s">
        <v>22</v>
      </c>
      <c r="E875" t="s">
        <v>16</v>
      </c>
      <c r="F875" s="1">
        <v>43110</v>
      </c>
      <c r="G875">
        <v>11</v>
      </c>
      <c r="H875">
        <v>9</v>
      </c>
      <c r="I875">
        <v>9</v>
      </c>
      <c r="J875">
        <v>0</v>
      </c>
      <c r="K875">
        <v>1</v>
      </c>
      <c r="L875">
        <v>478</v>
      </c>
      <c r="M875">
        <v>45</v>
      </c>
      <c r="N875" s="1">
        <f t="shared" si="104"/>
        <v>44938</v>
      </c>
      <c r="O875" s="1">
        <f t="shared" si="105"/>
        <v>43101</v>
      </c>
      <c r="P875" s="1">
        <f t="shared" si="106"/>
        <v>43374</v>
      </c>
      <c r="Q875" s="8">
        <f t="shared" si="107"/>
        <v>0</v>
      </c>
      <c r="R875" s="8">
        <f t="shared" si="108"/>
        <v>10</v>
      </c>
      <c r="S875" s="8">
        <f t="shared" ca="1" si="109"/>
        <v>10</v>
      </c>
      <c r="T875">
        <f t="shared" ca="1" si="110"/>
        <v>7.8509112320000023</v>
      </c>
      <c r="U875" s="8">
        <f t="shared" ca="1" si="111"/>
        <v>1</v>
      </c>
      <c r="V875" s="8">
        <f ca="1">RawData[[#This Row],[Z (smoothed demand size)]]/RawData[[#This Row],[X (smoothed interval)]]</f>
        <v>7.8509112320000023</v>
      </c>
    </row>
    <row r="876" spans="1:22">
      <c r="A876" t="s">
        <v>30</v>
      </c>
      <c r="B876" t="s">
        <v>14</v>
      </c>
      <c r="C876">
        <v>32</v>
      </c>
      <c r="D876" t="s">
        <v>22</v>
      </c>
      <c r="E876" t="s">
        <v>16</v>
      </c>
      <c r="F876" s="1">
        <v>43111</v>
      </c>
      <c r="G876">
        <v>4</v>
      </c>
      <c r="H876">
        <v>0</v>
      </c>
      <c r="I876">
        <v>0</v>
      </c>
      <c r="J876">
        <v>0</v>
      </c>
      <c r="K876">
        <v>1</v>
      </c>
      <c r="L876">
        <v>483</v>
      </c>
      <c r="M876">
        <v>60</v>
      </c>
      <c r="N876" s="1">
        <f t="shared" si="104"/>
        <v>44938</v>
      </c>
      <c r="O876" s="1">
        <f t="shared" si="105"/>
        <v>43101</v>
      </c>
      <c r="P876" s="1">
        <f t="shared" si="106"/>
        <v>43405</v>
      </c>
      <c r="Q876" s="8">
        <f t="shared" si="107"/>
        <v>0</v>
      </c>
      <c r="R876" s="8">
        <f t="shared" si="108"/>
        <v>11</v>
      </c>
      <c r="S876" s="8">
        <f t="shared" ca="1" si="109"/>
        <v>11</v>
      </c>
      <c r="T876">
        <f t="shared" ca="1" si="110"/>
        <v>7.0807289856000022</v>
      </c>
      <c r="U876" s="8">
        <f t="shared" ca="1" si="111"/>
        <v>1</v>
      </c>
      <c r="V876" s="8">
        <f ca="1">RawData[[#This Row],[Z (smoothed demand size)]]/RawData[[#This Row],[X (smoothed interval)]]</f>
        <v>7.0807289856000022</v>
      </c>
    </row>
    <row r="877" spans="1:22">
      <c r="A877" t="s">
        <v>30</v>
      </c>
      <c r="B877" t="s">
        <v>14</v>
      </c>
      <c r="C877">
        <v>32</v>
      </c>
      <c r="D877" t="s">
        <v>22</v>
      </c>
      <c r="E877" t="s">
        <v>16</v>
      </c>
      <c r="F877" s="1">
        <v>43112</v>
      </c>
      <c r="G877">
        <v>3</v>
      </c>
      <c r="H877">
        <v>3</v>
      </c>
      <c r="I877">
        <v>10</v>
      </c>
      <c r="J877">
        <v>7</v>
      </c>
      <c r="K877">
        <v>0</v>
      </c>
      <c r="L877">
        <v>557</v>
      </c>
      <c r="M877">
        <v>60</v>
      </c>
      <c r="N877" s="1">
        <f t="shared" si="104"/>
        <v>44938</v>
      </c>
      <c r="O877" s="1">
        <f t="shared" si="105"/>
        <v>43101</v>
      </c>
      <c r="P877" s="1">
        <f t="shared" si="106"/>
        <v>43435</v>
      </c>
      <c r="Q877" s="8">
        <f t="shared" si="107"/>
        <v>0</v>
      </c>
      <c r="R877" s="8">
        <f t="shared" si="108"/>
        <v>12</v>
      </c>
      <c r="S877" s="8">
        <f t="shared" ca="1" si="109"/>
        <v>12</v>
      </c>
      <c r="T877">
        <f t="shared" ca="1" si="110"/>
        <v>6.2645831884800014</v>
      </c>
      <c r="U877" s="8">
        <f t="shared" ca="1" si="111"/>
        <v>1</v>
      </c>
      <c r="V877" s="8">
        <f ca="1">RawData[[#This Row],[Z (smoothed demand size)]]/RawData[[#This Row],[X (smoothed interval)]]</f>
        <v>6.2645831884800014</v>
      </c>
    </row>
    <row r="878" spans="1:22">
      <c r="A878" t="s">
        <v>30</v>
      </c>
      <c r="B878" t="s">
        <v>14</v>
      </c>
      <c r="C878">
        <v>32</v>
      </c>
      <c r="D878" t="s">
        <v>22</v>
      </c>
      <c r="E878" t="s">
        <v>16</v>
      </c>
      <c r="F878" s="1">
        <v>43466</v>
      </c>
      <c r="G878">
        <v>0</v>
      </c>
      <c r="H878">
        <v>0</v>
      </c>
      <c r="I878">
        <v>7</v>
      </c>
      <c r="J878">
        <v>7</v>
      </c>
      <c r="K878">
        <v>0</v>
      </c>
      <c r="L878">
        <v>481</v>
      </c>
      <c r="M878">
        <v>60</v>
      </c>
      <c r="N878" s="1">
        <f t="shared" si="104"/>
        <v>44938</v>
      </c>
      <c r="O878" s="1">
        <f t="shared" si="105"/>
        <v>43101</v>
      </c>
      <c r="P878" s="1">
        <f t="shared" si="106"/>
        <v>43466</v>
      </c>
      <c r="Q878" s="8">
        <f t="shared" si="107"/>
        <v>0</v>
      </c>
      <c r="R878" s="8">
        <f t="shared" si="108"/>
        <v>13</v>
      </c>
      <c r="S878" s="8">
        <f t="shared" ca="1" si="109"/>
        <v>12</v>
      </c>
      <c r="T878">
        <f t="shared" ca="1" si="110"/>
        <v>6.2645831884800014</v>
      </c>
      <c r="U878" s="8">
        <f t="shared" ca="1" si="111"/>
        <v>1</v>
      </c>
      <c r="V878" s="8">
        <f ca="1">RawData[[#This Row],[Z (smoothed demand size)]]/RawData[[#This Row],[X (smoothed interval)]]</f>
        <v>6.2645831884800014</v>
      </c>
    </row>
    <row r="879" spans="1:22">
      <c r="A879" t="s">
        <v>30</v>
      </c>
      <c r="B879" t="s">
        <v>14</v>
      </c>
      <c r="C879">
        <v>32</v>
      </c>
      <c r="D879" t="s">
        <v>22</v>
      </c>
      <c r="E879" t="s">
        <v>16</v>
      </c>
      <c r="F879" s="1">
        <v>43467</v>
      </c>
      <c r="G879">
        <v>6</v>
      </c>
      <c r="H879">
        <v>6</v>
      </c>
      <c r="I879">
        <v>19</v>
      </c>
      <c r="J879">
        <v>13</v>
      </c>
      <c r="K879">
        <v>0</v>
      </c>
      <c r="L879">
        <v>480</v>
      </c>
      <c r="M879">
        <v>45</v>
      </c>
      <c r="N879" s="1">
        <f t="shared" si="104"/>
        <v>44938</v>
      </c>
      <c r="O879" s="1">
        <f t="shared" si="105"/>
        <v>43101</v>
      </c>
      <c r="P879" s="1">
        <f t="shared" si="106"/>
        <v>43497</v>
      </c>
      <c r="Q879" s="8">
        <f t="shared" si="107"/>
        <v>0</v>
      </c>
      <c r="R879" s="8">
        <f t="shared" si="108"/>
        <v>14</v>
      </c>
      <c r="S879" s="8">
        <f t="shared" ca="1" si="109"/>
        <v>14</v>
      </c>
      <c r="T879">
        <f t="shared" ca="1" si="110"/>
        <v>6.2116665507840017</v>
      </c>
      <c r="U879" s="8">
        <f t="shared" ca="1" si="111"/>
        <v>1.2000000000000002</v>
      </c>
      <c r="V879" s="8">
        <f ca="1">RawData[[#This Row],[Z (smoothed demand size)]]/RawData[[#This Row],[X (smoothed interval)]]</f>
        <v>5.1763887923200009</v>
      </c>
    </row>
    <row r="880" spans="1:22">
      <c r="A880" t="s">
        <v>30</v>
      </c>
      <c r="B880" t="s">
        <v>14</v>
      </c>
      <c r="C880">
        <v>32</v>
      </c>
      <c r="D880" t="s">
        <v>22</v>
      </c>
      <c r="E880" t="s">
        <v>16</v>
      </c>
      <c r="F880" s="1">
        <v>43468</v>
      </c>
      <c r="G880">
        <v>5</v>
      </c>
      <c r="H880">
        <v>5</v>
      </c>
      <c r="I880">
        <v>13</v>
      </c>
      <c r="J880">
        <v>8</v>
      </c>
      <c r="K880">
        <v>0</v>
      </c>
      <c r="L880">
        <v>487</v>
      </c>
      <c r="M880">
        <v>45</v>
      </c>
      <c r="N880" s="1">
        <f t="shared" si="104"/>
        <v>44938</v>
      </c>
      <c r="O880" s="1">
        <f t="shared" si="105"/>
        <v>43101</v>
      </c>
      <c r="P880" s="1">
        <f t="shared" si="106"/>
        <v>43525</v>
      </c>
      <c r="Q880" s="8">
        <f t="shared" si="107"/>
        <v>0</v>
      </c>
      <c r="R880" s="8">
        <f t="shared" si="108"/>
        <v>15</v>
      </c>
      <c r="S880" s="8">
        <f t="shared" ca="1" si="109"/>
        <v>15</v>
      </c>
      <c r="T880">
        <f t="shared" ca="1" si="110"/>
        <v>5.9693332406272015</v>
      </c>
      <c r="U880" s="8">
        <f t="shared" ca="1" si="111"/>
        <v>1.1600000000000001</v>
      </c>
      <c r="V880" s="8">
        <f ca="1">RawData[[#This Row],[Z (smoothed demand size)]]/RawData[[#This Row],[X (smoothed interval)]]</f>
        <v>5.1459769315751727</v>
      </c>
    </row>
    <row r="881" spans="1:22">
      <c r="A881" t="s">
        <v>30</v>
      </c>
      <c r="B881" t="s">
        <v>14</v>
      </c>
      <c r="C881">
        <v>32</v>
      </c>
      <c r="D881" t="s">
        <v>22</v>
      </c>
      <c r="E881" t="s">
        <v>16</v>
      </c>
      <c r="F881" s="1">
        <v>43469</v>
      </c>
      <c r="G881">
        <v>8</v>
      </c>
      <c r="H881">
        <v>8</v>
      </c>
      <c r="I881">
        <v>8</v>
      </c>
      <c r="J881">
        <v>0</v>
      </c>
      <c r="K881">
        <v>0</v>
      </c>
      <c r="L881">
        <v>486</v>
      </c>
      <c r="M881">
        <v>45</v>
      </c>
      <c r="N881" s="1">
        <f t="shared" si="104"/>
        <v>44938</v>
      </c>
      <c r="O881" s="1">
        <f t="shared" si="105"/>
        <v>43101</v>
      </c>
      <c r="P881" s="1">
        <f t="shared" si="106"/>
        <v>43556</v>
      </c>
      <c r="Q881" s="8">
        <f t="shared" si="107"/>
        <v>0</v>
      </c>
      <c r="R881" s="8">
        <f t="shared" si="108"/>
        <v>16</v>
      </c>
      <c r="S881" s="8">
        <f t="shared" ca="1" si="109"/>
        <v>16</v>
      </c>
      <c r="T881">
        <f t="shared" ca="1" si="110"/>
        <v>6.3754665925017608</v>
      </c>
      <c r="U881" s="8">
        <f t="shared" ca="1" si="111"/>
        <v>1.1280000000000001</v>
      </c>
      <c r="V881" s="8">
        <f ca="1">RawData[[#This Row],[Z (smoothed demand size)]]/RawData[[#This Row],[X (smoothed interval)]]</f>
        <v>5.6520093905157447</v>
      </c>
    </row>
    <row r="882" spans="1:22">
      <c r="A882" t="s">
        <v>30</v>
      </c>
      <c r="B882" t="s">
        <v>14</v>
      </c>
      <c r="C882">
        <v>32</v>
      </c>
      <c r="D882" t="s">
        <v>22</v>
      </c>
      <c r="E882" t="s">
        <v>16</v>
      </c>
      <c r="F882" s="1">
        <v>43470</v>
      </c>
      <c r="G882">
        <v>12</v>
      </c>
      <c r="H882">
        <v>9</v>
      </c>
      <c r="I882">
        <v>9</v>
      </c>
      <c r="J882">
        <v>0</v>
      </c>
      <c r="K882">
        <v>1</v>
      </c>
      <c r="L882">
        <v>479</v>
      </c>
      <c r="M882">
        <v>15</v>
      </c>
      <c r="N882" s="1">
        <f t="shared" si="104"/>
        <v>44938</v>
      </c>
      <c r="O882" s="1">
        <f t="shared" si="105"/>
        <v>43101</v>
      </c>
      <c r="P882" s="1">
        <f t="shared" si="106"/>
        <v>43586</v>
      </c>
      <c r="Q882" s="8">
        <f t="shared" si="107"/>
        <v>0</v>
      </c>
      <c r="R882" s="8">
        <f t="shared" si="108"/>
        <v>17</v>
      </c>
      <c r="S882" s="8">
        <f t="shared" ca="1" si="109"/>
        <v>17</v>
      </c>
      <c r="T882">
        <f t="shared" ca="1" si="110"/>
        <v>7.5003732740014097</v>
      </c>
      <c r="U882" s="8">
        <f t="shared" ca="1" si="111"/>
        <v>1.1024</v>
      </c>
      <c r="V882" s="8">
        <f ca="1">RawData[[#This Row],[Z (smoothed demand size)]]/RawData[[#This Row],[X (smoothed interval)]]</f>
        <v>6.8036767724976501</v>
      </c>
    </row>
    <row r="883" spans="1:22">
      <c r="A883" t="s">
        <v>30</v>
      </c>
      <c r="B883" t="s">
        <v>14</v>
      </c>
      <c r="C883">
        <v>32</v>
      </c>
      <c r="D883" t="s">
        <v>22</v>
      </c>
      <c r="E883" t="s">
        <v>16</v>
      </c>
      <c r="F883" s="1">
        <v>43471</v>
      </c>
      <c r="G883">
        <v>3</v>
      </c>
      <c r="H883">
        <v>3</v>
      </c>
      <c r="I883">
        <v>9</v>
      </c>
      <c r="J883">
        <v>6</v>
      </c>
      <c r="K883">
        <v>0</v>
      </c>
      <c r="L883">
        <v>548</v>
      </c>
      <c r="M883">
        <v>30</v>
      </c>
      <c r="N883" s="1">
        <f t="shared" si="104"/>
        <v>44938</v>
      </c>
      <c r="O883" s="1">
        <f t="shared" si="105"/>
        <v>43101</v>
      </c>
      <c r="P883" s="1">
        <f t="shared" si="106"/>
        <v>43617</v>
      </c>
      <c r="Q883" s="8">
        <f t="shared" si="107"/>
        <v>0</v>
      </c>
      <c r="R883" s="8">
        <f t="shared" si="108"/>
        <v>18</v>
      </c>
      <c r="S883" s="8">
        <f t="shared" ca="1" si="109"/>
        <v>18</v>
      </c>
      <c r="T883">
        <f t="shared" ca="1" si="110"/>
        <v>6.6002986192011281</v>
      </c>
      <c r="U883" s="8">
        <f t="shared" ca="1" si="111"/>
        <v>1.08192</v>
      </c>
      <c r="V883" s="8">
        <f ca="1">RawData[[#This Row],[Z (smoothed demand size)]]/RawData[[#This Row],[X (smoothed interval)]]</f>
        <v>6.1005422020122824</v>
      </c>
    </row>
    <row r="884" spans="1:22">
      <c r="A884" t="s">
        <v>30</v>
      </c>
      <c r="B884" t="s">
        <v>14</v>
      </c>
      <c r="C884">
        <v>32</v>
      </c>
      <c r="D884" t="s">
        <v>22</v>
      </c>
      <c r="E884" t="s">
        <v>16</v>
      </c>
      <c r="F884" s="1">
        <v>43472</v>
      </c>
      <c r="G884">
        <v>11</v>
      </c>
      <c r="H884">
        <v>11</v>
      </c>
      <c r="I884">
        <v>16</v>
      </c>
      <c r="J884">
        <v>5</v>
      </c>
      <c r="K884">
        <v>0</v>
      </c>
      <c r="L884">
        <v>554</v>
      </c>
      <c r="M884">
        <v>60</v>
      </c>
      <c r="N884" s="1">
        <f t="shared" si="104"/>
        <v>44938</v>
      </c>
      <c r="O884" s="1">
        <f t="shared" si="105"/>
        <v>43101</v>
      </c>
      <c r="P884" s="1">
        <f t="shared" si="106"/>
        <v>43647</v>
      </c>
      <c r="Q884" s="8">
        <f t="shared" si="107"/>
        <v>0</v>
      </c>
      <c r="R884" s="8">
        <f t="shared" si="108"/>
        <v>19</v>
      </c>
      <c r="S884" s="8">
        <f t="shared" ca="1" si="109"/>
        <v>19</v>
      </c>
      <c r="T884">
        <f t="shared" ca="1" si="110"/>
        <v>7.4802388953609027</v>
      </c>
      <c r="U884" s="8">
        <f t="shared" ca="1" si="111"/>
        <v>1.065536</v>
      </c>
      <c r="V884" s="8">
        <f ca="1">RawData[[#This Row],[Z (smoothed demand size)]]/RawData[[#This Row],[X (smoothed interval)]]</f>
        <v>7.0201653396608865</v>
      </c>
    </row>
    <row r="885" spans="1:22">
      <c r="A885" t="s">
        <v>30</v>
      </c>
      <c r="B885" t="s">
        <v>14</v>
      </c>
      <c r="C885">
        <v>32</v>
      </c>
      <c r="D885" t="s">
        <v>22</v>
      </c>
      <c r="E885" t="s">
        <v>16</v>
      </c>
      <c r="F885" s="1">
        <v>43473</v>
      </c>
      <c r="G885">
        <v>12</v>
      </c>
      <c r="H885">
        <v>5</v>
      </c>
      <c r="I885">
        <v>5</v>
      </c>
      <c r="J885">
        <v>0</v>
      </c>
      <c r="K885">
        <v>1</v>
      </c>
      <c r="L885">
        <v>548</v>
      </c>
      <c r="M885">
        <v>45</v>
      </c>
      <c r="N885" s="1">
        <f t="shared" si="104"/>
        <v>44938</v>
      </c>
      <c r="O885" s="1">
        <f t="shared" si="105"/>
        <v>43101</v>
      </c>
      <c r="P885" s="1">
        <f t="shared" si="106"/>
        <v>43678</v>
      </c>
      <c r="Q885" s="8">
        <f t="shared" si="107"/>
        <v>0</v>
      </c>
      <c r="R885" s="8">
        <f t="shared" si="108"/>
        <v>20</v>
      </c>
      <c r="S885" s="8">
        <f t="shared" ca="1" si="109"/>
        <v>20</v>
      </c>
      <c r="T885">
        <f t="shared" ca="1" si="110"/>
        <v>8.3841911162887222</v>
      </c>
      <c r="U885" s="8">
        <f t="shared" ca="1" si="111"/>
        <v>1.0524288000000002</v>
      </c>
      <c r="V885" s="8">
        <f ca="1">RawData[[#This Row],[Z (smoothed demand size)]]/RawData[[#This Row],[X (smoothed interval)]]</f>
        <v>7.9665162301608632</v>
      </c>
    </row>
    <row r="886" spans="1:22">
      <c r="A886" t="s">
        <v>30</v>
      </c>
      <c r="B886" t="s">
        <v>14</v>
      </c>
      <c r="C886">
        <v>32</v>
      </c>
      <c r="D886" t="s">
        <v>22</v>
      </c>
      <c r="E886" t="s">
        <v>16</v>
      </c>
      <c r="F886" s="1">
        <v>43474</v>
      </c>
      <c r="G886">
        <v>8</v>
      </c>
      <c r="H886">
        <v>8</v>
      </c>
      <c r="I886">
        <v>9</v>
      </c>
      <c r="J886">
        <v>1</v>
      </c>
      <c r="K886">
        <v>0</v>
      </c>
      <c r="L886">
        <v>484</v>
      </c>
      <c r="M886">
        <v>30</v>
      </c>
      <c r="N886" s="1">
        <f t="shared" si="104"/>
        <v>44938</v>
      </c>
      <c r="O886" s="1">
        <f t="shared" si="105"/>
        <v>43101</v>
      </c>
      <c r="P886" s="1">
        <f t="shared" si="106"/>
        <v>43709</v>
      </c>
      <c r="Q886" s="8">
        <f t="shared" si="107"/>
        <v>0</v>
      </c>
      <c r="R886" s="8">
        <f t="shared" si="108"/>
        <v>21</v>
      </c>
      <c r="S886" s="8">
        <f t="shared" ca="1" si="109"/>
        <v>21</v>
      </c>
      <c r="T886">
        <f t="shared" ca="1" si="110"/>
        <v>8.3073528930309788</v>
      </c>
      <c r="U886" s="8">
        <f t="shared" ca="1" si="111"/>
        <v>1.0419430400000003</v>
      </c>
      <c r="V886" s="8">
        <f ca="1">RawData[[#This Row],[Z (smoothed demand size)]]/RawData[[#This Row],[X (smoothed interval)]]</f>
        <v>7.9729434087212452</v>
      </c>
    </row>
    <row r="887" spans="1:22">
      <c r="A887" t="s">
        <v>30</v>
      </c>
      <c r="B887" t="s">
        <v>14</v>
      </c>
      <c r="C887">
        <v>32</v>
      </c>
      <c r="D887" t="s">
        <v>22</v>
      </c>
      <c r="E887" t="s">
        <v>16</v>
      </c>
      <c r="F887" s="1">
        <v>43475</v>
      </c>
      <c r="G887">
        <v>4</v>
      </c>
      <c r="H887">
        <v>4</v>
      </c>
      <c r="I887">
        <v>10</v>
      </c>
      <c r="J887">
        <v>6</v>
      </c>
      <c r="K887">
        <v>0</v>
      </c>
      <c r="L887">
        <v>482</v>
      </c>
      <c r="M887">
        <v>45</v>
      </c>
      <c r="N887" s="1">
        <f t="shared" si="104"/>
        <v>44938</v>
      </c>
      <c r="O887" s="1">
        <f t="shared" si="105"/>
        <v>43101</v>
      </c>
      <c r="P887" s="1">
        <f t="shared" si="106"/>
        <v>43739</v>
      </c>
      <c r="Q887" s="8">
        <f t="shared" si="107"/>
        <v>0</v>
      </c>
      <c r="R887" s="8">
        <f t="shared" si="108"/>
        <v>22</v>
      </c>
      <c r="S887" s="8">
        <f t="shared" ca="1" si="109"/>
        <v>22</v>
      </c>
      <c r="T887">
        <f t="shared" ca="1" si="110"/>
        <v>7.4458823144247832</v>
      </c>
      <c r="U887" s="8">
        <f t="shared" ca="1" si="111"/>
        <v>1.0335544320000003</v>
      </c>
      <c r="V887" s="8">
        <f ca="1">RawData[[#This Row],[Z (smoothed demand size)]]/RawData[[#This Row],[X (smoothed interval)]]</f>
        <v>7.2041511156954536</v>
      </c>
    </row>
    <row r="888" spans="1:22">
      <c r="A888" t="s">
        <v>30</v>
      </c>
      <c r="B888" t="s">
        <v>14</v>
      </c>
      <c r="C888">
        <v>32</v>
      </c>
      <c r="D888" t="s">
        <v>22</v>
      </c>
      <c r="E888" t="s">
        <v>16</v>
      </c>
      <c r="F888" s="1">
        <v>43476</v>
      </c>
      <c r="G888">
        <v>4</v>
      </c>
      <c r="H888">
        <v>4</v>
      </c>
      <c r="I888">
        <v>6</v>
      </c>
      <c r="J888">
        <v>2</v>
      </c>
      <c r="K888">
        <v>0</v>
      </c>
      <c r="L888">
        <v>492</v>
      </c>
      <c r="M888">
        <v>60</v>
      </c>
      <c r="N888" s="1">
        <f t="shared" si="104"/>
        <v>44938</v>
      </c>
      <c r="O888" s="1">
        <f t="shared" si="105"/>
        <v>43101</v>
      </c>
      <c r="P888" s="1">
        <f t="shared" si="106"/>
        <v>43770</v>
      </c>
      <c r="Q888" s="8">
        <f t="shared" si="107"/>
        <v>0</v>
      </c>
      <c r="R888" s="8">
        <f t="shared" si="108"/>
        <v>23</v>
      </c>
      <c r="S888" s="8">
        <f t="shared" ca="1" si="109"/>
        <v>23</v>
      </c>
      <c r="T888">
        <f t="shared" ca="1" si="110"/>
        <v>6.7567058515398264</v>
      </c>
      <c r="U888" s="8">
        <f t="shared" ca="1" si="111"/>
        <v>1.0268435456000002</v>
      </c>
      <c r="V888" s="8">
        <f ca="1">RawData[[#This Row],[Z (smoothed demand size)]]/RawData[[#This Row],[X (smoothed interval)]]</f>
        <v>6.5800733524519366</v>
      </c>
    </row>
    <row r="889" spans="1:22">
      <c r="A889" t="s">
        <v>30</v>
      </c>
      <c r="B889" t="s">
        <v>14</v>
      </c>
      <c r="C889">
        <v>32</v>
      </c>
      <c r="D889" t="s">
        <v>22</v>
      </c>
      <c r="E889" t="s">
        <v>16</v>
      </c>
      <c r="F889" s="1">
        <v>43477</v>
      </c>
      <c r="G889">
        <v>4</v>
      </c>
      <c r="H889">
        <v>4</v>
      </c>
      <c r="I889">
        <v>10</v>
      </c>
      <c r="J889">
        <v>6</v>
      </c>
      <c r="K889">
        <v>0</v>
      </c>
      <c r="L889">
        <v>560</v>
      </c>
      <c r="M889">
        <v>15</v>
      </c>
      <c r="N889" s="1">
        <f t="shared" si="104"/>
        <v>44938</v>
      </c>
      <c r="O889" s="1">
        <f t="shared" si="105"/>
        <v>43101</v>
      </c>
      <c r="P889" s="1">
        <f t="shared" si="106"/>
        <v>43800</v>
      </c>
      <c r="Q889" s="8">
        <f t="shared" si="107"/>
        <v>0</v>
      </c>
      <c r="R889" s="8">
        <f t="shared" si="108"/>
        <v>24</v>
      </c>
      <c r="S889" s="8">
        <f t="shared" ca="1" si="109"/>
        <v>24</v>
      </c>
      <c r="T889">
        <f t="shared" ca="1" si="110"/>
        <v>6.2053646812318615</v>
      </c>
      <c r="U889" s="8">
        <f t="shared" ca="1" si="111"/>
        <v>1.0214748364800001</v>
      </c>
      <c r="V889" s="8">
        <f ca="1">RawData[[#This Row],[Z (smoothed demand size)]]/RawData[[#This Row],[X (smoothed interval)]]</f>
        <v>6.0749070457922718</v>
      </c>
    </row>
    <row r="890" spans="1:22">
      <c r="A890" t="s">
        <v>30</v>
      </c>
      <c r="B890" t="s">
        <v>14</v>
      </c>
      <c r="C890">
        <v>32</v>
      </c>
      <c r="D890" t="s">
        <v>22</v>
      </c>
      <c r="E890" t="s">
        <v>16</v>
      </c>
      <c r="F890" s="1">
        <v>43831</v>
      </c>
      <c r="G890">
        <v>7</v>
      </c>
      <c r="H890">
        <v>7</v>
      </c>
      <c r="I890">
        <v>14</v>
      </c>
      <c r="J890">
        <v>7</v>
      </c>
      <c r="K890">
        <v>0</v>
      </c>
      <c r="L890">
        <v>473</v>
      </c>
      <c r="M890">
        <v>60</v>
      </c>
      <c r="N890" s="1">
        <f t="shared" si="104"/>
        <v>44938</v>
      </c>
      <c r="O890" s="1">
        <f t="shared" si="105"/>
        <v>43101</v>
      </c>
      <c r="P890" s="1">
        <f t="shared" si="106"/>
        <v>43831</v>
      </c>
      <c r="Q890" s="8">
        <f t="shared" si="107"/>
        <v>0</v>
      </c>
      <c r="R890" s="8">
        <f t="shared" si="108"/>
        <v>25</v>
      </c>
      <c r="S890" s="8">
        <f t="shared" ca="1" si="109"/>
        <v>25</v>
      </c>
      <c r="T890">
        <f t="shared" ca="1" si="110"/>
        <v>6.3642917449854899</v>
      </c>
      <c r="U890" s="8">
        <f t="shared" ca="1" si="111"/>
        <v>1.0171798691840002</v>
      </c>
      <c r="V890" s="8">
        <f ca="1">RawData[[#This Row],[Z (smoothed demand size)]]/RawData[[#This Row],[X (smoothed interval)]]</f>
        <v>6.2568007269855217</v>
      </c>
    </row>
    <row r="891" spans="1:22">
      <c r="A891" t="s">
        <v>30</v>
      </c>
      <c r="B891" t="s">
        <v>14</v>
      </c>
      <c r="C891">
        <v>32</v>
      </c>
      <c r="D891" t="s">
        <v>22</v>
      </c>
      <c r="E891" t="s">
        <v>16</v>
      </c>
      <c r="F891" s="1">
        <v>43832</v>
      </c>
      <c r="G891">
        <v>5</v>
      </c>
      <c r="H891">
        <v>5</v>
      </c>
      <c r="I891">
        <v>7</v>
      </c>
      <c r="J891">
        <v>2</v>
      </c>
      <c r="K891">
        <v>0</v>
      </c>
      <c r="L891">
        <v>476</v>
      </c>
      <c r="M891">
        <v>30</v>
      </c>
      <c r="N891" s="1">
        <f t="shared" si="104"/>
        <v>44938</v>
      </c>
      <c r="O891" s="1">
        <f t="shared" si="105"/>
        <v>43101</v>
      </c>
      <c r="P891" s="1">
        <f t="shared" si="106"/>
        <v>43862</v>
      </c>
      <c r="Q891" s="8">
        <f t="shared" si="107"/>
        <v>0</v>
      </c>
      <c r="R891" s="8">
        <f t="shared" si="108"/>
        <v>26</v>
      </c>
      <c r="S891" s="8">
        <f t="shared" ca="1" si="109"/>
        <v>26</v>
      </c>
      <c r="T891">
        <f t="shared" ca="1" si="110"/>
        <v>6.0914333959883926</v>
      </c>
      <c r="U891" s="8">
        <f t="shared" ca="1" si="111"/>
        <v>1.0137438953472002</v>
      </c>
      <c r="V891" s="8">
        <f ca="1">RawData[[#This Row],[Z (smoothed demand size)]]/RawData[[#This Row],[X (smoothed interval)]]</f>
        <v>6.0088484122531947</v>
      </c>
    </row>
    <row r="892" spans="1:22">
      <c r="A892" t="s">
        <v>30</v>
      </c>
      <c r="B892" t="s">
        <v>14</v>
      </c>
      <c r="C892">
        <v>32</v>
      </c>
      <c r="D892" t="s">
        <v>22</v>
      </c>
      <c r="E892" t="s">
        <v>16</v>
      </c>
      <c r="F892" s="1">
        <v>43833</v>
      </c>
      <c r="G892">
        <v>11</v>
      </c>
      <c r="H892">
        <v>9</v>
      </c>
      <c r="I892">
        <v>9</v>
      </c>
      <c r="J892">
        <v>0</v>
      </c>
      <c r="K892">
        <v>1</v>
      </c>
      <c r="L892">
        <v>469</v>
      </c>
      <c r="M892">
        <v>30</v>
      </c>
      <c r="N892" s="1">
        <f t="shared" si="104"/>
        <v>44938</v>
      </c>
      <c r="O892" s="1">
        <f t="shared" si="105"/>
        <v>43101</v>
      </c>
      <c r="P892" s="1">
        <f t="shared" si="106"/>
        <v>43891</v>
      </c>
      <c r="Q892" s="8">
        <f t="shared" si="107"/>
        <v>0</v>
      </c>
      <c r="R892" s="8">
        <f t="shared" si="108"/>
        <v>27</v>
      </c>
      <c r="S892" s="8">
        <f t="shared" ca="1" si="109"/>
        <v>27</v>
      </c>
      <c r="T892">
        <f t="shared" ca="1" si="110"/>
        <v>7.0731467167907143</v>
      </c>
      <c r="U892" s="8">
        <f t="shared" ca="1" si="111"/>
        <v>1.0109951162777602</v>
      </c>
      <c r="V892" s="8">
        <f ca="1">RawData[[#This Row],[Z (smoothed demand size)]]/RawData[[#This Row],[X (smoothed interval)]]</f>
        <v>6.9962224375843993</v>
      </c>
    </row>
    <row r="893" spans="1:22">
      <c r="A893" t="s">
        <v>30</v>
      </c>
      <c r="B893" t="s">
        <v>14</v>
      </c>
      <c r="C893">
        <v>32</v>
      </c>
      <c r="D893" t="s">
        <v>22</v>
      </c>
      <c r="E893" t="s">
        <v>16</v>
      </c>
      <c r="F893" s="1">
        <v>43834</v>
      </c>
      <c r="G893">
        <v>10</v>
      </c>
      <c r="H893">
        <v>10</v>
      </c>
      <c r="I893">
        <v>12</v>
      </c>
      <c r="J893">
        <v>2</v>
      </c>
      <c r="K893">
        <v>0</v>
      </c>
      <c r="L893">
        <v>468</v>
      </c>
      <c r="M893">
        <v>15</v>
      </c>
      <c r="N893" s="1">
        <f t="shared" si="104"/>
        <v>44938</v>
      </c>
      <c r="O893" s="1">
        <f t="shared" si="105"/>
        <v>43101</v>
      </c>
      <c r="P893" s="1">
        <f t="shared" si="106"/>
        <v>43922</v>
      </c>
      <c r="Q893" s="8">
        <f t="shared" si="107"/>
        <v>0</v>
      </c>
      <c r="R893" s="8">
        <f t="shared" si="108"/>
        <v>28</v>
      </c>
      <c r="S893" s="8">
        <f t="shared" ca="1" si="109"/>
        <v>28</v>
      </c>
      <c r="T893">
        <f t="shared" ca="1" si="110"/>
        <v>7.6585173734325718</v>
      </c>
      <c r="U893" s="8">
        <f t="shared" ca="1" si="111"/>
        <v>1.0087960930222082</v>
      </c>
      <c r="V893" s="8">
        <f ca="1">RawData[[#This Row],[Z (smoothed demand size)]]/RawData[[#This Row],[X (smoothed interval)]]</f>
        <v>7.5917397246144693</v>
      </c>
    </row>
    <row r="894" spans="1:22">
      <c r="A894" t="s">
        <v>30</v>
      </c>
      <c r="B894" t="s">
        <v>14</v>
      </c>
      <c r="C894">
        <v>32</v>
      </c>
      <c r="D894" t="s">
        <v>22</v>
      </c>
      <c r="E894" t="s">
        <v>16</v>
      </c>
      <c r="F894" s="1">
        <v>43835</v>
      </c>
      <c r="G894">
        <v>5</v>
      </c>
      <c r="H894">
        <v>5</v>
      </c>
      <c r="I894">
        <v>11</v>
      </c>
      <c r="J894">
        <v>6</v>
      </c>
      <c r="K894">
        <v>0</v>
      </c>
      <c r="L894">
        <v>479</v>
      </c>
      <c r="M894">
        <v>30</v>
      </c>
      <c r="N894" s="1">
        <f t="shared" si="104"/>
        <v>44938</v>
      </c>
      <c r="O894" s="1">
        <f t="shared" si="105"/>
        <v>43101</v>
      </c>
      <c r="P894" s="1">
        <f t="shared" si="106"/>
        <v>43952</v>
      </c>
      <c r="Q894" s="8">
        <f t="shared" si="107"/>
        <v>0</v>
      </c>
      <c r="R894" s="8">
        <f t="shared" si="108"/>
        <v>29</v>
      </c>
      <c r="S894" s="8">
        <f t="shared" ca="1" si="109"/>
        <v>29</v>
      </c>
      <c r="T894">
        <f t="shared" ca="1" si="110"/>
        <v>7.1268138987460574</v>
      </c>
      <c r="U894" s="8">
        <f t="shared" ca="1" si="111"/>
        <v>1.0070368744177667</v>
      </c>
      <c r="V894" s="8">
        <f ca="1">RawData[[#This Row],[Z (smoothed demand size)]]/RawData[[#This Row],[X (smoothed interval)]]</f>
        <v>7.0770138410934855</v>
      </c>
    </row>
    <row r="895" spans="1:22">
      <c r="A895" t="s">
        <v>30</v>
      </c>
      <c r="B895" t="s">
        <v>14</v>
      </c>
      <c r="C895">
        <v>32</v>
      </c>
      <c r="D895" t="s">
        <v>22</v>
      </c>
      <c r="E895" t="s">
        <v>16</v>
      </c>
      <c r="F895" s="1">
        <v>43836</v>
      </c>
      <c r="G895">
        <v>13</v>
      </c>
      <c r="H895">
        <v>13</v>
      </c>
      <c r="I895">
        <v>17</v>
      </c>
      <c r="J895">
        <v>4</v>
      </c>
      <c r="K895">
        <v>0</v>
      </c>
      <c r="L895">
        <v>543</v>
      </c>
      <c r="M895">
        <v>45</v>
      </c>
      <c r="N895" s="1">
        <f t="shared" si="104"/>
        <v>44938</v>
      </c>
      <c r="O895" s="1">
        <f t="shared" si="105"/>
        <v>43101</v>
      </c>
      <c r="P895" s="1">
        <f t="shared" si="106"/>
        <v>43983</v>
      </c>
      <c r="Q895" s="8">
        <f t="shared" si="107"/>
        <v>0</v>
      </c>
      <c r="R895" s="8">
        <f t="shared" si="108"/>
        <v>30</v>
      </c>
      <c r="S895" s="8">
        <f t="shared" ca="1" si="109"/>
        <v>30</v>
      </c>
      <c r="T895">
        <f t="shared" ca="1" si="110"/>
        <v>8.3014511189968463</v>
      </c>
      <c r="U895" s="8">
        <f t="shared" ca="1" si="111"/>
        <v>1.0056294995342134</v>
      </c>
      <c r="V895" s="8">
        <f ca="1">RawData[[#This Row],[Z (smoothed demand size)]]/RawData[[#This Row],[X (smoothed interval)]]</f>
        <v>8.2549797145389086</v>
      </c>
    </row>
    <row r="896" spans="1:22">
      <c r="A896" t="s">
        <v>30</v>
      </c>
      <c r="B896" t="s">
        <v>14</v>
      </c>
      <c r="C896">
        <v>32</v>
      </c>
      <c r="D896" t="s">
        <v>22</v>
      </c>
      <c r="E896" t="s">
        <v>16</v>
      </c>
      <c r="F896" s="1">
        <v>43837</v>
      </c>
      <c r="G896">
        <v>6</v>
      </c>
      <c r="H896">
        <v>4</v>
      </c>
      <c r="I896">
        <v>4</v>
      </c>
      <c r="J896">
        <v>0</v>
      </c>
      <c r="K896">
        <v>1</v>
      </c>
      <c r="L896">
        <v>559</v>
      </c>
      <c r="M896">
        <v>60</v>
      </c>
      <c r="N896" s="1">
        <f t="shared" si="104"/>
        <v>44938</v>
      </c>
      <c r="O896" s="1">
        <f t="shared" si="105"/>
        <v>43101</v>
      </c>
      <c r="P896" s="1">
        <f t="shared" si="106"/>
        <v>44013</v>
      </c>
      <c r="Q896" s="8">
        <f t="shared" si="107"/>
        <v>0</v>
      </c>
      <c r="R896" s="8">
        <f t="shared" si="108"/>
        <v>31</v>
      </c>
      <c r="S896" s="8">
        <f t="shared" ca="1" si="109"/>
        <v>31</v>
      </c>
      <c r="T896">
        <f t="shared" ca="1" si="110"/>
        <v>7.8411608951974774</v>
      </c>
      <c r="U896" s="8">
        <f t="shared" ca="1" si="111"/>
        <v>1.0045035996273708</v>
      </c>
      <c r="V896" s="8">
        <f ca="1">RawData[[#This Row],[Z (smoothed demand size)]]/RawData[[#This Row],[X (smoothed interval)]]</f>
        <v>7.8060057705181176</v>
      </c>
    </row>
    <row r="897" spans="1:22">
      <c r="A897" t="s">
        <v>30</v>
      </c>
      <c r="B897" t="s">
        <v>14</v>
      </c>
      <c r="C897">
        <v>32</v>
      </c>
      <c r="D897" t="s">
        <v>22</v>
      </c>
      <c r="E897" t="s">
        <v>16</v>
      </c>
      <c r="F897" s="1">
        <v>43838</v>
      </c>
      <c r="G897">
        <v>11</v>
      </c>
      <c r="H897">
        <v>7</v>
      </c>
      <c r="I897">
        <v>7</v>
      </c>
      <c r="J897">
        <v>0</v>
      </c>
      <c r="K897">
        <v>1</v>
      </c>
      <c r="L897">
        <v>556</v>
      </c>
      <c r="M897">
        <v>15</v>
      </c>
      <c r="N897" s="1">
        <f t="shared" si="104"/>
        <v>44938</v>
      </c>
      <c r="O897" s="1">
        <f t="shared" si="105"/>
        <v>43101</v>
      </c>
      <c r="P897" s="1">
        <f t="shared" si="106"/>
        <v>44044</v>
      </c>
      <c r="Q897" s="8">
        <f t="shared" si="107"/>
        <v>0</v>
      </c>
      <c r="R897" s="8">
        <f t="shared" si="108"/>
        <v>32</v>
      </c>
      <c r="S897" s="8">
        <f t="shared" ca="1" si="109"/>
        <v>32</v>
      </c>
      <c r="T897">
        <f t="shared" ca="1" si="110"/>
        <v>8.4729287161579823</v>
      </c>
      <c r="U897" s="8">
        <f t="shared" ca="1" si="111"/>
        <v>1.0036028797018968</v>
      </c>
      <c r="V897" s="8">
        <f ca="1">RawData[[#This Row],[Z (smoothed demand size)]]/RawData[[#This Row],[X (smoothed interval)]]</f>
        <v>8.4425113633339937</v>
      </c>
    </row>
    <row r="898" spans="1:22">
      <c r="A898" t="s">
        <v>30</v>
      </c>
      <c r="B898" t="s">
        <v>14</v>
      </c>
      <c r="C898">
        <v>32</v>
      </c>
      <c r="D898" t="s">
        <v>22</v>
      </c>
      <c r="E898" t="s">
        <v>16</v>
      </c>
      <c r="F898" s="1">
        <v>43839</v>
      </c>
      <c r="G898">
        <v>9</v>
      </c>
      <c r="H898">
        <v>9</v>
      </c>
      <c r="I898">
        <v>11</v>
      </c>
      <c r="J898">
        <v>2</v>
      </c>
      <c r="K898">
        <v>0</v>
      </c>
      <c r="L898">
        <v>477</v>
      </c>
      <c r="M898">
        <v>30</v>
      </c>
      <c r="N898" s="1">
        <f t="shared" ref="N898:N961" si="112">MAX(F:F)</f>
        <v>44938</v>
      </c>
      <c r="O898" s="1">
        <f t="shared" ref="O898:O961" si="113">MIN(F:F)</f>
        <v>43101</v>
      </c>
      <c r="P898" s="1">
        <f t="shared" ref="P898:P961" si="114">DATE(YEAR(F898), DAY(F898), 1)</f>
        <v>44075</v>
      </c>
      <c r="Q898" s="8">
        <f t="shared" ref="Q898:Q961" si="115" xml:space="preserve"> IF(A898&lt;&gt;A897, 1, 0)</f>
        <v>0</v>
      </c>
      <c r="R898" s="8">
        <f t="shared" ref="R898:R961" si="116">IF(Q898=1,1,R897+1)</f>
        <v>33</v>
      </c>
      <c r="S898" s="8">
        <f t="shared" ref="S898:S961" ca="1" si="117" xml:space="preserve"> IF(Q898=1, IF(G898&gt;0, R898, 0), IF(G898&gt;0, R898, OFFSET(S898,-1,0)))</f>
        <v>33</v>
      </c>
      <c r="T898">
        <f t="shared" ref="T898:T961" ca="1" si="118" xml:space="preserve"> IF(Q898=1, IF(G898&gt;0, G898, 0), IF(G898&gt;0, $X$1*G898+(1-$X$1)*OFFSET(T898,-1,0), OFFSET(T898,-1,0)))</f>
        <v>8.5783429729263858</v>
      </c>
      <c r="U898" s="8">
        <f t="shared" ref="U898:U961" ca="1" si="119" xml:space="preserve"> IF(Q898=1, 1, IF(G898&gt;0, $X$1*(R898-OFFSET(S898,-1,0))+(1-$X$1)*OFFSET(U898,-1,0), OFFSET(U898,-1,0)))</f>
        <v>1.0028823037615175</v>
      </c>
      <c r="V898" s="8">
        <f ca="1">RawData[[#This Row],[Z (smoothed demand size)]]/RawData[[#This Row],[X (smoothed interval)]]</f>
        <v>8.5536886439730129</v>
      </c>
    </row>
    <row r="899" spans="1:22">
      <c r="A899" t="s">
        <v>30</v>
      </c>
      <c r="B899" t="s">
        <v>14</v>
      </c>
      <c r="C899">
        <v>32</v>
      </c>
      <c r="D899" t="s">
        <v>22</v>
      </c>
      <c r="E899" t="s">
        <v>16</v>
      </c>
      <c r="F899" s="1">
        <v>43840</v>
      </c>
      <c r="G899">
        <v>9</v>
      </c>
      <c r="H899">
        <v>9</v>
      </c>
      <c r="I899">
        <v>9</v>
      </c>
      <c r="J899">
        <v>0</v>
      </c>
      <c r="K899">
        <v>0</v>
      </c>
      <c r="L899">
        <v>477</v>
      </c>
      <c r="M899">
        <v>15</v>
      </c>
      <c r="N899" s="1">
        <f t="shared" si="112"/>
        <v>44938</v>
      </c>
      <c r="O899" s="1">
        <f t="shared" si="113"/>
        <v>43101</v>
      </c>
      <c r="P899" s="1">
        <f t="shared" si="114"/>
        <v>44105</v>
      </c>
      <c r="Q899" s="8">
        <f t="shared" si="115"/>
        <v>0</v>
      </c>
      <c r="R899" s="8">
        <f t="shared" si="116"/>
        <v>34</v>
      </c>
      <c r="S899" s="8">
        <f t="shared" ca="1" si="117"/>
        <v>34</v>
      </c>
      <c r="T899">
        <f t="shared" ca="1" si="118"/>
        <v>8.6626743783411086</v>
      </c>
      <c r="U899" s="8">
        <f t="shared" ca="1" si="119"/>
        <v>1.002305843009214</v>
      </c>
      <c r="V899" s="8">
        <f ca="1">RawData[[#This Row],[Z (smoothed demand size)]]/RawData[[#This Row],[X (smoothed interval)]]</f>
        <v>8.6427455639021691</v>
      </c>
    </row>
    <row r="900" spans="1:22">
      <c r="A900" t="s">
        <v>30</v>
      </c>
      <c r="B900" t="s">
        <v>14</v>
      </c>
      <c r="C900">
        <v>32</v>
      </c>
      <c r="D900" t="s">
        <v>22</v>
      </c>
      <c r="E900" t="s">
        <v>16</v>
      </c>
      <c r="F900" s="1">
        <v>43841</v>
      </c>
      <c r="G900">
        <v>6</v>
      </c>
      <c r="H900">
        <v>6</v>
      </c>
      <c r="I900">
        <v>12</v>
      </c>
      <c r="J900">
        <v>6</v>
      </c>
      <c r="K900">
        <v>0</v>
      </c>
      <c r="L900">
        <v>485</v>
      </c>
      <c r="M900">
        <v>60</v>
      </c>
      <c r="N900" s="1">
        <f t="shared" si="112"/>
        <v>44938</v>
      </c>
      <c r="O900" s="1">
        <f t="shared" si="113"/>
        <v>43101</v>
      </c>
      <c r="P900" s="1">
        <f t="shared" si="114"/>
        <v>44136</v>
      </c>
      <c r="Q900" s="8">
        <f t="shared" si="115"/>
        <v>0</v>
      </c>
      <c r="R900" s="8">
        <f t="shared" si="116"/>
        <v>35</v>
      </c>
      <c r="S900" s="8">
        <f t="shared" ca="1" si="117"/>
        <v>35</v>
      </c>
      <c r="T900">
        <f t="shared" ca="1" si="118"/>
        <v>8.1301395026728862</v>
      </c>
      <c r="U900" s="8">
        <f t="shared" ca="1" si="119"/>
        <v>1.0018446744073712</v>
      </c>
      <c r="V900" s="8">
        <f ca="1">RawData[[#This Row],[Z (smoothed demand size)]]/RawData[[#This Row],[X (smoothed interval)]]</f>
        <v>8.1151696568953362</v>
      </c>
    </row>
    <row r="901" spans="1:22">
      <c r="A901" t="s">
        <v>30</v>
      </c>
      <c r="B901" t="s">
        <v>14</v>
      </c>
      <c r="C901">
        <v>32</v>
      </c>
      <c r="D901" t="s">
        <v>22</v>
      </c>
      <c r="E901" t="s">
        <v>16</v>
      </c>
      <c r="F901" s="1">
        <v>43842</v>
      </c>
      <c r="G901">
        <v>4</v>
      </c>
      <c r="H901">
        <v>4</v>
      </c>
      <c r="I901">
        <v>6</v>
      </c>
      <c r="J901">
        <v>2</v>
      </c>
      <c r="K901">
        <v>0</v>
      </c>
      <c r="L901">
        <v>559</v>
      </c>
      <c r="M901">
        <v>60</v>
      </c>
      <c r="N901" s="1">
        <f t="shared" si="112"/>
        <v>44938</v>
      </c>
      <c r="O901" s="1">
        <f t="shared" si="113"/>
        <v>43101</v>
      </c>
      <c r="P901" s="1">
        <f t="shared" si="114"/>
        <v>44166</v>
      </c>
      <c r="Q901" s="8">
        <f t="shared" si="115"/>
        <v>0</v>
      </c>
      <c r="R901" s="8">
        <f t="shared" si="116"/>
        <v>36</v>
      </c>
      <c r="S901" s="8">
        <f t="shared" ca="1" si="117"/>
        <v>36</v>
      </c>
      <c r="T901">
        <f t="shared" ca="1" si="118"/>
        <v>7.3041116021383088</v>
      </c>
      <c r="U901" s="8">
        <f t="shared" ca="1" si="119"/>
        <v>1.0014757395258971</v>
      </c>
      <c r="V901" s="8">
        <f ca="1">RawData[[#This Row],[Z (smoothed demand size)]]/RawData[[#This Row],[X (smoothed interval)]]</f>
        <v>7.2933485194520102</v>
      </c>
    </row>
    <row r="902" spans="1:22">
      <c r="A902" t="s">
        <v>30</v>
      </c>
      <c r="B902" t="s">
        <v>14</v>
      </c>
      <c r="C902">
        <v>32</v>
      </c>
      <c r="D902" t="s">
        <v>22</v>
      </c>
      <c r="E902" t="s">
        <v>16</v>
      </c>
      <c r="F902" s="1">
        <v>44197</v>
      </c>
      <c r="G902">
        <v>10</v>
      </c>
      <c r="H902">
        <v>10</v>
      </c>
      <c r="I902">
        <v>12</v>
      </c>
      <c r="J902">
        <v>2</v>
      </c>
      <c r="K902">
        <v>0</v>
      </c>
      <c r="L902">
        <v>472</v>
      </c>
      <c r="M902">
        <v>60</v>
      </c>
      <c r="N902" s="1">
        <f t="shared" si="112"/>
        <v>44938</v>
      </c>
      <c r="O902" s="1">
        <f t="shared" si="113"/>
        <v>43101</v>
      </c>
      <c r="P902" s="1">
        <f t="shared" si="114"/>
        <v>44197</v>
      </c>
      <c r="Q902" s="8">
        <f t="shared" si="115"/>
        <v>0</v>
      </c>
      <c r="R902" s="8">
        <f t="shared" si="116"/>
        <v>37</v>
      </c>
      <c r="S902" s="8">
        <f t="shared" ca="1" si="117"/>
        <v>37</v>
      </c>
      <c r="T902">
        <f t="shared" ca="1" si="118"/>
        <v>7.8432892817106472</v>
      </c>
      <c r="U902" s="8">
        <f t="shared" ca="1" si="119"/>
        <v>1.0011805916207177</v>
      </c>
      <c r="V902" s="8">
        <f ca="1">RawData[[#This Row],[Z (smoothed demand size)]]/RawData[[#This Row],[X (smoothed interval)]]</f>
        <v>7.8340404791645826</v>
      </c>
    </row>
    <row r="903" spans="1:22">
      <c r="A903" t="s">
        <v>30</v>
      </c>
      <c r="B903" t="s">
        <v>14</v>
      </c>
      <c r="C903">
        <v>32</v>
      </c>
      <c r="D903" t="s">
        <v>22</v>
      </c>
      <c r="E903" t="s">
        <v>16</v>
      </c>
      <c r="F903" s="1">
        <v>44198</v>
      </c>
      <c r="G903">
        <v>5</v>
      </c>
      <c r="H903">
        <v>2</v>
      </c>
      <c r="I903">
        <v>2</v>
      </c>
      <c r="J903">
        <v>0</v>
      </c>
      <c r="K903">
        <v>1</v>
      </c>
      <c r="L903">
        <v>472</v>
      </c>
      <c r="M903">
        <v>60</v>
      </c>
      <c r="N903" s="1">
        <f t="shared" si="112"/>
        <v>44938</v>
      </c>
      <c r="O903" s="1">
        <f t="shared" si="113"/>
        <v>43101</v>
      </c>
      <c r="P903" s="1">
        <f t="shared" si="114"/>
        <v>44228</v>
      </c>
      <c r="Q903" s="8">
        <f t="shared" si="115"/>
        <v>0</v>
      </c>
      <c r="R903" s="8">
        <f t="shared" si="116"/>
        <v>38</v>
      </c>
      <c r="S903" s="8">
        <f t="shared" ca="1" si="117"/>
        <v>38</v>
      </c>
      <c r="T903">
        <f t="shared" ca="1" si="118"/>
        <v>7.2746314253685185</v>
      </c>
      <c r="U903" s="8">
        <f t="shared" ca="1" si="119"/>
        <v>1.0009444732965742</v>
      </c>
      <c r="V903" s="8">
        <f ca="1">RawData[[#This Row],[Z (smoothed demand size)]]/RawData[[#This Row],[X (smoothed interval)]]</f>
        <v>7.2677672133098294</v>
      </c>
    </row>
    <row r="904" spans="1:22">
      <c r="A904" t="s">
        <v>30</v>
      </c>
      <c r="B904" t="s">
        <v>14</v>
      </c>
      <c r="C904">
        <v>32</v>
      </c>
      <c r="D904" t="s">
        <v>22</v>
      </c>
      <c r="E904" t="s">
        <v>16</v>
      </c>
      <c r="F904" s="1">
        <v>44199</v>
      </c>
      <c r="G904">
        <v>5</v>
      </c>
      <c r="H904">
        <v>5</v>
      </c>
      <c r="I904">
        <v>9</v>
      </c>
      <c r="J904">
        <v>4</v>
      </c>
      <c r="K904">
        <v>0</v>
      </c>
      <c r="L904">
        <v>475</v>
      </c>
      <c r="M904">
        <v>45</v>
      </c>
      <c r="N904" s="1">
        <f t="shared" si="112"/>
        <v>44938</v>
      </c>
      <c r="O904" s="1">
        <f t="shared" si="113"/>
        <v>43101</v>
      </c>
      <c r="P904" s="1">
        <f t="shared" si="114"/>
        <v>44256</v>
      </c>
      <c r="Q904" s="8">
        <f t="shared" si="115"/>
        <v>0</v>
      </c>
      <c r="R904" s="8">
        <f t="shared" si="116"/>
        <v>39</v>
      </c>
      <c r="S904" s="8">
        <f t="shared" ca="1" si="117"/>
        <v>39</v>
      </c>
      <c r="T904">
        <f t="shared" ca="1" si="118"/>
        <v>6.8197051402948148</v>
      </c>
      <c r="U904" s="8">
        <f t="shared" ca="1" si="119"/>
        <v>1.0007555786372595</v>
      </c>
      <c r="V904" s="8">
        <f ca="1">RawData[[#This Row],[Z (smoothed demand size)]]/RawData[[#This Row],[X (smoothed interval)]]</f>
        <v>6.8145562072022487</v>
      </c>
    </row>
    <row r="905" spans="1:22">
      <c r="A905" t="s">
        <v>30</v>
      </c>
      <c r="B905" t="s">
        <v>14</v>
      </c>
      <c r="C905">
        <v>32</v>
      </c>
      <c r="D905" t="s">
        <v>22</v>
      </c>
      <c r="E905" t="s">
        <v>16</v>
      </c>
      <c r="F905" s="1">
        <v>44200</v>
      </c>
      <c r="G905">
        <v>6</v>
      </c>
      <c r="H905">
        <v>4</v>
      </c>
      <c r="I905">
        <v>4</v>
      </c>
      <c r="J905">
        <v>0</v>
      </c>
      <c r="K905">
        <v>1</v>
      </c>
      <c r="L905">
        <v>479</v>
      </c>
      <c r="M905">
        <v>45</v>
      </c>
      <c r="N905" s="1">
        <f t="shared" si="112"/>
        <v>44938</v>
      </c>
      <c r="O905" s="1">
        <f t="shared" si="113"/>
        <v>43101</v>
      </c>
      <c r="P905" s="1">
        <f t="shared" si="114"/>
        <v>44287</v>
      </c>
      <c r="Q905" s="8">
        <f t="shared" si="115"/>
        <v>0</v>
      </c>
      <c r="R905" s="8">
        <f t="shared" si="116"/>
        <v>40</v>
      </c>
      <c r="S905" s="8">
        <f t="shared" ca="1" si="117"/>
        <v>40</v>
      </c>
      <c r="T905">
        <f t="shared" ca="1" si="118"/>
        <v>6.6557641122358522</v>
      </c>
      <c r="U905" s="8">
        <f t="shared" ca="1" si="119"/>
        <v>1.0006044629098076</v>
      </c>
      <c r="V905" s="8">
        <f ca="1">RawData[[#This Row],[Z (smoothed demand size)]]/RawData[[#This Row],[X (smoothed interval)]]</f>
        <v>6.6517433800770371</v>
      </c>
    </row>
    <row r="906" spans="1:22">
      <c r="A906" t="s">
        <v>30</v>
      </c>
      <c r="B906" t="s">
        <v>14</v>
      </c>
      <c r="C906">
        <v>32</v>
      </c>
      <c r="D906" t="s">
        <v>22</v>
      </c>
      <c r="E906" t="s">
        <v>16</v>
      </c>
      <c r="F906" s="1">
        <v>44201</v>
      </c>
      <c r="G906">
        <v>8</v>
      </c>
      <c r="H906">
        <v>8</v>
      </c>
      <c r="I906">
        <v>8</v>
      </c>
      <c r="J906">
        <v>0</v>
      </c>
      <c r="K906">
        <v>0</v>
      </c>
      <c r="L906">
        <v>474</v>
      </c>
      <c r="M906">
        <v>15</v>
      </c>
      <c r="N906" s="1">
        <f t="shared" si="112"/>
        <v>44938</v>
      </c>
      <c r="O906" s="1">
        <f t="shared" si="113"/>
        <v>43101</v>
      </c>
      <c r="P906" s="1">
        <f t="shared" si="114"/>
        <v>44317</v>
      </c>
      <c r="Q906" s="8">
        <f t="shared" si="115"/>
        <v>0</v>
      </c>
      <c r="R906" s="8">
        <f t="shared" si="116"/>
        <v>41</v>
      </c>
      <c r="S906" s="8">
        <f t="shared" ca="1" si="117"/>
        <v>41</v>
      </c>
      <c r="T906">
        <f t="shared" ca="1" si="118"/>
        <v>6.9246112897886825</v>
      </c>
      <c r="U906" s="8">
        <f t="shared" ca="1" si="119"/>
        <v>1.0004835703278461</v>
      </c>
      <c r="V906" s="8">
        <f ca="1">RawData[[#This Row],[Z (smoothed demand size)]]/RawData[[#This Row],[X (smoothed interval)]]</f>
        <v>6.9212643717073465</v>
      </c>
    </row>
    <row r="907" spans="1:22">
      <c r="A907" t="s">
        <v>30</v>
      </c>
      <c r="B907" t="s">
        <v>14</v>
      </c>
      <c r="C907">
        <v>32</v>
      </c>
      <c r="D907" t="s">
        <v>22</v>
      </c>
      <c r="E907" t="s">
        <v>16</v>
      </c>
      <c r="F907" s="1">
        <v>44202</v>
      </c>
      <c r="G907">
        <v>14</v>
      </c>
      <c r="H907">
        <v>10</v>
      </c>
      <c r="I907">
        <v>10</v>
      </c>
      <c r="J907">
        <v>0</v>
      </c>
      <c r="K907">
        <v>1</v>
      </c>
      <c r="L907">
        <v>551</v>
      </c>
      <c r="M907">
        <v>30</v>
      </c>
      <c r="N907" s="1">
        <f t="shared" si="112"/>
        <v>44938</v>
      </c>
      <c r="O907" s="1">
        <f t="shared" si="113"/>
        <v>43101</v>
      </c>
      <c r="P907" s="1">
        <f t="shared" si="114"/>
        <v>44348</v>
      </c>
      <c r="Q907" s="8">
        <f t="shared" si="115"/>
        <v>0</v>
      </c>
      <c r="R907" s="8">
        <f t="shared" si="116"/>
        <v>42</v>
      </c>
      <c r="S907" s="8">
        <f t="shared" ca="1" si="117"/>
        <v>42</v>
      </c>
      <c r="T907">
        <f t="shared" ca="1" si="118"/>
        <v>8.3396890318309467</v>
      </c>
      <c r="U907" s="8">
        <f t="shared" ca="1" si="119"/>
        <v>1.0003868562622769</v>
      </c>
      <c r="V907" s="8">
        <f ca="1">RawData[[#This Row],[Z (smoothed demand size)]]/RawData[[#This Row],[X (smoothed interval)]]</f>
        <v>8.336464018520136</v>
      </c>
    </row>
    <row r="908" spans="1:22">
      <c r="A908" t="s">
        <v>30</v>
      </c>
      <c r="B908" t="s">
        <v>14</v>
      </c>
      <c r="C908">
        <v>32</v>
      </c>
      <c r="D908" t="s">
        <v>22</v>
      </c>
      <c r="E908" t="s">
        <v>16</v>
      </c>
      <c r="F908" s="1">
        <v>44203</v>
      </c>
      <c r="G908">
        <v>6</v>
      </c>
      <c r="H908">
        <v>6</v>
      </c>
      <c r="I908">
        <v>7</v>
      </c>
      <c r="J908">
        <v>1</v>
      </c>
      <c r="K908">
        <v>0</v>
      </c>
      <c r="L908">
        <v>559</v>
      </c>
      <c r="M908">
        <v>45</v>
      </c>
      <c r="N908" s="1">
        <f t="shared" si="112"/>
        <v>44938</v>
      </c>
      <c r="O908" s="1">
        <f t="shared" si="113"/>
        <v>43101</v>
      </c>
      <c r="P908" s="1">
        <f t="shared" si="114"/>
        <v>44378</v>
      </c>
      <c r="Q908" s="8">
        <f t="shared" si="115"/>
        <v>0</v>
      </c>
      <c r="R908" s="8">
        <f t="shared" si="116"/>
        <v>43</v>
      </c>
      <c r="S908" s="8">
        <f t="shared" ca="1" si="117"/>
        <v>43</v>
      </c>
      <c r="T908">
        <f t="shared" ca="1" si="118"/>
        <v>7.8717512254647577</v>
      </c>
      <c r="U908" s="8">
        <f t="shared" ca="1" si="119"/>
        <v>1.0003094850098215</v>
      </c>
      <c r="V908" s="8">
        <f ca="1">RawData[[#This Row],[Z (smoothed demand size)]]/RawData[[#This Row],[X (smoothed interval)]]</f>
        <v>7.869315790190142</v>
      </c>
    </row>
    <row r="909" spans="1:22">
      <c r="A909" t="s">
        <v>30</v>
      </c>
      <c r="B909" t="s">
        <v>14</v>
      </c>
      <c r="C909">
        <v>32</v>
      </c>
      <c r="D909" t="s">
        <v>22</v>
      </c>
      <c r="E909" t="s">
        <v>16</v>
      </c>
      <c r="F909" s="1">
        <v>44204</v>
      </c>
      <c r="G909">
        <v>7</v>
      </c>
      <c r="H909">
        <v>1</v>
      </c>
      <c r="I909">
        <v>1</v>
      </c>
      <c r="J909">
        <v>0</v>
      </c>
      <c r="K909">
        <v>1</v>
      </c>
      <c r="L909">
        <v>540</v>
      </c>
      <c r="M909">
        <v>30</v>
      </c>
      <c r="N909" s="1">
        <f t="shared" si="112"/>
        <v>44938</v>
      </c>
      <c r="O909" s="1">
        <f t="shared" si="113"/>
        <v>43101</v>
      </c>
      <c r="P909" s="1">
        <f t="shared" si="114"/>
        <v>44409</v>
      </c>
      <c r="Q909" s="8">
        <f t="shared" si="115"/>
        <v>0</v>
      </c>
      <c r="R909" s="8">
        <f t="shared" si="116"/>
        <v>44</v>
      </c>
      <c r="S909" s="8">
        <f t="shared" ca="1" si="117"/>
        <v>44</v>
      </c>
      <c r="T909">
        <f t="shared" ca="1" si="118"/>
        <v>7.6974009803718069</v>
      </c>
      <c r="U909" s="8">
        <f t="shared" ca="1" si="119"/>
        <v>1.0002475880078572</v>
      </c>
      <c r="V909" s="8">
        <f ca="1">RawData[[#This Row],[Z (smoothed demand size)]]/RawData[[#This Row],[X (smoothed interval)]]</f>
        <v>7.6954956679299107</v>
      </c>
    </row>
    <row r="910" spans="1:22">
      <c r="A910" t="s">
        <v>30</v>
      </c>
      <c r="B910" t="s">
        <v>14</v>
      </c>
      <c r="C910">
        <v>32</v>
      </c>
      <c r="D910" t="s">
        <v>22</v>
      </c>
      <c r="E910" t="s">
        <v>16</v>
      </c>
      <c r="F910" s="1">
        <v>44205</v>
      </c>
      <c r="G910">
        <v>8</v>
      </c>
      <c r="H910">
        <v>8</v>
      </c>
      <c r="I910">
        <v>9</v>
      </c>
      <c r="J910">
        <v>1</v>
      </c>
      <c r="K910">
        <v>0</v>
      </c>
      <c r="L910">
        <v>475</v>
      </c>
      <c r="M910">
        <v>15</v>
      </c>
      <c r="N910" s="1">
        <f t="shared" si="112"/>
        <v>44938</v>
      </c>
      <c r="O910" s="1">
        <f t="shared" si="113"/>
        <v>43101</v>
      </c>
      <c r="P910" s="1">
        <f t="shared" si="114"/>
        <v>44440</v>
      </c>
      <c r="Q910" s="8">
        <f t="shared" si="115"/>
        <v>0</v>
      </c>
      <c r="R910" s="8">
        <f t="shared" si="116"/>
        <v>45</v>
      </c>
      <c r="S910" s="8">
        <f t="shared" ca="1" si="117"/>
        <v>45</v>
      </c>
      <c r="T910">
        <f t="shared" ca="1" si="118"/>
        <v>7.7579207842974451</v>
      </c>
      <c r="U910" s="8">
        <f t="shared" ca="1" si="119"/>
        <v>1.0001980704062858</v>
      </c>
      <c r="V910" s="8">
        <f ca="1">RawData[[#This Row],[Z (smoothed demand size)]]/RawData[[#This Row],[X (smoothed interval)]]</f>
        <v>7.7563844740733563</v>
      </c>
    </row>
    <row r="911" spans="1:22">
      <c r="A911" t="s">
        <v>30</v>
      </c>
      <c r="B911" t="s">
        <v>14</v>
      </c>
      <c r="C911">
        <v>32</v>
      </c>
      <c r="D911" t="s">
        <v>22</v>
      </c>
      <c r="E911" t="s">
        <v>16</v>
      </c>
      <c r="F911" s="1">
        <v>44206</v>
      </c>
      <c r="G911">
        <v>11</v>
      </c>
      <c r="H911">
        <v>8</v>
      </c>
      <c r="I911">
        <v>8</v>
      </c>
      <c r="J911">
        <v>0</v>
      </c>
      <c r="K911">
        <v>1</v>
      </c>
      <c r="L911">
        <v>470</v>
      </c>
      <c r="M911">
        <v>60</v>
      </c>
      <c r="N911" s="1">
        <f t="shared" si="112"/>
        <v>44938</v>
      </c>
      <c r="O911" s="1">
        <f t="shared" si="113"/>
        <v>43101</v>
      </c>
      <c r="P911" s="1">
        <f t="shared" si="114"/>
        <v>44470</v>
      </c>
      <c r="Q911" s="8">
        <f t="shared" si="115"/>
        <v>0</v>
      </c>
      <c r="R911" s="8">
        <f t="shared" si="116"/>
        <v>46</v>
      </c>
      <c r="S911" s="8">
        <f t="shared" ca="1" si="117"/>
        <v>46</v>
      </c>
      <c r="T911">
        <f t="shared" ca="1" si="118"/>
        <v>8.4063366274379554</v>
      </c>
      <c r="U911" s="8">
        <f t="shared" ca="1" si="119"/>
        <v>1.0001584563250288</v>
      </c>
      <c r="V911" s="8">
        <f ca="1">RawData[[#This Row],[Z (smoothed demand size)]]/RawData[[#This Row],[X (smoothed interval)]]</f>
        <v>8.4050048012652976</v>
      </c>
    </row>
    <row r="912" spans="1:22">
      <c r="A912" t="s">
        <v>30</v>
      </c>
      <c r="B912" t="s">
        <v>14</v>
      </c>
      <c r="C912">
        <v>32</v>
      </c>
      <c r="D912" t="s">
        <v>22</v>
      </c>
      <c r="E912" t="s">
        <v>16</v>
      </c>
      <c r="F912" s="1">
        <v>44207</v>
      </c>
      <c r="G912">
        <v>5</v>
      </c>
      <c r="H912">
        <v>0</v>
      </c>
      <c r="I912">
        <v>0</v>
      </c>
      <c r="J912">
        <v>0</v>
      </c>
      <c r="K912">
        <v>1</v>
      </c>
      <c r="L912">
        <v>473</v>
      </c>
      <c r="M912">
        <v>30</v>
      </c>
      <c r="N912" s="1">
        <f t="shared" si="112"/>
        <v>44938</v>
      </c>
      <c r="O912" s="1">
        <f t="shared" si="113"/>
        <v>43101</v>
      </c>
      <c r="P912" s="1">
        <f t="shared" si="114"/>
        <v>44501</v>
      </c>
      <c r="Q912" s="8">
        <f t="shared" si="115"/>
        <v>0</v>
      </c>
      <c r="R912" s="8">
        <f t="shared" si="116"/>
        <v>47</v>
      </c>
      <c r="S912" s="8">
        <f t="shared" ca="1" si="117"/>
        <v>47</v>
      </c>
      <c r="T912">
        <f t="shared" ca="1" si="118"/>
        <v>7.7250693019503647</v>
      </c>
      <c r="U912" s="8">
        <f t="shared" ca="1" si="119"/>
        <v>1.000126765060023</v>
      </c>
      <c r="V912" s="8">
        <f ca="1">RawData[[#This Row],[Z (smoothed demand size)]]/RawData[[#This Row],[X (smoothed interval)]]</f>
        <v>7.7240901571979643</v>
      </c>
    </row>
    <row r="913" spans="1:22">
      <c r="A913" t="s">
        <v>30</v>
      </c>
      <c r="B913" t="s">
        <v>14</v>
      </c>
      <c r="C913">
        <v>32</v>
      </c>
      <c r="D913" t="s">
        <v>22</v>
      </c>
      <c r="E913" t="s">
        <v>16</v>
      </c>
      <c r="F913" s="1">
        <v>44208</v>
      </c>
      <c r="G913">
        <v>9</v>
      </c>
      <c r="H913">
        <v>9</v>
      </c>
      <c r="I913">
        <v>10</v>
      </c>
      <c r="J913">
        <v>1</v>
      </c>
      <c r="K913">
        <v>0</v>
      </c>
      <c r="L913">
        <v>547</v>
      </c>
      <c r="M913">
        <v>45</v>
      </c>
      <c r="N913" s="1">
        <f t="shared" si="112"/>
        <v>44938</v>
      </c>
      <c r="O913" s="1">
        <f t="shared" si="113"/>
        <v>43101</v>
      </c>
      <c r="P913" s="1">
        <f t="shared" si="114"/>
        <v>44531</v>
      </c>
      <c r="Q913" s="8">
        <f t="shared" si="115"/>
        <v>0</v>
      </c>
      <c r="R913" s="8">
        <f t="shared" si="116"/>
        <v>48</v>
      </c>
      <c r="S913" s="8">
        <f t="shared" ca="1" si="117"/>
        <v>48</v>
      </c>
      <c r="T913">
        <f t="shared" ca="1" si="118"/>
        <v>7.9800554415602916</v>
      </c>
      <c r="U913" s="8">
        <f t="shared" ca="1" si="119"/>
        <v>1.0001014120480185</v>
      </c>
      <c r="V913" s="8">
        <f ca="1">RawData[[#This Row],[Z (smoothed demand size)]]/RawData[[#This Row],[X (smoothed interval)]]</f>
        <v>7.97924624985645</v>
      </c>
    </row>
    <row r="914" spans="1:22">
      <c r="A914" t="s">
        <v>30</v>
      </c>
      <c r="B914" t="s">
        <v>14</v>
      </c>
      <c r="C914">
        <v>32</v>
      </c>
      <c r="D914" t="s">
        <v>22</v>
      </c>
      <c r="E914" t="s">
        <v>16</v>
      </c>
      <c r="F914" s="1">
        <v>44562</v>
      </c>
      <c r="G914">
        <v>6</v>
      </c>
      <c r="H914">
        <v>1</v>
      </c>
      <c r="I914">
        <v>1</v>
      </c>
      <c r="J914">
        <v>0</v>
      </c>
      <c r="K914">
        <v>1</v>
      </c>
      <c r="L914">
        <v>472</v>
      </c>
      <c r="M914">
        <v>15</v>
      </c>
      <c r="N914" s="1">
        <f t="shared" si="112"/>
        <v>44938</v>
      </c>
      <c r="O914" s="1">
        <f t="shared" si="113"/>
        <v>43101</v>
      </c>
      <c r="P914" s="1">
        <f t="shared" si="114"/>
        <v>44562</v>
      </c>
      <c r="Q914" s="8">
        <f t="shared" si="115"/>
        <v>0</v>
      </c>
      <c r="R914" s="8">
        <f t="shared" si="116"/>
        <v>49</v>
      </c>
      <c r="S914" s="8">
        <f t="shared" ca="1" si="117"/>
        <v>49</v>
      </c>
      <c r="T914">
        <f t="shared" ca="1" si="118"/>
        <v>7.5840443532482338</v>
      </c>
      <c r="U914" s="8">
        <f t="shared" ca="1" si="119"/>
        <v>1.0000811296384149</v>
      </c>
      <c r="V914" s="8">
        <f ca="1">RawData[[#This Row],[Z (smoothed demand size)]]/RawData[[#This Row],[X (smoothed interval)]]</f>
        <v>7.5834291123864013</v>
      </c>
    </row>
    <row r="915" spans="1:22">
      <c r="A915" t="s">
        <v>30</v>
      </c>
      <c r="B915" t="s">
        <v>14</v>
      </c>
      <c r="C915">
        <v>32</v>
      </c>
      <c r="D915" t="s">
        <v>22</v>
      </c>
      <c r="E915" t="s">
        <v>16</v>
      </c>
      <c r="F915" s="1">
        <v>44563</v>
      </c>
      <c r="G915">
        <v>6</v>
      </c>
      <c r="H915">
        <v>6</v>
      </c>
      <c r="I915">
        <v>11</v>
      </c>
      <c r="J915">
        <v>5</v>
      </c>
      <c r="K915">
        <v>0</v>
      </c>
      <c r="L915">
        <v>478</v>
      </c>
      <c r="M915">
        <v>60</v>
      </c>
      <c r="N915" s="1">
        <f t="shared" si="112"/>
        <v>44938</v>
      </c>
      <c r="O915" s="1">
        <f t="shared" si="113"/>
        <v>43101</v>
      </c>
      <c r="P915" s="1">
        <f t="shared" si="114"/>
        <v>44593</v>
      </c>
      <c r="Q915" s="8">
        <f t="shared" si="115"/>
        <v>0</v>
      </c>
      <c r="R915" s="8">
        <f t="shared" si="116"/>
        <v>50</v>
      </c>
      <c r="S915" s="8">
        <f t="shared" ca="1" si="117"/>
        <v>50</v>
      </c>
      <c r="T915">
        <f t="shared" ca="1" si="118"/>
        <v>7.2672354825985872</v>
      </c>
      <c r="U915" s="8">
        <f t="shared" ca="1" si="119"/>
        <v>1.0000649037107319</v>
      </c>
      <c r="V915" s="8">
        <f ca="1">RawData[[#This Row],[Z (smoothed demand size)]]/RawData[[#This Row],[X (smoothed interval)]]</f>
        <v>7.2667638426601862</v>
      </c>
    </row>
    <row r="916" spans="1:22">
      <c r="A916" t="s">
        <v>30</v>
      </c>
      <c r="B916" t="s">
        <v>14</v>
      </c>
      <c r="C916">
        <v>32</v>
      </c>
      <c r="D916" t="s">
        <v>22</v>
      </c>
      <c r="E916" t="s">
        <v>16</v>
      </c>
      <c r="F916" s="1">
        <v>44564</v>
      </c>
      <c r="G916">
        <v>11</v>
      </c>
      <c r="H916">
        <v>5</v>
      </c>
      <c r="I916">
        <v>5</v>
      </c>
      <c r="J916">
        <v>0</v>
      </c>
      <c r="K916">
        <v>1</v>
      </c>
      <c r="L916">
        <v>476</v>
      </c>
      <c r="M916">
        <v>30</v>
      </c>
      <c r="N916" s="1">
        <f t="shared" si="112"/>
        <v>44938</v>
      </c>
      <c r="O916" s="1">
        <f t="shared" si="113"/>
        <v>43101</v>
      </c>
      <c r="P916" s="1">
        <f t="shared" si="114"/>
        <v>44621</v>
      </c>
      <c r="Q916" s="8">
        <f t="shared" si="115"/>
        <v>0</v>
      </c>
      <c r="R916" s="8">
        <f t="shared" si="116"/>
        <v>51</v>
      </c>
      <c r="S916" s="8">
        <f t="shared" ca="1" si="117"/>
        <v>51</v>
      </c>
      <c r="T916">
        <f t="shared" ca="1" si="118"/>
        <v>8.0137883860788701</v>
      </c>
      <c r="U916" s="8">
        <f t="shared" ca="1" si="119"/>
        <v>1.0000519229685856</v>
      </c>
      <c r="V916" s="8">
        <f ca="1">RawData[[#This Row],[Z (smoothed demand size)]]/RawData[[#This Row],[X (smoothed interval)]]</f>
        <v>8.0133723080002568</v>
      </c>
    </row>
    <row r="917" spans="1:22">
      <c r="A917" t="s">
        <v>30</v>
      </c>
      <c r="B917" t="s">
        <v>14</v>
      </c>
      <c r="C917">
        <v>32</v>
      </c>
      <c r="D917" t="s">
        <v>22</v>
      </c>
      <c r="E917" t="s">
        <v>16</v>
      </c>
      <c r="F917" s="1">
        <v>44565</v>
      </c>
      <c r="G917">
        <v>11</v>
      </c>
      <c r="H917">
        <v>10</v>
      </c>
      <c r="I917">
        <v>10</v>
      </c>
      <c r="J917">
        <v>0</v>
      </c>
      <c r="K917">
        <v>1</v>
      </c>
      <c r="L917">
        <v>477</v>
      </c>
      <c r="M917">
        <v>30</v>
      </c>
      <c r="N917" s="1">
        <f t="shared" si="112"/>
        <v>44938</v>
      </c>
      <c r="O917" s="1">
        <f t="shared" si="113"/>
        <v>43101</v>
      </c>
      <c r="P917" s="1">
        <f t="shared" si="114"/>
        <v>44652</v>
      </c>
      <c r="Q917" s="8">
        <f t="shared" si="115"/>
        <v>0</v>
      </c>
      <c r="R917" s="8">
        <f t="shared" si="116"/>
        <v>52</v>
      </c>
      <c r="S917" s="8">
        <f t="shared" ca="1" si="117"/>
        <v>52</v>
      </c>
      <c r="T917">
        <f t="shared" ca="1" si="118"/>
        <v>8.6110307088630975</v>
      </c>
      <c r="U917" s="8">
        <f t="shared" ca="1" si="119"/>
        <v>1.0000415383748684</v>
      </c>
      <c r="V917" s="8">
        <f ca="1">RawData[[#This Row],[Z (smoothed demand size)]]/RawData[[#This Row],[X (smoothed interval)]]</f>
        <v>8.6106730354986798</v>
      </c>
    </row>
    <row r="918" spans="1:22">
      <c r="A918" t="s">
        <v>30</v>
      </c>
      <c r="B918" t="s">
        <v>14</v>
      </c>
      <c r="C918">
        <v>32</v>
      </c>
      <c r="D918" t="s">
        <v>22</v>
      </c>
      <c r="E918" t="s">
        <v>16</v>
      </c>
      <c r="F918" s="1">
        <v>44566</v>
      </c>
      <c r="G918">
        <v>10</v>
      </c>
      <c r="H918">
        <v>7</v>
      </c>
      <c r="I918">
        <v>7</v>
      </c>
      <c r="J918">
        <v>0</v>
      </c>
      <c r="K918">
        <v>1</v>
      </c>
      <c r="L918">
        <v>474</v>
      </c>
      <c r="M918">
        <v>30</v>
      </c>
      <c r="N918" s="1">
        <f t="shared" si="112"/>
        <v>44938</v>
      </c>
      <c r="O918" s="1">
        <f t="shared" si="113"/>
        <v>43101</v>
      </c>
      <c r="P918" s="1">
        <f t="shared" si="114"/>
        <v>44682</v>
      </c>
      <c r="Q918" s="8">
        <f t="shared" si="115"/>
        <v>0</v>
      </c>
      <c r="R918" s="8">
        <f t="shared" si="116"/>
        <v>53</v>
      </c>
      <c r="S918" s="8">
        <f t="shared" ca="1" si="117"/>
        <v>53</v>
      </c>
      <c r="T918">
        <f t="shared" ca="1" si="118"/>
        <v>8.8888245670904773</v>
      </c>
      <c r="U918" s="8">
        <f t="shared" ca="1" si="119"/>
        <v>1.0000332306998947</v>
      </c>
      <c r="V918" s="8">
        <f ca="1">RawData[[#This Row],[Z (smoothed demand size)]]/RawData[[#This Row],[X (smoothed interval)]]</f>
        <v>8.888529195044292</v>
      </c>
    </row>
    <row r="919" spans="1:22">
      <c r="A919" t="s">
        <v>30</v>
      </c>
      <c r="B919" t="s">
        <v>14</v>
      </c>
      <c r="C919">
        <v>32</v>
      </c>
      <c r="D919" t="s">
        <v>22</v>
      </c>
      <c r="E919" t="s">
        <v>16</v>
      </c>
      <c r="F919" s="1">
        <v>44567</v>
      </c>
      <c r="G919">
        <v>9</v>
      </c>
      <c r="H919">
        <v>9</v>
      </c>
      <c r="I919">
        <v>9</v>
      </c>
      <c r="J919">
        <v>0</v>
      </c>
      <c r="K919">
        <v>0</v>
      </c>
      <c r="L919">
        <v>545</v>
      </c>
      <c r="M919">
        <v>15</v>
      </c>
      <c r="N919" s="1">
        <f t="shared" si="112"/>
        <v>44938</v>
      </c>
      <c r="O919" s="1">
        <f t="shared" si="113"/>
        <v>43101</v>
      </c>
      <c r="P919" s="1">
        <f t="shared" si="114"/>
        <v>44713</v>
      </c>
      <c r="Q919" s="8">
        <f t="shared" si="115"/>
        <v>0</v>
      </c>
      <c r="R919" s="8">
        <f t="shared" si="116"/>
        <v>54</v>
      </c>
      <c r="S919" s="8">
        <f t="shared" ca="1" si="117"/>
        <v>54</v>
      </c>
      <c r="T919">
        <f t="shared" ca="1" si="118"/>
        <v>8.9110596536723818</v>
      </c>
      <c r="U919" s="8">
        <f t="shared" ca="1" si="119"/>
        <v>1.0000265845599159</v>
      </c>
      <c r="V919" s="8">
        <f ca="1">RawData[[#This Row],[Z (smoothed demand size)]]/RawData[[#This Row],[X (smoothed interval)]]</f>
        <v>8.9108227633707298</v>
      </c>
    </row>
    <row r="920" spans="1:22">
      <c r="A920" t="s">
        <v>30</v>
      </c>
      <c r="B920" t="s">
        <v>14</v>
      </c>
      <c r="C920">
        <v>32</v>
      </c>
      <c r="D920" t="s">
        <v>22</v>
      </c>
      <c r="E920" t="s">
        <v>16</v>
      </c>
      <c r="F920" s="1">
        <v>44568</v>
      </c>
      <c r="G920">
        <v>6</v>
      </c>
      <c r="H920">
        <v>6</v>
      </c>
      <c r="I920">
        <v>11</v>
      </c>
      <c r="J920">
        <v>5</v>
      </c>
      <c r="K920">
        <v>0</v>
      </c>
      <c r="L920">
        <v>545</v>
      </c>
      <c r="M920">
        <v>30</v>
      </c>
      <c r="N920" s="1">
        <f t="shared" si="112"/>
        <v>44938</v>
      </c>
      <c r="O920" s="1">
        <f t="shared" si="113"/>
        <v>43101</v>
      </c>
      <c r="P920" s="1">
        <f t="shared" si="114"/>
        <v>44743</v>
      </c>
      <c r="Q920" s="8">
        <f t="shared" si="115"/>
        <v>0</v>
      </c>
      <c r="R920" s="8">
        <f t="shared" si="116"/>
        <v>55</v>
      </c>
      <c r="S920" s="8">
        <f t="shared" ca="1" si="117"/>
        <v>55</v>
      </c>
      <c r="T920">
        <f t="shared" ca="1" si="118"/>
        <v>8.3288477229379048</v>
      </c>
      <c r="U920" s="8">
        <f t="shared" ca="1" si="119"/>
        <v>1.0000212676479328</v>
      </c>
      <c r="V920" s="8">
        <f ca="1">RawData[[#This Row],[Z (smoothed demand size)]]/RawData[[#This Row],[X (smoothed interval)]]</f>
        <v>8.3286705917040127</v>
      </c>
    </row>
    <row r="921" spans="1:22">
      <c r="A921" t="s">
        <v>30</v>
      </c>
      <c r="B921" t="s">
        <v>14</v>
      </c>
      <c r="C921">
        <v>32</v>
      </c>
      <c r="D921" t="s">
        <v>22</v>
      </c>
      <c r="E921" t="s">
        <v>16</v>
      </c>
      <c r="F921" s="1">
        <v>44569</v>
      </c>
      <c r="G921">
        <v>13</v>
      </c>
      <c r="H921">
        <v>13</v>
      </c>
      <c r="I921">
        <v>14</v>
      </c>
      <c r="J921">
        <v>1</v>
      </c>
      <c r="K921">
        <v>0</v>
      </c>
      <c r="L921">
        <v>545</v>
      </c>
      <c r="M921">
        <v>45</v>
      </c>
      <c r="N921" s="1">
        <f t="shared" si="112"/>
        <v>44938</v>
      </c>
      <c r="O921" s="1">
        <f t="shared" si="113"/>
        <v>43101</v>
      </c>
      <c r="P921" s="1">
        <f t="shared" si="114"/>
        <v>44774</v>
      </c>
      <c r="Q921" s="8">
        <f t="shared" si="115"/>
        <v>0</v>
      </c>
      <c r="R921" s="8">
        <f t="shared" si="116"/>
        <v>56</v>
      </c>
      <c r="S921" s="8">
        <f t="shared" ca="1" si="117"/>
        <v>56</v>
      </c>
      <c r="T921">
        <f t="shared" ca="1" si="118"/>
        <v>9.2630781783503249</v>
      </c>
      <c r="U921" s="8">
        <f t="shared" ca="1" si="119"/>
        <v>1.0000170141183462</v>
      </c>
      <c r="V921" s="8">
        <f ca="1">RawData[[#This Row],[Z (smoothed demand size)]]/RawData[[#This Row],[X (smoothed interval)]]</f>
        <v>9.2629205779233814</v>
      </c>
    </row>
    <row r="922" spans="1:22">
      <c r="A922" t="s">
        <v>30</v>
      </c>
      <c r="B922" t="s">
        <v>14</v>
      </c>
      <c r="C922">
        <v>32</v>
      </c>
      <c r="D922" t="s">
        <v>22</v>
      </c>
      <c r="E922" t="s">
        <v>16</v>
      </c>
      <c r="F922" s="1">
        <v>44570</v>
      </c>
      <c r="G922">
        <v>7</v>
      </c>
      <c r="H922">
        <v>1</v>
      </c>
      <c r="I922">
        <v>1</v>
      </c>
      <c r="J922">
        <v>0</v>
      </c>
      <c r="K922">
        <v>1</v>
      </c>
      <c r="L922">
        <v>477</v>
      </c>
      <c r="M922">
        <v>15</v>
      </c>
      <c r="N922" s="1">
        <f t="shared" si="112"/>
        <v>44938</v>
      </c>
      <c r="O922" s="1">
        <f t="shared" si="113"/>
        <v>43101</v>
      </c>
      <c r="P922" s="1">
        <f t="shared" si="114"/>
        <v>44805</v>
      </c>
      <c r="Q922" s="8">
        <f t="shared" si="115"/>
        <v>0</v>
      </c>
      <c r="R922" s="8">
        <f t="shared" si="116"/>
        <v>57</v>
      </c>
      <c r="S922" s="8">
        <f t="shared" ca="1" si="117"/>
        <v>57</v>
      </c>
      <c r="T922">
        <f t="shared" ca="1" si="118"/>
        <v>8.810462542680261</v>
      </c>
      <c r="U922" s="8">
        <f t="shared" ca="1" si="119"/>
        <v>1.0000136112946769</v>
      </c>
      <c r="V922" s="8">
        <f ca="1">RawData[[#This Row],[Z (smoothed demand size)]]/RawData[[#This Row],[X (smoothed interval)]]</f>
        <v>8.8103426225106212</v>
      </c>
    </row>
    <row r="923" spans="1:22">
      <c r="A923" t="s">
        <v>30</v>
      </c>
      <c r="B923" t="s">
        <v>14</v>
      </c>
      <c r="C923">
        <v>32</v>
      </c>
      <c r="D923" t="s">
        <v>22</v>
      </c>
      <c r="E923" t="s">
        <v>16</v>
      </c>
      <c r="F923" s="1">
        <v>44571</v>
      </c>
      <c r="G923">
        <v>12</v>
      </c>
      <c r="H923">
        <v>7</v>
      </c>
      <c r="I923">
        <v>7</v>
      </c>
      <c r="J923">
        <v>0</v>
      </c>
      <c r="K923">
        <v>1</v>
      </c>
      <c r="L923">
        <v>466</v>
      </c>
      <c r="M923">
        <v>15</v>
      </c>
      <c r="N923" s="1">
        <f t="shared" si="112"/>
        <v>44938</v>
      </c>
      <c r="O923" s="1">
        <f t="shared" si="113"/>
        <v>43101</v>
      </c>
      <c r="P923" s="1">
        <f t="shared" si="114"/>
        <v>44835</v>
      </c>
      <c r="Q923" s="8">
        <f t="shared" si="115"/>
        <v>0</v>
      </c>
      <c r="R923" s="8">
        <f t="shared" si="116"/>
        <v>58</v>
      </c>
      <c r="S923" s="8">
        <f t="shared" ca="1" si="117"/>
        <v>58</v>
      </c>
      <c r="T923">
        <f t="shared" ca="1" si="118"/>
        <v>9.4483700341442098</v>
      </c>
      <c r="U923" s="8">
        <f t="shared" ca="1" si="119"/>
        <v>1.0000108890357415</v>
      </c>
      <c r="V923" s="8">
        <f ca="1">RawData[[#This Row],[Z (smoothed demand size)]]/RawData[[#This Row],[X (smoothed interval)]]</f>
        <v>9.448267151625501</v>
      </c>
    </row>
    <row r="924" spans="1:22">
      <c r="A924" t="s">
        <v>30</v>
      </c>
      <c r="B924" t="s">
        <v>14</v>
      </c>
      <c r="C924">
        <v>32</v>
      </c>
      <c r="D924" t="s">
        <v>22</v>
      </c>
      <c r="E924" t="s">
        <v>16</v>
      </c>
      <c r="F924" s="1">
        <v>44572</v>
      </c>
      <c r="G924">
        <v>14</v>
      </c>
      <c r="H924">
        <v>11</v>
      </c>
      <c r="I924">
        <v>11</v>
      </c>
      <c r="J924">
        <v>0</v>
      </c>
      <c r="K924">
        <v>1</v>
      </c>
      <c r="L924">
        <v>477</v>
      </c>
      <c r="M924">
        <v>45</v>
      </c>
      <c r="N924" s="1">
        <f t="shared" si="112"/>
        <v>44938</v>
      </c>
      <c r="O924" s="1">
        <f t="shared" si="113"/>
        <v>43101</v>
      </c>
      <c r="P924" s="1">
        <f t="shared" si="114"/>
        <v>44866</v>
      </c>
      <c r="Q924" s="8">
        <f t="shared" si="115"/>
        <v>0</v>
      </c>
      <c r="R924" s="8">
        <f t="shared" si="116"/>
        <v>59</v>
      </c>
      <c r="S924" s="8">
        <f t="shared" ca="1" si="117"/>
        <v>59</v>
      </c>
      <c r="T924">
        <f t="shared" ca="1" si="118"/>
        <v>10.358696027315368</v>
      </c>
      <c r="U924" s="8">
        <f t="shared" ca="1" si="119"/>
        <v>1.0000087112285934</v>
      </c>
      <c r="V924" s="8">
        <f ca="1">RawData[[#This Row],[Z (smoothed demand size)]]/RawData[[#This Row],[X (smoothed interval)]]</f>
        <v>10.358605791132414</v>
      </c>
    </row>
    <row r="925" spans="1:22">
      <c r="A925" t="s">
        <v>30</v>
      </c>
      <c r="B925" t="s">
        <v>14</v>
      </c>
      <c r="C925">
        <v>32</v>
      </c>
      <c r="D925" t="s">
        <v>22</v>
      </c>
      <c r="E925" t="s">
        <v>16</v>
      </c>
      <c r="F925" s="1">
        <v>44573</v>
      </c>
      <c r="G925">
        <v>13</v>
      </c>
      <c r="H925">
        <v>0</v>
      </c>
      <c r="I925">
        <v>0</v>
      </c>
      <c r="J925">
        <v>0</v>
      </c>
      <c r="K925">
        <v>1</v>
      </c>
      <c r="L925">
        <v>542</v>
      </c>
      <c r="M925">
        <v>45</v>
      </c>
      <c r="N925" s="1">
        <f t="shared" si="112"/>
        <v>44938</v>
      </c>
      <c r="O925" s="1">
        <f t="shared" si="113"/>
        <v>43101</v>
      </c>
      <c r="P925" s="1">
        <f t="shared" si="114"/>
        <v>44896</v>
      </c>
      <c r="Q925" s="8">
        <f t="shared" si="115"/>
        <v>0</v>
      </c>
      <c r="R925" s="8">
        <f t="shared" si="116"/>
        <v>60</v>
      </c>
      <c r="S925" s="8">
        <f t="shared" ca="1" si="117"/>
        <v>60</v>
      </c>
      <c r="T925">
        <f t="shared" ca="1" si="118"/>
        <v>10.886956821852294</v>
      </c>
      <c r="U925" s="8">
        <f t="shared" ca="1" si="119"/>
        <v>1.0000069689828748</v>
      </c>
      <c r="V925" s="8">
        <f ca="1">RawData[[#This Row],[Z (smoothed demand size)]]/RawData[[#This Row],[X (smoothed interval)]]</f>
        <v>10.886880951365384</v>
      </c>
    </row>
    <row r="926" spans="1:22">
      <c r="A926" t="s">
        <v>30</v>
      </c>
      <c r="B926" t="s">
        <v>14</v>
      </c>
      <c r="C926">
        <v>32</v>
      </c>
      <c r="D926" t="s">
        <v>22</v>
      </c>
      <c r="E926" t="s">
        <v>16</v>
      </c>
      <c r="F926" s="1">
        <v>44927</v>
      </c>
      <c r="G926">
        <v>6</v>
      </c>
      <c r="H926">
        <v>6</v>
      </c>
      <c r="I926">
        <v>7</v>
      </c>
      <c r="J926">
        <v>1</v>
      </c>
      <c r="K926">
        <v>0</v>
      </c>
      <c r="L926">
        <v>472</v>
      </c>
      <c r="M926">
        <v>60</v>
      </c>
      <c r="N926" s="1">
        <f t="shared" si="112"/>
        <v>44938</v>
      </c>
      <c r="O926" s="1">
        <f t="shared" si="113"/>
        <v>43101</v>
      </c>
      <c r="P926" s="1">
        <f t="shared" si="114"/>
        <v>44927</v>
      </c>
      <c r="Q926" s="8">
        <f t="shared" si="115"/>
        <v>0</v>
      </c>
      <c r="R926" s="8">
        <f t="shared" si="116"/>
        <v>61</v>
      </c>
      <c r="S926" s="8">
        <f t="shared" ca="1" si="117"/>
        <v>61</v>
      </c>
      <c r="T926">
        <f t="shared" ca="1" si="118"/>
        <v>9.9095654574818361</v>
      </c>
      <c r="U926" s="8">
        <f t="shared" ca="1" si="119"/>
        <v>1.0000055751863</v>
      </c>
      <c r="V926" s="8">
        <f ca="1">RawData[[#This Row],[Z (smoothed demand size)]]/RawData[[#This Row],[X (smoothed interval)]]</f>
        <v>9.9095102101162738</v>
      </c>
    </row>
    <row r="927" spans="1:22">
      <c r="A927" t="s">
        <v>30</v>
      </c>
      <c r="B927" t="s">
        <v>14</v>
      </c>
      <c r="C927">
        <v>32</v>
      </c>
      <c r="D927" t="s">
        <v>22</v>
      </c>
      <c r="E927" t="s">
        <v>16</v>
      </c>
      <c r="F927" s="1">
        <v>44928</v>
      </c>
      <c r="G927">
        <v>12</v>
      </c>
      <c r="H927">
        <v>1</v>
      </c>
      <c r="I927">
        <v>1</v>
      </c>
      <c r="J927">
        <v>0</v>
      </c>
      <c r="K927">
        <v>1</v>
      </c>
      <c r="L927">
        <v>466</v>
      </c>
      <c r="M927">
        <v>15</v>
      </c>
      <c r="N927" s="1">
        <f t="shared" si="112"/>
        <v>44938</v>
      </c>
      <c r="O927" s="1">
        <f t="shared" si="113"/>
        <v>43101</v>
      </c>
      <c r="P927" s="1">
        <f t="shared" si="114"/>
        <v>44958</v>
      </c>
      <c r="Q927" s="8">
        <f t="shared" si="115"/>
        <v>0</v>
      </c>
      <c r="R927" s="8">
        <f t="shared" si="116"/>
        <v>62</v>
      </c>
      <c r="S927" s="8">
        <f t="shared" ca="1" si="117"/>
        <v>62</v>
      </c>
      <c r="T927">
        <f t="shared" ca="1" si="118"/>
        <v>10.32765236598547</v>
      </c>
      <c r="U927" s="8">
        <f t="shared" ca="1" si="119"/>
        <v>1.0000044601490401</v>
      </c>
      <c r="V927" s="8">
        <f ca="1">RawData[[#This Row],[Z (smoothed demand size)]]/RawData[[#This Row],[X (smoothed interval)]]</f>
        <v>10.327606303322129</v>
      </c>
    </row>
    <row r="928" spans="1:22">
      <c r="A928" t="s">
        <v>30</v>
      </c>
      <c r="B928" t="s">
        <v>14</v>
      </c>
      <c r="C928">
        <v>32</v>
      </c>
      <c r="D928" t="s">
        <v>22</v>
      </c>
      <c r="E928" t="s">
        <v>16</v>
      </c>
      <c r="F928" s="1">
        <v>44929</v>
      </c>
      <c r="G928">
        <v>8</v>
      </c>
      <c r="H928">
        <v>7</v>
      </c>
      <c r="I928">
        <v>7</v>
      </c>
      <c r="J928">
        <v>0</v>
      </c>
      <c r="K928">
        <v>1</v>
      </c>
      <c r="L928">
        <v>472</v>
      </c>
      <c r="M928">
        <v>60</v>
      </c>
      <c r="N928" s="1">
        <f t="shared" si="112"/>
        <v>44938</v>
      </c>
      <c r="O928" s="1">
        <f t="shared" si="113"/>
        <v>43101</v>
      </c>
      <c r="P928" s="1">
        <f t="shared" si="114"/>
        <v>44986</v>
      </c>
      <c r="Q928" s="8">
        <f t="shared" si="115"/>
        <v>0</v>
      </c>
      <c r="R928" s="8">
        <f t="shared" si="116"/>
        <v>63</v>
      </c>
      <c r="S928" s="8">
        <f t="shared" ca="1" si="117"/>
        <v>63</v>
      </c>
      <c r="T928">
        <f t="shared" ca="1" si="118"/>
        <v>9.8621218927883767</v>
      </c>
      <c r="U928" s="8">
        <f t="shared" ca="1" si="119"/>
        <v>1.0000035681192321</v>
      </c>
      <c r="V928" s="8">
        <f ca="1">RawData[[#This Row],[Z (smoothed demand size)]]/RawData[[#This Row],[X (smoothed interval)]]</f>
        <v>9.8620867036871402</v>
      </c>
    </row>
    <row r="929" spans="1:22">
      <c r="A929" t="s">
        <v>30</v>
      </c>
      <c r="B929" t="s">
        <v>14</v>
      </c>
      <c r="C929">
        <v>32</v>
      </c>
      <c r="D929" t="s">
        <v>22</v>
      </c>
      <c r="E929" t="s">
        <v>16</v>
      </c>
      <c r="F929" s="1">
        <v>44930</v>
      </c>
      <c r="G929">
        <v>9</v>
      </c>
      <c r="H929">
        <v>0</v>
      </c>
      <c r="I929">
        <v>0</v>
      </c>
      <c r="J929">
        <v>0</v>
      </c>
      <c r="K929">
        <v>1</v>
      </c>
      <c r="L929">
        <v>475</v>
      </c>
      <c r="M929">
        <v>30</v>
      </c>
      <c r="N929" s="1">
        <f t="shared" si="112"/>
        <v>44938</v>
      </c>
      <c r="O929" s="1">
        <f t="shared" si="113"/>
        <v>43101</v>
      </c>
      <c r="P929" s="1">
        <f t="shared" si="114"/>
        <v>45017</v>
      </c>
      <c r="Q929" s="8">
        <f t="shared" si="115"/>
        <v>0</v>
      </c>
      <c r="R929" s="8">
        <f t="shared" si="116"/>
        <v>64</v>
      </c>
      <c r="S929" s="8">
        <f t="shared" ca="1" si="117"/>
        <v>64</v>
      </c>
      <c r="T929">
        <f t="shared" ca="1" si="118"/>
        <v>9.6896975142307014</v>
      </c>
      <c r="U929" s="8">
        <f t="shared" ca="1" si="119"/>
        <v>1.0000028544953856</v>
      </c>
      <c r="V929" s="8">
        <f ca="1">RawData[[#This Row],[Z (smoothed demand size)]]/RawData[[#This Row],[X (smoothed interval)]]</f>
        <v>9.6896698551128111</v>
      </c>
    </row>
    <row r="930" spans="1:22">
      <c r="A930" t="s">
        <v>30</v>
      </c>
      <c r="B930" t="s">
        <v>14</v>
      </c>
      <c r="C930">
        <v>32</v>
      </c>
      <c r="D930" t="s">
        <v>22</v>
      </c>
      <c r="E930" t="s">
        <v>16</v>
      </c>
      <c r="F930" s="1">
        <v>44931</v>
      </c>
      <c r="G930">
        <v>5</v>
      </c>
      <c r="H930">
        <v>5</v>
      </c>
      <c r="I930">
        <v>8</v>
      </c>
      <c r="J930">
        <v>3</v>
      </c>
      <c r="K930">
        <v>0</v>
      </c>
      <c r="L930">
        <v>476</v>
      </c>
      <c r="M930">
        <v>45</v>
      </c>
      <c r="N930" s="1">
        <f t="shared" si="112"/>
        <v>44938</v>
      </c>
      <c r="O930" s="1">
        <f t="shared" si="113"/>
        <v>43101</v>
      </c>
      <c r="P930" s="1">
        <f t="shared" si="114"/>
        <v>45047</v>
      </c>
      <c r="Q930" s="8">
        <f t="shared" si="115"/>
        <v>0</v>
      </c>
      <c r="R930" s="8">
        <f t="shared" si="116"/>
        <v>65</v>
      </c>
      <c r="S930" s="8">
        <f t="shared" ca="1" si="117"/>
        <v>65</v>
      </c>
      <c r="T930">
        <f t="shared" ca="1" si="118"/>
        <v>8.7517580113845614</v>
      </c>
      <c r="U930" s="8">
        <f t="shared" ca="1" si="119"/>
        <v>1.0000022835963085</v>
      </c>
      <c r="V930" s="8">
        <f ca="1">RawData[[#This Row],[Z (smoothed demand size)]]/RawData[[#This Row],[X (smoothed interval)]]</f>
        <v>8.7517380259479118</v>
      </c>
    </row>
    <row r="931" spans="1:22">
      <c r="A931" t="s">
        <v>30</v>
      </c>
      <c r="B931" t="s">
        <v>14</v>
      </c>
      <c r="C931">
        <v>32</v>
      </c>
      <c r="D931" t="s">
        <v>22</v>
      </c>
      <c r="E931" t="s">
        <v>16</v>
      </c>
      <c r="F931" s="1">
        <v>44932</v>
      </c>
      <c r="G931">
        <v>8</v>
      </c>
      <c r="H931">
        <v>3</v>
      </c>
      <c r="I931">
        <v>3</v>
      </c>
      <c r="J931">
        <v>0</v>
      </c>
      <c r="K931">
        <v>1</v>
      </c>
      <c r="L931">
        <v>538</v>
      </c>
      <c r="M931">
        <v>30</v>
      </c>
      <c r="N931" s="1">
        <f t="shared" si="112"/>
        <v>44938</v>
      </c>
      <c r="O931" s="1">
        <f t="shared" si="113"/>
        <v>43101</v>
      </c>
      <c r="P931" s="1">
        <f t="shared" si="114"/>
        <v>45078</v>
      </c>
      <c r="Q931" s="8">
        <f t="shared" si="115"/>
        <v>0</v>
      </c>
      <c r="R931" s="8">
        <f t="shared" si="116"/>
        <v>66</v>
      </c>
      <c r="S931" s="8">
        <f t="shared" ca="1" si="117"/>
        <v>66</v>
      </c>
      <c r="T931">
        <f t="shared" ca="1" si="118"/>
        <v>8.6014064091076499</v>
      </c>
      <c r="U931" s="8">
        <f t="shared" ca="1" si="119"/>
        <v>1.0000018268770468</v>
      </c>
      <c r="V931" s="8">
        <f ca="1">RawData[[#This Row],[Z (smoothed demand size)]]/RawData[[#This Row],[X (smoothed interval)]]</f>
        <v>8.6013906954244188</v>
      </c>
    </row>
    <row r="932" spans="1:22">
      <c r="A932" t="s">
        <v>30</v>
      </c>
      <c r="B932" t="s">
        <v>14</v>
      </c>
      <c r="C932">
        <v>32</v>
      </c>
      <c r="D932" t="s">
        <v>22</v>
      </c>
      <c r="E932" t="s">
        <v>16</v>
      </c>
      <c r="F932" s="1">
        <v>44933</v>
      </c>
      <c r="G932">
        <v>8</v>
      </c>
      <c r="H932">
        <v>7</v>
      </c>
      <c r="I932">
        <v>7</v>
      </c>
      <c r="J932">
        <v>0</v>
      </c>
      <c r="K932">
        <v>1</v>
      </c>
      <c r="L932">
        <v>547</v>
      </c>
      <c r="M932">
        <v>30</v>
      </c>
      <c r="N932" s="1">
        <f t="shared" si="112"/>
        <v>44938</v>
      </c>
      <c r="O932" s="1">
        <f t="shared" si="113"/>
        <v>43101</v>
      </c>
      <c r="P932" s="1">
        <f t="shared" si="114"/>
        <v>45108</v>
      </c>
      <c r="Q932" s="8">
        <f t="shared" si="115"/>
        <v>0</v>
      </c>
      <c r="R932" s="8">
        <f t="shared" si="116"/>
        <v>67</v>
      </c>
      <c r="S932" s="8">
        <f t="shared" ca="1" si="117"/>
        <v>67</v>
      </c>
      <c r="T932">
        <f t="shared" ca="1" si="118"/>
        <v>8.4811251272861199</v>
      </c>
      <c r="U932" s="8">
        <f t="shared" ca="1" si="119"/>
        <v>1.0000014615016375</v>
      </c>
      <c r="V932" s="8">
        <f ca="1">RawData[[#This Row],[Z (smoothed demand size)]]/RawData[[#This Row],[X (smoothed interval)]]</f>
        <v>8.4811127321259736</v>
      </c>
    </row>
    <row r="933" spans="1:22">
      <c r="A933" t="s">
        <v>30</v>
      </c>
      <c r="B933" t="s">
        <v>14</v>
      </c>
      <c r="C933">
        <v>32</v>
      </c>
      <c r="D933" t="s">
        <v>22</v>
      </c>
      <c r="E933" t="s">
        <v>16</v>
      </c>
      <c r="F933" s="1">
        <v>44934</v>
      </c>
      <c r="G933">
        <v>12</v>
      </c>
      <c r="H933">
        <v>11</v>
      </c>
      <c r="I933">
        <v>11</v>
      </c>
      <c r="J933">
        <v>0</v>
      </c>
      <c r="K933">
        <v>1</v>
      </c>
      <c r="L933">
        <v>551</v>
      </c>
      <c r="M933">
        <v>45</v>
      </c>
      <c r="N933" s="1">
        <f t="shared" si="112"/>
        <v>44938</v>
      </c>
      <c r="O933" s="1">
        <f t="shared" si="113"/>
        <v>43101</v>
      </c>
      <c r="P933" s="1">
        <f t="shared" si="114"/>
        <v>45139</v>
      </c>
      <c r="Q933" s="8">
        <f t="shared" si="115"/>
        <v>0</v>
      </c>
      <c r="R933" s="8">
        <f t="shared" si="116"/>
        <v>68</v>
      </c>
      <c r="S933" s="8">
        <f t="shared" ca="1" si="117"/>
        <v>68</v>
      </c>
      <c r="T933">
        <f t="shared" ca="1" si="118"/>
        <v>9.1849001018288963</v>
      </c>
      <c r="U933" s="8">
        <f t="shared" ca="1" si="119"/>
        <v>1.00000116920131</v>
      </c>
      <c r="V933" s="8">
        <f ca="1">RawData[[#This Row],[Z (smoothed demand size)]]/RawData[[#This Row],[X (smoothed interval)]]</f>
        <v>9.1848893628442205</v>
      </c>
    </row>
    <row r="934" spans="1:22">
      <c r="A934" t="s">
        <v>30</v>
      </c>
      <c r="B934" t="s">
        <v>14</v>
      </c>
      <c r="C934">
        <v>32</v>
      </c>
      <c r="D934" t="s">
        <v>22</v>
      </c>
      <c r="E934" t="s">
        <v>16</v>
      </c>
      <c r="F934" s="1">
        <v>44935</v>
      </c>
      <c r="G934">
        <v>5</v>
      </c>
      <c r="H934">
        <v>0</v>
      </c>
      <c r="I934">
        <v>0</v>
      </c>
      <c r="J934">
        <v>0</v>
      </c>
      <c r="K934">
        <v>1</v>
      </c>
      <c r="L934">
        <v>471</v>
      </c>
      <c r="M934">
        <v>45</v>
      </c>
      <c r="N934" s="1">
        <f t="shared" si="112"/>
        <v>44938</v>
      </c>
      <c r="O934" s="1">
        <f t="shared" si="113"/>
        <v>43101</v>
      </c>
      <c r="P934" s="1">
        <f t="shared" si="114"/>
        <v>45170</v>
      </c>
      <c r="Q934" s="8">
        <f t="shared" si="115"/>
        <v>0</v>
      </c>
      <c r="R934" s="8">
        <f t="shared" si="116"/>
        <v>69</v>
      </c>
      <c r="S934" s="8">
        <f t="shared" ca="1" si="117"/>
        <v>69</v>
      </c>
      <c r="T934">
        <f t="shared" ca="1" si="118"/>
        <v>8.3479200814631174</v>
      </c>
      <c r="U934" s="8">
        <f t="shared" ca="1" si="119"/>
        <v>1.0000009353610479</v>
      </c>
      <c r="V934" s="8">
        <f ca="1">RawData[[#This Row],[Z (smoothed demand size)]]/RawData[[#This Row],[X (smoothed interval)]]</f>
        <v>8.3479122731511453</v>
      </c>
    </row>
    <row r="935" spans="1:22">
      <c r="A935" t="s">
        <v>30</v>
      </c>
      <c r="B935" t="s">
        <v>14</v>
      </c>
      <c r="C935">
        <v>32</v>
      </c>
      <c r="D935" t="s">
        <v>22</v>
      </c>
      <c r="E935" t="s">
        <v>16</v>
      </c>
      <c r="F935" s="1">
        <v>44936</v>
      </c>
      <c r="G935">
        <v>6</v>
      </c>
      <c r="H935">
        <v>6</v>
      </c>
      <c r="I935">
        <v>8</v>
      </c>
      <c r="J935">
        <v>2</v>
      </c>
      <c r="K935">
        <v>0</v>
      </c>
      <c r="L935">
        <v>474</v>
      </c>
      <c r="M935">
        <v>30</v>
      </c>
      <c r="N935" s="1">
        <f t="shared" si="112"/>
        <v>44938</v>
      </c>
      <c r="O935" s="1">
        <f t="shared" si="113"/>
        <v>43101</v>
      </c>
      <c r="P935" s="1">
        <f t="shared" si="114"/>
        <v>45200</v>
      </c>
      <c r="Q935" s="8">
        <f t="shared" si="115"/>
        <v>0</v>
      </c>
      <c r="R935" s="8">
        <f t="shared" si="116"/>
        <v>70</v>
      </c>
      <c r="S935" s="8">
        <f t="shared" ca="1" si="117"/>
        <v>70</v>
      </c>
      <c r="T935">
        <f t="shared" ca="1" si="118"/>
        <v>7.8783360651704948</v>
      </c>
      <c r="U935" s="8">
        <f t="shared" ca="1" si="119"/>
        <v>1.0000007482888384</v>
      </c>
      <c r="V935" s="8">
        <f ca="1">RawData[[#This Row],[Z (smoothed demand size)]]/RawData[[#This Row],[X (smoothed interval)]]</f>
        <v>7.878330169903963</v>
      </c>
    </row>
    <row r="936" spans="1:22">
      <c r="A936" t="s">
        <v>30</v>
      </c>
      <c r="B936" t="s">
        <v>14</v>
      </c>
      <c r="C936">
        <v>32</v>
      </c>
      <c r="D936" t="s">
        <v>22</v>
      </c>
      <c r="E936" t="s">
        <v>16</v>
      </c>
      <c r="F936" s="1">
        <v>44937</v>
      </c>
      <c r="G936">
        <v>8</v>
      </c>
      <c r="H936">
        <v>8</v>
      </c>
      <c r="I936">
        <v>11</v>
      </c>
      <c r="J936">
        <v>3</v>
      </c>
      <c r="K936">
        <v>0</v>
      </c>
      <c r="L936">
        <v>464</v>
      </c>
      <c r="M936">
        <v>45</v>
      </c>
      <c r="N936" s="1">
        <f t="shared" si="112"/>
        <v>44938</v>
      </c>
      <c r="O936" s="1">
        <f t="shared" si="113"/>
        <v>43101</v>
      </c>
      <c r="P936" s="1">
        <f t="shared" si="114"/>
        <v>45231</v>
      </c>
      <c r="Q936" s="8">
        <f t="shared" si="115"/>
        <v>0</v>
      </c>
      <c r="R936" s="8">
        <f t="shared" si="116"/>
        <v>71</v>
      </c>
      <c r="S936" s="8">
        <f t="shared" ca="1" si="117"/>
        <v>71</v>
      </c>
      <c r="T936">
        <f t="shared" ca="1" si="118"/>
        <v>7.9026688521363955</v>
      </c>
      <c r="U936" s="8">
        <f t="shared" ca="1" si="119"/>
        <v>1.0000005986310707</v>
      </c>
      <c r="V936" s="8">
        <f ca="1">RawData[[#This Row],[Z (smoothed demand size)]]/RawData[[#This Row],[X (smoothed interval)]]</f>
        <v>7.9026641213561106</v>
      </c>
    </row>
    <row r="937" spans="1:22">
      <c r="A937" t="s">
        <v>30</v>
      </c>
      <c r="B937" t="s">
        <v>14</v>
      </c>
      <c r="C937">
        <v>32</v>
      </c>
      <c r="D937" t="s">
        <v>22</v>
      </c>
      <c r="E937" t="s">
        <v>16</v>
      </c>
      <c r="F937" s="1">
        <v>44938</v>
      </c>
      <c r="G937">
        <v>7</v>
      </c>
      <c r="H937">
        <v>3</v>
      </c>
      <c r="I937">
        <v>3</v>
      </c>
      <c r="J937">
        <v>0</v>
      </c>
      <c r="K937">
        <v>1</v>
      </c>
      <c r="L937">
        <v>540</v>
      </c>
      <c r="M937">
        <v>45</v>
      </c>
      <c r="N937" s="1">
        <f t="shared" si="112"/>
        <v>44938</v>
      </c>
      <c r="O937" s="1">
        <f t="shared" si="113"/>
        <v>43101</v>
      </c>
      <c r="P937" s="1">
        <f t="shared" si="114"/>
        <v>45261</v>
      </c>
      <c r="Q937" s="8">
        <f t="shared" si="115"/>
        <v>0</v>
      </c>
      <c r="R937" s="8">
        <f t="shared" si="116"/>
        <v>72</v>
      </c>
      <c r="S937" s="8">
        <f t="shared" ca="1" si="117"/>
        <v>72</v>
      </c>
      <c r="T937">
        <f t="shared" ca="1" si="118"/>
        <v>7.7221350817091174</v>
      </c>
      <c r="U937" s="8">
        <f t="shared" ca="1" si="119"/>
        <v>1.0000004789048567</v>
      </c>
      <c r="V937" s="8">
        <f ca="1">RawData[[#This Row],[Z (smoothed demand size)]]/RawData[[#This Row],[X (smoothed interval)]]</f>
        <v>7.7221313835428944</v>
      </c>
    </row>
    <row r="938" spans="1:22">
      <c r="A938" t="s">
        <v>31</v>
      </c>
      <c r="B938" t="s">
        <v>14</v>
      </c>
      <c r="C938">
        <v>21</v>
      </c>
      <c r="D938" t="s">
        <v>18</v>
      </c>
      <c r="E938" t="s">
        <v>16</v>
      </c>
      <c r="F938" s="1">
        <v>43101</v>
      </c>
      <c r="G938">
        <v>3</v>
      </c>
      <c r="H938">
        <v>3</v>
      </c>
      <c r="I938">
        <v>17</v>
      </c>
      <c r="J938">
        <v>14</v>
      </c>
      <c r="K938">
        <v>0</v>
      </c>
      <c r="L938">
        <v>640</v>
      </c>
      <c r="M938">
        <v>45</v>
      </c>
      <c r="N938" s="1">
        <f t="shared" si="112"/>
        <v>44938</v>
      </c>
      <c r="O938" s="1">
        <f t="shared" si="113"/>
        <v>43101</v>
      </c>
      <c r="P938" s="1">
        <f t="shared" si="114"/>
        <v>43101</v>
      </c>
      <c r="Q938" s="8">
        <f t="shared" si="115"/>
        <v>1</v>
      </c>
      <c r="R938" s="8">
        <f t="shared" si="116"/>
        <v>1</v>
      </c>
      <c r="S938" s="8">
        <f t="shared" ca="1" si="117"/>
        <v>1</v>
      </c>
      <c r="T938">
        <f t="shared" ca="1" si="118"/>
        <v>3</v>
      </c>
      <c r="U938" s="8">
        <f t="shared" ca="1" si="119"/>
        <v>1</v>
      </c>
      <c r="V938" s="8">
        <f ca="1">RawData[[#This Row],[Z (smoothed demand size)]]/RawData[[#This Row],[X (smoothed interval)]]</f>
        <v>3</v>
      </c>
    </row>
    <row r="939" spans="1:22">
      <c r="A939" t="s">
        <v>31</v>
      </c>
      <c r="B939" t="s">
        <v>14</v>
      </c>
      <c r="C939">
        <v>21</v>
      </c>
      <c r="D939" t="s">
        <v>18</v>
      </c>
      <c r="E939" t="s">
        <v>16</v>
      </c>
      <c r="F939" s="1">
        <v>43102</v>
      </c>
      <c r="G939">
        <v>5</v>
      </c>
      <c r="H939">
        <v>5</v>
      </c>
      <c r="I939">
        <v>14</v>
      </c>
      <c r="J939">
        <v>9</v>
      </c>
      <c r="K939">
        <v>0</v>
      </c>
      <c r="L939">
        <v>641</v>
      </c>
      <c r="M939">
        <v>15</v>
      </c>
      <c r="N939" s="1">
        <f t="shared" si="112"/>
        <v>44938</v>
      </c>
      <c r="O939" s="1">
        <f t="shared" si="113"/>
        <v>43101</v>
      </c>
      <c r="P939" s="1">
        <f t="shared" si="114"/>
        <v>43132</v>
      </c>
      <c r="Q939" s="8">
        <f t="shared" si="115"/>
        <v>0</v>
      </c>
      <c r="R939" s="8">
        <f t="shared" si="116"/>
        <v>2</v>
      </c>
      <c r="S939" s="8">
        <f t="shared" ca="1" si="117"/>
        <v>2</v>
      </c>
      <c r="T939">
        <f t="shared" ca="1" si="118"/>
        <v>3.4000000000000004</v>
      </c>
      <c r="U939" s="8">
        <f t="shared" ca="1" si="119"/>
        <v>1</v>
      </c>
      <c r="V939" s="8">
        <f ca="1">RawData[[#This Row],[Z (smoothed demand size)]]/RawData[[#This Row],[X (smoothed interval)]]</f>
        <v>3.4000000000000004</v>
      </c>
    </row>
    <row r="940" spans="1:22">
      <c r="A940" t="s">
        <v>31</v>
      </c>
      <c r="B940" t="s">
        <v>14</v>
      </c>
      <c r="C940">
        <v>21</v>
      </c>
      <c r="D940" t="s">
        <v>18</v>
      </c>
      <c r="E940" t="s">
        <v>16</v>
      </c>
      <c r="F940" s="1">
        <v>43103</v>
      </c>
      <c r="G940">
        <v>0</v>
      </c>
      <c r="H940">
        <v>0</v>
      </c>
      <c r="I940">
        <v>9</v>
      </c>
      <c r="J940">
        <v>9</v>
      </c>
      <c r="K940">
        <v>0</v>
      </c>
      <c r="L940">
        <v>649</v>
      </c>
      <c r="M940">
        <v>30</v>
      </c>
      <c r="N940" s="1">
        <f t="shared" si="112"/>
        <v>44938</v>
      </c>
      <c r="O940" s="1">
        <f t="shared" si="113"/>
        <v>43101</v>
      </c>
      <c r="P940" s="1">
        <f t="shared" si="114"/>
        <v>43160</v>
      </c>
      <c r="Q940" s="8">
        <f t="shared" si="115"/>
        <v>0</v>
      </c>
      <c r="R940" s="8">
        <f t="shared" si="116"/>
        <v>3</v>
      </c>
      <c r="S940" s="8">
        <f t="shared" ca="1" si="117"/>
        <v>2</v>
      </c>
      <c r="T940">
        <f t="shared" ca="1" si="118"/>
        <v>3.4000000000000004</v>
      </c>
      <c r="U940" s="8">
        <f t="shared" ca="1" si="119"/>
        <v>1</v>
      </c>
      <c r="V940" s="8">
        <f ca="1">RawData[[#This Row],[Z (smoothed demand size)]]/RawData[[#This Row],[X (smoothed interval)]]</f>
        <v>3.4000000000000004</v>
      </c>
    </row>
    <row r="941" spans="1:22">
      <c r="A941" t="s">
        <v>31</v>
      </c>
      <c r="B941" t="s">
        <v>14</v>
      </c>
      <c r="C941">
        <v>21</v>
      </c>
      <c r="D941" t="s">
        <v>18</v>
      </c>
      <c r="E941" t="s">
        <v>16</v>
      </c>
      <c r="F941" s="1">
        <v>43104</v>
      </c>
      <c r="G941">
        <v>12</v>
      </c>
      <c r="H941">
        <v>9</v>
      </c>
      <c r="I941">
        <v>9</v>
      </c>
      <c r="J941">
        <v>0</v>
      </c>
      <c r="K941">
        <v>1</v>
      </c>
      <c r="L941">
        <v>636</v>
      </c>
      <c r="M941">
        <v>60</v>
      </c>
      <c r="N941" s="1">
        <f t="shared" si="112"/>
        <v>44938</v>
      </c>
      <c r="O941" s="1">
        <f t="shared" si="113"/>
        <v>43101</v>
      </c>
      <c r="P941" s="1">
        <f t="shared" si="114"/>
        <v>43191</v>
      </c>
      <c r="Q941" s="8">
        <f t="shared" si="115"/>
        <v>0</v>
      </c>
      <c r="R941" s="8">
        <f t="shared" si="116"/>
        <v>4</v>
      </c>
      <c r="S941" s="8">
        <f t="shared" ca="1" si="117"/>
        <v>4</v>
      </c>
      <c r="T941">
        <f t="shared" ca="1" si="118"/>
        <v>5.120000000000001</v>
      </c>
      <c r="U941" s="8">
        <f t="shared" ca="1" si="119"/>
        <v>1.2000000000000002</v>
      </c>
      <c r="V941" s="8">
        <f ca="1">RawData[[#This Row],[Z (smoothed demand size)]]/RawData[[#This Row],[X (smoothed interval)]]</f>
        <v>4.2666666666666666</v>
      </c>
    </row>
    <row r="942" spans="1:22">
      <c r="A942" t="s">
        <v>31</v>
      </c>
      <c r="B942" t="s">
        <v>14</v>
      </c>
      <c r="C942">
        <v>21</v>
      </c>
      <c r="D942" t="s">
        <v>18</v>
      </c>
      <c r="E942" t="s">
        <v>16</v>
      </c>
      <c r="F942" s="1">
        <v>43105</v>
      </c>
      <c r="G942">
        <v>6</v>
      </c>
      <c r="H942">
        <v>0</v>
      </c>
      <c r="I942">
        <v>0</v>
      </c>
      <c r="J942">
        <v>0</v>
      </c>
      <c r="K942">
        <v>1</v>
      </c>
      <c r="L942">
        <v>635</v>
      </c>
      <c r="M942">
        <v>15</v>
      </c>
      <c r="N942" s="1">
        <f t="shared" si="112"/>
        <v>44938</v>
      </c>
      <c r="O942" s="1">
        <f t="shared" si="113"/>
        <v>43101</v>
      </c>
      <c r="P942" s="1">
        <f t="shared" si="114"/>
        <v>43221</v>
      </c>
      <c r="Q942" s="8">
        <f t="shared" si="115"/>
        <v>0</v>
      </c>
      <c r="R942" s="8">
        <f t="shared" si="116"/>
        <v>5</v>
      </c>
      <c r="S942" s="8">
        <f t="shared" ca="1" si="117"/>
        <v>5</v>
      </c>
      <c r="T942">
        <f t="shared" ca="1" si="118"/>
        <v>5.2960000000000012</v>
      </c>
      <c r="U942" s="8">
        <f t="shared" ca="1" si="119"/>
        <v>1.1600000000000001</v>
      </c>
      <c r="V942" s="8">
        <f ca="1">RawData[[#This Row],[Z (smoothed demand size)]]/RawData[[#This Row],[X (smoothed interval)]]</f>
        <v>4.565517241379311</v>
      </c>
    </row>
    <row r="943" spans="1:22">
      <c r="A943" t="s">
        <v>31</v>
      </c>
      <c r="B943" t="s">
        <v>14</v>
      </c>
      <c r="C943">
        <v>21</v>
      </c>
      <c r="D943" t="s">
        <v>18</v>
      </c>
      <c r="E943" t="s">
        <v>16</v>
      </c>
      <c r="F943" s="1">
        <v>43106</v>
      </c>
      <c r="G943">
        <v>5</v>
      </c>
      <c r="H943">
        <v>5</v>
      </c>
      <c r="I943">
        <v>12</v>
      </c>
      <c r="J943">
        <v>7</v>
      </c>
      <c r="K943">
        <v>0</v>
      </c>
      <c r="L943">
        <v>732</v>
      </c>
      <c r="M943">
        <v>30</v>
      </c>
      <c r="N943" s="1">
        <f t="shared" si="112"/>
        <v>44938</v>
      </c>
      <c r="O943" s="1">
        <f t="shared" si="113"/>
        <v>43101</v>
      </c>
      <c r="P943" s="1">
        <f t="shared" si="114"/>
        <v>43252</v>
      </c>
      <c r="Q943" s="8">
        <f t="shared" si="115"/>
        <v>0</v>
      </c>
      <c r="R943" s="8">
        <f t="shared" si="116"/>
        <v>6</v>
      </c>
      <c r="S943" s="8">
        <f t="shared" ca="1" si="117"/>
        <v>6</v>
      </c>
      <c r="T943">
        <f t="shared" ca="1" si="118"/>
        <v>5.2368000000000015</v>
      </c>
      <c r="U943" s="8">
        <f t="shared" ca="1" si="119"/>
        <v>1.1280000000000001</v>
      </c>
      <c r="V943" s="8">
        <f ca="1">RawData[[#This Row],[Z (smoothed demand size)]]/RawData[[#This Row],[X (smoothed interval)]]</f>
        <v>4.6425531914893625</v>
      </c>
    </row>
    <row r="944" spans="1:22">
      <c r="A944" t="s">
        <v>31</v>
      </c>
      <c r="B944" t="s">
        <v>14</v>
      </c>
      <c r="C944">
        <v>21</v>
      </c>
      <c r="D944" t="s">
        <v>18</v>
      </c>
      <c r="E944" t="s">
        <v>16</v>
      </c>
      <c r="F944" s="1">
        <v>43107</v>
      </c>
      <c r="G944">
        <v>9</v>
      </c>
      <c r="H944">
        <v>9</v>
      </c>
      <c r="I944">
        <v>16</v>
      </c>
      <c r="J944">
        <v>7</v>
      </c>
      <c r="K944">
        <v>0</v>
      </c>
      <c r="L944">
        <v>736</v>
      </c>
      <c r="M944">
        <v>45</v>
      </c>
      <c r="N944" s="1">
        <f t="shared" si="112"/>
        <v>44938</v>
      </c>
      <c r="O944" s="1">
        <f t="shared" si="113"/>
        <v>43101</v>
      </c>
      <c r="P944" s="1">
        <f t="shared" si="114"/>
        <v>43282</v>
      </c>
      <c r="Q944" s="8">
        <f t="shared" si="115"/>
        <v>0</v>
      </c>
      <c r="R944" s="8">
        <f t="shared" si="116"/>
        <v>7</v>
      </c>
      <c r="S944" s="8">
        <f t="shared" ca="1" si="117"/>
        <v>7</v>
      </c>
      <c r="T944">
        <f t="shared" ca="1" si="118"/>
        <v>5.989440000000001</v>
      </c>
      <c r="U944" s="8">
        <f t="shared" ca="1" si="119"/>
        <v>1.1024</v>
      </c>
      <c r="V944" s="8">
        <f ca="1">RawData[[#This Row],[Z (smoothed demand size)]]/RawData[[#This Row],[X (smoothed interval)]]</f>
        <v>5.4330914368650225</v>
      </c>
    </row>
    <row r="945" spans="1:22">
      <c r="A945" t="s">
        <v>31</v>
      </c>
      <c r="B945" t="s">
        <v>14</v>
      </c>
      <c r="C945">
        <v>21</v>
      </c>
      <c r="D945" t="s">
        <v>18</v>
      </c>
      <c r="E945" t="s">
        <v>16</v>
      </c>
      <c r="F945" s="1">
        <v>43108</v>
      </c>
      <c r="G945">
        <v>4</v>
      </c>
      <c r="H945">
        <v>4</v>
      </c>
      <c r="I945">
        <v>7</v>
      </c>
      <c r="J945">
        <v>3</v>
      </c>
      <c r="K945">
        <v>0</v>
      </c>
      <c r="L945">
        <v>724</v>
      </c>
      <c r="M945">
        <v>15</v>
      </c>
      <c r="N945" s="1">
        <f t="shared" si="112"/>
        <v>44938</v>
      </c>
      <c r="O945" s="1">
        <f t="shared" si="113"/>
        <v>43101</v>
      </c>
      <c r="P945" s="1">
        <f t="shared" si="114"/>
        <v>43313</v>
      </c>
      <c r="Q945" s="8">
        <f t="shared" si="115"/>
        <v>0</v>
      </c>
      <c r="R945" s="8">
        <f t="shared" si="116"/>
        <v>8</v>
      </c>
      <c r="S945" s="8">
        <f t="shared" ca="1" si="117"/>
        <v>8</v>
      </c>
      <c r="T945">
        <f t="shared" ca="1" si="118"/>
        <v>5.591552000000001</v>
      </c>
      <c r="U945" s="8">
        <f t="shared" ca="1" si="119"/>
        <v>1.08192</v>
      </c>
      <c r="V945" s="8">
        <f ca="1">RawData[[#This Row],[Z (smoothed demand size)]]/RawData[[#This Row],[X (smoothed interval)]]</f>
        <v>5.1681750961254078</v>
      </c>
    </row>
    <row r="946" spans="1:22">
      <c r="A946" t="s">
        <v>31</v>
      </c>
      <c r="B946" t="s">
        <v>14</v>
      </c>
      <c r="C946">
        <v>21</v>
      </c>
      <c r="D946" t="s">
        <v>18</v>
      </c>
      <c r="E946" t="s">
        <v>16</v>
      </c>
      <c r="F946" s="1">
        <v>43109</v>
      </c>
      <c r="G946">
        <v>9</v>
      </c>
      <c r="H946">
        <v>9</v>
      </c>
      <c r="I946">
        <v>14</v>
      </c>
      <c r="J946">
        <v>5</v>
      </c>
      <c r="K946">
        <v>0</v>
      </c>
      <c r="L946">
        <v>645</v>
      </c>
      <c r="M946">
        <v>30</v>
      </c>
      <c r="N946" s="1">
        <f t="shared" si="112"/>
        <v>44938</v>
      </c>
      <c r="O946" s="1">
        <f t="shared" si="113"/>
        <v>43101</v>
      </c>
      <c r="P946" s="1">
        <f t="shared" si="114"/>
        <v>43344</v>
      </c>
      <c r="Q946" s="8">
        <f t="shared" si="115"/>
        <v>0</v>
      </c>
      <c r="R946" s="8">
        <f t="shared" si="116"/>
        <v>9</v>
      </c>
      <c r="S946" s="8">
        <f t="shared" ca="1" si="117"/>
        <v>9</v>
      </c>
      <c r="T946">
        <f t="shared" ca="1" si="118"/>
        <v>6.2732416000000004</v>
      </c>
      <c r="U946" s="8">
        <f t="shared" ca="1" si="119"/>
        <v>1.065536</v>
      </c>
      <c r="V946" s="8">
        <f ca="1">RawData[[#This Row],[Z (smoothed demand size)]]/RawData[[#This Row],[X (smoothed interval)]]</f>
        <v>5.8874046489278635</v>
      </c>
    </row>
    <row r="947" spans="1:22">
      <c r="A947" t="s">
        <v>31</v>
      </c>
      <c r="B947" t="s">
        <v>14</v>
      </c>
      <c r="C947">
        <v>21</v>
      </c>
      <c r="D947" t="s">
        <v>18</v>
      </c>
      <c r="E947" t="s">
        <v>16</v>
      </c>
      <c r="F947" s="1">
        <v>43110</v>
      </c>
      <c r="G947">
        <v>7</v>
      </c>
      <c r="H947">
        <v>7</v>
      </c>
      <c r="I947">
        <v>13</v>
      </c>
      <c r="J947">
        <v>6</v>
      </c>
      <c r="K947">
        <v>0</v>
      </c>
      <c r="L947">
        <v>639</v>
      </c>
      <c r="M947">
        <v>60</v>
      </c>
      <c r="N947" s="1">
        <f t="shared" si="112"/>
        <v>44938</v>
      </c>
      <c r="O947" s="1">
        <f t="shared" si="113"/>
        <v>43101</v>
      </c>
      <c r="P947" s="1">
        <f t="shared" si="114"/>
        <v>43374</v>
      </c>
      <c r="Q947" s="8">
        <f t="shared" si="115"/>
        <v>0</v>
      </c>
      <c r="R947" s="8">
        <f t="shared" si="116"/>
        <v>10</v>
      </c>
      <c r="S947" s="8">
        <f t="shared" ca="1" si="117"/>
        <v>10</v>
      </c>
      <c r="T947">
        <f t="shared" ca="1" si="118"/>
        <v>6.4185932800000014</v>
      </c>
      <c r="U947" s="8">
        <f t="shared" ca="1" si="119"/>
        <v>1.0524288000000002</v>
      </c>
      <c r="V947" s="8">
        <f ca="1">RawData[[#This Row],[Z (smoothed demand size)]]/RawData[[#This Row],[X (smoothed interval)]]</f>
        <v>6.0988384962479172</v>
      </c>
    </row>
    <row r="948" spans="1:22">
      <c r="A948" t="s">
        <v>31</v>
      </c>
      <c r="B948" t="s">
        <v>14</v>
      </c>
      <c r="C948">
        <v>21</v>
      </c>
      <c r="D948" t="s">
        <v>18</v>
      </c>
      <c r="E948" t="s">
        <v>16</v>
      </c>
      <c r="F948" s="1">
        <v>43111</v>
      </c>
      <c r="G948">
        <v>4</v>
      </c>
      <c r="H948">
        <v>4</v>
      </c>
      <c r="I948">
        <v>6</v>
      </c>
      <c r="J948">
        <v>2</v>
      </c>
      <c r="K948">
        <v>0</v>
      </c>
      <c r="L948">
        <v>645</v>
      </c>
      <c r="M948">
        <v>15</v>
      </c>
      <c r="N948" s="1">
        <f t="shared" si="112"/>
        <v>44938</v>
      </c>
      <c r="O948" s="1">
        <f t="shared" si="113"/>
        <v>43101</v>
      </c>
      <c r="P948" s="1">
        <f t="shared" si="114"/>
        <v>43405</v>
      </c>
      <c r="Q948" s="8">
        <f t="shared" si="115"/>
        <v>0</v>
      </c>
      <c r="R948" s="8">
        <f t="shared" si="116"/>
        <v>11</v>
      </c>
      <c r="S948" s="8">
        <f t="shared" ca="1" si="117"/>
        <v>11</v>
      </c>
      <c r="T948">
        <f t="shared" ca="1" si="118"/>
        <v>5.9348746240000017</v>
      </c>
      <c r="U948" s="8">
        <f t="shared" ca="1" si="119"/>
        <v>1.0419430400000003</v>
      </c>
      <c r="V948" s="8">
        <f ca="1">RawData[[#This Row],[Z (smoothed demand size)]]/RawData[[#This Row],[X (smoothed interval)]]</f>
        <v>5.6959683938193013</v>
      </c>
    </row>
    <row r="949" spans="1:22">
      <c r="A949" t="s">
        <v>31</v>
      </c>
      <c r="B949" t="s">
        <v>14</v>
      </c>
      <c r="C949">
        <v>21</v>
      </c>
      <c r="D949" t="s">
        <v>18</v>
      </c>
      <c r="E949" t="s">
        <v>16</v>
      </c>
      <c r="F949" s="1">
        <v>43112</v>
      </c>
      <c r="G949">
        <v>4</v>
      </c>
      <c r="H949">
        <v>4</v>
      </c>
      <c r="I949">
        <v>10</v>
      </c>
      <c r="J949">
        <v>6</v>
      </c>
      <c r="K949">
        <v>0</v>
      </c>
      <c r="L949">
        <v>720</v>
      </c>
      <c r="M949">
        <v>45</v>
      </c>
      <c r="N949" s="1">
        <f t="shared" si="112"/>
        <v>44938</v>
      </c>
      <c r="O949" s="1">
        <f t="shared" si="113"/>
        <v>43101</v>
      </c>
      <c r="P949" s="1">
        <f t="shared" si="114"/>
        <v>43435</v>
      </c>
      <c r="Q949" s="8">
        <f t="shared" si="115"/>
        <v>0</v>
      </c>
      <c r="R949" s="8">
        <f t="shared" si="116"/>
        <v>12</v>
      </c>
      <c r="S949" s="8">
        <f t="shared" ca="1" si="117"/>
        <v>12</v>
      </c>
      <c r="T949">
        <f t="shared" ca="1" si="118"/>
        <v>5.5478996992000011</v>
      </c>
      <c r="U949" s="8">
        <f t="shared" ca="1" si="119"/>
        <v>1.0335544320000003</v>
      </c>
      <c r="V949" s="8">
        <f ca="1">RawData[[#This Row],[Z (smoothed demand size)]]/RawData[[#This Row],[X (smoothed interval)]]</f>
        <v>5.3677866665081453</v>
      </c>
    </row>
    <row r="950" spans="1:22">
      <c r="A950" t="s">
        <v>31</v>
      </c>
      <c r="B950" t="s">
        <v>14</v>
      </c>
      <c r="C950">
        <v>21</v>
      </c>
      <c r="D950" t="s">
        <v>18</v>
      </c>
      <c r="E950" t="s">
        <v>16</v>
      </c>
      <c r="F950" s="1">
        <v>43466</v>
      </c>
      <c r="G950">
        <v>7</v>
      </c>
      <c r="H950">
        <v>6</v>
      </c>
      <c r="I950">
        <v>6</v>
      </c>
      <c r="J950">
        <v>0</v>
      </c>
      <c r="K950">
        <v>1</v>
      </c>
      <c r="L950">
        <v>644</v>
      </c>
      <c r="M950">
        <v>60</v>
      </c>
      <c r="N950" s="1">
        <f t="shared" si="112"/>
        <v>44938</v>
      </c>
      <c r="O950" s="1">
        <f t="shared" si="113"/>
        <v>43101</v>
      </c>
      <c r="P950" s="1">
        <f t="shared" si="114"/>
        <v>43466</v>
      </c>
      <c r="Q950" s="8">
        <f t="shared" si="115"/>
        <v>0</v>
      </c>
      <c r="R950" s="8">
        <f t="shared" si="116"/>
        <v>13</v>
      </c>
      <c r="S950" s="8">
        <f t="shared" ca="1" si="117"/>
        <v>13</v>
      </c>
      <c r="T950">
        <f t="shared" ca="1" si="118"/>
        <v>5.8383197593600018</v>
      </c>
      <c r="U950" s="8">
        <f t="shared" ca="1" si="119"/>
        <v>1.0268435456000002</v>
      </c>
      <c r="V950" s="8">
        <f ca="1">RawData[[#This Row],[Z (smoothed demand size)]]/RawData[[#This Row],[X (smoothed interval)]]</f>
        <v>5.6856955320769762</v>
      </c>
    </row>
    <row r="951" spans="1:22">
      <c r="A951" t="s">
        <v>31</v>
      </c>
      <c r="B951" t="s">
        <v>14</v>
      </c>
      <c r="C951">
        <v>21</v>
      </c>
      <c r="D951" t="s">
        <v>18</v>
      </c>
      <c r="E951" t="s">
        <v>16</v>
      </c>
      <c r="F951" s="1">
        <v>43467</v>
      </c>
      <c r="G951">
        <v>9</v>
      </c>
      <c r="H951">
        <v>9</v>
      </c>
      <c r="I951">
        <v>12</v>
      </c>
      <c r="J951">
        <v>3</v>
      </c>
      <c r="K951">
        <v>0</v>
      </c>
      <c r="L951">
        <v>647</v>
      </c>
      <c r="M951">
        <v>15</v>
      </c>
      <c r="N951" s="1">
        <f t="shared" si="112"/>
        <v>44938</v>
      </c>
      <c r="O951" s="1">
        <f t="shared" si="113"/>
        <v>43101</v>
      </c>
      <c r="P951" s="1">
        <f t="shared" si="114"/>
        <v>43497</v>
      </c>
      <c r="Q951" s="8">
        <f t="shared" si="115"/>
        <v>0</v>
      </c>
      <c r="R951" s="8">
        <f t="shared" si="116"/>
        <v>14</v>
      </c>
      <c r="S951" s="8">
        <f t="shared" ca="1" si="117"/>
        <v>14</v>
      </c>
      <c r="T951">
        <f t="shared" ca="1" si="118"/>
        <v>6.4706558074880016</v>
      </c>
      <c r="U951" s="8">
        <f t="shared" ca="1" si="119"/>
        <v>1.0214748364800001</v>
      </c>
      <c r="V951" s="8">
        <f ca="1">RawData[[#This Row],[Z (smoothed demand size)]]/RawData[[#This Row],[X (smoothed interval)]]</f>
        <v>6.3346208603492045</v>
      </c>
    </row>
    <row r="952" spans="1:22">
      <c r="A952" t="s">
        <v>31</v>
      </c>
      <c r="B952" t="s">
        <v>14</v>
      </c>
      <c r="C952">
        <v>21</v>
      </c>
      <c r="D952" t="s">
        <v>18</v>
      </c>
      <c r="E952" t="s">
        <v>16</v>
      </c>
      <c r="F952" s="1">
        <v>43468</v>
      </c>
      <c r="G952">
        <v>10</v>
      </c>
      <c r="H952">
        <v>10</v>
      </c>
      <c r="I952">
        <v>14</v>
      </c>
      <c r="J952">
        <v>4</v>
      </c>
      <c r="K952">
        <v>0</v>
      </c>
      <c r="L952">
        <v>641</v>
      </c>
      <c r="M952">
        <v>15</v>
      </c>
      <c r="N952" s="1">
        <f t="shared" si="112"/>
        <v>44938</v>
      </c>
      <c r="O952" s="1">
        <f t="shared" si="113"/>
        <v>43101</v>
      </c>
      <c r="P952" s="1">
        <f t="shared" si="114"/>
        <v>43525</v>
      </c>
      <c r="Q952" s="8">
        <f t="shared" si="115"/>
        <v>0</v>
      </c>
      <c r="R952" s="8">
        <f t="shared" si="116"/>
        <v>15</v>
      </c>
      <c r="S952" s="8">
        <f t="shared" ca="1" si="117"/>
        <v>15</v>
      </c>
      <c r="T952">
        <f t="shared" ca="1" si="118"/>
        <v>7.1765246459904013</v>
      </c>
      <c r="U952" s="8">
        <f t="shared" ca="1" si="119"/>
        <v>1.0171798691840002</v>
      </c>
      <c r="V952" s="8">
        <f ca="1">RawData[[#This Row],[Z (smoothed demand size)]]/RawData[[#This Row],[X (smoothed interval)]]</f>
        <v>7.0553152528938048</v>
      </c>
    </row>
    <row r="953" spans="1:22">
      <c r="A953" t="s">
        <v>31</v>
      </c>
      <c r="B953" t="s">
        <v>14</v>
      </c>
      <c r="C953">
        <v>21</v>
      </c>
      <c r="D953" t="s">
        <v>18</v>
      </c>
      <c r="E953" t="s">
        <v>16</v>
      </c>
      <c r="F953" s="1">
        <v>43469</v>
      </c>
      <c r="G953">
        <v>11</v>
      </c>
      <c r="H953">
        <v>11</v>
      </c>
      <c r="I953">
        <v>11</v>
      </c>
      <c r="J953">
        <v>0</v>
      </c>
      <c r="K953">
        <v>0</v>
      </c>
      <c r="L953">
        <v>638</v>
      </c>
      <c r="M953">
        <v>45</v>
      </c>
      <c r="N953" s="1">
        <f t="shared" si="112"/>
        <v>44938</v>
      </c>
      <c r="O953" s="1">
        <f t="shared" si="113"/>
        <v>43101</v>
      </c>
      <c r="P953" s="1">
        <f t="shared" si="114"/>
        <v>43556</v>
      </c>
      <c r="Q953" s="8">
        <f t="shared" si="115"/>
        <v>0</v>
      </c>
      <c r="R953" s="8">
        <f t="shared" si="116"/>
        <v>16</v>
      </c>
      <c r="S953" s="8">
        <f t="shared" ca="1" si="117"/>
        <v>16</v>
      </c>
      <c r="T953">
        <f t="shared" ca="1" si="118"/>
        <v>7.9412197167923217</v>
      </c>
      <c r="U953" s="8">
        <f t="shared" ca="1" si="119"/>
        <v>1.0137438953472002</v>
      </c>
      <c r="V953" s="8">
        <f ca="1">RawData[[#This Row],[Z (smoothed demand size)]]/RawData[[#This Row],[X (smoothed interval)]]</f>
        <v>7.8335561409940819</v>
      </c>
    </row>
    <row r="954" spans="1:22">
      <c r="A954" t="s">
        <v>31</v>
      </c>
      <c r="B954" t="s">
        <v>14</v>
      </c>
      <c r="C954">
        <v>21</v>
      </c>
      <c r="D954" t="s">
        <v>18</v>
      </c>
      <c r="E954" t="s">
        <v>16</v>
      </c>
      <c r="F954" s="1">
        <v>43470</v>
      </c>
      <c r="G954">
        <v>5</v>
      </c>
      <c r="H954">
        <v>0</v>
      </c>
      <c r="I954">
        <v>0</v>
      </c>
      <c r="J954">
        <v>0</v>
      </c>
      <c r="K954">
        <v>1</v>
      </c>
      <c r="L954">
        <v>644</v>
      </c>
      <c r="M954">
        <v>60</v>
      </c>
      <c r="N954" s="1">
        <f t="shared" si="112"/>
        <v>44938</v>
      </c>
      <c r="O954" s="1">
        <f t="shared" si="113"/>
        <v>43101</v>
      </c>
      <c r="P954" s="1">
        <f t="shared" si="114"/>
        <v>43586</v>
      </c>
      <c r="Q954" s="8">
        <f t="shared" si="115"/>
        <v>0</v>
      </c>
      <c r="R954" s="8">
        <f t="shared" si="116"/>
        <v>17</v>
      </c>
      <c r="S954" s="8">
        <f t="shared" ca="1" si="117"/>
        <v>17</v>
      </c>
      <c r="T954">
        <f t="shared" ca="1" si="118"/>
        <v>7.3529757734338581</v>
      </c>
      <c r="U954" s="8">
        <f t="shared" ca="1" si="119"/>
        <v>1.0109951162777602</v>
      </c>
      <c r="V954" s="8">
        <f ca="1">RawData[[#This Row],[Z (smoothed demand size)]]/RawData[[#This Row],[X (smoothed interval)]]</f>
        <v>7.2730082025576337</v>
      </c>
    </row>
    <row r="955" spans="1:22">
      <c r="A955" t="s">
        <v>31</v>
      </c>
      <c r="B955" t="s">
        <v>14</v>
      </c>
      <c r="C955">
        <v>21</v>
      </c>
      <c r="D955" t="s">
        <v>18</v>
      </c>
      <c r="E955" t="s">
        <v>16</v>
      </c>
      <c r="F955" s="1">
        <v>43471</v>
      </c>
      <c r="G955">
        <v>9</v>
      </c>
      <c r="H955">
        <v>9</v>
      </c>
      <c r="I955">
        <v>11</v>
      </c>
      <c r="J955">
        <v>2</v>
      </c>
      <c r="K955">
        <v>0</v>
      </c>
      <c r="L955">
        <v>743</v>
      </c>
      <c r="M955">
        <v>45</v>
      </c>
      <c r="N955" s="1">
        <f t="shared" si="112"/>
        <v>44938</v>
      </c>
      <c r="O955" s="1">
        <f t="shared" si="113"/>
        <v>43101</v>
      </c>
      <c r="P955" s="1">
        <f t="shared" si="114"/>
        <v>43617</v>
      </c>
      <c r="Q955" s="8">
        <f t="shared" si="115"/>
        <v>0</v>
      </c>
      <c r="R955" s="8">
        <f t="shared" si="116"/>
        <v>18</v>
      </c>
      <c r="S955" s="8">
        <f t="shared" ca="1" si="117"/>
        <v>18</v>
      </c>
      <c r="T955">
        <f t="shared" ca="1" si="118"/>
        <v>7.6823806187470867</v>
      </c>
      <c r="U955" s="8">
        <f t="shared" ca="1" si="119"/>
        <v>1.0087960930222082</v>
      </c>
      <c r="V955" s="8">
        <f ca="1">RawData[[#This Row],[Z (smoothed demand size)]]/RawData[[#This Row],[X (smoothed interval)]]</f>
        <v>7.6153948968336884</v>
      </c>
    </row>
    <row r="956" spans="1:22">
      <c r="A956" t="s">
        <v>31</v>
      </c>
      <c r="B956" t="s">
        <v>14</v>
      </c>
      <c r="C956">
        <v>21</v>
      </c>
      <c r="D956" t="s">
        <v>18</v>
      </c>
      <c r="E956" t="s">
        <v>16</v>
      </c>
      <c r="F956" s="1">
        <v>43472</v>
      </c>
      <c r="G956">
        <v>3</v>
      </c>
      <c r="H956">
        <v>2</v>
      </c>
      <c r="I956">
        <v>2</v>
      </c>
      <c r="J956">
        <v>0</v>
      </c>
      <c r="K956">
        <v>1</v>
      </c>
      <c r="L956">
        <v>738</v>
      </c>
      <c r="M956">
        <v>45</v>
      </c>
      <c r="N956" s="1">
        <f t="shared" si="112"/>
        <v>44938</v>
      </c>
      <c r="O956" s="1">
        <f t="shared" si="113"/>
        <v>43101</v>
      </c>
      <c r="P956" s="1">
        <f t="shared" si="114"/>
        <v>43647</v>
      </c>
      <c r="Q956" s="8">
        <f t="shared" si="115"/>
        <v>0</v>
      </c>
      <c r="R956" s="8">
        <f t="shared" si="116"/>
        <v>19</v>
      </c>
      <c r="S956" s="8">
        <f t="shared" ca="1" si="117"/>
        <v>19</v>
      </c>
      <c r="T956">
        <f t="shared" ca="1" si="118"/>
        <v>6.745904494997669</v>
      </c>
      <c r="U956" s="8">
        <f t="shared" ca="1" si="119"/>
        <v>1.0070368744177667</v>
      </c>
      <c r="V956" s="8">
        <f ca="1">RawData[[#This Row],[Z (smoothed demand size)]]/RawData[[#This Row],[X (smoothed interval)]]</f>
        <v>6.6987661190638264</v>
      </c>
    </row>
    <row r="957" spans="1:22">
      <c r="A957" t="s">
        <v>31</v>
      </c>
      <c r="B957" t="s">
        <v>14</v>
      </c>
      <c r="C957">
        <v>21</v>
      </c>
      <c r="D957" t="s">
        <v>18</v>
      </c>
      <c r="E957" t="s">
        <v>16</v>
      </c>
      <c r="F957" s="1">
        <v>43473</v>
      </c>
      <c r="G957">
        <v>6</v>
      </c>
      <c r="H957">
        <v>6</v>
      </c>
      <c r="I957">
        <v>9</v>
      </c>
      <c r="J957">
        <v>3</v>
      </c>
      <c r="K957">
        <v>0</v>
      </c>
      <c r="L957">
        <v>738</v>
      </c>
      <c r="M957">
        <v>30</v>
      </c>
      <c r="N957" s="1">
        <f t="shared" si="112"/>
        <v>44938</v>
      </c>
      <c r="O957" s="1">
        <f t="shared" si="113"/>
        <v>43101</v>
      </c>
      <c r="P957" s="1">
        <f t="shared" si="114"/>
        <v>43678</v>
      </c>
      <c r="Q957" s="8">
        <f t="shared" si="115"/>
        <v>0</v>
      </c>
      <c r="R957" s="8">
        <f t="shared" si="116"/>
        <v>20</v>
      </c>
      <c r="S957" s="8">
        <f t="shared" ca="1" si="117"/>
        <v>20</v>
      </c>
      <c r="T957">
        <f t="shared" ca="1" si="118"/>
        <v>6.5967235959981361</v>
      </c>
      <c r="U957" s="8">
        <f t="shared" ca="1" si="119"/>
        <v>1.0056294995342134</v>
      </c>
      <c r="V957" s="8">
        <f ca="1">RawData[[#This Row],[Z (smoothed demand size)]]/RawData[[#This Row],[X (smoothed interval)]]</f>
        <v>6.5597952317962038</v>
      </c>
    </row>
    <row r="958" spans="1:22">
      <c r="A958" t="s">
        <v>31</v>
      </c>
      <c r="B958" t="s">
        <v>14</v>
      </c>
      <c r="C958">
        <v>21</v>
      </c>
      <c r="D958" t="s">
        <v>18</v>
      </c>
      <c r="E958" t="s">
        <v>16</v>
      </c>
      <c r="F958" s="1">
        <v>43474</v>
      </c>
      <c r="G958">
        <v>11</v>
      </c>
      <c r="H958">
        <v>10</v>
      </c>
      <c r="I958">
        <v>10</v>
      </c>
      <c r="J958">
        <v>0</v>
      </c>
      <c r="K958">
        <v>1</v>
      </c>
      <c r="L958">
        <v>649</v>
      </c>
      <c r="M958">
        <v>30</v>
      </c>
      <c r="N958" s="1">
        <f t="shared" si="112"/>
        <v>44938</v>
      </c>
      <c r="O958" s="1">
        <f t="shared" si="113"/>
        <v>43101</v>
      </c>
      <c r="P958" s="1">
        <f t="shared" si="114"/>
        <v>43709</v>
      </c>
      <c r="Q958" s="8">
        <f t="shared" si="115"/>
        <v>0</v>
      </c>
      <c r="R958" s="8">
        <f t="shared" si="116"/>
        <v>21</v>
      </c>
      <c r="S958" s="8">
        <f t="shared" ca="1" si="117"/>
        <v>21</v>
      </c>
      <c r="T958">
        <f t="shared" ca="1" si="118"/>
        <v>7.4773788767985092</v>
      </c>
      <c r="U958" s="8">
        <f t="shared" ca="1" si="119"/>
        <v>1.0045035996273708</v>
      </c>
      <c r="V958" s="8">
        <f ca="1">RawData[[#This Row],[Z (smoothed demand size)]]/RawData[[#This Row],[X (smoothed interval)]]</f>
        <v>7.4438547353860223</v>
      </c>
    </row>
    <row r="959" spans="1:22">
      <c r="A959" t="s">
        <v>31</v>
      </c>
      <c r="B959" t="s">
        <v>14</v>
      </c>
      <c r="C959">
        <v>21</v>
      </c>
      <c r="D959" t="s">
        <v>18</v>
      </c>
      <c r="E959" t="s">
        <v>16</v>
      </c>
      <c r="F959" s="1">
        <v>43475</v>
      </c>
      <c r="G959">
        <v>10</v>
      </c>
      <c r="H959">
        <v>8</v>
      </c>
      <c r="I959">
        <v>8</v>
      </c>
      <c r="J959">
        <v>0</v>
      </c>
      <c r="K959">
        <v>1</v>
      </c>
      <c r="L959">
        <v>643</v>
      </c>
      <c r="M959">
        <v>15</v>
      </c>
      <c r="N959" s="1">
        <f t="shared" si="112"/>
        <v>44938</v>
      </c>
      <c r="O959" s="1">
        <f t="shared" si="113"/>
        <v>43101</v>
      </c>
      <c r="P959" s="1">
        <f t="shared" si="114"/>
        <v>43739</v>
      </c>
      <c r="Q959" s="8">
        <f t="shared" si="115"/>
        <v>0</v>
      </c>
      <c r="R959" s="8">
        <f t="shared" si="116"/>
        <v>22</v>
      </c>
      <c r="S959" s="8">
        <f t="shared" ca="1" si="117"/>
        <v>22</v>
      </c>
      <c r="T959">
        <f t="shared" ca="1" si="118"/>
        <v>7.9819031014388075</v>
      </c>
      <c r="U959" s="8">
        <f t="shared" ca="1" si="119"/>
        <v>1.0036028797018968</v>
      </c>
      <c r="V959" s="8">
        <f ca="1">RawData[[#This Row],[Z (smoothed demand size)]]/RawData[[#This Row],[X (smoothed interval)]]</f>
        <v>7.9532485038401806</v>
      </c>
    </row>
    <row r="960" spans="1:22">
      <c r="A960" t="s">
        <v>31</v>
      </c>
      <c r="B960" t="s">
        <v>14</v>
      </c>
      <c r="C960">
        <v>21</v>
      </c>
      <c r="D960" t="s">
        <v>18</v>
      </c>
      <c r="E960" t="s">
        <v>16</v>
      </c>
      <c r="F960" s="1">
        <v>43476</v>
      </c>
      <c r="G960">
        <v>9</v>
      </c>
      <c r="H960">
        <v>9</v>
      </c>
      <c r="I960">
        <v>11</v>
      </c>
      <c r="J960">
        <v>2</v>
      </c>
      <c r="K960">
        <v>0</v>
      </c>
      <c r="L960">
        <v>633</v>
      </c>
      <c r="M960">
        <v>60</v>
      </c>
      <c r="N960" s="1">
        <f t="shared" si="112"/>
        <v>44938</v>
      </c>
      <c r="O960" s="1">
        <f t="shared" si="113"/>
        <v>43101</v>
      </c>
      <c r="P960" s="1">
        <f t="shared" si="114"/>
        <v>43770</v>
      </c>
      <c r="Q960" s="8">
        <f t="shared" si="115"/>
        <v>0</v>
      </c>
      <c r="R960" s="8">
        <f t="shared" si="116"/>
        <v>23</v>
      </c>
      <c r="S960" s="8">
        <f t="shared" ca="1" si="117"/>
        <v>23</v>
      </c>
      <c r="T960">
        <f t="shared" ca="1" si="118"/>
        <v>8.1855224811510467</v>
      </c>
      <c r="U960" s="8">
        <f t="shared" ca="1" si="119"/>
        <v>1.0028823037615175</v>
      </c>
      <c r="V960" s="8">
        <f ca="1">RawData[[#This Row],[Z (smoothed demand size)]]/RawData[[#This Row],[X (smoothed interval)]]</f>
        <v>8.1619971261328992</v>
      </c>
    </row>
    <row r="961" spans="1:22">
      <c r="A961" t="s">
        <v>31</v>
      </c>
      <c r="B961" t="s">
        <v>14</v>
      </c>
      <c r="C961">
        <v>21</v>
      </c>
      <c r="D961" t="s">
        <v>18</v>
      </c>
      <c r="E961" t="s">
        <v>16</v>
      </c>
      <c r="F961" s="1">
        <v>43477</v>
      </c>
      <c r="G961">
        <v>15</v>
      </c>
      <c r="H961">
        <v>2</v>
      </c>
      <c r="I961">
        <v>2</v>
      </c>
      <c r="J961">
        <v>0</v>
      </c>
      <c r="K961">
        <v>1</v>
      </c>
      <c r="L961">
        <v>743</v>
      </c>
      <c r="M961">
        <v>60</v>
      </c>
      <c r="N961" s="1">
        <f t="shared" si="112"/>
        <v>44938</v>
      </c>
      <c r="O961" s="1">
        <f t="shared" si="113"/>
        <v>43101</v>
      </c>
      <c r="P961" s="1">
        <f t="shared" si="114"/>
        <v>43800</v>
      </c>
      <c r="Q961" s="8">
        <f t="shared" si="115"/>
        <v>0</v>
      </c>
      <c r="R961" s="8">
        <f t="shared" si="116"/>
        <v>24</v>
      </c>
      <c r="S961" s="8">
        <f t="shared" ca="1" si="117"/>
        <v>24</v>
      </c>
      <c r="T961">
        <f t="shared" ca="1" si="118"/>
        <v>9.5484179849208388</v>
      </c>
      <c r="U961" s="8">
        <f t="shared" ca="1" si="119"/>
        <v>1.002305843009214</v>
      </c>
      <c r="V961" s="8">
        <f ca="1">RawData[[#This Row],[Z (smoothed demand size)]]/RawData[[#This Row],[X (smoothed interval)]]</f>
        <v>9.5264514833653049</v>
      </c>
    </row>
    <row r="962" spans="1:22">
      <c r="A962" t="s">
        <v>31</v>
      </c>
      <c r="B962" t="s">
        <v>14</v>
      </c>
      <c r="C962">
        <v>21</v>
      </c>
      <c r="D962" t="s">
        <v>18</v>
      </c>
      <c r="E962" t="s">
        <v>16</v>
      </c>
      <c r="F962" s="1">
        <v>43831</v>
      </c>
      <c r="G962">
        <v>14</v>
      </c>
      <c r="H962">
        <v>11</v>
      </c>
      <c r="I962">
        <v>11</v>
      </c>
      <c r="J962">
        <v>0</v>
      </c>
      <c r="K962">
        <v>1</v>
      </c>
      <c r="L962">
        <v>635</v>
      </c>
      <c r="M962">
        <v>30</v>
      </c>
      <c r="N962" s="1">
        <f t="shared" ref="N962:N1025" si="120">MAX(F:F)</f>
        <v>44938</v>
      </c>
      <c r="O962" s="1">
        <f t="shared" ref="O962:O1025" si="121">MIN(F:F)</f>
        <v>43101</v>
      </c>
      <c r="P962" s="1">
        <f t="shared" ref="P962:P1025" si="122">DATE(YEAR(F962), DAY(F962), 1)</f>
        <v>43831</v>
      </c>
      <c r="Q962" s="8">
        <f t="shared" ref="Q962:Q1025" si="123" xml:space="preserve"> IF(A962&lt;&gt;A961, 1, 0)</f>
        <v>0</v>
      </c>
      <c r="R962" s="8">
        <f t="shared" ref="R962:R1025" si="124">IF(Q962=1,1,R961+1)</f>
        <v>25</v>
      </c>
      <c r="S962" s="8">
        <f t="shared" ref="S962:S1025" ca="1" si="125" xml:space="preserve"> IF(Q962=1, IF(G962&gt;0, R962, 0), IF(G962&gt;0, R962, OFFSET(S962,-1,0)))</f>
        <v>25</v>
      </c>
      <c r="T962">
        <f t="shared" ref="T962:T1025" ca="1" si="126" xml:space="preserve"> IF(Q962=1, IF(G962&gt;0, G962, 0), IF(G962&gt;0, $X$1*G962+(1-$X$1)*OFFSET(T962,-1,0), OFFSET(T962,-1,0)))</f>
        <v>10.438734387936671</v>
      </c>
      <c r="U962" s="8">
        <f t="shared" ref="U962:U1025" ca="1" si="127" xml:space="preserve"> IF(Q962=1, 1, IF(G962&gt;0, $X$1*(R962-OFFSET(S962,-1,0))+(1-$X$1)*OFFSET(U962,-1,0), OFFSET(U962,-1,0)))</f>
        <v>1.0018446744073712</v>
      </c>
      <c r="V962" s="8">
        <f ca="1">RawData[[#This Row],[Z (smoothed demand size)]]/RawData[[#This Row],[X (smoothed interval)]]</f>
        <v>10.419513777534002</v>
      </c>
    </row>
    <row r="963" spans="1:22">
      <c r="A963" t="s">
        <v>31</v>
      </c>
      <c r="B963" t="s">
        <v>14</v>
      </c>
      <c r="C963">
        <v>21</v>
      </c>
      <c r="D963" t="s">
        <v>18</v>
      </c>
      <c r="E963" t="s">
        <v>16</v>
      </c>
      <c r="F963" s="1">
        <v>43832</v>
      </c>
      <c r="G963">
        <v>3</v>
      </c>
      <c r="H963">
        <v>3</v>
      </c>
      <c r="I963">
        <v>11</v>
      </c>
      <c r="J963">
        <v>8</v>
      </c>
      <c r="K963">
        <v>0</v>
      </c>
      <c r="L963">
        <v>636</v>
      </c>
      <c r="M963">
        <v>15</v>
      </c>
      <c r="N963" s="1">
        <f t="shared" si="120"/>
        <v>44938</v>
      </c>
      <c r="O963" s="1">
        <f t="shared" si="121"/>
        <v>43101</v>
      </c>
      <c r="P963" s="1">
        <f t="shared" si="122"/>
        <v>43862</v>
      </c>
      <c r="Q963" s="8">
        <f t="shared" si="123"/>
        <v>0</v>
      </c>
      <c r="R963" s="8">
        <f t="shared" si="124"/>
        <v>26</v>
      </c>
      <c r="S963" s="8">
        <f t="shared" ca="1" si="125"/>
        <v>26</v>
      </c>
      <c r="T963">
        <f t="shared" ca="1" si="126"/>
        <v>8.9509875103493375</v>
      </c>
      <c r="U963" s="8">
        <f t="shared" ca="1" si="127"/>
        <v>1.0014757395258971</v>
      </c>
      <c r="V963" s="8">
        <f ca="1">RawData[[#This Row],[Z (smoothed demand size)]]/RawData[[#This Row],[X (smoothed interval)]]</f>
        <v>8.9377976490841142</v>
      </c>
    </row>
    <row r="964" spans="1:22">
      <c r="A964" t="s">
        <v>31</v>
      </c>
      <c r="B964" t="s">
        <v>14</v>
      </c>
      <c r="C964">
        <v>21</v>
      </c>
      <c r="D964" t="s">
        <v>18</v>
      </c>
      <c r="E964" t="s">
        <v>16</v>
      </c>
      <c r="F964" s="1">
        <v>43833</v>
      </c>
      <c r="G964">
        <v>6</v>
      </c>
      <c r="H964">
        <v>6</v>
      </c>
      <c r="I964">
        <v>17</v>
      </c>
      <c r="J964">
        <v>11</v>
      </c>
      <c r="K964">
        <v>0</v>
      </c>
      <c r="L964">
        <v>637</v>
      </c>
      <c r="M964">
        <v>15</v>
      </c>
      <c r="N964" s="1">
        <f t="shared" si="120"/>
        <v>44938</v>
      </c>
      <c r="O964" s="1">
        <f t="shared" si="121"/>
        <v>43101</v>
      </c>
      <c r="P964" s="1">
        <f t="shared" si="122"/>
        <v>43891</v>
      </c>
      <c r="Q964" s="8">
        <f t="shared" si="123"/>
        <v>0</v>
      </c>
      <c r="R964" s="8">
        <f t="shared" si="124"/>
        <v>27</v>
      </c>
      <c r="S964" s="8">
        <f t="shared" ca="1" si="125"/>
        <v>27</v>
      </c>
      <c r="T964">
        <f t="shared" ca="1" si="126"/>
        <v>8.3607900082794693</v>
      </c>
      <c r="U964" s="8">
        <f t="shared" ca="1" si="127"/>
        <v>1.0011805916207177</v>
      </c>
      <c r="V964" s="8">
        <f ca="1">RawData[[#This Row],[Z (smoothed demand size)]]/RawData[[#This Row],[X (smoothed interval)]]</f>
        <v>8.3509309691520954</v>
      </c>
    </row>
    <row r="965" spans="1:22">
      <c r="A965" t="s">
        <v>31</v>
      </c>
      <c r="B965" t="s">
        <v>14</v>
      </c>
      <c r="C965">
        <v>21</v>
      </c>
      <c r="D965" t="s">
        <v>18</v>
      </c>
      <c r="E965" t="s">
        <v>16</v>
      </c>
      <c r="F965" s="1">
        <v>43834</v>
      </c>
      <c r="G965">
        <v>7</v>
      </c>
      <c r="H965">
        <v>7</v>
      </c>
      <c r="I965">
        <v>11</v>
      </c>
      <c r="J965">
        <v>4</v>
      </c>
      <c r="K965">
        <v>0</v>
      </c>
      <c r="L965">
        <v>642</v>
      </c>
      <c r="M965">
        <v>45</v>
      </c>
      <c r="N965" s="1">
        <f t="shared" si="120"/>
        <v>44938</v>
      </c>
      <c r="O965" s="1">
        <f t="shared" si="121"/>
        <v>43101</v>
      </c>
      <c r="P965" s="1">
        <f t="shared" si="122"/>
        <v>43922</v>
      </c>
      <c r="Q965" s="8">
        <f t="shared" si="123"/>
        <v>0</v>
      </c>
      <c r="R965" s="8">
        <f t="shared" si="124"/>
        <v>28</v>
      </c>
      <c r="S965" s="8">
        <f t="shared" ca="1" si="125"/>
        <v>28</v>
      </c>
      <c r="T965">
        <f t="shared" ca="1" si="126"/>
        <v>8.0886320066235751</v>
      </c>
      <c r="U965" s="8">
        <f t="shared" ca="1" si="127"/>
        <v>1.0009444732965742</v>
      </c>
      <c r="V965" s="8">
        <f ca="1">RawData[[#This Row],[Z (smoothed demand size)]]/RawData[[#This Row],[X (smoothed interval)]]</f>
        <v>8.0809997181801307</v>
      </c>
    </row>
    <row r="966" spans="1:22">
      <c r="A966" t="s">
        <v>31</v>
      </c>
      <c r="B966" t="s">
        <v>14</v>
      </c>
      <c r="C966">
        <v>21</v>
      </c>
      <c r="D966" t="s">
        <v>18</v>
      </c>
      <c r="E966" t="s">
        <v>16</v>
      </c>
      <c r="F966" s="1">
        <v>43835</v>
      </c>
      <c r="G966">
        <v>8</v>
      </c>
      <c r="H966">
        <v>4</v>
      </c>
      <c r="I966">
        <v>4</v>
      </c>
      <c r="J966">
        <v>0</v>
      </c>
      <c r="K966">
        <v>1</v>
      </c>
      <c r="L966">
        <v>647</v>
      </c>
      <c r="M966">
        <v>45</v>
      </c>
      <c r="N966" s="1">
        <f t="shared" si="120"/>
        <v>44938</v>
      </c>
      <c r="O966" s="1">
        <f t="shared" si="121"/>
        <v>43101</v>
      </c>
      <c r="P966" s="1">
        <f t="shared" si="122"/>
        <v>43952</v>
      </c>
      <c r="Q966" s="8">
        <f t="shared" si="123"/>
        <v>0</v>
      </c>
      <c r="R966" s="8">
        <f t="shared" si="124"/>
        <v>29</v>
      </c>
      <c r="S966" s="8">
        <f t="shared" ca="1" si="125"/>
        <v>29</v>
      </c>
      <c r="T966">
        <f t="shared" ca="1" si="126"/>
        <v>8.0709056052988597</v>
      </c>
      <c r="U966" s="8">
        <f t="shared" ca="1" si="127"/>
        <v>1.0007555786372595</v>
      </c>
      <c r="V966" s="8">
        <f ca="1">RawData[[#This Row],[Z (smoothed demand size)]]/RawData[[#This Row],[X (smoothed interval)]]</f>
        <v>8.0648120056338879</v>
      </c>
    </row>
    <row r="967" spans="1:22">
      <c r="A967" t="s">
        <v>31</v>
      </c>
      <c r="B967" t="s">
        <v>14</v>
      </c>
      <c r="C967">
        <v>21</v>
      </c>
      <c r="D967" t="s">
        <v>18</v>
      </c>
      <c r="E967" t="s">
        <v>16</v>
      </c>
      <c r="F967" s="1">
        <v>43836</v>
      </c>
      <c r="G967">
        <v>7</v>
      </c>
      <c r="H967">
        <v>7</v>
      </c>
      <c r="I967">
        <v>9</v>
      </c>
      <c r="J967">
        <v>2</v>
      </c>
      <c r="K967">
        <v>0</v>
      </c>
      <c r="L967">
        <v>732</v>
      </c>
      <c r="M967">
        <v>60</v>
      </c>
      <c r="N967" s="1">
        <f t="shared" si="120"/>
        <v>44938</v>
      </c>
      <c r="O967" s="1">
        <f t="shared" si="121"/>
        <v>43101</v>
      </c>
      <c r="P967" s="1">
        <f t="shared" si="122"/>
        <v>43983</v>
      </c>
      <c r="Q967" s="8">
        <f t="shared" si="123"/>
        <v>0</v>
      </c>
      <c r="R967" s="8">
        <f t="shared" si="124"/>
        <v>30</v>
      </c>
      <c r="S967" s="8">
        <f t="shared" ca="1" si="125"/>
        <v>30</v>
      </c>
      <c r="T967">
        <f t="shared" ca="1" si="126"/>
        <v>7.8567244842390886</v>
      </c>
      <c r="U967" s="8">
        <f t="shared" ca="1" si="127"/>
        <v>1.0006044629098076</v>
      </c>
      <c r="V967" s="8">
        <f ca="1">RawData[[#This Row],[Z (smoothed demand size)]]/RawData[[#This Row],[X (smoothed interval)]]</f>
        <v>7.851978254615557</v>
      </c>
    </row>
    <row r="968" spans="1:22">
      <c r="A968" t="s">
        <v>31</v>
      </c>
      <c r="B968" t="s">
        <v>14</v>
      </c>
      <c r="C968">
        <v>21</v>
      </c>
      <c r="D968" t="s">
        <v>18</v>
      </c>
      <c r="E968" t="s">
        <v>16</v>
      </c>
      <c r="F968" s="1">
        <v>43837</v>
      </c>
      <c r="G968">
        <v>10</v>
      </c>
      <c r="H968">
        <v>2</v>
      </c>
      <c r="I968">
        <v>2</v>
      </c>
      <c r="J968">
        <v>0</v>
      </c>
      <c r="K968">
        <v>1</v>
      </c>
      <c r="L968">
        <v>744</v>
      </c>
      <c r="M968">
        <v>30</v>
      </c>
      <c r="N968" s="1">
        <f t="shared" si="120"/>
        <v>44938</v>
      </c>
      <c r="O968" s="1">
        <f t="shared" si="121"/>
        <v>43101</v>
      </c>
      <c r="P968" s="1">
        <f t="shared" si="122"/>
        <v>44013</v>
      </c>
      <c r="Q968" s="8">
        <f t="shared" si="123"/>
        <v>0</v>
      </c>
      <c r="R968" s="8">
        <f t="shared" si="124"/>
        <v>31</v>
      </c>
      <c r="S968" s="8">
        <f t="shared" ca="1" si="125"/>
        <v>31</v>
      </c>
      <c r="T968">
        <f t="shared" ca="1" si="126"/>
        <v>8.2853795873912723</v>
      </c>
      <c r="U968" s="8">
        <f t="shared" ca="1" si="127"/>
        <v>1.0004835703278461</v>
      </c>
      <c r="V968" s="8">
        <f ca="1">RawData[[#This Row],[Z (smoothed demand size)]]/RawData[[#This Row],[X (smoothed interval)]]</f>
        <v>8.2813749601867581</v>
      </c>
    </row>
    <row r="969" spans="1:22">
      <c r="A969" t="s">
        <v>31</v>
      </c>
      <c r="B969" t="s">
        <v>14</v>
      </c>
      <c r="C969">
        <v>21</v>
      </c>
      <c r="D969" t="s">
        <v>18</v>
      </c>
      <c r="E969" t="s">
        <v>16</v>
      </c>
      <c r="F969" s="1">
        <v>43838</v>
      </c>
      <c r="G969">
        <v>9</v>
      </c>
      <c r="H969">
        <v>7</v>
      </c>
      <c r="I969">
        <v>7</v>
      </c>
      <c r="J969">
        <v>0</v>
      </c>
      <c r="K969">
        <v>1</v>
      </c>
      <c r="L969">
        <v>733</v>
      </c>
      <c r="M969">
        <v>30</v>
      </c>
      <c r="N969" s="1">
        <f t="shared" si="120"/>
        <v>44938</v>
      </c>
      <c r="O969" s="1">
        <f t="shared" si="121"/>
        <v>43101</v>
      </c>
      <c r="P969" s="1">
        <f t="shared" si="122"/>
        <v>44044</v>
      </c>
      <c r="Q969" s="8">
        <f t="shared" si="123"/>
        <v>0</v>
      </c>
      <c r="R969" s="8">
        <f t="shared" si="124"/>
        <v>32</v>
      </c>
      <c r="S969" s="8">
        <f t="shared" ca="1" si="125"/>
        <v>32</v>
      </c>
      <c r="T969">
        <f t="shared" ca="1" si="126"/>
        <v>8.4283036699130189</v>
      </c>
      <c r="U969" s="8">
        <f t="shared" ca="1" si="127"/>
        <v>1.0003868562622769</v>
      </c>
      <c r="V969" s="8">
        <f ca="1">RawData[[#This Row],[Z (smoothed demand size)]]/RawData[[#This Row],[X (smoothed interval)]]</f>
        <v>8.425044388731278</v>
      </c>
    </row>
    <row r="970" spans="1:22">
      <c r="A970" t="s">
        <v>31</v>
      </c>
      <c r="B970" t="s">
        <v>14</v>
      </c>
      <c r="C970">
        <v>21</v>
      </c>
      <c r="D970" t="s">
        <v>18</v>
      </c>
      <c r="E970" t="s">
        <v>16</v>
      </c>
      <c r="F970" s="1">
        <v>43839</v>
      </c>
      <c r="G970">
        <v>0</v>
      </c>
      <c r="H970">
        <v>0</v>
      </c>
      <c r="I970">
        <v>11</v>
      </c>
      <c r="J970">
        <v>11</v>
      </c>
      <c r="K970">
        <v>0</v>
      </c>
      <c r="L970">
        <v>645</v>
      </c>
      <c r="M970">
        <v>45</v>
      </c>
      <c r="N970" s="1">
        <f t="shared" si="120"/>
        <v>44938</v>
      </c>
      <c r="O970" s="1">
        <f t="shared" si="121"/>
        <v>43101</v>
      </c>
      <c r="P970" s="1">
        <f t="shared" si="122"/>
        <v>44075</v>
      </c>
      <c r="Q970" s="8">
        <f t="shared" si="123"/>
        <v>0</v>
      </c>
      <c r="R970" s="8">
        <f t="shared" si="124"/>
        <v>33</v>
      </c>
      <c r="S970" s="8">
        <f t="shared" ca="1" si="125"/>
        <v>32</v>
      </c>
      <c r="T970">
        <f t="shared" ca="1" si="126"/>
        <v>8.4283036699130189</v>
      </c>
      <c r="U970" s="8">
        <f t="shared" ca="1" si="127"/>
        <v>1.0003868562622769</v>
      </c>
      <c r="V970" s="8">
        <f ca="1">RawData[[#This Row],[Z (smoothed demand size)]]/RawData[[#This Row],[X (smoothed interval)]]</f>
        <v>8.425044388731278</v>
      </c>
    </row>
    <row r="971" spans="1:22">
      <c r="A971" t="s">
        <v>31</v>
      </c>
      <c r="B971" t="s">
        <v>14</v>
      </c>
      <c r="C971">
        <v>21</v>
      </c>
      <c r="D971" t="s">
        <v>18</v>
      </c>
      <c r="E971" t="s">
        <v>16</v>
      </c>
      <c r="F971" s="1">
        <v>43840</v>
      </c>
      <c r="G971">
        <v>12</v>
      </c>
      <c r="H971">
        <v>11</v>
      </c>
      <c r="I971">
        <v>11</v>
      </c>
      <c r="J971">
        <v>0</v>
      </c>
      <c r="K971">
        <v>1</v>
      </c>
      <c r="L971">
        <v>637</v>
      </c>
      <c r="M971">
        <v>45</v>
      </c>
      <c r="N971" s="1">
        <f t="shared" si="120"/>
        <v>44938</v>
      </c>
      <c r="O971" s="1">
        <f t="shared" si="121"/>
        <v>43101</v>
      </c>
      <c r="P971" s="1">
        <f t="shared" si="122"/>
        <v>44105</v>
      </c>
      <c r="Q971" s="8">
        <f t="shared" si="123"/>
        <v>0</v>
      </c>
      <c r="R971" s="8">
        <f t="shared" si="124"/>
        <v>34</v>
      </c>
      <c r="S971" s="8">
        <f t="shared" ca="1" si="125"/>
        <v>34</v>
      </c>
      <c r="T971">
        <f t="shared" ca="1" si="126"/>
        <v>9.1426429359304162</v>
      </c>
      <c r="U971" s="8">
        <f t="shared" ca="1" si="127"/>
        <v>1.2003094850098215</v>
      </c>
      <c r="V971" s="8">
        <f ca="1">RawData[[#This Row],[Z (smoothed demand size)]]/RawData[[#This Row],[X (smoothed interval)]]</f>
        <v>7.6169046817584771</v>
      </c>
    </row>
    <row r="972" spans="1:22">
      <c r="A972" t="s">
        <v>31</v>
      </c>
      <c r="B972" t="s">
        <v>14</v>
      </c>
      <c r="C972">
        <v>21</v>
      </c>
      <c r="D972" t="s">
        <v>18</v>
      </c>
      <c r="E972" t="s">
        <v>16</v>
      </c>
      <c r="F972" s="1">
        <v>43841</v>
      </c>
      <c r="G972">
        <v>7</v>
      </c>
      <c r="H972">
        <v>0</v>
      </c>
      <c r="I972">
        <v>0</v>
      </c>
      <c r="J972">
        <v>0</v>
      </c>
      <c r="K972">
        <v>1</v>
      </c>
      <c r="L972">
        <v>633</v>
      </c>
      <c r="M972">
        <v>30</v>
      </c>
      <c r="N972" s="1">
        <f t="shared" si="120"/>
        <v>44938</v>
      </c>
      <c r="O972" s="1">
        <f t="shared" si="121"/>
        <v>43101</v>
      </c>
      <c r="P972" s="1">
        <f t="shared" si="122"/>
        <v>44136</v>
      </c>
      <c r="Q972" s="8">
        <f t="shared" si="123"/>
        <v>0</v>
      </c>
      <c r="R972" s="8">
        <f t="shared" si="124"/>
        <v>35</v>
      </c>
      <c r="S972" s="8">
        <f t="shared" ca="1" si="125"/>
        <v>35</v>
      </c>
      <c r="T972">
        <f t="shared" ca="1" si="126"/>
        <v>8.7141143487443333</v>
      </c>
      <c r="U972" s="8">
        <f t="shared" ca="1" si="127"/>
        <v>1.1602475880078573</v>
      </c>
      <c r="V972" s="8">
        <f ca="1">RawData[[#This Row],[Z (smoothed demand size)]]/RawData[[#This Row],[X (smoothed interval)]]</f>
        <v>7.5105645026217633</v>
      </c>
    </row>
    <row r="973" spans="1:22">
      <c r="A973" t="s">
        <v>31</v>
      </c>
      <c r="B973" t="s">
        <v>14</v>
      </c>
      <c r="C973">
        <v>21</v>
      </c>
      <c r="D973" t="s">
        <v>18</v>
      </c>
      <c r="E973" t="s">
        <v>16</v>
      </c>
      <c r="F973" s="1">
        <v>43842</v>
      </c>
      <c r="G973">
        <v>9</v>
      </c>
      <c r="H973">
        <v>9</v>
      </c>
      <c r="I973">
        <v>12</v>
      </c>
      <c r="J973">
        <v>3</v>
      </c>
      <c r="K973">
        <v>0</v>
      </c>
      <c r="L973">
        <v>746</v>
      </c>
      <c r="M973">
        <v>30</v>
      </c>
      <c r="N973" s="1">
        <f t="shared" si="120"/>
        <v>44938</v>
      </c>
      <c r="O973" s="1">
        <f t="shared" si="121"/>
        <v>43101</v>
      </c>
      <c r="P973" s="1">
        <f t="shared" si="122"/>
        <v>44166</v>
      </c>
      <c r="Q973" s="8">
        <f t="shared" si="123"/>
        <v>0</v>
      </c>
      <c r="R973" s="8">
        <f t="shared" si="124"/>
        <v>36</v>
      </c>
      <c r="S973" s="8">
        <f t="shared" ca="1" si="125"/>
        <v>36</v>
      </c>
      <c r="T973">
        <f t="shared" ca="1" si="126"/>
        <v>8.771291478995467</v>
      </c>
      <c r="U973" s="8">
        <f t="shared" ca="1" si="127"/>
        <v>1.1281980704062859</v>
      </c>
      <c r="V973" s="8">
        <f ca="1">RawData[[#This Row],[Z (smoothed demand size)]]/RawData[[#This Row],[X (smoothed interval)]]</f>
        <v>7.774602447101115</v>
      </c>
    </row>
    <row r="974" spans="1:22">
      <c r="A974" t="s">
        <v>31</v>
      </c>
      <c r="B974" t="s">
        <v>14</v>
      </c>
      <c r="C974">
        <v>21</v>
      </c>
      <c r="D974" t="s">
        <v>18</v>
      </c>
      <c r="E974" t="s">
        <v>16</v>
      </c>
      <c r="F974" s="1">
        <v>44197</v>
      </c>
      <c r="G974">
        <v>9</v>
      </c>
      <c r="H974">
        <v>9</v>
      </c>
      <c r="I974">
        <v>12</v>
      </c>
      <c r="J974">
        <v>3</v>
      </c>
      <c r="K974">
        <v>0</v>
      </c>
      <c r="L974">
        <v>631</v>
      </c>
      <c r="M974">
        <v>60</v>
      </c>
      <c r="N974" s="1">
        <f t="shared" si="120"/>
        <v>44938</v>
      </c>
      <c r="O974" s="1">
        <f t="shared" si="121"/>
        <v>43101</v>
      </c>
      <c r="P974" s="1">
        <f t="shared" si="122"/>
        <v>44197</v>
      </c>
      <c r="Q974" s="8">
        <f t="shared" si="123"/>
        <v>0</v>
      </c>
      <c r="R974" s="8">
        <f t="shared" si="124"/>
        <v>37</v>
      </c>
      <c r="S974" s="8">
        <f t="shared" ca="1" si="125"/>
        <v>37</v>
      </c>
      <c r="T974">
        <f t="shared" ca="1" si="126"/>
        <v>8.817033183196374</v>
      </c>
      <c r="U974" s="8">
        <f t="shared" ca="1" si="127"/>
        <v>1.1025584563250288</v>
      </c>
      <c r="V974" s="8">
        <f ca="1">RawData[[#This Row],[Z (smoothed demand size)]]/RawData[[#This Row],[X (smoothed interval)]]</f>
        <v>7.9968850019841087</v>
      </c>
    </row>
    <row r="975" spans="1:22">
      <c r="A975" t="s">
        <v>31</v>
      </c>
      <c r="B975" t="s">
        <v>14</v>
      </c>
      <c r="C975">
        <v>21</v>
      </c>
      <c r="D975" t="s">
        <v>18</v>
      </c>
      <c r="E975" t="s">
        <v>16</v>
      </c>
      <c r="F975" s="1">
        <v>44198</v>
      </c>
      <c r="G975">
        <v>7</v>
      </c>
      <c r="H975">
        <v>3</v>
      </c>
      <c r="I975">
        <v>3</v>
      </c>
      <c r="J975">
        <v>0</v>
      </c>
      <c r="K975">
        <v>1</v>
      </c>
      <c r="L975">
        <v>630</v>
      </c>
      <c r="M975">
        <v>60</v>
      </c>
      <c r="N975" s="1">
        <f t="shared" si="120"/>
        <v>44938</v>
      </c>
      <c r="O975" s="1">
        <f t="shared" si="121"/>
        <v>43101</v>
      </c>
      <c r="P975" s="1">
        <f t="shared" si="122"/>
        <v>44228</v>
      </c>
      <c r="Q975" s="8">
        <f t="shared" si="123"/>
        <v>0</v>
      </c>
      <c r="R975" s="8">
        <f t="shared" si="124"/>
        <v>38</v>
      </c>
      <c r="S975" s="8">
        <f t="shared" ca="1" si="125"/>
        <v>38</v>
      </c>
      <c r="T975">
        <f t="shared" ca="1" si="126"/>
        <v>8.4536265465570999</v>
      </c>
      <c r="U975" s="8">
        <f t="shared" ca="1" si="127"/>
        <v>1.0820467650600232</v>
      </c>
      <c r="V975" s="8">
        <f ca="1">RawData[[#This Row],[Z (smoothed demand size)]]/RawData[[#This Row],[X (smoothed interval)]]</f>
        <v>7.8126258675041287</v>
      </c>
    </row>
    <row r="976" spans="1:22">
      <c r="A976" t="s">
        <v>31</v>
      </c>
      <c r="B976" t="s">
        <v>14</v>
      </c>
      <c r="C976">
        <v>21</v>
      </c>
      <c r="D976" t="s">
        <v>18</v>
      </c>
      <c r="E976" t="s">
        <v>16</v>
      </c>
      <c r="F976" s="1">
        <v>44199</v>
      </c>
      <c r="G976">
        <v>9</v>
      </c>
      <c r="H976">
        <v>9</v>
      </c>
      <c r="I976">
        <v>9</v>
      </c>
      <c r="J976">
        <v>0</v>
      </c>
      <c r="K976">
        <v>0</v>
      </c>
      <c r="L976">
        <v>626</v>
      </c>
      <c r="M976">
        <v>15</v>
      </c>
      <c r="N976" s="1">
        <f t="shared" si="120"/>
        <v>44938</v>
      </c>
      <c r="O976" s="1">
        <f t="shared" si="121"/>
        <v>43101</v>
      </c>
      <c r="P976" s="1">
        <f t="shared" si="122"/>
        <v>44256</v>
      </c>
      <c r="Q976" s="8">
        <f t="shared" si="123"/>
        <v>0</v>
      </c>
      <c r="R976" s="8">
        <f t="shared" si="124"/>
        <v>39</v>
      </c>
      <c r="S976" s="8">
        <f t="shared" ca="1" si="125"/>
        <v>39</v>
      </c>
      <c r="T976">
        <f t="shared" ca="1" si="126"/>
        <v>8.562901237245681</v>
      </c>
      <c r="U976" s="8">
        <f t="shared" ca="1" si="127"/>
        <v>1.0656374120480185</v>
      </c>
      <c r="V976" s="8">
        <f ca="1">RawData[[#This Row],[Z (smoothed demand size)]]/RawData[[#This Row],[X (smoothed interval)]]</f>
        <v>8.0354735489146183</v>
      </c>
    </row>
    <row r="977" spans="1:22">
      <c r="A977" t="s">
        <v>31</v>
      </c>
      <c r="B977" t="s">
        <v>14</v>
      </c>
      <c r="C977">
        <v>21</v>
      </c>
      <c r="D977" t="s">
        <v>18</v>
      </c>
      <c r="E977" t="s">
        <v>16</v>
      </c>
      <c r="F977" s="1">
        <v>44200</v>
      </c>
      <c r="G977">
        <v>12</v>
      </c>
      <c r="H977">
        <v>12</v>
      </c>
      <c r="I977">
        <v>12</v>
      </c>
      <c r="J977">
        <v>0</v>
      </c>
      <c r="K977">
        <v>0</v>
      </c>
      <c r="L977">
        <v>642</v>
      </c>
      <c r="M977">
        <v>30</v>
      </c>
      <c r="N977" s="1">
        <f t="shared" si="120"/>
        <v>44938</v>
      </c>
      <c r="O977" s="1">
        <f t="shared" si="121"/>
        <v>43101</v>
      </c>
      <c r="P977" s="1">
        <f t="shared" si="122"/>
        <v>44287</v>
      </c>
      <c r="Q977" s="8">
        <f t="shared" si="123"/>
        <v>0</v>
      </c>
      <c r="R977" s="8">
        <f t="shared" si="124"/>
        <v>40</v>
      </c>
      <c r="S977" s="8">
        <f t="shared" ca="1" si="125"/>
        <v>40</v>
      </c>
      <c r="T977">
        <f t="shared" ca="1" si="126"/>
        <v>9.2503209897965455</v>
      </c>
      <c r="U977" s="8">
        <f t="shared" ca="1" si="127"/>
        <v>1.0525099296384148</v>
      </c>
      <c r="V977" s="8">
        <f ca="1">RawData[[#This Row],[Z (smoothed demand size)]]/RawData[[#This Row],[X (smoothed interval)]]</f>
        <v>8.7888206365658252</v>
      </c>
    </row>
    <row r="978" spans="1:22">
      <c r="A978" t="s">
        <v>31</v>
      </c>
      <c r="B978" t="s">
        <v>14</v>
      </c>
      <c r="C978">
        <v>21</v>
      </c>
      <c r="D978" t="s">
        <v>18</v>
      </c>
      <c r="E978" t="s">
        <v>16</v>
      </c>
      <c r="F978" s="1">
        <v>44201</v>
      </c>
      <c r="G978">
        <v>6</v>
      </c>
      <c r="H978">
        <v>6</v>
      </c>
      <c r="I978">
        <v>12</v>
      </c>
      <c r="J978">
        <v>6</v>
      </c>
      <c r="K978">
        <v>0</v>
      </c>
      <c r="L978">
        <v>644</v>
      </c>
      <c r="M978">
        <v>30</v>
      </c>
      <c r="N978" s="1">
        <f t="shared" si="120"/>
        <v>44938</v>
      </c>
      <c r="O978" s="1">
        <f t="shared" si="121"/>
        <v>43101</v>
      </c>
      <c r="P978" s="1">
        <f t="shared" si="122"/>
        <v>44317</v>
      </c>
      <c r="Q978" s="8">
        <f t="shared" si="123"/>
        <v>0</v>
      </c>
      <c r="R978" s="8">
        <f t="shared" si="124"/>
        <v>41</v>
      </c>
      <c r="S978" s="8">
        <f t="shared" ca="1" si="125"/>
        <v>41</v>
      </c>
      <c r="T978">
        <f t="shared" ca="1" si="126"/>
        <v>8.6002567918372357</v>
      </c>
      <c r="U978" s="8">
        <f t="shared" ca="1" si="127"/>
        <v>1.0420079437107319</v>
      </c>
      <c r="V978" s="8">
        <f ca="1">RawData[[#This Row],[Z (smoothed demand size)]]/RawData[[#This Row],[X (smoothed interval)]]</f>
        <v>8.2535424453776738</v>
      </c>
    </row>
    <row r="979" spans="1:22">
      <c r="A979" t="s">
        <v>31</v>
      </c>
      <c r="B979" t="s">
        <v>14</v>
      </c>
      <c r="C979">
        <v>21</v>
      </c>
      <c r="D979" t="s">
        <v>18</v>
      </c>
      <c r="E979" t="s">
        <v>16</v>
      </c>
      <c r="F979" s="1">
        <v>44202</v>
      </c>
      <c r="G979">
        <v>8</v>
      </c>
      <c r="H979">
        <v>8</v>
      </c>
      <c r="I979">
        <v>13</v>
      </c>
      <c r="J979">
        <v>5</v>
      </c>
      <c r="K979">
        <v>0</v>
      </c>
      <c r="L979">
        <v>732</v>
      </c>
      <c r="M979">
        <v>30</v>
      </c>
      <c r="N979" s="1">
        <f t="shared" si="120"/>
        <v>44938</v>
      </c>
      <c r="O979" s="1">
        <f t="shared" si="121"/>
        <v>43101</v>
      </c>
      <c r="P979" s="1">
        <f t="shared" si="122"/>
        <v>44348</v>
      </c>
      <c r="Q979" s="8">
        <f t="shared" si="123"/>
        <v>0</v>
      </c>
      <c r="R979" s="8">
        <f t="shared" si="124"/>
        <v>42</v>
      </c>
      <c r="S979" s="8">
        <f t="shared" ca="1" si="125"/>
        <v>42</v>
      </c>
      <c r="T979">
        <f t="shared" ca="1" si="126"/>
        <v>8.4802054334697896</v>
      </c>
      <c r="U979" s="8">
        <f t="shared" ca="1" si="127"/>
        <v>1.0336063549685857</v>
      </c>
      <c r="V979" s="8">
        <f ca="1">RawData[[#This Row],[Z (smoothed demand size)]]/RawData[[#This Row],[X (smoothed interval)]]</f>
        <v>8.2044826763159051</v>
      </c>
    </row>
    <row r="980" spans="1:22">
      <c r="A980" t="s">
        <v>31</v>
      </c>
      <c r="B980" t="s">
        <v>14</v>
      </c>
      <c r="C980">
        <v>21</v>
      </c>
      <c r="D980" t="s">
        <v>18</v>
      </c>
      <c r="E980" t="s">
        <v>16</v>
      </c>
      <c r="F980" s="1">
        <v>44203</v>
      </c>
      <c r="G980">
        <v>9</v>
      </c>
      <c r="H980">
        <v>9</v>
      </c>
      <c r="I980">
        <v>14</v>
      </c>
      <c r="J980">
        <v>5</v>
      </c>
      <c r="K980">
        <v>0</v>
      </c>
      <c r="L980">
        <v>722</v>
      </c>
      <c r="M980">
        <v>15</v>
      </c>
      <c r="N980" s="1">
        <f t="shared" si="120"/>
        <v>44938</v>
      </c>
      <c r="O980" s="1">
        <f t="shared" si="121"/>
        <v>43101</v>
      </c>
      <c r="P980" s="1">
        <f t="shared" si="122"/>
        <v>44378</v>
      </c>
      <c r="Q980" s="8">
        <f t="shared" si="123"/>
        <v>0</v>
      </c>
      <c r="R980" s="8">
        <f t="shared" si="124"/>
        <v>43</v>
      </c>
      <c r="S980" s="8">
        <f t="shared" ca="1" si="125"/>
        <v>43</v>
      </c>
      <c r="T980">
        <f t="shared" ca="1" si="126"/>
        <v>8.5841643467758324</v>
      </c>
      <c r="U980" s="8">
        <f t="shared" ca="1" si="127"/>
        <v>1.0268850839748687</v>
      </c>
      <c r="V980" s="8">
        <f ca="1">RawData[[#This Row],[Z (smoothed demand size)]]/RawData[[#This Row],[X (smoothed interval)]]</f>
        <v>8.3594206213885531</v>
      </c>
    </row>
    <row r="981" spans="1:22">
      <c r="A981" t="s">
        <v>31</v>
      </c>
      <c r="B981" t="s">
        <v>14</v>
      </c>
      <c r="C981">
        <v>21</v>
      </c>
      <c r="D981" t="s">
        <v>18</v>
      </c>
      <c r="E981" t="s">
        <v>16</v>
      </c>
      <c r="F981" s="1">
        <v>44204</v>
      </c>
      <c r="G981">
        <v>10</v>
      </c>
      <c r="H981">
        <v>10</v>
      </c>
      <c r="I981">
        <v>16</v>
      </c>
      <c r="J981">
        <v>6</v>
      </c>
      <c r="K981">
        <v>0</v>
      </c>
      <c r="L981">
        <v>729</v>
      </c>
      <c r="M981">
        <v>30</v>
      </c>
      <c r="N981" s="1">
        <f t="shared" si="120"/>
        <v>44938</v>
      </c>
      <c r="O981" s="1">
        <f t="shared" si="121"/>
        <v>43101</v>
      </c>
      <c r="P981" s="1">
        <f t="shared" si="122"/>
        <v>44409</v>
      </c>
      <c r="Q981" s="8">
        <f t="shared" si="123"/>
        <v>0</v>
      </c>
      <c r="R981" s="8">
        <f t="shared" si="124"/>
        <v>44</v>
      </c>
      <c r="S981" s="8">
        <f t="shared" ca="1" si="125"/>
        <v>44</v>
      </c>
      <c r="T981">
        <f t="shared" ca="1" si="126"/>
        <v>8.8673314774206666</v>
      </c>
      <c r="U981" s="8">
        <f t="shared" ca="1" si="127"/>
        <v>1.0215080671798951</v>
      </c>
      <c r="V981" s="8">
        <f ca="1">RawData[[#This Row],[Z (smoothed demand size)]]/RawData[[#This Row],[X (smoothed interval)]]</f>
        <v>8.680627948344009</v>
      </c>
    </row>
    <row r="982" spans="1:22">
      <c r="A982" t="s">
        <v>31</v>
      </c>
      <c r="B982" t="s">
        <v>14</v>
      </c>
      <c r="C982">
        <v>21</v>
      </c>
      <c r="D982" t="s">
        <v>18</v>
      </c>
      <c r="E982" t="s">
        <v>16</v>
      </c>
      <c r="F982" s="1">
        <v>44205</v>
      </c>
      <c r="G982">
        <v>11</v>
      </c>
      <c r="H982">
        <v>11</v>
      </c>
      <c r="I982">
        <v>17</v>
      </c>
      <c r="J982">
        <v>6</v>
      </c>
      <c r="K982">
        <v>0</v>
      </c>
      <c r="L982">
        <v>632</v>
      </c>
      <c r="M982">
        <v>60</v>
      </c>
      <c r="N982" s="1">
        <f t="shared" si="120"/>
        <v>44938</v>
      </c>
      <c r="O982" s="1">
        <f t="shared" si="121"/>
        <v>43101</v>
      </c>
      <c r="P982" s="1">
        <f t="shared" si="122"/>
        <v>44440</v>
      </c>
      <c r="Q982" s="8">
        <f t="shared" si="123"/>
        <v>0</v>
      </c>
      <c r="R982" s="8">
        <f t="shared" si="124"/>
        <v>45</v>
      </c>
      <c r="S982" s="8">
        <f t="shared" ca="1" si="125"/>
        <v>45</v>
      </c>
      <c r="T982">
        <f t="shared" ca="1" si="126"/>
        <v>9.2938651819365337</v>
      </c>
      <c r="U982" s="8">
        <f t="shared" ca="1" si="127"/>
        <v>1.0172064537439161</v>
      </c>
      <c r="V982" s="8">
        <f ca="1">RawData[[#This Row],[Z (smoothed demand size)]]/RawData[[#This Row],[X (smoothed interval)]]</f>
        <v>9.1366557376132072</v>
      </c>
    </row>
    <row r="983" spans="1:22">
      <c r="A983" t="s">
        <v>31</v>
      </c>
      <c r="B983" t="s">
        <v>14</v>
      </c>
      <c r="C983">
        <v>21</v>
      </c>
      <c r="D983" t="s">
        <v>18</v>
      </c>
      <c r="E983" t="s">
        <v>16</v>
      </c>
      <c r="F983" s="1">
        <v>44206</v>
      </c>
      <c r="G983">
        <v>8</v>
      </c>
      <c r="H983">
        <v>6</v>
      </c>
      <c r="I983">
        <v>6</v>
      </c>
      <c r="J983">
        <v>0</v>
      </c>
      <c r="K983">
        <v>1</v>
      </c>
      <c r="L983">
        <v>628</v>
      </c>
      <c r="M983">
        <v>30</v>
      </c>
      <c r="N983" s="1">
        <f t="shared" si="120"/>
        <v>44938</v>
      </c>
      <c r="O983" s="1">
        <f t="shared" si="121"/>
        <v>43101</v>
      </c>
      <c r="P983" s="1">
        <f t="shared" si="122"/>
        <v>44470</v>
      </c>
      <c r="Q983" s="8">
        <f t="shared" si="123"/>
        <v>0</v>
      </c>
      <c r="R983" s="8">
        <f t="shared" si="124"/>
        <v>46</v>
      </c>
      <c r="S983" s="8">
        <f t="shared" ca="1" si="125"/>
        <v>46</v>
      </c>
      <c r="T983">
        <f t="shared" ca="1" si="126"/>
        <v>9.0350921455492266</v>
      </c>
      <c r="U983" s="8">
        <f t="shared" ca="1" si="127"/>
        <v>1.013765162995133</v>
      </c>
      <c r="V983" s="8">
        <f ca="1">RawData[[#This Row],[Z (smoothed demand size)]]/RawData[[#This Row],[X (smoothed interval)]]</f>
        <v>8.9124113506281564</v>
      </c>
    </row>
    <row r="984" spans="1:22">
      <c r="A984" t="s">
        <v>31</v>
      </c>
      <c r="B984" t="s">
        <v>14</v>
      </c>
      <c r="C984">
        <v>21</v>
      </c>
      <c r="D984" t="s">
        <v>18</v>
      </c>
      <c r="E984" t="s">
        <v>16</v>
      </c>
      <c r="F984" s="1">
        <v>44207</v>
      </c>
      <c r="G984">
        <v>11</v>
      </c>
      <c r="H984">
        <v>7</v>
      </c>
      <c r="I984">
        <v>7</v>
      </c>
      <c r="J984">
        <v>0</v>
      </c>
      <c r="K984">
        <v>1</v>
      </c>
      <c r="L984">
        <v>631</v>
      </c>
      <c r="M984">
        <v>45</v>
      </c>
      <c r="N984" s="1">
        <f t="shared" si="120"/>
        <v>44938</v>
      </c>
      <c r="O984" s="1">
        <f t="shared" si="121"/>
        <v>43101</v>
      </c>
      <c r="P984" s="1">
        <f t="shared" si="122"/>
        <v>44501</v>
      </c>
      <c r="Q984" s="8">
        <f t="shared" si="123"/>
        <v>0</v>
      </c>
      <c r="R984" s="8">
        <f t="shared" si="124"/>
        <v>47</v>
      </c>
      <c r="S984" s="8">
        <f t="shared" ca="1" si="125"/>
        <v>47</v>
      </c>
      <c r="T984">
        <f t="shared" ca="1" si="126"/>
        <v>9.428073716439382</v>
      </c>
      <c r="U984" s="8">
        <f t="shared" ca="1" si="127"/>
        <v>1.0110121303961064</v>
      </c>
      <c r="V984" s="8">
        <f ca="1">RawData[[#This Row],[Z (smoothed demand size)]]/RawData[[#This Row],[X (smoothed interval)]]</f>
        <v>9.3253814004640461</v>
      </c>
    </row>
    <row r="985" spans="1:22">
      <c r="A985" t="s">
        <v>31</v>
      </c>
      <c r="B985" t="s">
        <v>14</v>
      </c>
      <c r="C985">
        <v>21</v>
      </c>
      <c r="D985" t="s">
        <v>18</v>
      </c>
      <c r="E985" t="s">
        <v>16</v>
      </c>
      <c r="F985" s="1">
        <v>44208</v>
      </c>
      <c r="G985">
        <v>14</v>
      </c>
      <c r="H985">
        <v>0</v>
      </c>
      <c r="I985">
        <v>0</v>
      </c>
      <c r="J985">
        <v>0</v>
      </c>
      <c r="K985">
        <v>1</v>
      </c>
      <c r="L985">
        <v>733</v>
      </c>
      <c r="M985">
        <v>60</v>
      </c>
      <c r="N985" s="1">
        <f t="shared" si="120"/>
        <v>44938</v>
      </c>
      <c r="O985" s="1">
        <f t="shared" si="121"/>
        <v>43101</v>
      </c>
      <c r="P985" s="1">
        <f t="shared" si="122"/>
        <v>44531</v>
      </c>
      <c r="Q985" s="8">
        <f t="shared" si="123"/>
        <v>0</v>
      </c>
      <c r="R985" s="8">
        <f t="shared" si="124"/>
        <v>48</v>
      </c>
      <c r="S985" s="8">
        <f t="shared" ca="1" si="125"/>
        <v>48</v>
      </c>
      <c r="T985">
        <f t="shared" ca="1" si="126"/>
        <v>10.342458973151507</v>
      </c>
      <c r="U985" s="8">
        <f t="shared" ca="1" si="127"/>
        <v>1.0088097043168851</v>
      </c>
      <c r="V985" s="8">
        <f ca="1">RawData[[#This Row],[Z (smoothed demand size)]]/RawData[[#This Row],[X (smoothed interval)]]</f>
        <v>10.252140645449973</v>
      </c>
    </row>
    <row r="986" spans="1:22">
      <c r="A986" t="s">
        <v>31</v>
      </c>
      <c r="B986" t="s">
        <v>14</v>
      </c>
      <c r="C986">
        <v>21</v>
      </c>
      <c r="D986" t="s">
        <v>18</v>
      </c>
      <c r="E986" t="s">
        <v>16</v>
      </c>
      <c r="F986" s="1">
        <v>44562</v>
      </c>
      <c r="G986">
        <v>7</v>
      </c>
      <c r="H986">
        <v>7</v>
      </c>
      <c r="I986">
        <v>12</v>
      </c>
      <c r="J986">
        <v>5</v>
      </c>
      <c r="K986">
        <v>0</v>
      </c>
      <c r="L986">
        <v>628</v>
      </c>
      <c r="M986">
        <v>15</v>
      </c>
      <c r="N986" s="1">
        <f t="shared" si="120"/>
        <v>44938</v>
      </c>
      <c r="O986" s="1">
        <f t="shared" si="121"/>
        <v>43101</v>
      </c>
      <c r="P986" s="1">
        <f t="shared" si="122"/>
        <v>44562</v>
      </c>
      <c r="Q986" s="8">
        <f t="shared" si="123"/>
        <v>0</v>
      </c>
      <c r="R986" s="8">
        <f t="shared" si="124"/>
        <v>49</v>
      </c>
      <c r="S986" s="8">
        <f t="shared" ca="1" si="125"/>
        <v>49</v>
      </c>
      <c r="T986">
        <f t="shared" ca="1" si="126"/>
        <v>9.673967178521206</v>
      </c>
      <c r="U986" s="8">
        <f t="shared" ca="1" si="127"/>
        <v>1.0070477634535082</v>
      </c>
      <c r="V986" s="8">
        <f ca="1">RawData[[#This Row],[Z (smoothed demand size)]]/RawData[[#This Row],[X (smoothed interval)]]</f>
        <v>9.6062644986627976</v>
      </c>
    </row>
    <row r="987" spans="1:22">
      <c r="A987" t="s">
        <v>31</v>
      </c>
      <c r="B987" t="s">
        <v>14</v>
      </c>
      <c r="C987">
        <v>21</v>
      </c>
      <c r="D987" t="s">
        <v>18</v>
      </c>
      <c r="E987" t="s">
        <v>16</v>
      </c>
      <c r="F987" s="1">
        <v>44563</v>
      </c>
      <c r="G987">
        <v>12</v>
      </c>
      <c r="H987">
        <v>12</v>
      </c>
      <c r="I987">
        <v>13</v>
      </c>
      <c r="J987">
        <v>1</v>
      </c>
      <c r="K987">
        <v>0</v>
      </c>
      <c r="L987">
        <v>634</v>
      </c>
      <c r="M987">
        <v>15</v>
      </c>
      <c r="N987" s="1">
        <f t="shared" si="120"/>
        <v>44938</v>
      </c>
      <c r="O987" s="1">
        <f t="shared" si="121"/>
        <v>43101</v>
      </c>
      <c r="P987" s="1">
        <f t="shared" si="122"/>
        <v>44593</v>
      </c>
      <c r="Q987" s="8">
        <f t="shared" si="123"/>
        <v>0</v>
      </c>
      <c r="R987" s="8">
        <f t="shared" si="124"/>
        <v>50</v>
      </c>
      <c r="S987" s="8">
        <f t="shared" ca="1" si="125"/>
        <v>50</v>
      </c>
      <c r="T987">
        <f t="shared" ca="1" si="126"/>
        <v>10.139173742816965</v>
      </c>
      <c r="U987" s="8">
        <f t="shared" ca="1" si="127"/>
        <v>1.0056382107628066</v>
      </c>
      <c r="V987" s="8">
        <f ca="1">RawData[[#This Row],[Z (smoothed demand size)]]/RawData[[#This Row],[X (smoothed interval)]]</f>
        <v>10.082327455642421</v>
      </c>
    </row>
    <row r="988" spans="1:22">
      <c r="A988" t="s">
        <v>31</v>
      </c>
      <c r="B988" t="s">
        <v>14</v>
      </c>
      <c r="C988">
        <v>21</v>
      </c>
      <c r="D988" t="s">
        <v>18</v>
      </c>
      <c r="E988" t="s">
        <v>16</v>
      </c>
      <c r="F988" s="1">
        <v>44564</v>
      </c>
      <c r="G988">
        <v>5</v>
      </c>
      <c r="H988">
        <v>5</v>
      </c>
      <c r="I988">
        <v>10</v>
      </c>
      <c r="J988">
        <v>5</v>
      </c>
      <c r="K988">
        <v>0</v>
      </c>
      <c r="L988">
        <v>621</v>
      </c>
      <c r="M988">
        <v>45</v>
      </c>
      <c r="N988" s="1">
        <f t="shared" si="120"/>
        <v>44938</v>
      </c>
      <c r="O988" s="1">
        <f t="shared" si="121"/>
        <v>43101</v>
      </c>
      <c r="P988" s="1">
        <f t="shared" si="122"/>
        <v>44621</v>
      </c>
      <c r="Q988" s="8">
        <f t="shared" si="123"/>
        <v>0</v>
      </c>
      <c r="R988" s="8">
        <f t="shared" si="124"/>
        <v>51</v>
      </c>
      <c r="S988" s="8">
        <f t="shared" ca="1" si="125"/>
        <v>51</v>
      </c>
      <c r="T988">
        <f t="shared" ca="1" si="126"/>
        <v>9.1113389942535719</v>
      </c>
      <c r="U988" s="8">
        <f t="shared" ca="1" si="127"/>
        <v>1.0045105686102453</v>
      </c>
      <c r="V988" s="8">
        <f ca="1">RawData[[#This Row],[Z (smoothed demand size)]]/RawData[[#This Row],[X (smoothed interval)]]</f>
        <v>9.0704262144889523</v>
      </c>
    </row>
    <row r="989" spans="1:22">
      <c r="A989" t="s">
        <v>31</v>
      </c>
      <c r="B989" t="s">
        <v>14</v>
      </c>
      <c r="C989">
        <v>21</v>
      </c>
      <c r="D989" t="s">
        <v>18</v>
      </c>
      <c r="E989" t="s">
        <v>16</v>
      </c>
      <c r="F989" s="1">
        <v>44565</v>
      </c>
      <c r="G989">
        <v>6</v>
      </c>
      <c r="H989">
        <v>5</v>
      </c>
      <c r="I989">
        <v>5</v>
      </c>
      <c r="J989">
        <v>0</v>
      </c>
      <c r="K989">
        <v>1</v>
      </c>
      <c r="L989">
        <v>643</v>
      </c>
      <c r="M989">
        <v>45</v>
      </c>
      <c r="N989" s="1">
        <f t="shared" si="120"/>
        <v>44938</v>
      </c>
      <c r="O989" s="1">
        <f t="shared" si="121"/>
        <v>43101</v>
      </c>
      <c r="P989" s="1">
        <f t="shared" si="122"/>
        <v>44652</v>
      </c>
      <c r="Q989" s="8">
        <f t="shared" si="123"/>
        <v>0</v>
      </c>
      <c r="R989" s="8">
        <f t="shared" si="124"/>
        <v>52</v>
      </c>
      <c r="S989" s="8">
        <f t="shared" ca="1" si="125"/>
        <v>52</v>
      </c>
      <c r="T989">
        <f t="shared" ca="1" si="126"/>
        <v>8.4890711954028575</v>
      </c>
      <c r="U989" s="8">
        <f t="shared" ca="1" si="127"/>
        <v>1.0036084548881963</v>
      </c>
      <c r="V989" s="8">
        <f ca="1">RawData[[#This Row],[Z (smoothed demand size)]]/RawData[[#This Row],[X (smoothed interval)]]</f>
        <v>8.4585489032658199</v>
      </c>
    </row>
    <row r="990" spans="1:22">
      <c r="A990" t="s">
        <v>31</v>
      </c>
      <c r="B990" t="s">
        <v>14</v>
      </c>
      <c r="C990">
        <v>21</v>
      </c>
      <c r="D990" t="s">
        <v>18</v>
      </c>
      <c r="E990" t="s">
        <v>16</v>
      </c>
      <c r="F990" s="1">
        <v>44566</v>
      </c>
      <c r="G990">
        <v>9</v>
      </c>
      <c r="H990">
        <v>9</v>
      </c>
      <c r="I990">
        <v>9</v>
      </c>
      <c r="J990">
        <v>0</v>
      </c>
      <c r="K990">
        <v>0</v>
      </c>
      <c r="L990">
        <v>630</v>
      </c>
      <c r="M990">
        <v>30</v>
      </c>
      <c r="N990" s="1">
        <f t="shared" si="120"/>
        <v>44938</v>
      </c>
      <c r="O990" s="1">
        <f t="shared" si="121"/>
        <v>43101</v>
      </c>
      <c r="P990" s="1">
        <f t="shared" si="122"/>
        <v>44682</v>
      </c>
      <c r="Q990" s="8">
        <f t="shared" si="123"/>
        <v>0</v>
      </c>
      <c r="R990" s="8">
        <f t="shared" si="124"/>
        <v>53</v>
      </c>
      <c r="S990" s="8">
        <f t="shared" ca="1" si="125"/>
        <v>53</v>
      </c>
      <c r="T990">
        <f t="shared" ca="1" si="126"/>
        <v>8.5912569563222867</v>
      </c>
      <c r="U990" s="8">
        <f t="shared" ca="1" si="127"/>
        <v>1.002886763910557</v>
      </c>
      <c r="V990" s="8">
        <f ca="1">RawData[[#This Row],[Z (smoothed demand size)]]/RawData[[#This Row],[X (smoothed interval)]]</f>
        <v>8.5665274141443373</v>
      </c>
    </row>
    <row r="991" spans="1:22">
      <c r="A991" t="s">
        <v>31</v>
      </c>
      <c r="B991" t="s">
        <v>14</v>
      </c>
      <c r="C991">
        <v>21</v>
      </c>
      <c r="D991" t="s">
        <v>18</v>
      </c>
      <c r="E991" t="s">
        <v>16</v>
      </c>
      <c r="F991" s="1">
        <v>44567</v>
      </c>
      <c r="G991">
        <v>5</v>
      </c>
      <c r="H991">
        <v>5</v>
      </c>
      <c r="I991">
        <v>10</v>
      </c>
      <c r="J991">
        <v>5</v>
      </c>
      <c r="K991">
        <v>0</v>
      </c>
      <c r="L991">
        <v>733</v>
      </c>
      <c r="M991">
        <v>45</v>
      </c>
      <c r="N991" s="1">
        <f t="shared" si="120"/>
        <v>44938</v>
      </c>
      <c r="O991" s="1">
        <f t="shared" si="121"/>
        <v>43101</v>
      </c>
      <c r="P991" s="1">
        <f t="shared" si="122"/>
        <v>44713</v>
      </c>
      <c r="Q991" s="8">
        <f t="shared" si="123"/>
        <v>0</v>
      </c>
      <c r="R991" s="8">
        <f t="shared" si="124"/>
        <v>54</v>
      </c>
      <c r="S991" s="8">
        <f t="shared" ca="1" si="125"/>
        <v>54</v>
      </c>
      <c r="T991">
        <f t="shared" ca="1" si="126"/>
        <v>7.8730055650578299</v>
      </c>
      <c r="U991" s="8">
        <f t="shared" ca="1" si="127"/>
        <v>1.0023094111284456</v>
      </c>
      <c r="V991" s="8">
        <f ca="1">RawData[[#This Row],[Z (smoothed demand size)]]/RawData[[#This Row],[X (smoothed interval)]]</f>
        <v>7.854865451371988</v>
      </c>
    </row>
    <row r="992" spans="1:22">
      <c r="A992" t="s">
        <v>31</v>
      </c>
      <c r="B992" t="s">
        <v>14</v>
      </c>
      <c r="C992">
        <v>21</v>
      </c>
      <c r="D992" t="s">
        <v>18</v>
      </c>
      <c r="E992" t="s">
        <v>16</v>
      </c>
      <c r="F992" s="1">
        <v>44568</v>
      </c>
      <c r="G992">
        <v>10</v>
      </c>
      <c r="H992">
        <v>5</v>
      </c>
      <c r="I992">
        <v>5</v>
      </c>
      <c r="J992">
        <v>0</v>
      </c>
      <c r="K992">
        <v>1</v>
      </c>
      <c r="L992">
        <v>729</v>
      </c>
      <c r="M992">
        <v>15</v>
      </c>
      <c r="N992" s="1">
        <f t="shared" si="120"/>
        <v>44938</v>
      </c>
      <c r="O992" s="1">
        <f t="shared" si="121"/>
        <v>43101</v>
      </c>
      <c r="P992" s="1">
        <f t="shared" si="122"/>
        <v>44743</v>
      </c>
      <c r="Q992" s="8">
        <f t="shared" si="123"/>
        <v>0</v>
      </c>
      <c r="R992" s="8">
        <f t="shared" si="124"/>
        <v>55</v>
      </c>
      <c r="S992" s="8">
        <f t="shared" ca="1" si="125"/>
        <v>55</v>
      </c>
      <c r="T992">
        <f t="shared" ca="1" si="126"/>
        <v>8.2984044520462632</v>
      </c>
      <c r="U992" s="8">
        <f t="shared" ca="1" si="127"/>
        <v>1.0018475289027566</v>
      </c>
      <c r="V992" s="8">
        <f ca="1">RawData[[#This Row],[Z (smoothed demand size)]]/RawData[[#This Row],[X (smoothed interval)]]</f>
        <v>8.283101183205833</v>
      </c>
    </row>
    <row r="993" spans="1:22">
      <c r="A993" t="s">
        <v>31</v>
      </c>
      <c r="B993" t="s">
        <v>14</v>
      </c>
      <c r="C993">
        <v>21</v>
      </c>
      <c r="D993" t="s">
        <v>18</v>
      </c>
      <c r="E993" t="s">
        <v>16</v>
      </c>
      <c r="F993" s="1">
        <v>44569</v>
      </c>
      <c r="G993">
        <v>13</v>
      </c>
      <c r="H993">
        <v>8</v>
      </c>
      <c r="I993">
        <v>8</v>
      </c>
      <c r="J993">
        <v>0</v>
      </c>
      <c r="K993">
        <v>1</v>
      </c>
      <c r="L993">
        <v>730</v>
      </c>
      <c r="M993">
        <v>15</v>
      </c>
      <c r="N993" s="1">
        <f t="shared" si="120"/>
        <v>44938</v>
      </c>
      <c r="O993" s="1">
        <f t="shared" si="121"/>
        <v>43101</v>
      </c>
      <c r="P993" s="1">
        <f t="shared" si="122"/>
        <v>44774</v>
      </c>
      <c r="Q993" s="8">
        <f t="shared" si="123"/>
        <v>0</v>
      </c>
      <c r="R993" s="8">
        <f t="shared" si="124"/>
        <v>56</v>
      </c>
      <c r="S993" s="8">
        <f t="shared" ca="1" si="125"/>
        <v>56</v>
      </c>
      <c r="T993">
        <f t="shared" ca="1" si="126"/>
        <v>9.2387235616370109</v>
      </c>
      <c r="U993" s="8">
        <f t="shared" ca="1" si="127"/>
        <v>1.0014780231222054</v>
      </c>
      <c r="V993" s="8">
        <f ca="1">RawData[[#This Row],[Z (smoothed demand size)]]/RawData[[#This Row],[X (smoothed interval)]]</f>
        <v>9.2250886672823729</v>
      </c>
    </row>
    <row r="994" spans="1:22">
      <c r="A994" t="s">
        <v>31</v>
      </c>
      <c r="B994" t="s">
        <v>14</v>
      </c>
      <c r="C994">
        <v>21</v>
      </c>
      <c r="D994" t="s">
        <v>18</v>
      </c>
      <c r="E994" t="s">
        <v>16</v>
      </c>
      <c r="F994" s="1">
        <v>44570</v>
      </c>
      <c r="G994">
        <v>6</v>
      </c>
      <c r="H994">
        <v>6</v>
      </c>
      <c r="I994">
        <v>11</v>
      </c>
      <c r="J994">
        <v>5</v>
      </c>
      <c r="K994">
        <v>0</v>
      </c>
      <c r="L994">
        <v>625</v>
      </c>
      <c r="M994">
        <v>45</v>
      </c>
      <c r="N994" s="1">
        <f t="shared" si="120"/>
        <v>44938</v>
      </c>
      <c r="O994" s="1">
        <f t="shared" si="121"/>
        <v>43101</v>
      </c>
      <c r="P994" s="1">
        <f t="shared" si="122"/>
        <v>44805</v>
      </c>
      <c r="Q994" s="8">
        <f t="shared" si="123"/>
        <v>0</v>
      </c>
      <c r="R994" s="8">
        <f t="shared" si="124"/>
        <v>57</v>
      </c>
      <c r="S994" s="8">
        <f t="shared" ca="1" si="125"/>
        <v>57</v>
      </c>
      <c r="T994">
        <f t="shared" ca="1" si="126"/>
        <v>8.5909788493096091</v>
      </c>
      <c r="U994" s="8">
        <f t="shared" ca="1" si="127"/>
        <v>1.0011824184977642</v>
      </c>
      <c r="V994" s="8">
        <f ca="1">RawData[[#This Row],[Z (smoothed demand size)]]/RawData[[#This Row],[X (smoothed interval)]]</f>
        <v>8.5808327139823763</v>
      </c>
    </row>
    <row r="995" spans="1:22">
      <c r="A995" t="s">
        <v>31</v>
      </c>
      <c r="B995" t="s">
        <v>14</v>
      </c>
      <c r="C995">
        <v>21</v>
      </c>
      <c r="D995" t="s">
        <v>18</v>
      </c>
      <c r="E995" t="s">
        <v>16</v>
      </c>
      <c r="F995" s="1">
        <v>44571</v>
      </c>
      <c r="G995">
        <v>9</v>
      </c>
      <c r="H995">
        <v>5</v>
      </c>
      <c r="I995">
        <v>5</v>
      </c>
      <c r="J995">
        <v>0</v>
      </c>
      <c r="K995">
        <v>1</v>
      </c>
      <c r="L995">
        <v>628</v>
      </c>
      <c r="M995">
        <v>30</v>
      </c>
      <c r="N995" s="1">
        <f t="shared" si="120"/>
        <v>44938</v>
      </c>
      <c r="O995" s="1">
        <f t="shared" si="121"/>
        <v>43101</v>
      </c>
      <c r="P995" s="1">
        <f t="shared" si="122"/>
        <v>44835</v>
      </c>
      <c r="Q995" s="8">
        <f t="shared" si="123"/>
        <v>0</v>
      </c>
      <c r="R995" s="8">
        <f t="shared" si="124"/>
        <v>58</v>
      </c>
      <c r="S995" s="8">
        <f t="shared" ca="1" si="125"/>
        <v>58</v>
      </c>
      <c r="T995">
        <f t="shared" ca="1" si="126"/>
        <v>8.6727830794476883</v>
      </c>
      <c r="U995" s="8">
        <f t="shared" ca="1" si="127"/>
        <v>1.0009459347982115</v>
      </c>
      <c r="V995" s="8">
        <f ca="1">RawData[[#This Row],[Z (smoothed demand size)]]/RawData[[#This Row],[X (smoothed interval)]]</f>
        <v>8.6645869451441477</v>
      </c>
    </row>
    <row r="996" spans="1:22">
      <c r="A996" t="s">
        <v>31</v>
      </c>
      <c r="B996" t="s">
        <v>14</v>
      </c>
      <c r="C996">
        <v>21</v>
      </c>
      <c r="D996" t="s">
        <v>18</v>
      </c>
      <c r="E996" t="s">
        <v>16</v>
      </c>
      <c r="F996" s="1">
        <v>44572</v>
      </c>
      <c r="G996">
        <v>8</v>
      </c>
      <c r="H996">
        <v>7</v>
      </c>
      <c r="I996">
        <v>7</v>
      </c>
      <c r="J996">
        <v>0</v>
      </c>
      <c r="K996">
        <v>1</v>
      </c>
      <c r="L996">
        <v>628</v>
      </c>
      <c r="M996">
        <v>60</v>
      </c>
      <c r="N996" s="1">
        <f t="shared" si="120"/>
        <v>44938</v>
      </c>
      <c r="O996" s="1">
        <f t="shared" si="121"/>
        <v>43101</v>
      </c>
      <c r="P996" s="1">
        <f t="shared" si="122"/>
        <v>44866</v>
      </c>
      <c r="Q996" s="8">
        <f t="shared" si="123"/>
        <v>0</v>
      </c>
      <c r="R996" s="8">
        <f t="shared" si="124"/>
        <v>59</v>
      </c>
      <c r="S996" s="8">
        <f t="shared" ca="1" si="125"/>
        <v>59</v>
      </c>
      <c r="T996">
        <f t="shared" ca="1" si="126"/>
        <v>8.5382264635581517</v>
      </c>
      <c r="U996" s="8">
        <f t="shared" ca="1" si="127"/>
        <v>1.0007567478385693</v>
      </c>
      <c r="V996" s="8">
        <f ca="1">RawData[[#This Row],[Z (smoothed demand size)]]/RawData[[#This Row],[X (smoothed interval)]]</f>
        <v>8.5317700650022914</v>
      </c>
    </row>
    <row r="997" spans="1:22">
      <c r="A997" t="s">
        <v>31</v>
      </c>
      <c r="B997" t="s">
        <v>14</v>
      </c>
      <c r="C997">
        <v>21</v>
      </c>
      <c r="D997" t="s">
        <v>18</v>
      </c>
      <c r="E997" t="s">
        <v>16</v>
      </c>
      <c r="F997" s="1">
        <v>44573</v>
      </c>
      <c r="G997">
        <v>11</v>
      </c>
      <c r="H997">
        <v>0</v>
      </c>
      <c r="I997">
        <v>0</v>
      </c>
      <c r="J997">
        <v>0</v>
      </c>
      <c r="K997">
        <v>1</v>
      </c>
      <c r="L997">
        <v>727</v>
      </c>
      <c r="M997">
        <v>15</v>
      </c>
      <c r="N997" s="1">
        <f t="shared" si="120"/>
        <v>44938</v>
      </c>
      <c r="O997" s="1">
        <f t="shared" si="121"/>
        <v>43101</v>
      </c>
      <c r="P997" s="1">
        <f t="shared" si="122"/>
        <v>44896</v>
      </c>
      <c r="Q997" s="8">
        <f t="shared" si="123"/>
        <v>0</v>
      </c>
      <c r="R997" s="8">
        <f t="shared" si="124"/>
        <v>60</v>
      </c>
      <c r="S997" s="8">
        <f t="shared" ca="1" si="125"/>
        <v>60</v>
      </c>
      <c r="T997">
        <f t="shared" ca="1" si="126"/>
        <v>9.0305811708465207</v>
      </c>
      <c r="U997" s="8">
        <f t="shared" ca="1" si="127"/>
        <v>1.0006053982708554</v>
      </c>
      <c r="V997" s="8">
        <f ca="1">RawData[[#This Row],[Z (smoothed demand size)]]/RawData[[#This Row],[X (smoothed interval)]]</f>
        <v>9.0251173803901654</v>
      </c>
    </row>
    <row r="998" spans="1:22">
      <c r="A998" t="s">
        <v>31</v>
      </c>
      <c r="B998" t="s">
        <v>14</v>
      </c>
      <c r="C998">
        <v>21</v>
      </c>
      <c r="D998" t="s">
        <v>18</v>
      </c>
      <c r="E998" t="s">
        <v>16</v>
      </c>
      <c r="F998" s="1">
        <v>44927</v>
      </c>
      <c r="G998">
        <v>4</v>
      </c>
      <c r="H998">
        <v>4</v>
      </c>
      <c r="I998">
        <v>11</v>
      </c>
      <c r="J998">
        <v>7</v>
      </c>
      <c r="K998">
        <v>0</v>
      </c>
      <c r="L998">
        <v>639</v>
      </c>
      <c r="M998">
        <v>60</v>
      </c>
      <c r="N998" s="1">
        <f t="shared" si="120"/>
        <v>44938</v>
      </c>
      <c r="O998" s="1">
        <f t="shared" si="121"/>
        <v>43101</v>
      </c>
      <c r="P998" s="1">
        <f t="shared" si="122"/>
        <v>44927</v>
      </c>
      <c r="Q998" s="8">
        <f t="shared" si="123"/>
        <v>0</v>
      </c>
      <c r="R998" s="8">
        <f t="shared" si="124"/>
        <v>61</v>
      </c>
      <c r="S998" s="8">
        <f t="shared" ca="1" si="125"/>
        <v>61</v>
      </c>
      <c r="T998">
        <f t="shared" ca="1" si="126"/>
        <v>8.0244649366772176</v>
      </c>
      <c r="U998" s="8">
        <f t="shared" ca="1" si="127"/>
        <v>1.0004843186166843</v>
      </c>
      <c r="V998" s="8">
        <f ca="1">RawData[[#This Row],[Z (smoothed demand size)]]/RawData[[#This Row],[X (smoothed interval)]]</f>
        <v>8.0205804202630713</v>
      </c>
    </row>
    <row r="999" spans="1:22">
      <c r="A999" t="s">
        <v>31</v>
      </c>
      <c r="B999" t="s">
        <v>14</v>
      </c>
      <c r="C999">
        <v>21</v>
      </c>
      <c r="D999" t="s">
        <v>18</v>
      </c>
      <c r="E999" t="s">
        <v>16</v>
      </c>
      <c r="F999" s="1">
        <v>44928</v>
      </c>
      <c r="G999">
        <v>6</v>
      </c>
      <c r="H999">
        <v>6</v>
      </c>
      <c r="I999">
        <v>7</v>
      </c>
      <c r="J999">
        <v>1</v>
      </c>
      <c r="K999">
        <v>0</v>
      </c>
      <c r="L999">
        <v>633</v>
      </c>
      <c r="M999">
        <v>15</v>
      </c>
      <c r="N999" s="1">
        <f t="shared" si="120"/>
        <v>44938</v>
      </c>
      <c r="O999" s="1">
        <f t="shared" si="121"/>
        <v>43101</v>
      </c>
      <c r="P999" s="1">
        <f t="shared" si="122"/>
        <v>44958</v>
      </c>
      <c r="Q999" s="8">
        <f t="shared" si="123"/>
        <v>0</v>
      </c>
      <c r="R999" s="8">
        <f t="shared" si="124"/>
        <v>62</v>
      </c>
      <c r="S999" s="8">
        <f t="shared" ca="1" si="125"/>
        <v>62</v>
      </c>
      <c r="T999">
        <f t="shared" ca="1" si="126"/>
        <v>7.6195719493417746</v>
      </c>
      <c r="U999" s="8">
        <f t="shared" ca="1" si="127"/>
        <v>1.0003874548933476</v>
      </c>
      <c r="V999" s="8">
        <f ca="1">RawData[[#This Row],[Z (smoothed demand size)]]/RawData[[#This Row],[X (smoothed interval)]]</f>
        <v>7.6166208523217698</v>
      </c>
    </row>
    <row r="1000" spans="1:22">
      <c r="A1000" t="s">
        <v>31</v>
      </c>
      <c r="B1000" t="s">
        <v>14</v>
      </c>
      <c r="C1000">
        <v>21</v>
      </c>
      <c r="D1000" t="s">
        <v>18</v>
      </c>
      <c r="E1000" t="s">
        <v>16</v>
      </c>
      <c r="F1000" s="1">
        <v>44929</v>
      </c>
      <c r="G1000">
        <v>6</v>
      </c>
      <c r="H1000">
        <v>6</v>
      </c>
      <c r="I1000">
        <v>12</v>
      </c>
      <c r="J1000">
        <v>6</v>
      </c>
      <c r="K1000">
        <v>0</v>
      </c>
      <c r="L1000">
        <v>625</v>
      </c>
      <c r="M1000">
        <v>30</v>
      </c>
      <c r="N1000" s="1">
        <f t="shared" si="120"/>
        <v>44938</v>
      </c>
      <c r="O1000" s="1">
        <f t="shared" si="121"/>
        <v>43101</v>
      </c>
      <c r="P1000" s="1">
        <f t="shared" si="122"/>
        <v>44986</v>
      </c>
      <c r="Q1000" s="8">
        <f t="shared" si="123"/>
        <v>0</v>
      </c>
      <c r="R1000" s="8">
        <f t="shared" si="124"/>
        <v>63</v>
      </c>
      <c r="S1000" s="8">
        <f t="shared" ca="1" si="125"/>
        <v>63</v>
      </c>
      <c r="T1000">
        <f t="shared" ca="1" si="126"/>
        <v>7.2956575594734199</v>
      </c>
      <c r="U1000" s="8">
        <f t="shared" ca="1" si="127"/>
        <v>1.0003099639146782</v>
      </c>
      <c r="V1000" s="8">
        <f ca="1">RawData[[#This Row],[Z (smoothed demand size)]]/RawData[[#This Row],[X (smoothed interval)]]</f>
        <v>7.2933968696284079</v>
      </c>
    </row>
    <row r="1001" spans="1:22">
      <c r="A1001" t="s">
        <v>31</v>
      </c>
      <c r="B1001" t="s">
        <v>14</v>
      </c>
      <c r="C1001">
        <v>21</v>
      </c>
      <c r="D1001" t="s">
        <v>18</v>
      </c>
      <c r="E1001" t="s">
        <v>16</v>
      </c>
      <c r="F1001" s="1">
        <v>44930</v>
      </c>
      <c r="G1001">
        <v>16</v>
      </c>
      <c r="H1001">
        <v>13</v>
      </c>
      <c r="I1001">
        <v>13</v>
      </c>
      <c r="J1001">
        <v>0</v>
      </c>
      <c r="K1001">
        <v>1</v>
      </c>
      <c r="L1001">
        <v>631</v>
      </c>
      <c r="M1001">
        <v>45</v>
      </c>
      <c r="N1001" s="1">
        <f t="shared" si="120"/>
        <v>44938</v>
      </c>
      <c r="O1001" s="1">
        <f t="shared" si="121"/>
        <v>43101</v>
      </c>
      <c r="P1001" s="1">
        <f t="shared" si="122"/>
        <v>45017</v>
      </c>
      <c r="Q1001" s="8">
        <f t="shared" si="123"/>
        <v>0</v>
      </c>
      <c r="R1001" s="8">
        <f t="shared" si="124"/>
        <v>64</v>
      </c>
      <c r="S1001" s="8">
        <f t="shared" ca="1" si="125"/>
        <v>64</v>
      </c>
      <c r="T1001">
        <f t="shared" ca="1" si="126"/>
        <v>9.0365260475787359</v>
      </c>
      <c r="U1001" s="8">
        <f t="shared" ca="1" si="127"/>
        <v>1.0002479711317427</v>
      </c>
      <c r="V1001" s="8">
        <f ca="1">RawData[[#This Row],[Z (smoothed demand size)]]/RawData[[#This Row],[X (smoothed interval)]]</f>
        <v>9.0342858055030586</v>
      </c>
    </row>
    <row r="1002" spans="1:22">
      <c r="A1002" t="s">
        <v>31</v>
      </c>
      <c r="B1002" t="s">
        <v>14</v>
      </c>
      <c r="C1002">
        <v>21</v>
      </c>
      <c r="D1002" t="s">
        <v>18</v>
      </c>
      <c r="E1002" t="s">
        <v>16</v>
      </c>
      <c r="F1002" s="1">
        <v>44931</v>
      </c>
      <c r="G1002">
        <v>13</v>
      </c>
      <c r="H1002">
        <v>0</v>
      </c>
      <c r="I1002">
        <v>0</v>
      </c>
      <c r="J1002">
        <v>0</v>
      </c>
      <c r="K1002">
        <v>1</v>
      </c>
      <c r="L1002">
        <v>630</v>
      </c>
      <c r="M1002">
        <v>15</v>
      </c>
      <c r="N1002" s="1">
        <f t="shared" si="120"/>
        <v>44938</v>
      </c>
      <c r="O1002" s="1">
        <f t="shared" si="121"/>
        <v>43101</v>
      </c>
      <c r="P1002" s="1">
        <f t="shared" si="122"/>
        <v>45047</v>
      </c>
      <c r="Q1002" s="8">
        <f t="shared" si="123"/>
        <v>0</v>
      </c>
      <c r="R1002" s="8">
        <f t="shared" si="124"/>
        <v>65</v>
      </c>
      <c r="S1002" s="8">
        <f t="shared" ca="1" si="125"/>
        <v>65</v>
      </c>
      <c r="T1002">
        <f t="shared" ca="1" si="126"/>
        <v>9.8292208380629891</v>
      </c>
      <c r="U1002" s="8">
        <f t="shared" ca="1" si="127"/>
        <v>1.0001983769053941</v>
      </c>
      <c r="V1002" s="8">
        <f ca="1">RawData[[#This Row],[Z (smoothed demand size)]]/RawData[[#This Row],[X (smoothed interval)]]</f>
        <v>9.8272713343872056</v>
      </c>
    </row>
    <row r="1003" spans="1:22">
      <c r="A1003" t="s">
        <v>31</v>
      </c>
      <c r="B1003" t="s">
        <v>14</v>
      </c>
      <c r="C1003">
        <v>21</v>
      </c>
      <c r="D1003" t="s">
        <v>18</v>
      </c>
      <c r="E1003" t="s">
        <v>16</v>
      </c>
      <c r="F1003" s="1">
        <v>44932</v>
      </c>
      <c r="G1003">
        <v>12</v>
      </c>
      <c r="H1003">
        <v>12</v>
      </c>
      <c r="I1003">
        <v>12</v>
      </c>
      <c r="J1003">
        <v>0</v>
      </c>
      <c r="K1003">
        <v>0</v>
      </c>
      <c r="L1003">
        <v>722</v>
      </c>
      <c r="M1003">
        <v>30</v>
      </c>
      <c r="N1003" s="1">
        <f t="shared" si="120"/>
        <v>44938</v>
      </c>
      <c r="O1003" s="1">
        <f t="shared" si="121"/>
        <v>43101</v>
      </c>
      <c r="P1003" s="1">
        <f t="shared" si="122"/>
        <v>45078</v>
      </c>
      <c r="Q1003" s="8">
        <f t="shared" si="123"/>
        <v>0</v>
      </c>
      <c r="R1003" s="8">
        <f t="shared" si="124"/>
        <v>66</v>
      </c>
      <c r="S1003" s="8">
        <f t="shared" ca="1" si="125"/>
        <v>66</v>
      </c>
      <c r="T1003">
        <f t="shared" ca="1" si="126"/>
        <v>10.263376670450391</v>
      </c>
      <c r="U1003" s="8">
        <f t="shared" ca="1" si="127"/>
        <v>1.0001587015243154</v>
      </c>
      <c r="V1003" s="8">
        <f ca="1">RawData[[#This Row],[Z (smoothed demand size)]]/RawData[[#This Row],[X (smoothed interval)]]</f>
        <v>10.261748115382339</v>
      </c>
    </row>
    <row r="1004" spans="1:22">
      <c r="A1004" t="s">
        <v>31</v>
      </c>
      <c r="B1004" t="s">
        <v>14</v>
      </c>
      <c r="C1004">
        <v>21</v>
      </c>
      <c r="D1004" t="s">
        <v>18</v>
      </c>
      <c r="E1004" t="s">
        <v>16</v>
      </c>
      <c r="F1004" s="1">
        <v>44933</v>
      </c>
      <c r="G1004">
        <v>7</v>
      </c>
      <c r="H1004">
        <v>7</v>
      </c>
      <c r="I1004">
        <v>10</v>
      </c>
      <c r="J1004">
        <v>3</v>
      </c>
      <c r="K1004">
        <v>0</v>
      </c>
      <c r="L1004">
        <v>725</v>
      </c>
      <c r="M1004">
        <v>15</v>
      </c>
      <c r="N1004" s="1">
        <f t="shared" si="120"/>
        <v>44938</v>
      </c>
      <c r="O1004" s="1">
        <f t="shared" si="121"/>
        <v>43101</v>
      </c>
      <c r="P1004" s="1">
        <f t="shared" si="122"/>
        <v>45108</v>
      </c>
      <c r="Q1004" s="8">
        <f t="shared" si="123"/>
        <v>0</v>
      </c>
      <c r="R1004" s="8">
        <f t="shared" si="124"/>
        <v>67</v>
      </c>
      <c r="S1004" s="8">
        <f t="shared" ca="1" si="125"/>
        <v>67</v>
      </c>
      <c r="T1004">
        <f t="shared" ca="1" si="126"/>
        <v>9.6107013363603144</v>
      </c>
      <c r="U1004" s="8">
        <f t="shared" ca="1" si="127"/>
        <v>1.0001269612194523</v>
      </c>
      <c r="V1004" s="8">
        <f ca="1">RawData[[#This Row],[Z (smoothed demand size)]]/RawData[[#This Row],[X (smoothed interval)]]</f>
        <v>9.6094813048955405</v>
      </c>
    </row>
    <row r="1005" spans="1:22">
      <c r="A1005" t="s">
        <v>31</v>
      </c>
      <c r="B1005" t="s">
        <v>14</v>
      </c>
      <c r="C1005">
        <v>21</v>
      </c>
      <c r="D1005" t="s">
        <v>18</v>
      </c>
      <c r="E1005" t="s">
        <v>16</v>
      </c>
      <c r="F1005" s="1">
        <v>44934</v>
      </c>
      <c r="G1005">
        <v>8</v>
      </c>
      <c r="H1005">
        <v>8</v>
      </c>
      <c r="I1005">
        <v>11</v>
      </c>
      <c r="J1005">
        <v>3</v>
      </c>
      <c r="K1005">
        <v>0</v>
      </c>
      <c r="L1005">
        <v>730</v>
      </c>
      <c r="M1005">
        <v>15</v>
      </c>
      <c r="N1005" s="1">
        <f t="shared" si="120"/>
        <v>44938</v>
      </c>
      <c r="O1005" s="1">
        <f t="shared" si="121"/>
        <v>43101</v>
      </c>
      <c r="P1005" s="1">
        <f t="shared" si="122"/>
        <v>45139</v>
      </c>
      <c r="Q1005" s="8">
        <f t="shared" si="123"/>
        <v>0</v>
      </c>
      <c r="R1005" s="8">
        <f t="shared" si="124"/>
        <v>68</v>
      </c>
      <c r="S1005" s="8">
        <f t="shared" ca="1" si="125"/>
        <v>68</v>
      </c>
      <c r="T1005">
        <f t="shared" ca="1" si="126"/>
        <v>9.2885610690882512</v>
      </c>
      <c r="U1005" s="8">
        <f t="shared" ca="1" si="127"/>
        <v>1.0001015689755619</v>
      </c>
      <c r="V1005" s="8">
        <f ca="1">RawData[[#This Row],[Z (smoothed demand size)]]/RawData[[#This Row],[X (smoothed interval)]]</f>
        <v>9.2876177352694693</v>
      </c>
    </row>
    <row r="1006" spans="1:22">
      <c r="A1006" t="s">
        <v>31</v>
      </c>
      <c r="B1006" t="s">
        <v>14</v>
      </c>
      <c r="C1006">
        <v>21</v>
      </c>
      <c r="D1006" t="s">
        <v>18</v>
      </c>
      <c r="E1006" t="s">
        <v>16</v>
      </c>
      <c r="F1006" s="1">
        <v>44935</v>
      </c>
      <c r="G1006">
        <v>2</v>
      </c>
      <c r="H1006">
        <v>2</v>
      </c>
      <c r="I1006">
        <v>10</v>
      </c>
      <c r="J1006">
        <v>8</v>
      </c>
      <c r="K1006">
        <v>0</v>
      </c>
      <c r="L1006">
        <v>626</v>
      </c>
      <c r="M1006">
        <v>45</v>
      </c>
      <c r="N1006" s="1">
        <f t="shared" si="120"/>
        <v>44938</v>
      </c>
      <c r="O1006" s="1">
        <f t="shared" si="121"/>
        <v>43101</v>
      </c>
      <c r="P1006" s="1">
        <f t="shared" si="122"/>
        <v>45170</v>
      </c>
      <c r="Q1006" s="8">
        <f t="shared" si="123"/>
        <v>0</v>
      </c>
      <c r="R1006" s="8">
        <f t="shared" si="124"/>
        <v>69</v>
      </c>
      <c r="S1006" s="8">
        <f t="shared" ca="1" si="125"/>
        <v>69</v>
      </c>
      <c r="T1006">
        <f t="shared" ca="1" si="126"/>
        <v>7.8308488552706015</v>
      </c>
      <c r="U1006" s="8">
        <f t="shared" ca="1" si="127"/>
        <v>1.0000812551804497</v>
      </c>
      <c r="V1006" s="8">
        <f ca="1">RawData[[#This Row],[Z (smoothed demand size)]]/RawData[[#This Row],[X (smoothed interval)]]</f>
        <v>7.8302126099320226</v>
      </c>
    </row>
    <row r="1007" spans="1:22">
      <c r="A1007" t="s">
        <v>31</v>
      </c>
      <c r="B1007" t="s">
        <v>14</v>
      </c>
      <c r="C1007">
        <v>21</v>
      </c>
      <c r="D1007" t="s">
        <v>18</v>
      </c>
      <c r="E1007" t="s">
        <v>16</v>
      </c>
      <c r="F1007" s="1">
        <v>44936</v>
      </c>
      <c r="G1007">
        <v>4</v>
      </c>
      <c r="H1007">
        <v>4</v>
      </c>
      <c r="I1007">
        <v>8</v>
      </c>
      <c r="J1007">
        <v>4</v>
      </c>
      <c r="K1007">
        <v>0</v>
      </c>
      <c r="L1007">
        <v>628</v>
      </c>
      <c r="M1007">
        <v>15</v>
      </c>
      <c r="N1007" s="1">
        <f t="shared" si="120"/>
        <v>44938</v>
      </c>
      <c r="O1007" s="1">
        <f t="shared" si="121"/>
        <v>43101</v>
      </c>
      <c r="P1007" s="1">
        <f t="shared" si="122"/>
        <v>45200</v>
      </c>
      <c r="Q1007" s="8">
        <f t="shared" si="123"/>
        <v>0</v>
      </c>
      <c r="R1007" s="8">
        <f t="shared" si="124"/>
        <v>70</v>
      </c>
      <c r="S1007" s="8">
        <f t="shared" ca="1" si="125"/>
        <v>70</v>
      </c>
      <c r="T1007">
        <f t="shared" ca="1" si="126"/>
        <v>7.0646790842164817</v>
      </c>
      <c r="U1007" s="8">
        <f t="shared" ca="1" si="127"/>
        <v>1.0000650041443597</v>
      </c>
      <c r="V1007" s="8">
        <f ca="1">RawData[[#This Row],[Z (smoothed demand size)]]/RawData[[#This Row],[X (smoothed interval)]]</f>
        <v>7.0642198806475713</v>
      </c>
    </row>
    <row r="1008" spans="1:22">
      <c r="A1008" t="s">
        <v>31</v>
      </c>
      <c r="B1008" t="s">
        <v>14</v>
      </c>
      <c r="C1008">
        <v>21</v>
      </c>
      <c r="D1008" t="s">
        <v>18</v>
      </c>
      <c r="E1008" t="s">
        <v>16</v>
      </c>
      <c r="F1008" s="1">
        <v>44937</v>
      </c>
      <c r="G1008">
        <v>10</v>
      </c>
      <c r="H1008">
        <v>10</v>
      </c>
      <c r="I1008">
        <v>15</v>
      </c>
      <c r="J1008">
        <v>5</v>
      </c>
      <c r="K1008">
        <v>0</v>
      </c>
      <c r="L1008">
        <v>637</v>
      </c>
      <c r="M1008">
        <v>15</v>
      </c>
      <c r="N1008" s="1">
        <f t="shared" si="120"/>
        <v>44938</v>
      </c>
      <c r="O1008" s="1">
        <f t="shared" si="121"/>
        <v>43101</v>
      </c>
      <c r="P1008" s="1">
        <f t="shared" si="122"/>
        <v>45231</v>
      </c>
      <c r="Q1008" s="8">
        <f t="shared" si="123"/>
        <v>0</v>
      </c>
      <c r="R1008" s="8">
        <f t="shared" si="124"/>
        <v>71</v>
      </c>
      <c r="S1008" s="8">
        <f t="shared" ca="1" si="125"/>
        <v>71</v>
      </c>
      <c r="T1008">
        <f t="shared" ca="1" si="126"/>
        <v>7.6517432673731856</v>
      </c>
      <c r="U1008" s="8">
        <f t="shared" ca="1" si="127"/>
        <v>1.0000520033154878</v>
      </c>
      <c r="V1008" s="8">
        <f ca="1">RawData[[#This Row],[Z (smoothed demand size)]]/RawData[[#This Row],[X (smoothed interval)]]</f>
        <v>7.6513453720458964</v>
      </c>
    </row>
    <row r="1009" spans="1:22">
      <c r="A1009" t="s">
        <v>31</v>
      </c>
      <c r="B1009" t="s">
        <v>14</v>
      </c>
      <c r="C1009">
        <v>21</v>
      </c>
      <c r="D1009" t="s">
        <v>18</v>
      </c>
      <c r="E1009" t="s">
        <v>16</v>
      </c>
      <c r="F1009" s="1">
        <v>44938</v>
      </c>
      <c r="G1009">
        <v>0</v>
      </c>
      <c r="H1009">
        <v>0</v>
      </c>
      <c r="I1009">
        <v>12</v>
      </c>
      <c r="J1009">
        <v>12</v>
      </c>
      <c r="K1009">
        <v>0</v>
      </c>
      <c r="L1009">
        <v>728</v>
      </c>
      <c r="M1009">
        <v>60</v>
      </c>
      <c r="N1009" s="1">
        <f t="shared" si="120"/>
        <v>44938</v>
      </c>
      <c r="O1009" s="1">
        <f t="shared" si="121"/>
        <v>43101</v>
      </c>
      <c r="P1009" s="1">
        <f t="shared" si="122"/>
        <v>45261</v>
      </c>
      <c r="Q1009" s="8">
        <f t="shared" si="123"/>
        <v>0</v>
      </c>
      <c r="R1009" s="8">
        <f t="shared" si="124"/>
        <v>72</v>
      </c>
      <c r="S1009" s="8">
        <f t="shared" ca="1" si="125"/>
        <v>71</v>
      </c>
      <c r="T1009">
        <f t="shared" ca="1" si="126"/>
        <v>7.6517432673731856</v>
      </c>
      <c r="U1009" s="8">
        <f t="shared" ca="1" si="127"/>
        <v>1.0000520033154878</v>
      </c>
      <c r="V1009" s="8">
        <f ca="1">RawData[[#This Row],[Z (smoothed demand size)]]/RawData[[#This Row],[X (smoothed interval)]]</f>
        <v>7.6513453720458964</v>
      </c>
    </row>
    <row r="1010" spans="1:22">
      <c r="A1010" t="s">
        <v>32</v>
      </c>
      <c r="B1010" t="s">
        <v>14</v>
      </c>
      <c r="C1010">
        <v>27</v>
      </c>
      <c r="D1010" t="s">
        <v>22</v>
      </c>
      <c r="E1010" t="s">
        <v>16</v>
      </c>
      <c r="F1010" s="1">
        <v>43101</v>
      </c>
      <c r="G1010">
        <v>5</v>
      </c>
      <c r="H1010">
        <v>5</v>
      </c>
      <c r="I1010">
        <v>28</v>
      </c>
      <c r="J1010">
        <v>23</v>
      </c>
      <c r="K1010">
        <v>0</v>
      </c>
      <c r="L1010">
        <v>415</v>
      </c>
      <c r="M1010">
        <v>45</v>
      </c>
      <c r="N1010" s="1">
        <f t="shared" si="120"/>
        <v>44938</v>
      </c>
      <c r="O1010" s="1">
        <f t="shared" si="121"/>
        <v>43101</v>
      </c>
      <c r="P1010" s="1">
        <f t="shared" si="122"/>
        <v>43101</v>
      </c>
      <c r="Q1010" s="8">
        <f t="shared" si="123"/>
        <v>1</v>
      </c>
      <c r="R1010" s="8">
        <f t="shared" si="124"/>
        <v>1</v>
      </c>
      <c r="S1010" s="8">
        <f t="shared" ca="1" si="125"/>
        <v>1</v>
      </c>
      <c r="T1010">
        <f t="shared" ca="1" si="126"/>
        <v>5</v>
      </c>
      <c r="U1010" s="8">
        <f t="shared" ca="1" si="127"/>
        <v>1</v>
      </c>
      <c r="V1010" s="8">
        <f ca="1">RawData[[#This Row],[Z (smoothed demand size)]]/RawData[[#This Row],[X (smoothed interval)]]</f>
        <v>5</v>
      </c>
    </row>
    <row r="1011" spans="1:22">
      <c r="A1011" t="s">
        <v>32</v>
      </c>
      <c r="B1011" t="s">
        <v>14</v>
      </c>
      <c r="C1011">
        <v>27</v>
      </c>
      <c r="D1011" t="s">
        <v>22</v>
      </c>
      <c r="E1011" t="s">
        <v>16</v>
      </c>
      <c r="F1011" s="1">
        <v>43102</v>
      </c>
      <c r="G1011">
        <v>9</v>
      </c>
      <c r="H1011">
        <v>9</v>
      </c>
      <c r="I1011">
        <v>23</v>
      </c>
      <c r="J1011">
        <v>14</v>
      </c>
      <c r="K1011">
        <v>0</v>
      </c>
      <c r="L1011">
        <v>412</v>
      </c>
      <c r="M1011">
        <v>30</v>
      </c>
      <c r="N1011" s="1">
        <f t="shared" si="120"/>
        <v>44938</v>
      </c>
      <c r="O1011" s="1">
        <f t="shared" si="121"/>
        <v>43101</v>
      </c>
      <c r="P1011" s="1">
        <f t="shared" si="122"/>
        <v>43132</v>
      </c>
      <c r="Q1011" s="8">
        <f t="shared" si="123"/>
        <v>0</v>
      </c>
      <c r="R1011" s="8">
        <f t="shared" si="124"/>
        <v>2</v>
      </c>
      <c r="S1011" s="8">
        <f t="shared" ca="1" si="125"/>
        <v>2</v>
      </c>
      <c r="T1011">
        <f t="shared" ca="1" si="126"/>
        <v>5.8</v>
      </c>
      <c r="U1011" s="8">
        <f t="shared" ca="1" si="127"/>
        <v>1</v>
      </c>
      <c r="V1011" s="8">
        <f ca="1">RawData[[#This Row],[Z (smoothed demand size)]]/RawData[[#This Row],[X (smoothed interval)]]</f>
        <v>5.8</v>
      </c>
    </row>
    <row r="1012" spans="1:22">
      <c r="A1012" t="s">
        <v>32</v>
      </c>
      <c r="B1012" t="s">
        <v>14</v>
      </c>
      <c r="C1012">
        <v>27</v>
      </c>
      <c r="D1012" t="s">
        <v>22</v>
      </c>
      <c r="E1012" t="s">
        <v>16</v>
      </c>
      <c r="F1012" s="1">
        <v>43103</v>
      </c>
      <c r="G1012">
        <v>8</v>
      </c>
      <c r="H1012">
        <v>8</v>
      </c>
      <c r="I1012">
        <v>14</v>
      </c>
      <c r="J1012">
        <v>6</v>
      </c>
      <c r="K1012">
        <v>0</v>
      </c>
      <c r="L1012">
        <v>407</v>
      </c>
      <c r="M1012">
        <v>60</v>
      </c>
      <c r="N1012" s="1">
        <f t="shared" si="120"/>
        <v>44938</v>
      </c>
      <c r="O1012" s="1">
        <f t="shared" si="121"/>
        <v>43101</v>
      </c>
      <c r="P1012" s="1">
        <f t="shared" si="122"/>
        <v>43160</v>
      </c>
      <c r="Q1012" s="8">
        <f t="shared" si="123"/>
        <v>0</v>
      </c>
      <c r="R1012" s="8">
        <f t="shared" si="124"/>
        <v>3</v>
      </c>
      <c r="S1012" s="8">
        <f t="shared" ca="1" si="125"/>
        <v>3</v>
      </c>
      <c r="T1012">
        <f t="shared" ca="1" si="126"/>
        <v>6.24</v>
      </c>
      <c r="U1012" s="8">
        <f t="shared" ca="1" si="127"/>
        <v>1</v>
      </c>
      <c r="V1012" s="8">
        <f ca="1">RawData[[#This Row],[Z (smoothed demand size)]]/RawData[[#This Row],[X (smoothed interval)]]</f>
        <v>6.24</v>
      </c>
    </row>
    <row r="1013" spans="1:22">
      <c r="A1013" t="s">
        <v>32</v>
      </c>
      <c r="B1013" t="s">
        <v>14</v>
      </c>
      <c r="C1013">
        <v>27</v>
      </c>
      <c r="D1013" t="s">
        <v>22</v>
      </c>
      <c r="E1013" t="s">
        <v>16</v>
      </c>
      <c r="F1013" s="1">
        <v>43104</v>
      </c>
      <c r="G1013">
        <v>10</v>
      </c>
      <c r="H1013">
        <v>6</v>
      </c>
      <c r="I1013">
        <v>6</v>
      </c>
      <c r="J1013">
        <v>0</v>
      </c>
      <c r="K1013">
        <v>1</v>
      </c>
      <c r="L1013">
        <v>412</v>
      </c>
      <c r="M1013">
        <v>60</v>
      </c>
      <c r="N1013" s="1">
        <f t="shared" si="120"/>
        <v>44938</v>
      </c>
      <c r="O1013" s="1">
        <f t="shared" si="121"/>
        <v>43101</v>
      </c>
      <c r="P1013" s="1">
        <f t="shared" si="122"/>
        <v>43191</v>
      </c>
      <c r="Q1013" s="8">
        <f t="shared" si="123"/>
        <v>0</v>
      </c>
      <c r="R1013" s="8">
        <f t="shared" si="124"/>
        <v>4</v>
      </c>
      <c r="S1013" s="8">
        <f t="shared" ca="1" si="125"/>
        <v>4</v>
      </c>
      <c r="T1013">
        <f t="shared" ca="1" si="126"/>
        <v>6.9920000000000009</v>
      </c>
      <c r="U1013" s="8">
        <f t="shared" ca="1" si="127"/>
        <v>1</v>
      </c>
      <c r="V1013" s="8">
        <f ca="1">RawData[[#This Row],[Z (smoothed demand size)]]/RawData[[#This Row],[X (smoothed interval)]]</f>
        <v>6.9920000000000009</v>
      </c>
    </row>
    <row r="1014" spans="1:22">
      <c r="A1014" t="s">
        <v>32</v>
      </c>
      <c r="B1014" t="s">
        <v>14</v>
      </c>
      <c r="C1014">
        <v>27</v>
      </c>
      <c r="D1014" t="s">
        <v>22</v>
      </c>
      <c r="E1014" t="s">
        <v>16</v>
      </c>
      <c r="F1014" s="1">
        <v>43105</v>
      </c>
      <c r="G1014">
        <v>7</v>
      </c>
      <c r="H1014">
        <v>7</v>
      </c>
      <c r="I1014">
        <v>10</v>
      </c>
      <c r="J1014">
        <v>3</v>
      </c>
      <c r="K1014">
        <v>0</v>
      </c>
      <c r="L1014">
        <v>410</v>
      </c>
      <c r="M1014">
        <v>45</v>
      </c>
      <c r="N1014" s="1">
        <f t="shared" si="120"/>
        <v>44938</v>
      </c>
      <c r="O1014" s="1">
        <f t="shared" si="121"/>
        <v>43101</v>
      </c>
      <c r="P1014" s="1">
        <f t="shared" si="122"/>
        <v>43221</v>
      </c>
      <c r="Q1014" s="8">
        <f t="shared" si="123"/>
        <v>0</v>
      </c>
      <c r="R1014" s="8">
        <f t="shared" si="124"/>
        <v>5</v>
      </c>
      <c r="S1014" s="8">
        <f t="shared" ca="1" si="125"/>
        <v>5</v>
      </c>
      <c r="T1014">
        <f t="shared" ca="1" si="126"/>
        <v>6.9936000000000016</v>
      </c>
      <c r="U1014" s="8">
        <f t="shared" ca="1" si="127"/>
        <v>1</v>
      </c>
      <c r="V1014" s="8">
        <f ca="1">RawData[[#This Row],[Z (smoothed demand size)]]/RawData[[#This Row],[X (smoothed interval)]]</f>
        <v>6.9936000000000016</v>
      </c>
    </row>
    <row r="1015" spans="1:22">
      <c r="A1015" t="s">
        <v>32</v>
      </c>
      <c r="B1015" t="s">
        <v>14</v>
      </c>
      <c r="C1015">
        <v>27</v>
      </c>
      <c r="D1015" t="s">
        <v>22</v>
      </c>
      <c r="E1015" t="s">
        <v>16</v>
      </c>
      <c r="F1015" s="1">
        <v>43106</v>
      </c>
      <c r="G1015">
        <v>9</v>
      </c>
      <c r="H1015">
        <v>3</v>
      </c>
      <c r="I1015">
        <v>3</v>
      </c>
      <c r="J1015">
        <v>0</v>
      </c>
      <c r="K1015">
        <v>1</v>
      </c>
      <c r="L1015">
        <v>471</v>
      </c>
      <c r="M1015">
        <v>15</v>
      </c>
      <c r="N1015" s="1">
        <f t="shared" si="120"/>
        <v>44938</v>
      </c>
      <c r="O1015" s="1">
        <f t="shared" si="121"/>
        <v>43101</v>
      </c>
      <c r="P1015" s="1">
        <f t="shared" si="122"/>
        <v>43252</v>
      </c>
      <c r="Q1015" s="8">
        <f t="shared" si="123"/>
        <v>0</v>
      </c>
      <c r="R1015" s="8">
        <f t="shared" si="124"/>
        <v>6</v>
      </c>
      <c r="S1015" s="8">
        <f t="shared" ca="1" si="125"/>
        <v>6</v>
      </c>
      <c r="T1015">
        <f t="shared" ca="1" si="126"/>
        <v>7.3948800000000015</v>
      </c>
      <c r="U1015" s="8">
        <f t="shared" ca="1" si="127"/>
        <v>1</v>
      </c>
      <c r="V1015" s="8">
        <f ca="1">RawData[[#This Row],[Z (smoothed demand size)]]/RawData[[#This Row],[X (smoothed interval)]]</f>
        <v>7.3948800000000015</v>
      </c>
    </row>
    <row r="1016" spans="1:22">
      <c r="A1016" t="s">
        <v>32</v>
      </c>
      <c r="B1016" t="s">
        <v>14</v>
      </c>
      <c r="C1016">
        <v>27</v>
      </c>
      <c r="D1016" t="s">
        <v>22</v>
      </c>
      <c r="E1016" t="s">
        <v>16</v>
      </c>
      <c r="F1016" s="1">
        <v>43107</v>
      </c>
      <c r="G1016">
        <v>5</v>
      </c>
      <c r="H1016">
        <v>5</v>
      </c>
      <c r="I1016">
        <v>9</v>
      </c>
      <c r="J1016">
        <v>4</v>
      </c>
      <c r="K1016">
        <v>0</v>
      </c>
      <c r="L1016">
        <v>475</v>
      </c>
      <c r="M1016">
        <v>60</v>
      </c>
      <c r="N1016" s="1">
        <f t="shared" si="120"/>
        <v>44938</v>
      </c>
      <c r="O1016" s="1">
        <f t="shared" si="121"/>
        <v>43101</v>
      </c>
      <c r="P1016" s="1">
        <f t="shared" si="122"/>
        <v>43282</v>
      </c>
      <c r="Q1016" s="8">
        <f t="shared" si="123"/>
        <v>0</v>
      </c>
      <c r="R1016" s="8">
        <f t="shared" si="124"/>
        <v>7</v>
      </c>
      <c r="S1016" s="8">
        <f t="shared" ca="1" si="125"/>
        <v>7</v>
      </c>
      <c r="T1016">
        <f t="shared" ca="1" si="126"/>
        <v>6.9159040000000012</v>
      </c>
      <c r="U1016" s="8">
        <f t="shared" ca="1" si="127"/>
        <v>1</v>
      </c>
      <c r="V1016" s="8">
        <f ca="1">RawData[[#This Row],[Z (smoothed demand size)]]/RawData[[#This Row],[X (smoothed interval)]]</f>
        <v>6.9159040000000012</v>
      </c>
    </row>
    <row r="1017" spans="1:22">
      <c r="A1017" t="s">
        <v>32</v>
      </c>
      <c r="B1017" t="s">
        <v>14</v>
      </c>
      <c r="C1017">
        <v>27</v>
      </c>
      <c r="D1017" t="s">
        <v>22</v>
      </c>
      <c r="E1017" t="s">
        <v>16</v>
      </c>
      <c r="F1017" s="1">
        <v>43108</v>
      </c>
      <c r="G1017">
        <v>6</v>
      </c>
      <c r="H1017">
        <v>4</v>
      </c>
      <c r="I1017">
        <v>4</v>
      </c>
      <c r="J1017">
        <v>0</v>
      </c>
      <c r="K1017">
        <v>1</v>
      </c>
      <c r="L1017">
        <v>467</v>
      </c>
      <c r="M1017">
        <v>15</v>
      </c>
      <c r="N1017" s="1">
        <f t="shared" si="120"/>
        <v>44938</v>
      </c>
      <c r="O1017" s="1">
        <f t="shared" si="121"/>
        <v>43101</v>
      </c>
      <c r="P1017" s="1">
        <f t="shared" si="122"/>
        <v>43313</v>
      </c>
      <c r="Q1017" s="8">
        <f t="shared" si="123"/>
        <v>0</v>
      </c>
      <c r="R1017" s="8">
        <f t="shared" si="124"/>
        <v>8</v>
      </c>
      <c r="S1017" s="8">
        <f t="shared" ca="1" si="125"/>
        <v>8</v>
      </c>
      <c r="T1017">
        <f t="shared" ca="1" si="126"/>
        <v>6.7327232000000015</v>
      </c>
      <c r="U1017" s="8">
        <f t="shared" ca="1" si="127"/>
        <v>1</v>
      </c>
      <c r="V1017" s="8">
        <f ca="1">RawData[[#This Row],[Z (smoothed demand size)]]/RawData[[#This Row],[X (smoothed interval)]]</f>
        <v>6.7327232000000015</v>
      </c>
    </row>
    <row r="1018" spans="1:22">
      <c r="A1018" t="s">
        <v>32</v>
      </c>
      <c r="B1018" t="s">
        <v>14</v>
      </c>
      <c r="C1018">
        <v>27</v>
      </c>
      <c r="D1018" t="s">
        <v>22</v>
      </c>
      <c r="E1018" t="s">
        <v>16</v>
      </c>
      <c r="F1018" s="1">
        <v>43109</v>
      </c>
      <c r="G1018">
        <v>10</v>
      </c>
      <c r="H1018">
        <v>10</v>
      </c>
      <c r="I1018">
        <v>11</v>
      </c>
      <c r="J1018">
        <v>1</v>
      </c>
      <c r="K1018">
        <v>0</v>
      </c>
      <c r="L1018">
        <v>408</v>
      </c>
      <c r="M1018">
        <v>45</v>
      </c>
      <c r="N1018" s="1">
        <f t="shared" si="120"/>
        <v>44938</v>
      </c>
      <c r="O1018" s="1">
        <f t="shared" si="121"/>
        <v>43101</v>
      </c>
      <c r="P1018" s="1">
        <f t="shared" si="122"/>
        <v>43344</v>
      </c>
      <c r="Q1018" s="8">
        <f t="shared" si="123"/>
        <v>0</v>
      </c>
      <c r="R1018" s="8">
        <f t="shared" si="124"/>
        <v>9</v>
      </c>
      <c r="S1018" s="8">
        <f t="shared" ca="1" si="125"/>
        <v>9</v>
      </c>
      <c r="T1018">
        <f t="shared" ca="1" si="126"/>
        <v>7.3861785600000012</v>
      </c>
      <c r="U1018" s="8">
        <f t="shared" ca="1" si="127"/>
        <v>1</v>
      </c>
      <c r="V1018" s="8">
        <f ca="1">RawData[[#This Row],[Z (smoothed demand size)]]/RawData[[#This Row],[X (smoothed interval)]]</f>
        <v>7.3861785600000012</v>
      </c>
    </row>
    <row r="1019" spans="1:22">
      <c r="A1019" t="s">
        <v>32</v>
      </c>
      <c r="B1019" t="s">
        <v>14</v>
      </c>
      <c r="C1019">
        <v>27</v>
      </c>
      <c r="D1019" t="s">
        <v>22</v>
      </c>
      <c r="E1019" t="s">
        <v>16</v>
      </c>
      <c r="F1019" s="1">
        <v>43110</v>
      </c>
      <c r="G1019">
        <v>5</v>
      </c>
      <c r="H1019">
        <v>1</v>
      </c>
      <c r="I1019">
        <v>1</v>
      </c>
      <c r="J1019">
        <v>0</v>
      </c>
      <c r="K1019">
        <v>1</v>
      </c>
      <c r="L1019">
        <v>408</v>
      </c>
      <c r="M1019">
        <v>45</v>
      </c>
      <c r="N1019" s="1">
        <f t="shared" si="120"/>
        <v>44938</v>
      </c>
      <c r="O1019" s="1">
        <f t="shared" si="121"/>
        <v>43101</v>
      </c>
      <c r="P1019" s="1">
        <f t="shared" si="122"/>
        <v>43374</v>
      </c>
      <c r="Q1019" s="8">
        <f t="shared" si="123"/>
        <v>0</v>
      </c>
      <c r="R1019" s="8">
        <f t="shared" si="124"/>
        <v>10</v>
      </c>
      <c r="S1019" s="8">
        <f t="shared" ca="1" si="125"/>
        <v>10</v>
      </c>
      <c r="T1019">
        <f t="shared" ca="1" si="126"/>
        <v>6.9089428480000015</v>
      </c>
      <c r="U1019" s="8">
        <f t="shared" ca="1" si="127"/>
        <v>1</v>
      </c>
      <c r="V1019" s="8">
        <f ca="1">RawData[[#This Row],[Z (smoothed demand size)]]/RawData[[#This Row],[X (smoothed interval)]]</f>
        <v>6.9089428480000015</v>
      </c>
    </row>
    <row r="1020" spans="1:22">
      <c r="A1020" t="s">
        <v>32</v>
      </c>
      <c r="B1020" t="s">
        <v>14</v>
      </c>
      <c r="C1020">
        <v>27</v>
      </c>
      <c r="D1020" t="s">
        <v>22</v>
      </c>
      <c r="E1020" t="s">
        <v>16</v>
      </c>
      <c r="F1020" s="1">
        <v>43111</v>
      </c>
      <c r="G1020">
        <v>12</v>
      </c>
      <c r="H1020">
        <v>11</v>
      </c>
      <c r="I1020">
        <v>11</v>
      </c>
      <c r="J1020">
        <v>0</v>
      </c>
      <c r="K1020">
        <v>1</v>
      </c>
      <c r="L1020">
        <v>411</v>
      </c>
      <c r="M1020">
        <v>30</v>
      </c>
      <c r="N1020" s="1">
        <f t="shared" si="120"/>
        <v>44938</v>
      </c>
      <c r="O1020" s="1">
        <f t="shared" si="121"/>
        <v>43101</v>
      </c>
      <c r="P1020" s="1">
        <f t="shared" si="122"/>
        <v>43405</v>
      </c>
      <c r="Q1020" s="8">
        <f t="shared" si="123"/>
        <v>0</v>
      </c>
      <c r="R1020" s="8">
        <f t="shared" si="124"/>
        <v>11</v>
      </c>
      <c r="S1020" s="8">
        <f t="shared" ca="1" si="125"/>
        <v>11</v>
      </c>
      <c r="T1020">
        <f t="shared" ca="1" si="126"/>
        <v>7.9271542784000015</v>
      </c>
      <c r="U1020" s="8">
        <f t="shared" ca="1" si="127"/>
        <v>1</v>
      </c>
      <c r="V1020" s="8">
        <f ca="1">RawData[[#This Row],[Z (smoothed demand size)]]/RawData[[#This Row],[X (smoothed interval)]]</f>
        <v>7.9271542784000015</v>
      </c>
    </row>
    <row r="1021" spans="1:22">
      <c r="A1021" t="s">
        <v>32</v>
      </c>
      <c r="B1021" t="s">
        <v>14</v>
      </c>
      <c r="C1021">
        <v>27</v>
      </c>
      <c r="D1021" t="s">
        <v>22</v>
      </c>
      <c r="E1021" t="s">
        <v>16</v>
      </c>
      <c r="F1021" s="1">
        <v>43112</v>
      </c>
      <c r="G1021">
        <v>6</v>
      </c>
      <c r="H1021">
        <v>6</v>
      </c>
      <c r="I1021">
        <v>7</v>
      </c>
      <c r="J1021">
        <v>1</v>
      </c>
      <c r="K1021">
        <v>0</v>
      </c>
      <c r="L1021">
        <v>470</v>
      </c>
      <c r="M1021">
        <v>60</v>
      </c>
      <c r="N1021" s="1">
        <f t="shared" si="120"/>
        <v>44938</v>
      </c>
      <c r="O1021" s="1">
        <f t="shared" si="121"/>
        <v>43101</v>
      </c>
      <c r="P1021" s="1">
        <f t="shared" si="122"/>
        <v>43435</v>
      </c>
      <c r="Q1021" s="8">
        <f t="shared" si="123"/>
        <v>0</v>
      </c>
      <c r="R1021" s="8">
        <f t="shared" si="124"/>
        <v>12</v>
      </c>
      <c r="S1021" s="8">
        <f t="shared" ca="1" si="125"/>
        <v>12</v>
      </c>
      <c r="T1021">
        <f t="shared" ca="1" si="126"/>
        <v>7.5417234227200014</v>
      </c>
      <c r="U1021" s="8">
        <f t="shared" ca="1" si="127"/>
        <v>1</v>
      </c>
      <c r="V1021" s="8">
        <f ca="1">RawData[[#This Row],[Z (smoothed demand size)]]/RawData[[#This Row],[X (smoothed interval)]]</f>
        <v>7.5417234227200014</v>
      </c>
    </row>
    <row r="1022" spans="1:22">
      <c r="A1022" t="s">
        <v>32</v>
      </c>
      <c r="B1022" t="s">
        <v>14</v>
      </c>
      <c r="C1022">
        <v>27</v>
      </c>
      <c r="D1022" t="s">
        <v>22</v>
      </c>
      <c r="E1022" t="s">
        <v>16</v>
      </c>
      <c r="F1022" s="1">
        <v>43466</v>
      </c>
      <c r="G1022">
        <v>10</v>
      </c>
      <c r="H1022">
        <v>1</v>
      </c>
      <c r="I1022">
        <v>1</v>
      </c>
      <c r="J1022">
        <v>0</v>
      </c>
      <c r="K1022">
        <v>1</v>
      </c>
      <c r="L1022">
        <v>408</v>
      </c>
      <c r="M1022">
        <v>60</v>
      </c>
      <c r="N1022" s="1">
        <f t="shared" si="120"/>
        <v>44938</v>
      </c>
      <c r="O1022" s="1">
        <f t="shared" si="121"/>
        <v>43101</v>
      </c>
      <c r="P1022" s="1">
        <f t="shared" si="122"/>
        <v>43466</v>
      </c>
      <c r="Q1022" s="8">
        <f t="shared" si="123"/>
        <v>0</v>
      </c>
      <c r="R1022" s="8">
        <f t="shared" si="124"/>
        <v>13</v>
      </c>
      <c r="S1022" s="8">
        <f t="shared" ca="1" si="125"/>
        <v>13</v>
      </c>
      <c r="T1022">
        <f t="shared" ca="1" si="126"/>
        <v>8.0333787381760011</v>
      </c>
      <c r="U1022" s="8">
        <f t="shared" ca="1" si="127"/>
        <v>1</v>
      </c>
      <c r="V1022" s="8">
        <f ca="1">RawData[[#This Row],[Z (smoothed demand size)]]/RawData[[#This Row],[X (smoothed interval)]]</f>
        <v>8.0333787381760011</v>
      </c>
    </row>
    <row r="1023" spans="1:22">
      <c r="A1023" t="s">
        <v>32</v>
      </c>
      <c r="B1023" t="s">
        <v>14</v>
      </c>
      <c r="C1023">
        <v>27</v>
      </c>
      <c r="D1023" t="s">
        <v>22</v>
      </c>
      <c r="E1023" t="s">
        <v>16</v>
      </c>
      <c r="F1023" s="1">
        <v>43467</v>
      </c>
      <c r="G1023">
        <v>11</v>
      </c>
      <c r="H1023">
        <v>9</v>
      </c>
      <c r="I1023">
        <v>9</v>
      </c>
      <c r="J1023">
        <v>0</v>
      </c>
      <c r="K1023">
        <v>1</v>
      </c>
      <c r="L1023">
        <v>411</v>
      </c>
      <c r="M1023">
        <v>30</v>
      </c>
      <c r="N1023" s="1">
        <f t="shared" si="120"/>
        <v>44938</v>
      </c>
      <c r="O1023" s="1">
        <f t="shared" si="121"/>
        <v>43101</v>
      </c>
      <c r="P1023" s="1">
        <f t="shared" si="122"/>
        <v>43497</v>
      </c>
      <c r="Q1023" s="8">
        <f t="shared" si="123"/>
        <v>0</v>
      </c>
      <c r="R1023" s="8">
        <f t="shared" si="124"/>
        <v>14</v>
      </c>
      <c r="S1023" s="8">
        <f t="shared" ca="1" si="125"/>
        <v>14</v>
      </c>
      <c r="T1023">
        <f t="shared" ca="1" si="126"/>
        <v>8.6267029905408013</v>
      </c>
      <c r="U1023" s="8">
        <f t="shared" ca="1" si="127"/>
        <v>1</v>
      </c>
      <c r="V1023" s="8">
        <f ca="1">RawData[[#This Row],[Z (smoothed demand size)]]/RawData[[#This Row],[X (smoothed interval)]]</f>
        <v>8.6267029905408013</v>
      </c>
    </row>
    <row r="1024" spans="1:22">
      <c r="A1024" t="s">
        <v>32</v>
      </c>
      <c r="B1024" t="s">
        <v>14</v>
      </c>
      <c r="C1024">
        <v>27</v>
      </c>
      <c r="D1024" t="s">
        <v>22</v>
      </c>
      <c r="E1024" t="s">
        <v>16</v>
      </c>
      <c r="F1024" s="1">
        <v>43468</v>
      </c>
      <c r="G1024">
        <v>5</v>
      </c>
      <c r="H1024">
        <v>5</v>
      </c>
      <c r="I1024">
        <v>11</v>
      </c>
      <c r="J1024">
        <v>6</v>
      </c>
      <c r="K1024">
        <v>0</v>
      </c>
      <c r="L1024">
        <v>409</v>
      </c>
      <c r="M1024">
        <v>15</v>
      </c>
      <c r="N1024" s="1">
        <f t="shared" si="120"/>
        <v>44938</v>
      </c>
      <c r="O1024" s="1">
        <f t="shared" si="121"/>
        <v>43101</v>
      </c>
      <c r="P1024" s="1">
        <f t="shared" si="122"/>
        <v>43525</v>
      </c>
      <c r="Q1024" s="8">
        <f t="shared" si="123"/>
        <v>0</v>
      </c>
      <c r="R1024" s="8">
        <f t="shared" si="124"/>
        <v>15</v>
      </c>
      <c r="S1024" s="8">
        <f t="shared" ca="1" si="125"/>
        <v>15</v>
      </c>
      <c r="T1024">
        <f t="shared" ca="1" si="126"/>
        <v>7.9013623924326417</v>
      </c>
      <c r="U1024" s="8">
        <f t="shared" ca="1" si="127"/>
        <v>1</v>
      </c>
      <c r="V1024" s="8">
        <f ca="1">RawData[[#This Row],[Z (smoothed demand size)]]/RawData[[#This Row],[X (smoothed interval)]]</f>
        <v>7.9013623924326417</v>
      </c>
    </row>
    <row r="1025" spans="1:22">
      <c r="A1025" t="s">
        <v>32</v>
      </c>
      <c r="B1025" t="s">
        <v>14</v>
      </c>
      <c r="C1025">
        <v>27</v>
      </c>
      <c r="D1025" t="s">
        <v>22</v>
      </c>
      <c r="E1025" t="s">
        <v>16</v>
      </c>
      <c r="F1025" s="1">
        <v>43469</v>
      </c>
      <c r="G1025">
        <v>8</v>
      </c>
      <c r="H1025">
        <v>8</v>
      </c>
      <c r="I1025">
        <v>16</v>
      </c>
      <c r="J1025">
        <v>8</v>
      </c>
      <c r="K1025">
        <v>0</v>
      </c>
      <c r="L1025">
        <v>411</v>
      </c>
      <c r="M1025">
        <v>45</v>
      </c>
      <c r="N1025" s="1">
        <f t="shared" si="120"/>
        <v>44938</v>
      </c>
      <c r="O1025" s="1">
        <f t="shared" si="121"/>
        <v>43101</v>
      </c>
      <c r="P1025" s="1">
        <f t="shared" si="122"/>
        <v>43556</v>
      </c>
      <c r="Q1025" s="8">
        <f t="shared" si="123"/>
        <v>0</v>
      </c>
      <c r="R1025" s="8">
        <f t="shared" si="124"/>
        <v>16</v>
      </c>
      <c r="S1025" s="8">
        <f t="shared" ca="1" si="125"/>
        <v>16</v>
      </c>
      <c r="T1025">
        <f t="shared" ca="1" si="126"/>
        <v>7.9210899139461137</v>
      </c>
      <c r="U1025" s="8">
        <f t="shared" ca="1" si="127"/>
        <v>1</v>
      </c>
      <c r="V1025" s="8">
        <f ca="1">RawData[[#This Row],[Z (smoothed demand size)]]/RawData[[#This Row],[X (smoothed interval)]]</f>
        <v>7.9210899139461137</v>
      </c>
    </row>
    <row r="1026" spans="1:22">
      <c r="A1026" t="s">
        <v>32</v>
      </c>
      <c r="B1026" t="s">
        <v>14</v>
      </c>
      <c r="C1026">
        <v>27</v>
      </c>
      <c r="D1026" t="s">
        <v>22</v>
      </c>
      <c r="E1026" t="s">
        <v>16</v>
      </c>
      <c r="F1026" s="1">
        <v>43470</v>
      </c>
      <c r="G1026">
        <v>7</v>
      </c>
      <c r="H1026">
        <v>7</v>
      </c>
      <c r="I1026">
        <v>8</v>
      </c>
      <c r="J1026">
        <v>1</v>
      </c>
      <c r="K1026">
        <v>0</v>
      </c>
      <c r="L1026">
        <v>406</v>
      </c>
      <c r="M1026">
        <v>45</v>
      </c>
      <c r="N1026" s="1">
        <f t="shared" ref="N1026:N1089" si="128">MAX(F:F)</f>
        <v>44938</v>
      </c>
      <c r="O1026" s="1">
        <f t="shared" ref="O1026:O1089" si="129">MIN(F:F)</f>
        <v>43101</v>
      </c>
      <c r="P1026" s="1">
        <f t="shared" ref="P1026:P1089" si="130">DATE(YEAR(F1026), DAY(F1026), 1)</f>
        <v>43586</v>
      </c>
      <c r="Q1026" s="8">
        <f t="shared" ref="Q1026:Q1089" si="131" xml:space="preserve"> IF(A1026&lt;&gt;A1025, 1, 0)</f>
        <v>0</v>
      </c>
      <c r="R1026" s="8">
        <f t="shared" ref="R1026:R1089" si="132">IF(Q1026=1,1,R1025+1)</f>
        <v>17</v>
      </c>
      <c r="S1026" s="8">
        <f t="shared" ref="S1026:S1089" ca="1" si="133" xml:space="preserve"> IF(Q1026=1, IF(G1026&gt;0, R1026, 0), IF(G1026&gt;0, R1026, OFFSET(S1026,-1,0)))</f>
        <v>17</v>
      </c>
      <c r="T1026">
        <f t="shared" ref="T1026:T1089" ca="1" si="134" xml:space="preserve"> IF(Q1026=1, IF(G1026&gt;0, G1026, 0), IF(G1026&gt;0, $X$1*G1026+(1-$X$1)*OFFSET(T1026,-1,0), OFFSET(T1026,-1,0)))</f>
        <v>7.7368719311568919</v>
      </c>
      <c r="U1026" s="8">
        <f t="shared" ref="U1026:U1089" ca="1" si="135" xml:space="preserve"> IF(Q1026=1, 1, IF(G1026&gt;0, $X$1*(R1026-OFFSET(S1026,-1,0))+(1-$X$1)*OFFSET(U1026,-1,0), OFFSET(U1026,-1,0)))</f>
        <v>1</v>
      </c>
      <c r="V1026" s="8">
        <f ca="1">RawData[[#This Row],[Z (smoothed demand size)]]/RawData[[#This Row],[X (smoothed interval)]]</f>
        <v>7.7368719311568919</v>
      </c>
    </row>
    <row r="1027" spans="1:22">
      <c r="A1027" t="s">
        <v>32</v>
      </c>
      <c r="B1027" t="s">
        <v>14</v>
      </c>
      <c r="C1027">
        <v>27</v>
      </c>
      <c r="D1027" t="s">
        <v>22</v>
      </c>
      <c r="E1027" t="s">
        <v>16</v>
      </c>
      <c r="F1027" s="1">
        <v>43471</v>
      </c>
      <c r="G1027">
        <v>14</v>
      </c>
      <c r="H1027">
        <v>9</v>
      </c>
      <c r="I1027">
        <v>9</v>
      </c>
      <c r="J1027">
        <v>0</v>
      </c>
      <c r="K1027">
        <v>1</v>
      </c>
      <c r="L1027">
        <v>468</v>
      </c>
      <c r="M1027">
        <v>30</v>
      </c>
      <c r="N1027" s="1">
        <f t="shared" si="128"/>
        <v>44938</v>
      </c>
      <c r="O1027" s="1">
        <f t="shared" si="129"/>
        <v>43101</v>
      </c>
      <c r="P1027" s="1">
        <f t="shared" si="130"/>
        <v>43617</v>
      </c>
      <c r="Q1027" s="8">
        <f t="shared" si="131"/>
        <v>0</v>
      </c>
      <c r="R1027" s="8">
        <f t="shared" si="132"/>
        <v>18</v>
      </c>
      <c r="S1027" s="8">
        <f t="shared" ca="1" si="133"/>
        <v>18</v>
      </c>
      <c r="T1027">
        <f t="shared" ca="1" si="134"/>
        <v>8.9894975449255146</v>
      </c>
      <c r="U1027" s="8">
        <f t="shared" ca="1" si="135"/>
        <v>1</v>
      </c>
      <c r="V1027" s="8">
        <f ca="1">RawData[[#This Row],[Z (smoothed demand size)]]/RawData[[#This Row],[X (smoothed interval)]]</f>
        <v>8.9894975449255146</v>
      </c>
    </row>
    <row r="1028" spans="1:22">
      <c r="A1028" t="s">
        <v>32</v>
      </c>
      <c r="B1028" t="s">
        <v>14</v>
      </c>
      <c r="C1028">
        <v>27</v>
      </c>
      <c r="D1028" t="s">
        <v>22</v>
      </c>
      <c r="E1028" t="s">
        <v>16</v>
      </c>
      <c r="F1028" s="1">
        <v>43472</v>
      </c>
      <c r="G1028">
        <v>12</v>
      </c>
      <c r="H1028">
        <v>10</v>
      </c>
      <c r="I1028">
        <v>10</v>
      </c>
      <c r="J1028">
        <v>0</v>
      </c>
      <c r="K1028">
        <v>1</v>
      </c>
      <c r="L1028">
        <v>482</v>
      </c>
      <c r="M1028">
        <v>15</v>
      </c>
      <c r="N1028" s="1">
        <f t="shared" si="128"/>
        <v>44938</v>
      </c>
      <c r="O1028" s="1">
        <f t="shared" si="129"/>
        <v>43101</v>
      </c>
      <c r="P1028" s="1">
        <f t="shared" si="130"/>
        <v>43647</v>
      </c>
      <c r="Q1028" s="8">
        <f t="shared" si="131"/>
        <v>0</v>
      </c>
      <c r="R1028" s="8">
        <f t="shared" si="132"/>
        <v>19</v>
      </c>
      <c r="S1028" s="8">
        <f t="shared" ca="1" si="133"/>
        <v>19</v>
      </c>
      <c r="T1028">
        <f t="shared" ca="1" si="134"/>
        <v>9.5915980359404127</v>
      </c>
      <c r="U1028" s="8">
        <f t="shared" ca="1" si="135"/>
        <v>1</v>
      </c>
      <c r="V1028" s="8">
        <f ca="1">RawData[[#This Row],[Z (smoothed demand size)]]/RawData[[#This Row],[X (smoothed interval)]]</f>
        <v>9.5915980359404127</v>
      </c>
    </row>
    <row r="1029" spans="1:22">
      <c r="A1029" t="s">
        <v>32</v>
      </c>
      <c r="B1029" t="s">
        <v>14</v>
      </c>
      <c r="C1029">
        <v>27</v>
      </c>
      <c r="D1029" t="s">
        <v>22</v>
      </c>
      <c r="E1029" t="s">
        <v>16</v>
      </c>
      <c r="F1029" s="1">
        <v>43473</v>
      </c>
      <c r="G1029">
        <v>0</v>
      </c>
      <c r="H1029">
        <v>0</v>
      </c>
      <c r="I1029">
        <v>7</v>
      </c>
      <c r="J1029">
        <v>7</v>
      </c>
      <c r="K1029">
        <v>0</v>
      </c>
      <c r="L1029">
        <v>469</v>
      </c>
      <c r="M1029">
        <v>45</v>
      </c>
      <c r="N1029" s="1">
        <f t="shared" si="128"/>
        <v>44938</v>
      </c>
      <c r="O1029" s="1">
        <f t="shared" si="129"/>
        <v>43101</v>
      </c>
      <c r="P1029" s="1">
        <f t="shared" si="130"/>
        <v>43678</v>
      </c>
      <c r="Q1029" s="8">
        <f t="shared" si="131"/>
        <v>0</v>
      </c>
      <c r="R1029" s="8">
        <f t="shared" si="132"/>
        <v>20</v>
      </c>
      <c r="S1029" s="8">
        <f t="shared" ca="1" si="133"/>
        <v>19</v>
      </c>
      <c r="T1029">
        <f t="shared" ca="1" si="134"/>
        <v>9.5915980359404127</v>
      </c>
      <c r="U1029" s="8">
        <f t="shared" ca="1" si="135"/>
        <v>1</v>
      </c>
      <c r="V1029" s="8">
        <f ca="1">RawData[[#This Row],[Z (smoothed demand size)]]/RawData[[#This Row],[X (smoothed interval)]]</f>
        <v>9.5915980359404127</v>
      </c>
    </row>
    <row r="1030" spans="1:22">
      <c r="A1030" t="s">
        <v>32</v>
      </c>
      <c r="B1030" t="s">
        <v>14</v>
      </c>
      <c r="C1030">
        <v>27</v>
      </c>
      <c r="D1030" t="s">
        <v>22</v>
      </c>
      <c r="E1030" t="s">
        <v>16</v>
      </c>
      <c r="F1030" s="1">
        <v>43474</v>
      </c>
      <c r="G1030">
        <v>6</v>
      </c>
      <c r="H1030">
        <v>6</v>
      </c>
      <c r="I1030">
        <v>7</v>
      </c>
      <c r="J1030">
        <v>1</v>
      </c>
      <c r="K1030">
        <v>0</v>
      </c>
      <c r="L1030">
        <v>402</v>
      </c>
      <c r="M1030">
        <v>15</v>
      </c>
      <c r="N1030" s="1">
        <f t="shared" si="128"/>
        <v>44938</v>
      </c>
      <c r="O1030" s="1">
        <f t="shared" si="129"/>
        <v>43101</v>
      </c>
      <c r="P1030" s="1">
        <f t="shared" si="130"/>
        <v>43709</v>
      </c>
      <c r="Q1030" s="8">
        <f t="shared" si="131"/>
        <v>0</v>
      </c>
      <c r="R1030" s="8">
        <f t="shared" si="132"/>
        <v>21</v>
      </c>
      <c r="S1030" s="8">
        <f t="shared" ca="1" si="133"/>
        <v>21</v>
      </c>
      <c r="T1030">
        <f t="shared" ca="1" si="134"/>
        <v>8.8732784287523305</v>
      </c>
      <c r="U1030" s="8">
        <f t="shared" ca="1" si="135"/>
        <v>1.2000000000000002</v>
      </c>
      <c r="V1030" s="8">
        <f ca="1">RawData[[#This Row],[Z (smoothed demand size)]]/RawData[[#This Row],[X (smoothed interval)]]</f>
        <v>7.3943986906269412</v>
      </c>
    </row>
    <row r="1031" spans="1:22">
      <c r="A1031" t="s">
        <v>32</v>
      </c>
      <c r="B1031" t="s">
        <v>14</v>
      </c>
      <c r="C1031">
        <v>27</v>
      </c>
      <c r="D1031" t="s">
        <v>22</v>
      </c>
      <c r="E1031" t="s">
        <v>16</v>
      </c>
      <c r="F1031" s="1">
        <v>43475</v>
      </c>
      <c r="G1031">
        <v>8</v>
      </c>
      <c r="H1031">
        <v>8</v>
      </c>
      <c r="I1031">
        <v>13</v>
      </c>
      <c r="J1031">
        <v>5</v>
      </c>
      <c r="K1031">
        <v>0</v>
      </c>
      <c r="L1031">
        <v>412</v>
      </c>
      <c r="M1031">
        <v>15</v>
      </c>
      <c r="N1031" s="1">
        <f t="shared" si="128"/>
        <v>44938</v>
      </c>
      <c r="O1031" s="1">
        <f t="shared" si="129"/>
        <v>43101</v>
      </c>
      <c r="P1031" s="1">
        <f t="shared" si="130"/>
        <v>43739</v>
      </c>
      <c r="Q1031" s="8">
        <f t="shared" si="131"/>
        <v>0</v>
      </c>
      <c r="R1031" s="8">
        <f t="shared" si="132"/>
        <v>22</v>
      </c>
      <c r="S1031" s="8">
        <f t="shared" ca="1" si="133"/>
        <v>22</v>
      </c>
      <c r="T1031">
        <f t="shared" ca="1" si="134"/>
        <v>8.6986227430018648</v>
      </c>
      <c r="U1031" s="8">
        <f t="shared" ca="1" si="135"/>
        <v>1.1600000000000001</v>
      </c>
      <c r="V1031" s="8">
        <f ca="1">RawData[[#This Row],[Z (smoothed demand size)]]/RawData[[#This Row],[X (smoothed interval)]]</f>
        <v>7.4988127094843655</v>
      </c>
    </row>
    <row r="1032" spans="1:22">
      <c r="A1032" t="s">
        <v>32</v>
      </c>
      <c r="B1032" t="s">
        <v>14</v>
      </c>
      <c r="C1032">
        <v>27</v>
      </c>
      <c r="D1032" t="s">
        <v>22</v>
      </c>
      <c r="E1032" t="s">
        <v>16</v>
      </c>
      <c r="F1032" s="1">
        <v>43476</v>
      </c>
      <c r="G1032">
        <v>5</v>
      </c>
      <c r="H1032">
        <v>5</v>
      </c>
      <c r="I1032">
        <v>13</v>
      </c>
      <c r="J1032">
        <v>8</v>
      </c>
      <c r="K1032">
        <v>0</v>
      </c>
      <c r="L1032">
        <v>408</v>
      </c>
      <c r="M1032">
        <v>15</v>
      </c>
      <c r="N1032" s="1">
        <f t="shared" si="128"/>
        <v>44938</v>
      </c>
      <c r="O1032" s="1">
        <f t="shared" si="129"/>
        <v>43101</v>
      </c>
      <c r="P1032" s="1">
        <f t="shared" si="130"/>
        <v>43770</v>
      </c>
      <c r="Q1032" s="8">
        <f t="shared" si="131"/>
        <v>0</v>
      </c>
      <c r="R1032" s="8">
        <f t="shared" si="132"/>
        <v>23</v>
      </c>
      <c r="S1032" s="8">
        <f t="shared" ca="1" si="133"/>
        <v>23</v>
      </c>
      <c r="T1032">
        <f t="shared" ca="1" si="134"/>
        <v>7.9588981944014918</v>
      </c>
      <c r="U1032" s="8">
        <f t="shared" ca="1" si="135"/>
        <v>1.1280000000000001</v>
      </c>
      <c r="V1032" s="8">
        <f ca="1">RawData[[#This Row],[Z (smoothed demand size)]]/RawData[[#This Row],[X (smoothed interval)]]</f>
        <v>7.0557608106396197</v>
      </c>
    </row>
    <row r="1033" spans="1:22">
      <c r="A1033" t="s">
        <v>32</v>
      </c>
      <c r="B1033" t="s">
        <v>14</v>
      </c>
      <c r="C1033">
        <v>27</v>
      </c>
      <c r="D1033" t="s">
        <v>22</v>
      </c>
      <c r="E1033" t="s">
        <v>16</v>
      </c>
      <c r="F1033" s="1">
        <v>43477</v>
      </c>
      <c r="G1033">
        <v>7</v>
      </c>
      <c r="H1033">
        <v>7</v>
      </c>
      <c r="I1033">
        <v>16</v>
      </c>
      <c r="J1033">
        <v>9</v>
      </c>
      <c r="K1033">
        <v>0</v>
      </c>
      <c r="L1033">
        <v>474</v>
      </c>
      <c r="M1033">
        <v>45</v>
      </c>
      <c r="N1033" s="1">
        <f t="shared" si="128"/>
        <v>44938</v>
      </c>
      <c r="O1033" s="1">
        <f t="shared" si="129"/>
        <v>43101</v>
      </c>
      <c r="P1033" s="1">
        <f t="shared" si="130"/>
        <v>43800</v>
      </c>
      <c r="Q1033" s="8">
        <f t="shared" si="131"/>
        <v>0</v>
      </c>
      <c r="R1033" s="8">
        <f t="shared" si="132"/>
        <v>24</v>
      </c>
      <c r="S1033" s="8">
        <f t="shared" ca="1" si="133"/>
        <v>24</v>
      </c>
      <c r="T1033">
        <f t="shared" ca="1" si="134"/>
        <v>7.7671185555211943</v>
      </c>
      <c r="U1033" s="8">
        <f t="shared" ca="1" si="135"/>
        <v>1.1024</v>
      </c>
      <c r="V1033" s="8">
        <f ca="1">RawData[[#This Row],[Z (smoothed demand size)]]/RawData[[#This Row],[X (smoothed interval)]]</f>
        <v>7.0456445532666852</v>
      </c>
    </row>
    <row r="1034" spans="1:22">
      <c r="A1034" t="s">
        <v>32</v>
      </c>
      <c r="B1034" t="s">
        <v>14</v>
      </c>
      <c r="C1034">
        <v>27</v>
      </c>
      <c r="D1034" t="s">
        <v>22</v>
      </c>
      <c r="E1034" t="s">
        <v>16</v>
      </c>
      <c r="F1034" s="1">
        <v>43831</v>
      </c>
      <c r="G1034">
        <v>7</v>
      </c>
      <c r="H1034">
        <v>7</v>
      </c>
      <c r="I1034">
        <v>9</v>
      </c>
      <c r="J1034">
        <v>2</v>
      </c>
      <c r="K1034">
        <v>0</v>
      </c>
      <c r="L1034">
        <v>409</v>
      </c>
      <c r="M1034">
        <v>60</v>
      </c>
      <c r="N1034" s="1">
        <f t="shared" si="128"/>
        <v>44938</v>
      </c>
      <c r="O1034" s="1">
        <f t="shared" si="129"/>
        <v>43101</v>
      </c>
      <c r="P1034" s="1">
        <f t="shared" si="130"/>
        <v>43831</v>
      </c>
      <c r="Q1034" s="8">
        <f t="shared" si="131"/>
        <v>0</v>
      </c>
      <c r="R1034" s="8">
        <f t="shared" si="132"/>
        <v>25</v>
      </c>
      <c r="S1034" s="8">
        <f t="shared" ca="1" si="133"/>
        <v>25</v>
      </c>
      <c r="T1034">
        <f t="shared" ca="1" si="134"/>
        <v>7.6136948444169565</v>
      </c>
      <c r="U1034" s="8">
        <f t="shared" ca="1" si="135"/>
        <v>1.08192</v>
      </c>
      <c r="V1034" s="8">
        <f ca="1">RawData[[#This Row],[Z (smoothed demand size)]]/RawData[[#This Row],[X (smoothed interval)]]</f>
        <v>7.0372068585634393</v>
      </c>
    </row>
    <row r="1035" spans="1:22">
      <c r="A1035" t="s">
        <v>32</v>
      </c>
      <c r="B1035" t="s">
        <v>14</v>
      </c>
      <c r="C1035">
        <v>27</v>
      </c>
      <c r="D1035" t="s">
        <v>22</v>
      </c>
      <c r="E1035" t="s">
        <v>16</v>
      </c>
      <c r="F1035" s="1">
        <v>43832</v>
      </c>
      <c r="G1035">
        <v>4</v>
      </c>
      <c r="H1035">
        <v>2</v>
      </c>
      <c r="I1035">
        <v>2</v>
      </c>
      <c r="J1035">
        <v>0</v>
      </c>
      <c r="K1035">
        <v>1</v>
      </c>
      <c r="L1035">
        <v>412</v>
      </c>
      <c r="M1035">
        <v>30</v>
      </c>
      <c r="N1035" s="1">
        <f t="shared" si="128"/>
        <v>44938</v>
      </c>
      <c r="O1035" s="1">
        <f t="shared" si="129"/>
        <v>43101</v>
      </c>
      <c r="P1035" s="1">
        <f t="shared" si="130"/>
        <v>43862</v>
      </c>
      <c r="Q1035" s="8">
        <f t="shared" si="131"/>
        <v>0</v>
      </c>
      <c r="R1035" s="8">
        <f t="shared" si="132"/>
        <v>26</v>
      </c>
      <c r="S1035" s="8">
        <f t="shared" ca="1" si="133"/>
        <v>26</v>
      </c>
      <c r="T1035">
        <f t="shared" ca="1" si="134"/>
        <v>6.8909558755335656</v>
      </c>
      <c r="U1035" s="8">
        <f t="shared" ca="1" si="135"/>
        <v>1.065536</v>
      </c>
      <c r="V1035" s="8">
        <f ca="1">RawData[[#This Row],[Z (smoothed demand size)]]/RawData[[#This Row],[X (smoothed interval)]]</f>
        <v>6.4671262871771251</v>
      </c>
    </row>
    <row r="1036" spans="1:22">
      <c r="A1036" t="s">
        <v>32</v>
      </c>
      <c r="B1036" t="s">
        <v>14</v>
      </c>
      <c r="C1036">
        <v>27</v>
      </c>
      <c r="D1036" t="s">
        <v>22</v>
      </c>
      <c r="E1036" t="s">
        <v>16</v>
      </c>
      <c r="F1036" s="1">
        <v>43833</v>
      </c>
      <c r="G1036">
        <v>4</v>
      </c>
      <c r="H1036">
        <v>4</v>
      </c>
      <c r="I1036">
        <v>10</v>
      </c>
      <c r="J1036">
        <v>6</v>
      </c>
      <c r="K1036">
        <v>0</v>
      </c>
      <c r="L1036">
        <v>409</v>
      </c>
      <c r="M1036">
        <v>15</v>
      </c>
      <c r="N1036" s="1">
        <f t="shared" si="128"/>
        <v>44938</v>
      </c>
      <c r="O1036" s="1">
        <f t="shared" si="129"/>
        <v>43101</v>
      </c>
      <c r="P1036" s="1">
        <f t="shared" si="130"/>
        <v>43891</v>
      </c>
      <c r="Q1036" s="8">
        <f t="shared" si="131"/>
        <v>0</v>
      </c>
      <c r="R1036" s="8">
        <f t="shared" si="132"/>
        <v>27</v>
      </c>
      <c r="S1036" s="8">
        <f t="shared" ca="1" si="133"/>
        <v>27</v>
      </c>
      <c r="T1036">
        <f t="shared" ca="1" si="134"/>
        <v>6.312764700426853</v>
      </c>
      <c r="U1036" s="8">
        <f t="shared" ca="1" si="135"/>
        <v>1.0524288000000002</v>
      </c>
      <c r="V1036" s="8">
        <f ca="1">RawData[[#This Row],[Z (smoothed demand size)]]/RawData[[#This Row],[X (smoothed interval)]]</f>
        <v>5.9982819744450664</v>
      </c>
    </row>
    <row r="1037" spans="1:22">
      <c r="A1037" t="s">
        <v>32</v>
      </c>
      <c r="B1037" t="s">
        <v>14</v>
      </c>
      <c r="C1037">
        <v>27</v>
      </c>
      <c r="D1037" t="s">
        <v>22</v>
      </c>
      <c r="E1037" t="s">
        <v>16</v>
      </c>
      <c r="F1037" s="1">
        <v>43834</v>
      </c>
      <c r="G1037">
        <v>10</v>
      </c>
      <c r="H1037">
        <v>10</v>
      </c>
      <c r="I1037">
        <v>16</v>
      </c>
      <c r="J1037">
        <v>6</v>
      </c>
      <c r="K1037">
        <v>0</v>
      </c>
      <c r="L1037">
        <v>409</v>
      </c>
      <c r="M1037">
        <v>60</v>
      </c>
      <c r="N1037" s="1">
        <f t="shared" si="128"/>
        <v>44938</v>
      </c>
      <c r="O1037" s="1">
        <f t="shared" si="129"/>
        <v>43101</v>
      </c>
      <c r="P1037" s="1">
        <f t="shared" si="130"/>
        <v>43922</v>
      </c>
      <c r="Q1037" s="8">
        <f t="shared" si="131"/>
        <v>0</v>
      </c>
      <c r="R1037" s="8">
        <f t="shared" si="132"/>
        <v>28</v>
      </c>
      <c r="S1037" s="8">
        <f t="shared" ca="1" si="133"/>
        <v>28</v>
      </c>
      <c r="T1037">
        <f t="shared" ca="1" si="134"/>
        <v>7.0502117603414831</v>
      </c>
      <c r="U1037" s="8">
        <f t="shared" ca="1" si="135"/>
        <v>1.0419430400000003</v>
      </c>
      <c r="V1037" s="8">
        <f ca="1">RawData[[#This Row],[Z (smoothed demand size)]]/RawData[[#This Row],[X (smoothed interval)]]</f>
        <v>6.7664080373735986</v>
      </c>
    </row>
    <row r="1038" spans="1:22">
      <c r="A1038" t="s">
        <v>32</v>
      </c>
      <c r="B1038" t="s">
        <v>14</v>
      </c>
      <c r="C1038">
        <v>27</v>
      </c>
      <c r="D1038" t="s">
        <v>22</v>
      </c>
      <c r="E1038" t="s">
        <v>16</v>
      </c>
      <c r="F1038" s="1">
        <v>43835</v>
      </c>
      <c r="G1038">
        <v>11</v>
      </c>
      <c r="H1038">
        <v>6</v>
      </c>
      <c r="I1038">
        <v>6</v>
      </c>
      <c r="J1038">
        <v>0</v>
      </c>
      <c r="K1038">
        <v>1</v>
      </c>
      <c r="L1038">
        <v>414</v>
      </c>
      <c r="M1038">
        <v>45</v>
      </c>
      <c r="N1038" s="1">
        <f t="shared" si="128"/>
        <v>44938</v>
      </c>
      <c r="O1038" s="1">
        <f t="shared" si="129"/>
        <v>43101</v>
      </c>
      <c r="P1038" s="1">
        <f t="shared" si="130"/>
        <v>43952</v>
      </c>
      <c r="Q1038" s="8">
        <f t="shared" si="131"/>
        <v>0</v>
      </c>
      <c r="R1038" s="8">
        <f t="shared" si="132"/>
        <v>29</v>
      </c>
      <c r="S1038" s="8">
        <f t="shared" ca="1" si="133"/>
        <v>29</v>
      </c>
      <c r="T1038">
        <f t="shared" ca="1" si="134"/>
        <v>7.8401694082731872</v>
      </c>
      <c r="U1038" s="8">
        <f t="shared" ca="1" si="135"/>
        <v>1.0335544320000003</v>
      </c>
      <c r="V1038" s="8">
        <f ca="1">RawData[[#This Row],[Z (smoothed demand size)]]/RawData[[#This Row],[X (smoothed interval)]]</f>
        <v>7.5856376457134527</v>
      </c>
    </row>
    <row r="1039" spans="1:22">
      <c r="A1039" t="s">
        <v>32</v>
      </c>
      <c r="B1039" t="s">
        <v>14</v>
      </c>
      <c r="C1039">
        <v>27</v>
      </c>
      <c r="D1039" t="s">
        <v>22</v>
      </c>
      <c r="E1039" t="s">
        <v>16</v>
      </c>
      <c r="F1039" s="1">
        <v>43836</v>
      </c>
      <c r="G1039">
        <v>7</v>
      </c>
      <c r="H1039">
        <v>7</v>
      </c>
      <c r="I1039">
        <v>8</v>
      </c>
      <c r="J1039">
        <v>1</v>
      </c>
      <c r="K1039">
        <v>0</v>
      </c>
      <c r="L1039">
        <v>461</v>
      </c>
      <c r="M1039">
        <v>30</v>
      </c>
      <c r="N1039" s="1">
        <f t="shared" si="128"/>
        <v>44938</v>
      </c>
      <c r="O1039" s="1">
        <f t="shared" si="129"/>
        <v>43101</v>
      </c>
      <c r="P1039" s="1">
        <f t="shared" si="130"/>
        <v>43983</v>
      </c>
      <c r="Q1039" s="8">
        <f t="shared" si="131"/>
        <v>0</v>
      </c>
      <c r="R1039" s="8">
        <f t="shared" si="132"/>
        <v>30</v>
      </c>
      <c r="S1039" s="8">
        <f t="shared" ca="1" si="133"/>
        <v>30</v>
      </c>
      <c r="T1039">
        <f t="shared" ca="1" si="134"/>
        <v>7.6721355266185505</v>
      </c>
      <c r="U1039" s="8">
        <f t="shared" ca="1" si="135"/>
        <v>1.0268435456000002</v>
      </c>
      <c r="V1039" s="8">
        <f ca="1">RawData[[#This Row],[Z (smoothed demand size)]]/RawData[[#This Row],[X (smoothed interval)]]</f>
        <v>7.4715720418105231</v>
      </c>
    </row>
    <row r="1040" spans="1:22">
      <c r="A1040" t="s">
        <v>32</v>
      </c>
      <c r="B1040" t="s">
        <v>14</v>
      </c>
      <c r="C1040">
        <v>27</v>
      </c>
      <c r="D1040" t="s">
        <v>22</v>
      </c>
      <c r="E1040" t="s">
        <v>16</v>
      </c>
      <c r="F1040" s="1">
        <v>43837</v>
      </c>
      <c r="G1040">
        <v>7</v>
      </c>
      <c r="H1040">
        <v>7</v>
      </c>
      <c r="I1040">
        <v>10</v>
      </c>
      <c r="J1040">
        <v>3</v>
      </c>
      <c r="K1040">
        <v>0</v>
      </c>
      <c r="L1040">
        <v>465</v>
      </c>
      <c r="M1040">
        <v>45</v>
      </c>
      <c r="N1040" s="1">
        <f t="shared" si="128"/>
        <v>44938</v>
      </c>
      <c r="O1040" s="1">
        <f t="shared" si="129"/>
        <v>43101</v>
      </c>
      <c r="P1040" s="1">
        <f t="shared" si="130"/>
        <v>44013</v>
      </c>
      <c r="Q1040" s="8">
        <f t="shared" si="131"/>
        <v>0</v>
      </c>
      <c r="R1040" s="8">
        <f t="shared" si="132"/>
        <v>31</v>
      </c>
      <c r="S1040" s="8">
        <f t="shared" ca="1" si="133"/>
        <v>31</v>
      </c>
      <c r="T1040">
        <f t="shared" ca="1" si="134"/>
        <v>7.5377084212948411</v>
      </c>
      <c r="U1040" s="8">
        <f t="shared" ca="1" si="135"/>
        <v>1.0214748364800001</v>
      </c>
      <c r="V1040" s="8">
        <f ca="1">RawData[[#This Row],[Z (smoothed demand size)]]/RawData[[#This Row],[X (smoothed interval)]]</f>
        <v>7.3792404395097648</v>
      </c>
    </row>
    <row r="1041" spans="1:22">
      <c r="A1041" t="s">
        <v>32</v>
      </c>
      <c r="B1041" t="s">
        <v>14</v>
      </c>
      <c r="C1041">
        <v>27</v>
      </c>
      <c r="D1041" t="s">
        <v>22</v>
      </c>
      <c r="E1041" t="s">
        <v>16</v>
      </c>
      <c r="F1041" s="1">
        <v>43838</v>
      </c>
      <c r="G1041">
        <v>6</v>
      </c>
      <c r="H1041">
        <v>3</v>
      </c>
      <c r="I1041">
        <v>3</v>
      </c>
      <c r="J1041">
        <v>0</v>
      </c>
      <c r="K1041">
        <v>1</v>
      </c>
      <c r="L1041">
        <v>467</v>
      </c>
      <c r="M1041">
        <v>15</v>
      </c>
      <c r="N1041" s="1">
        <f t="shared" si="128"/>
        <v>44938</v>
      </c>
      <c r="O1041" s="1">
        <f t="shared" si="129"/>
        <v>43101</v>
      </c>
      <c r="P1041" s="1">
        <f t="shared" si="130"/>
        <v>44044</v>
      </c>
      <c r="Q1041" s="8">
        <f t="shared" si="131"/>
        <v>0</v>
      </c>
      <c r="R1041" s="8">
        <f t="shared" si="132"/>
        <v>32</v>
      </c>
      <c r="S1041" s="8">
        <f t="shared" ca="1" si="133"/>
        <v>32</v>
      </c>
      <c r="T1041">
        <f t="shared" ca="1" si="134"/>
        <v>7.2301667370358738</v>
      </c>
      <c r="U1041" s="8">
        <f t="shared" ca="1" si="135"/>
        <v>1.0171798691840002</v>
      </c>
      <c r="V1041" s="8">
        <f ca="1">RawData[[#This Row],[Z (smoothed demand size)]]/RawData[[#This Row],[X (smoothed interval)]]</f>
        <v>7.1080513447794074</v>
      </c>
    </row>
    <row r="1042" spans="1:22">
      <c r="A1042" t="s">
        <v>32</v>
      </c>
      <c r="B1042" t="s">
        <v>14</v>
      </c>
      <c r="C1042">
        <v>27</v>
      </c>
      <c r="D1042" t="s">
        <v>22</v>
      </c>
      <c r="E1042" t="s">
        <v>16</v>
      </c>
      <c r="F1042" s="1">
        <v>43839</v>
      </c>
      <c r="G1042">
        <v>5</v>
      </c>
      <c r="H1042">
        <v>5</v>
      </c>
      <c r="I1042">
        <v>8</v>
      </c>
      <c r="J1042">
        <v>3</v>
      </c>
      <c r="K1042">
        <v>0</v>
      </c>
      <c r="L1042">
        <v>403</v>
      </c>
      <c r="M1042">
        <v>15</v>
      </c>
      <c r="N1042" s="1">
        <f t="shared" si="128"/>
        <v>44938</v>
      </c>
      <c r="O1042" s="1">
        <f t="shared" si="129"/>
        <v>43101</v>
      </c>
      <c r="P1042" s="1">
        <f t="shared" si="130"/>
        <v>44075</v>
      </c>
      <c r="Q1042" s="8">
        <f t="shared" si="131"/>
        <v>0</v>
      </c>
      <c r="R1042" s="8">
        <f t="shared" si="132"/>
        <v>33</v>
      </c>
      <c r="S1042" s="8">
        <f t="shared" ca="1" si="133"/>
        <v>33</v>
      </c>
      <c r="T1042">
        <f t="shared" ca="1" si="134"/>
        <v>6.7841333896286997</v>
      </c>
      <c r="U1042" s="8">
        <f t="shared" ca="1" si="135"/>
        <v>1.0137438953472002</v>
      </c>
      <c r="V1042" s="8">
        <f ca="1">RawData[[#This Row],[Z (smoothed demand size)]]/RawData[[#This Row],[X (smoothed interval)]]</f>
        <v>6.6921570830324768</v>
      </c>
    </row>
    <row r="1043" spans="1:22">
      <c r="A1043" t="s">
        <v>32</v>
      </c>
      <c r="B1043" t="s">
        <v>14</v>
      </c>
      <c r="C1043">
        <v>27</v>
      </c>
      <c r="D1043" t="s">
        <v>22</v>
      </c>
      <c r="E1043" t="s">
        <v>16</v>
      </c>
      <c r="F1043" s="1">
        <v>43840</v>
      </c>
      <c r="G1043">
        <v>7</v>
      </c>
      <c r="H1043">
        <v>7</v>
      </c>
      <c r="I1043">
        <v>14</v>
      </c>
      <c r="J1043">
        <v>7</v>
      </c>
      <c r="K1043">
        <v>0</v>
      </c>
      <c r="L1043">
        <v>408</v>
      </c>
      <c r="M1043">
        <v>60</v>
      </c>
      <c r="N1043" s="1">
        <f t="shared" si="128"/>
        <v>44938</v>
      </c>
      <c r="O1043" s="1">
        <f t="shared" si="129"/>
        <v>43101</v>
      </c>
      <c r="P1043" s="1">
        <f t="shared" si="130"/>
        <v>44105</v>
      </c>
      <c r="Q1043" s="8">
        <f t="shared" si="131"/>
        <v>0</v>
      </c>
      <c r="R1043" s="8">
        <f t="shared" si="132"/>
        <v>34</v>
      </c>
      <c r="S1043" s="8">
        <f t="shared" ca="1" si="133"/>
        <v>34</v>
      </c>
      <c r="T1043">
        <f t="shared" ca="1" si="134"/>
        <v>6.8273067117029607</v>
      </c>
      <c r="U1043" s="8">
        <f t="shared" ca="1" si="135"/>
        <v>1.0109951162777602</v>
      </c>
      <c r="V1043" s="8">
        <f ca="1">RawData[[#This Row],[Z (smoothed demand size)]]/RawData[[#This Row],[X (smoothed interval)]]</f>
        <v>6.7530560749288826</v>
      </c>
    </row>
    <row r="1044" spans="1:22">
      <c r="A1044" t="s">
        <v>32</v>
      </c>
      <c r="B1044" t="s">
        <v>14</v>
      </c>
      <c r="C1044">
        <v>27</v>
      </c>
      <c r="D1044" t="s">
        <v>22</v>
      </c>
      <c r="E1044" t="s">
        <v>16</v>
      </c>
      <c r="F1044" s="1">
        <v>43841</v>
      </c>
      <c r="G1044">
        <v>11</v>
      </c>
      <c r="H1044">
        <v>7</v>
      </c>
      <c r="I1044">
        <v>7</v>
      </c>
      <c r="J1044">
        <v>0</v>
      </c>
      <c r="K1044">
        <v>1</v>
      </c>
      <c r="L1044">
        <v>407</v>
      </c>
      <c r="M1044">
        <v>45</v>
      </c>
      <c r="N1044" s="1">
        <f t="shared" si="128"/>
        <v>44938</v>
      </c>
      <c r="O1044" s="1">
        <f t="shared" si="129"/>
        <v>43101</v>
      </c>
      <c r="P1044" s="1">
        <f t="shared" si="130"/>
        <v>44136</v>
      </c>
      <c r="Q1044" s="8">
        <f t="shared" si="131"/>
        <v>0</v>
      </c>
      <c r="R1044" s="8">
        <f t="shared" si="132"/>
        <v>35</v>
      </c>
      <c r="S1044" s="8">
        <f t="shared" ca="1" si="133"/>
        <v>35</v>
      </c>
      <c r="T1044">
        <f t="shared" ca="1" si="134"/>
        <v>7.6618453693623687</v>
      </c>
      <c r="U1044" s="8">
        <f t="shared" ca="1" si="135"/>
        <v>1.0087960930222082</v>
      </c>
      <c r="V1044" s="8">
        <f ca="1">RawData[[#This Row],[Z (smoothed demand size)]]/RawData[[#This Row],[X (smoothed interval)]]</f>
        <v>7.5950387024285355</v>
      </c>
    </row>
    <row r="1045" spans="1:22">
      <c r="A1045" t="s">
        <v>32</v>
      </c>
      <c r="B1045" t="s">
        <v>14</v>
      </c>
      <c r="C1045">
        <v>27</v>
      </c>
      <c r="D1045" t="s">
        <v>22</v>
      </c>
      <c r="E1045" t="s">
        <v>16</v>
      </c>
      <c r="F1045" s="1">
        <v>43842</v>
      </c>
      <c r="G1045">
        <v>7</v>
      </c>
      <c r="H1045">
        <v>7</v>
      </c>
      <c r="I1045">
        <v>9</v>
      </c>
      <c r="J1045">
        <v>2</v>
      </c>
      <c r="K1045">
        <v>0</v>
      </c>
      <c r="L1045">
        <v>476</v>
      </c>
      <c r="M1045">
        <v>60</v>
      </c>
      <c r="N1045" s="1">
        <f t="shared" si="128"/>
        <v>44938</v>
      </c>
      <c r="O1045" s="1">
        <f t="shared" si="129"/>
        <v>43101</v>
      </c>
      <c r="P1045" s="1">
        <f t="shared" si="130"/>
        <v>44166</v>
      </c>
      <c r="Q1045" s="8">
        <f t="shared" si="131"/>
        <v>0</v>
      </c>
      <c r="R1045" s="8">
        <f t="shared" si="132"/>
        <v>36</v>
      </c>
      <c r="S1045" s="8">
        <f t="shared" ca="1" si="133"/>
        <v>36</v>
      </c>
      <c r="T1045">
        <f t="shared" ca="1" si="134"/>
        <v>7.5294762954898955</v>
      </c>
      <c r="U1045" s="8">
        <f t="shared" ca="1" si="135"/>
        <v>1.0070368744177667</v>
      </c>
      <c r="V1045" s="8">
        <f ca="1">RawData[[#This Row],[Z (smoothed demand size)]]/RawData[[#This Row],[X (smoothed interval)]]</f>
        <v>7.4768625526678694</v>
      </c>
    </row>
    <row r="1046" spans="1:22">
      <c r="A1046" t="s">
        <v>32</v>
      </c>
      <c r="B1046" t="s">
        <v>14</v>
      </c>
      <c r="C1046">
        <v>27</v>
      </c>
      <c r="D1046" t="s">
        <v>22</v>
      </c>
      <c r="E1046" t="s">
        <v>16</v>
      </c>
      <c r="F1046" s="1">
        <v>44197</v>
      </c>
      <c r="G1046">
        <v>7</v>
      </c>
      <c r="H1046">
        <v>2</v>
      </c>
      <c r="I1046">
        <v>2</v>
      </c>
      <c r="J1046">
        <v>0</v>
      </c>
      <c r="K1046">
        <v>1</v>
      </c>
      <c r="L1046">
        <v>408</v>
      </c>
      <c r="M1046">
        <v>15</v>
      </c>
      <c r="N1046" s="1">
        <f t="shared" si="128"/>
        <v>44938</v>
      </c>
      <c r="O1046" s="1">
        <f t="shared" si="129"/>
        <v>43101</v>
      </c>
      <c r="P1046" s="1">
        <f t="shared" si="130"/>
        <v>44197</v>
      </c>
      <c r="Q1046" s="8">
        <f t="shared" si="131"/>
        <v>0</v>
      </c>
      <c r="R1046" s="8">
        <f t="shared" si="132"/>
        <v>37</v>
      </c>
      <c r="S1046" s="8">
        <f t="shared" ca="1" si="133"/>
        <v>37</v>
      </c>
      <c r="T1046">
        <f t="shared" ca="1" si="134"/>
        <v>7.4235810363919175</v>
      </c>
      <c r="U1046" s="8">
        <f t="shared" ca="1" si="135"/>
        <v>1.0056294995342134</v>
      </c>
      <c r="V1046" s="8">
        <f ca="1">RawData[[#This Row],[Z (smoothed demand size)]]/RawData[[#This Row],[X (smoothed interval)]]</f>
        <v>7.3820239360821907</v>
      </c>
    </row>
    <row r="1047" spans="1:22">
      <c r="A1047" t="s">
        <v>32</v>
      </c>
      <c r="B1047" t="s">
        <v>14</v>
      </c>
      <c r="C1047">
        <v>27</v>
      </c>
      <c r="D1047" t="s">
        <v>22</v>
      </c>
      <c r="E1047" t="s">
        <v>16</v>
      </c>
      <c r="F1047" s="1">
        <v>44198</v>
      </c>
      <c r="G1047">
        <v>12</v>
      </c>
      <c r="H1047">
        <v>11</v>
      </c>
      <c r="I1047">
        <v>11</v>
      </c>
      <c r="J1047">
        <v>0</v>
      </c>
      <c r="K1047">
        <v>1</v>
      </c>
      <c r="L1047">
        <v>407</v>
      </c>
      <c r="M1047">
        <v>60</v>
      </c>
      <c r="N1047" s="1">
        <f t="shared" si="128"/>
        <v>44938</v>
      </c>
      <c r="O1047" s="1">
        <f t="shared" si="129"/>
        <v>43101</v>
      </c>
      <c r="P1047" s="1">
        <f t="shared" si="130"/>
        <v>44228</v>
      </c>
      <c r="Q1047" s="8">
        <f t="shared" si="131"/>
        <v>0</v>
      </c>
      <c r="R1047" s="8">
        <f t="shared" si="132"/>
        <v>38</v>
      </c>
      <c r="S1047" s="8">
        <f t="shared" ca="1" si="133"/>
        <v>38</v>
      </c>
      <c r="T1047">
        <f t="shared" ca="1" si="134"/>
        <v>8.3388648291135343</v>
      </c>
      <c r="U1047" s="8">
        <f t="shared" ca="1" si="135"/>
        <v>1.0045035996273708</v>
      </c>
      <c r="V1047" s="8">
        <f ca="1">RawData[[#This Row],[Z (smoothed demand size)]]/RawData[[#This Row],[X (smoothed interval)]]</f>
        <v>8.30147829455953</v>
      </c>
    </row>
    <row r="1048" spans="1:22">
      <c r="A1048" t="s">
        <v>32</v>
      </c>
      <c r="B1048" t="s">
        <v>14</v>
      </c>
      <c r="C1048">
        <v>27</v>
      </c>
      <c r="D1048" t="s">
        <v>22</v>
      </c>
      <c r="E1048" t="s">
        <v>16</v>
      </c>
      <c r="F1048" s="1">
        <v>44199</v>
      </c>
      <c r="G1048">
        <v>11</v>
      </c>
      <c r="H1048">
        <v>0</v>
      </c>
      <c r="I1048">
        <v>0</v>
      </c>
      <c r="J1048">
        <v>0</v>
      </c>
      <c r="K1048">
        <v>1</v>
      </c>
      <c r="L1048">
        <v>407</v>
      </c>
      <c r="M1048">
        <v>60</v>
      </c>
      <c r="N1048" s="1">
        <f t="shared" si="128"/>
        <v>44938</v>
      </c>
      <c r="O1048" s="1">
        <f t="shared" si="129"/>
        <v>43101</v>
      </c>
      <c r="P1048" s="1">
        <f t="shared" si="130"/>
        <v>44256</v>
      </c>
      <c r="Q1048" s="8">
        <f t="shared" si="131"/>
        <v>0</v>
      </c>
      <c r="R1048" s="8">
        <f t="shared" si="132"/>
        <v>39</v>
      </c>
      <c r="S1048" s="8">
        <f t="shared" ca="1" si="133"/>
        <v>39</v>
      </c>
      <c r="T1048">
        <f t="shared" ca="1" si="134"/>
        <v>8.8710918632908289</v>
      </c>
      <c r="U1048" s="8">
        <f t="shared" ca="1" si="135"/>
        <v>1.0036028797018968</v>
      </c>
      <c r="V1048" s="8">
        <f ca="1">RawData[[#This Row],[Z (smoothed demand size)]]/RawData[[#This Row],[X (smoothed interval)]]</f>
        <v>8.8392451264446716</v>
      </c>
    </row>
    <row r="1049" spans="1:22">
      <c r="A1049" t="s">
        <v>32</v>
      </c>
      <c r="B1049" t="s">
        <v>14</v>
      </c>
      <c r="C1049">
        <v>27</v>
      </c>
      <c r="D1049" t="s">
        <v>22</v>
      </c>
      <c r="E1049" t="s">
        <v>16</v>
      </c>
      <c r="F1049" s="1">
        <v>44200</v>
      </c>
      <c r="G1049">
        <v>6</v>
      </c>
      <c r="H1049">
        <v>6</v>
      </c>
      <c r="I1049">
        <v>9</v>
      </c>
      <c r="J1049">
        <v>3</v>
      </c>
      <c r="K1049">
        <v>0</v>
      </c>
      <c r="L1049">
        <v>404</v>
      </c>
      <c r="M1049">
        <v>60</v>
      </c>
      <c r="N1049" s="1">
        <f t="shared" si="128"/>
        <v>44938</v>
      </c>
      <c r="O1049" s="1">
        <f t="shared" si="129"/>
        <v>43101</v>
      </c>
      <c r="P1049" s="1">
        <f t="shared" si="130"/>
        <v>44287</v>
      </c>
      <c r="Q1049" s="8">
        <f t="shared" si="131"/>
        <v>0</v>
      </c>
      <c r="R1049" s="8">
        <f t="shared" si="132"/>
        <v>40</v>
      </c>
      <c r="S1049" s="8">
        <f t="shared" ca="1" si="133"/>
        <v>40</v>
      </c>
      <c r="T1049">
        <f t="shared" ca="1" si="134"/>
        <v>8.2968734906326631</v>
      </c>
      <c r="U1049" s="8">
        <f t="shared" ca="1" si="135"/>
        <v>1.0028823037615175</v>
      </c>
      <c r="V1049" s="8">
        <f ca="1">RawData[[#This Row],[Z (smoothed demand size)]]/RawData[[#This Row],[X (smoothed interval)]]</f>
        <v>8.2730281105903689</v>
      </c>
    </row>
    <row r="1050" spans="1:22">
      <c r="A1050" t="s">
        <v>32</v>
      </c>
      <c r="B1050" t="s">
        <v>14</v>
      </c>
      <c r="C1050">
        <v>27</v>
      </c>
      <c r="D1050" t="s">
        <v>22</v>
      </c>
      <c r="E1050" t="s">
        <v>16</v>
      </c>
      <c r="F1050" s="1">
        <v>44201</v>
      </c>
      <c r="G1050">
        <v>7</v>
      </c>
      <c r="H1050">
        <v>3</v>
      </c>
      <c r="I1050">
        <v>3</v>
      </c>
      <c r="J1050">
        <v>0</v>
      </c>
      <c r="K1050">
        <v>1</v>
      </c>
      <c r="L1050">
        <v>412</v>
      </c>
      <c r="M1050">
        <v>60</v>
      </c>
      <c r="N1050" s="1">
        <f t="shared" si="128"/>
        <v>44938</v>
      </c>
      <c r="O1050" s="1">
        <f t="shared" si="129"/>
        <v>43101</v>
      </c>
      <c r="P1050" s="1">
        <f t="shared" si="130"/>
        <v>44317</v>
      </c>
      <c r="Q1050" s="8">
        <f t="shared" si="131"/>
        <v>0</v>
      </c>
      <c r="R1050" s="8">
        <f t="shared" si="132"/>
        <v>41</v>
      </c>
      <c r="S1050" s="8">
        <f t="shared" ca="1" si="133"/>
        <v>41</v>
      </c>
      <c r="T1050">
        <f t="shared" ca="1" si="134"/>
        <v>8.0374987925061312</v>
      </c>
      <c r="U1050" s="8">
        <f t="shared" ca="1" si="135"/>
        <v>1.002305843009214</v>
      </c>
      <c r="V1050" s="8">
        <f ca="1">RawData[[#This Row],[Z (smoothed demand size)]]/RawData[[#This Row],[X (smoothed interval)]]</f>
        <v>8.0190082184647551</v>
      </c>
    </row>
    <row r="1051" spans="1:22">
      <c r="A1051" t="s">
        <v>32</v>
      </c>
      <c r="B1051" t="s">
        <v>14</v>
      </c>
      <c r="C1051">
        <v>27</v>
      </c>
      <c r="D1051" t="s">
        <v>22</v>
      </c>
      <c r="E1051" t="s">
        <v>16</v>
      </c>
      <c r="F1051" s="1">
        <v>44202</v>
      </c>
      <c r="G1051">
        <v>4</v>
      </c>
      <c r="H1051">
        <v>4</v>
      </c>
      <c r="I1051">
        <v>7</v>
      </c>
      <c r="J1051">
        <v>3</v>
      </c>
      <c r="K1051">
        <v>0</v>
      </c>
      <c r="L1051">
        <v>475</v>
      </c>
      <c r="M1051">
        <v>15</v>
      </c>
      <c r="N1051" s="1">
        <f t="shared" si="128"/>
        <v>44938</v>
      </c>
      <c r="O1051" s="1">
        <f t="shared" si="129"/>
        <v>43101</v>
      </c>
      <c r="P1051" s="1">
        <f t="shared" si="130"/>
        <v>44348</v>
      </c>
      <c r="Q1051" s="8">
        <f t="shared" si="131"/>
        <v>0</v>
      </c>
      <c r="R1051" s="8">
        <f t="shared" si="132"/>
        <v>42</v>
      </c>
      <c r="S1051" s="8">
        <f t="shared" ca="1" si="133"/>
        <v>42</v>
      </c>
      <c r="T1051">
        <f t="shared" ca="1" si="134"/>
        <v>7.229999034004905</v>
      </c>
      <c r="U1051" s="8">
        <f t="shared" ca="1" si="135"/>
        <v>1.0018446744073712</v>
      </c>
      <c r="V1051" s="8">
        <f ca="1">RawData[[#This Row],[Z (smoothed demand size)]]/RawData[[#This Row],[X (smoothed interval)]]</f>
        <v>7.2166865969335223</v>
      </c>
    </row>
    <row r="1052" spans="1:22">
      <c r="A1052" t="s">
        <v>32</v>
      </c>
      <c r="B1052" t="s">
        <v>14</v>
      </c>
      <c r="C1052">
        <v>27</v>
      </c>
      <c r="D1052" t="s">
        <v>22</v>
      </c>
      <c r="E1052" t="s">
        <v>16</v>
      </c>
      <c r="F1052" s="1">
        <v>44203</v>
      </c>
      <c r="G1052">
        <v>14</v>
      </c>
      <c r="H1052">
        <v>12</v>
      </c>
      <c r="I1052">
        <v>12</v>
      </c>
      <c r="J1052">
        <v>0</v>
      </c>
      <c r="K1052">
        <v>1</v>
      </c>
      <c r="L1052">
        <v>464</v>
      </c>
      <c r="M1052">
        <v>45</v>
      </c>
      <c r="N1052" s="1">
        <f t="shared" si="128"/>
        <v>44938</v>
      </c>
      <c r="O1052" s="1">
        <f t="shared" si="129"/>
        <v>43101</v>
      </c>
      <c r="P1052" s="1">
        <f t="shared" si="130"/>
        <v>44378</v>
      </c>
      <c r="Q1052" s="8">
        <f t="shared" si="131"/>
        <v>0</v>
      </c>
      <c r="R1052" s="8">
        <f t="shared" si="132"/>
        <v>43</v>
      </c>
      <c r="S1052" s="8">
        <f t="shared" ca="1" si="133"/>
        <v>43</v>
      </c>
      <c r="T1052">
        <f t="shared" ca="1" si="134"/>
        <v>8.5839992272039254</v>
      </c>
      <c r="U1052" s="8">
        <f t="shared" ca="1" si="135"/>
        <v>1.0014757395258971</v>
      </c>
      <c r="V1052" s="8">
        <f ca="1">RawData[[#This Row],[Z (smoothed demand size)]]/RawData[[#This Row],[X (smoothed interval)]]</f>
        <v>8.5713501470016915</v>
      </c>
    </row>
    <row r="1053" spans="1:22">
      <c r="A1053" t="s">
        <v>32</v>
      </c>
      <c r="B1053" t="s">
        <v>14</v>
      </c>
      <c r="C1053">
        <v>27</v>
      </c>
      <c r="D1053" t="s">
        <v>22</v>
      </c>
      <c r="E1053" t="s">
        <v>16</v>
      </c>
      <c r="F1053" s="1">
        <v>44204</v>
      </c>
      <c r="G1053">
        <v>12</v>
      </c>
      <c r="H1053">
        <v>0</v>
      </c>
      <c r="I1053">
        <v>0</v>
      </c>
      <c r="J1053">
        <v>0</v>
      </c>
      <c r="K1053">
        <v>1</v>
      </c>
      <c r="L1053">
        <v>477</v>
      </c>
      <c r="M1053">
        <v>15</v>
      </c>
      <c r="N1053" s="1">
        <f t="shared" si="128"/>
        <v>44938</v>
      </c>
      <c r="O1053" s="1">
        <f t="shared" si="129"/>
        <v>43101</v>
      </c>
      <c r="P1053" s="1">
        <f t="shared" si="130"/>
        <v>44409</v>
      </c>
      <c r="Q1053" s="8">
        <f t="shared" si="131"/>
        <v>0</v>
      </c>
      <c r="R1053" s="8">
        <f t="shared" si="132"/>
        <v>44</v>
      </c>
      <c r="S1053" s="8">
        <f t="shared" ca="1" si="133"/>
        <v>44</v>
      </c>
      <c r="T1053">
        <f t="shared" ca="1" si="134"/>
        <v>9.2671993817631417</v>
      </c>
      <c r="U1053" s="8">
        <f t="shared" ca="1" si="135"/>
        <v>1.0011805916207177</v>
      </c>
      <c r="V1053" s="8">
        <f ca="1">RawData[[#This Row],[Z (smoothed demand size)]]/RawData[[#This Row],[X (smoothed interval)]]</f>
        <v>9.2562715051850315</v>
      </c>
    </row>
    <row r="1054" spans="1:22">
      <c r="A1054" t="s">
        <v>32</v>
      </c>
      <c r="B1054" t="s">
        <v>14</v>
      </c>
      <c r="C1054">
        <v>27</v>
      </c>
      <c r="D1054" t="s">
        <v>22</v>
      </c>
      <c r="E1054" t="s">
        <v>16</v>
      </c>
      <c r="F1054" s="1">
        <v>44205</v>
      </c>
      <c r="G1054">
        <v>6</v>
      </c>
      <c r="H1054">
        <v>6</v>
      </c>
      <c r="I1054">
        <v>7</v>
      </c>
      <c r="J1054">
        <v>1</v>
      </c>
      <c r="K1054">
        <v>0</v>
      </c>
      <c r="L1054">
        <v>406</v>
      </c>
      <c r="M1054">
        <v>30</v>
      </c>
      <c r="N1054" s="1">
        <f t="shared" si="128"/>
        <v>44938</v>
      </c>
      <c r="O1054" s="1">
        <f t="shared" si="129"/>
        <v>43101</v>
      </c>
      <c r="P1054" s="1">
        <f t="shared" si="130"/>
        <v>44440</v>
      </c>
      <c r="Q1054" s="8">
        <f t="shared" si="131"/>
        <v>0</v>
      </c>
      <c r="R1054" s="8">
        <f t="shared" si="132"/>
        <v>45</v>
      </c>
      <c r="S1054" s="8">
        <f t="shared" ca="1" si="133"/>
        <v>45</v>
      </c>
      <c r="T1054">
        <f t="shared" ca="1" si="134"/>
        <v>8.6137595054105134</v>
      </c>
      <c r="U1054" s="8">
        <f t="shared" ca="1" si="135"/>
        <v>1.0009444732965742</v>
      </c>
      <c r="V1054" s="8">
        <f ca="1">RawData[[#This Row],[Z (smoothed demand size)]]/RawData[[#This Row],[X (smoothed interval)]]</f>
        <v>8.6056317160545479</v>
      </c>
    </row>
    <row r="1055" spans="1:22">
      <c r="A1055" t="s">
        <v>32</v>
      </c>
      <c r="B1055" t="s">
        <v>14</v>
      </c>
      <c r="C1055">
        <v>27</v>
      </c>
      <c r="D1055" t="s">
        <v>22</v>
      </c>
      <c r="E1055" t="s">
        <v>16</v>
      </c>
      <c r="F1055" s="1">
        <v>44206</v>
      </c>
      <c r="G1055">
        <v>6</v>
      </c>
      <c r="H1055">
        <v>6</v>
      </c>
      <c r="I1055">
        <v>11</v>
      </c>
      <c r="J1055">
        <v>5</v>
      </c>
      <c r="K1055">
        <v>0</v>
      </c>
      <c r="L1055">
        <v>405</v>
      </c>
      <c r="M1055">
        <v>45</v>
      </c>
      <c r="N1055" s="1">
        <f t="shared" si="128"/>
        <v>44938</v>
      </c>
      <c r="O1055" s="1">
        <f t="shared" si="129"/>
        <v>43101</v>
      </c>
      <c r="P1055" s="1">
        <f t="shared" si="130"/>
        <v>44470</v>
      </c>
      <c r="Q1055" s="8">
        <f t="shared" si="131"/>
        <v>0</v>
      </c>
      <c r="R1055" s="8">
        <f t="shared" si="132"/>
        <v>46</v>
      </c>
      <c r="S1055" s="8">
        <f t="shared" ca="1" si="133"/>
        <v>46</v>
      </c>
      <c r="T1055">
        <f t="shared" ca="1" si="134"/>
        <v>8.0910076043284107</v>
      </c>
      <c r="U1055" s="8">
        <f t="shared" ca="1" si="135"/>
        <v>1.0007555786372595</v>
      </c>
      <c r="V1055" s="8">
        <f ca="1">RawData[[#This Row],[Z (smoothed demand size)]]/RawData[[#This Row],[X (smoothed interval)]]</f>
        <v>8.0848988274899547</v>
      </c>
    </row>
    <row r="1056" spans="1:22">
      <c r="A1056" t="s">
        <v>32</v>
      </c>
      <c r="B1056" t="s">
        <v>14</v>
      </c>
      <c r="C1056">
        <v>27</v>
      </c>
      <c r="D1056" t="s">
        <v>22</v>
      </c>
      <c r="E1056" t="s">
        <v>16</v>
      </c>
      <c r="F1056" s="1">
        <v>44207</v>
      </c>
      <c r="G1056">
        <v>11</v>
      </c>
      <c r="H1056">
        <v>5</v>
      </c>
      <c r="I1056">
        <v>5</v>
      </c>
      <c r="J1056">
        <v>0</v>
      </c>
      <c r="K1056">
        <v>1</v>
      </c>
      <c r="L1056">
        <v>410</v>
      </c>
      <c r="M1056">
        <v>30</v>
      </c>
      <c r="N1056" s="1">
        <f t="shared" si="128"/>
        <v>44938</v>
      </c>
      <c r="O1056" s="1">
        <f t="shared" si="129"/>
        <v>43101</v>
      </c>
      <c r="P1056" s="1">
        <f t="shared" si="130"/>
        <v>44501</v>
      </c>
      <c r="Q1056" s="8">
        <f t="shared" si="131"/>
        <v>0</v>
      </c>
      <c r="R1056" s="8">
        <f t="shared" si="132"/>
        <v>47</v>
      </c>
      <c r="S1056" s="8">
        <f t="shared" ca="1" si="133"/>
        <v>47</v>
      </c>
      <c r="T1056">
        <f t="shared" ca="1" si="134"/>
        <v>8.6728060834627279</v>
      </c>
      <c r="U1056" s="8">
        <f t="shared" ca="1" si="135"/>
        <v>1.0006044629098076</v>
      </c>
      <c r="V1056" s="8">
        <f ca="1">RawData[[#This Row],[Z (smoothed demand size)]]/RawData[[#This Row],[X (smoothed interval)]]</f>
        <v>8.6675668607771108</v>
      </c>
    </row>
    <row r="1057" spans="1:22">
      <c r="A1057" t="s">
        <v>32</v>
      </c>
      <c r="B1057" t="s">
        <v>14</v>
      </c>
      <c r="C1057">
        <v>27</v>
      </c>
      <c r="D1057" t="s">
        <v>22</v>
      </c>
      <c r="E1057" t="s">
        <v>16</v>
      </c>
      <c r="F1057" s="1">
        <v>44208</v>
      </c>
      <c r="G1057">
        <v>9</v>
      </c>
      <c r="H1057">
        <v>9</v>
      </c>
      <c r="I1057">
        <v>12</v>
      </c>
      <c r="J1057">
        <v>3</v>
      </c>
      <c r="K1057">
        <v>0</v>
      </c>
      <c r="L1057">
        <v>472</v>
      </c>
      <c r="M1057">
        <v>45</v>
      </c>
      <c r="N1057" s="1">
        <f t="shared" si="128"/>
        <v>44938</v>
      </c>
      <c r="O1057" s="1">
        <f t="shared" si="129"/>
        <v>43101</v>
      </c>
      <c r="P1057" s="1">
        <f t="shared" si="130"/>
        <v>44531</v>
      </c>
      <c r="Q1057" s="8">
        <f t="shared" si="131"/>
        <v>0</v>
      </c>
      <c r="R1057" s="8">
        <f t="shared" si="132"/>
        <v>48</v>
      </c>
      <c r="S1057" s="8">
        <f t="shared" ca="1" si="133"/>
        <v>48</v>
      </c>
      <c r="T1057">
        <f t="shared" ca="1" si="134"/>
        <v>8.7382448667701826</v>
      </c>
      <c r="U1057" s="8">
        <f t="shared" ca="1" si="135"/>
        <v>1.0004835703278461</v>
      </c>
      <c r="V1057" s="8">
        <f ca="1">RawData[[#This Row],[Z (smoothed demand size)]]/RawData[[#This Row],[X (smoothed interval)]]</f>
        <v>8.7340213532010011</v>
      </c>
    </row>
    <row r="1058" spans="1:22">
      <c r="A1058" t="s">
        <v>32</v>
      </c>
      <c r="B1058" t="s">
        <v>14</v>
      </c>
      <c r="C1058">
        <v>27</v>
      </c>
      <c r="D1058" t="s">
        <v>22</v>
      </c>
      <c r="E1058" t="s">
        <v>16</v>
      </c>
      <c r="F1058" s="1">
        <v>44562</v>
      </c>
      <c r="G1058">
        <v>10</v>
      </c>
      <c r="H1058">
        <v>3</v>
      </c>
      <c r="I1058">
        <v>3</v>
      </c>
      <c r="J1058">
        <v>0</v>
      </c>
      <c r="K1058">
        <v>1</v>
      </c>
      <c r="L1058">
        <v>407</v>
      </c>
      <c r="M1058">
        <v>30</v>
      </c>
      <c r="N1058" s="1">
        <f t="shared" si="128"/>
        <v>44938</v>
      </c>
      <c r="O1058" s="1">
        <f t="shared" si="129"/>
        <v>43101</v>
      </c>
      <c r="P1058" s="1">
        <f t="shared" si="130"/>
        <v>44562</v>
      </c>
      <c r="Q1058" s="8">
        <f t="shared" si="131"/>
        <v>0</v>
      </c>
      <c r="R1058" s="8">
        <f t="shared" si="132"/>
        <v>49</v>
      </c>
      <c r="S1058" s="8">
        <f t="shared" ca="1" si="133"/>
        <v>49</v>
      </c>
      <c r="T1058">
        <f t="shared" ca="1" si="134"/>
        <v>8.9905958934161454</v>
      </c>
      <c r="U1058" s="8">
        <f t="shared" ca="1" si="135"/>
        <v>1.0003868562622769</v>
      </c>
      <c r="V1058" s="8">
        <f ca="1">RawData[[#This Row],[Z (smoothed demand size)]]/RawData[[#This Row],[X (smoothed interval)]]</f>
        <v>8.9871191700853696</v>
      </c>
    </row>
    <row r="1059" spans="1:22">
      <c r="A1059" t="s">
        <v>32</v>
      </c>
      <c r="B1059" t="s">
        <v>14</v>
      </c>
      <c r="C1059">
        <v>27</v>
      </c>
      <c r="D1059" t="s">
        <v>22</v>
      </c>
      <c r="E1059" t="s">
        <v>16</v>
      </c>
      <c r="F1059" s="1">
        <v>44563</v>
      </c>
      <c r="G1059">
        <v>7</v>
      </c>
      <c r="H1059">
        <v>7</v>
      </c>
      <c r="I1059">
        <v>8</v>
      </c>
      <c r="J1059">
        <v>1</v>
      </c>
      <c r="K1059">
        <v>0</v>
      </c>
      <c r="L1059">
        <v>406</v>
      </c>
      <c r="M1059">
        <v>45</v>
      </c>
      <c r="N1059" s="1">
        <f t="shared" si="128"/>
        <v>44938</v>
      </c>
      <c r="O1059" s="1">
        <f t="shared" si="129"/>
        <v>43101</v>
      </c>
      <c r="P1059" s="1">
        <f t="shared" si="130"/>
        <v>44593</v>
      </c>
      <c r="Q1059" s="8">
        <f t="shared" si="131"/>
        <v>0</v>
      </c>
      <c r="R1059" s="8">
        <f t="shared" si="132"/>
        <v>50</v>
      </c>
      <c r="S1059" s="8">
        <f t="shared" ca="1" si="133"/>
        <v>50</v>
      </c>
      <c r="T1059">
        <f t="shared" ca="1" si="134"/>
        <v>8.592476714732916</v>
      </c>
      <c r="U1059" s="8">
        <f t="shared" ca="1" si="135"/>
        <v>1.0003094850098215</v>
      </c>
      <c r="V1059" s="8">
        <f ca="1">RawData[[#This Row],[Z (smoothed demand size)]]/RawData[[#This Row],[X (smoothed interval)]]</f>
        <v>8.5898182947336057</v>
      </c>
    </row>
    <row r="1060" spans="1:22">
      <c r="A1060" t="s">
        <v>32</v>
      </c>
      <c r="B1060" t="s">
        <v>14</v>
      </c>
      <c r="C1060">
        <v>27</v>
      </c>
      <c r="D1060" t="s">
        <v>22</v>
      </c>
      <c r="E1060" t="s">
        <v>16</v>
      </c>
      <c r="F1060" s="1">
        <v>44564</v>
      </c>
      <c r="G1060">
        <v>8</v>
      </c>
      <c r="H1060">
        <v>1</v>
      </c>
      <c r="I1060">
        <v>1</v>
      </c>
      <c r="J1060">
        <v>0</v>
      </c>
      <c r="K1060">
        <v>1</v>
      </c>
      <c r="L1060">
        <v>412</v>
      </c>
      <c r="M1060">
        <v>15</v>
      </c>
      <c r="N1060" s="1">
        <f t="shared" si="128"/>
        <v>44938</v>
      </c>
      <c r="O1060" s="1">
        <f t="shared" si="129"/>
        <v>43101</v>
      </c>
      <c r="P1060" s="1">
        <f t="shared" si="130"/>
        <v>44621</v>
      </c>
      <c r="Q1060" s="8">
        <f t="shared" si="131"/>
        <v>0</v>
      </c>
      <c r="R1060" s="8">
        <f t="shared" si="132"/>
        <v>51</v>
      </c>
      <c r="S1060" s="8">
        <f t="shared" ca="1" si="133"/>
        <v>51</v>
      </c>
      <c r="T1060">
        <f t="shared" ca="1" si="134"/>
        <v>8.4739813717863335</v>
      </c>
      <c r="U1060" s="8">
        <f t="shared" ca="1" si="135"/>
        <v>1.0002475880078572</v>
      </c>
      <c r="V1060" s="8">
        <f ca="1">RawData[[#This Row],[Z (smoothed demand size)]]/RawData[[#This Row],[X (smoothed interval)]]</f>
        <v>8.4718838349448422</v>
      </c>
    </row>
    <row r="1061" spans="1:22">
      <c r="A1061" t="s">
        <v>32</v>
      </c>
      <c r="B1061" t="s">
        <v>14</v>
      </c>
      <c r="C1061">
        <v>27</v>
      </c>
      <c r="D1061" t="s">
        <v>22</v>
      </c>
      <c r="E1061" t="s">
        <v>16</v>
      </c>
      <c r="F1061" s="1">
        <v>44565</v>
      </c>
      <c r="G1061">
        <v>3</v>
      </c>
      <c r="H1061">
        <v>3</v>
      </c>
      <c r="I1061">
        <v>9</v>
      </c>
      <c r="J1061">
        <v>6</v>
      </c>
      <c r="K1061">
        <v>0</v>
      </c>
      <c r="L1061">
        <v>405</v>
      </c>
      <c r="M1061">
        <v>15</v>
      </c>
      <c r="N1061" s="1">
        <f t="shared" si="128"/>
        <v>44938</v>
      </c>
      <c r="O1061" s="1">
        <f t="shared" si="129"/>
        <v>43101</v>
      </c>
      <c r="P1061" s="1">
        <f t="shared" si="130"/>
        <v>44652</v>
      </c>
      <c r="Q1061" s="8">
        <f t="shared" si="131"/>
        <v>0</v>
      </c>
      <c r="R1061" s="8">
        <f t="shared" si="132"/>
        <v>52</v>
      </c>
      <c r="S1061" s="8">
        <f t="shared" ca="1" si="133"/>
        <v>52</v>
      </c>
      <c r="T1061">
        <f t="shared" ca="1" si="134"/>
        <v>7.3791850974290671</v>
      </c>
      <c r="U1061" s="8">
        <f t="shared" ca="1" si="135"/>
        <v>1.0001980704062858</v>
      </c>
      <c r="V1061" s="8">
        <f ca="1">RawData[[#This Row],[Z (smoothed demand size)]]/RawData[[#This Row],[X (smoothed interval)]]</f>
        <v>7.377723788680778</v>
      </c>
    </row>
    <row r="1062" spans="1:22">
      <c r="A1062" t="s">
        <v>32</v>
      </c>
      <c r="B1062" t="s">
        <v>14</v>
      </c>
      <c r="C1062">
        <v>27</v>
      </c>
      <c r="D1062" t="s">
        <v>22</v>
      </c>
      <c r="E1062" t="s">
        <v>16</v>
      </c>
      <c r="F1062" s="1">
        <v>44566</v>
      </c>
      <c r="G1062">
        <v>7</v>
      </c>
      <c r="H1062">
        <v>7</v>
      </c>
      <c r="I1062">
        <v>18</v>
      </c>
      <c r="J1062">
        <v>11</v>
      </c>
      <c r="K1062">
        <v>0</v>
      </c>
      <c r="L1062">
        <v>407</v>
      </c>
      <c r="M1062">
        <v>60</v>
      </c>
      <c r="N1062" s="1">
        <f t="shared" si="128"/>
        <v>44938</v>
      </c>
      <c r="O1062" s="1">
        <f t="shared" si="129"/>
        <v>43101</v>
      </c>
      <c r="P1062" s="1">
        <f t="shared" si="130"/>
        <v>44682</v>
      </c>
      <c r="Q1062" s="8">
        <f t="shared" si="131"/>
        <v>0</v>
      </c>
      <c r="R1062" s="8">
        <f t="shared" si="132"/>
        <v>53</v>
      </c>
      <c r="S1062" s="8">
        <f t="shared" ca="1" si="133"/>
        <v>53</v>
      </c>
      <c r="T1062">
        <f t="shared" ca="1" si="134"/>
        <v>7.3033480779432542</v>
      </c>
      <c r="U1062" s="8">
        <f t="shared" ca="1" si="135"/>
        <v>1.0001584563250288</v>
      </c>
      <c r="V1062" s="8">
        <f ca="1">RawData[[#This Row],[Z (smoothed demand size)]]/RawData[[#This Row],[X (smoothed interval)]]</f>
        <v>7.3021909995928009</v>
      </c>
    </row>
    <row r="1063" spans="1:22">
      <c r="A1063" t="s">
        <v>32</v>
      </c>
      <c r="B1063" t="s">
        <v>14</v>
      </c>
      <c r="C1063">
        <v>27</v>
      </c>
      <c r="D1063" t="s">
        <v>22</v>
      </c>
      <c r="E1063" t="s">
        <v>16</v>
      </c>
      <c r="F1063" s="1">
        <v>44567</v>
      </c>
      <c r="G1063">
        <v>10</v>
      </c>
      <c r="H1063">
        <v>10</v>
      </c>
      <c r="I1063">
        <v>11</v>
      </c>
      <c r="J1063">
        <v>1</v>
      </c>
      <c r="K1063">
        <v>0</v>
      </c>
      <c r="L1063">
        <v>476</v>
      </c>
      <c r="M1063">
        <v>15</v>
      </c>
      <c r="N1063" s="1">
        <f t="shared" si="128"/>
        <v>44938</v>
      </c>
      <c r="O1063" s="1">
        <f t="shared" si="129"/>
        <v>43101</v>
      </c>
      <c r="P1063" s="1">
        <f t="shared" si="130"/>
        <v>44713</v>
      </c>
      <c r="Q1063" s="8">
        <f t="shared" si="131"/>
        <v>0</v>
      </c>
      <c r="R1063" s="8">
        <f t="shared" si="132"/>
        <v>54</v>
      </c>
      <c r="S1063" s="8">
        <f t="shared" ca="1" si="133"/>
        <v>54</v>
      </c>
      <c r="T1063">
        <f t="shared" ca="1" si="134"/>
        <v>7.8426784623546038</v>
      </c>
      <c r="U1063" s="8">
        <f t="shared" ca="1" si="135"/>
        <v>1.000126765060023</v>
      </c>
      <c r="V1063" s="8">
        <f ca="1">RawData[[#This Row],[Z (smoothed demand size)]]/RawData[[#This Row],[X (smoothed interval)]]</f>
        <v>7.8416844107595924</v>
      </c>
    </row>
    <row r="1064" spans="1:22">
      <c r="A1064" t="s">
        <v>32</v>
      </c>
      <c r="B1064" t="s">
        <v>14</v>
      </c>
      <c r="C1064">
        <v>27</v>
      </c>
      <c r="D1064" t="s">
        <v>22</v>
      </c>
      <c r="E1064" t="s">
        <v>16</v>
      </c>
      <c r="F1064" s="1">
        <v>44568</v>
      </c>
      <c r="G1064">
        <v>4</v>
      </c>
      <c r="H1064">
        <v>4</v>
      </c>
      <c r="I1064">
        <v>9</v>
      </c>
      <c r="J1064">
        <v>5</v>
      </c>
      <c r="K1064">
        <v>0</v>
      </c>
      <c r="L1064">
        <v>462</v>
      </c>
      <c r="M1064">
        <v>60</v>
      </c>
      <c r="N1064" s="1">
        <f t="shared" si="128"/>
        <v>44938</v>
      </c>
      <c r="O1064" s="1">
        <f t="shared" si="129"/>
        <v>43101</v>
      </c>
      <c r="P1064" s="1">
        <f t="shared" si="130"/>
        <v>44743</v>
      </c>
      <c r="Q1064" s="8">
        <f t="shared" si="131"/>
        <v>0</v>
      </c>
      <c r="R1064" s="8">
        <f t="shared" si="132"/>
        <v>55</v>
      </c>
      <c r="S1064" s="8">
        <f t="shared" ca="1" si="133"/>
        <v>55</v>
      </c>
      <c r="T1064">
        <f t="shared" ca="1" si="134"/>
        <v>7.0741427698836832</v>
      </c>
      <c r="U1064" s="8">
        <f t="shared" ca="1" si="135"/>
        <v>1.0001014120480185</v>
      </c>
      <c r="V1064" s="8">
        <f ca="1">RawData[[#This Row],[Z (smoothed demand size)]]/RawData[[#This Row],[X (smoothed interval)]]</f>
        <v>7.0734254393233753</v>
      </c>
    </row>
    <row r="1065" spans="1:22">
      <c r="A1065" t="s">
        <v>32</v>
      </c>
      <c r="B1065" t="s">
        <v>14</v>
      </c>
      <c r="C1065">
        <v>27</v>
      </c>
      <c r="D1065" t="s">
        <v>22</v>
      </c>
      <c r="E1065" t="s">
        <v>16</v>
      </c>
      <c r="F1065" s="1">
        <v>44569</v>
      </c>
      <c r="G1065">
        <v>7</v>
      </c>
      <c r="H1065">
        <v>5</v>
      </c>
      <c r="I1065">
        <v>5</v>
      </c>
      <c r="J1065">
        <v>0</v>
      </c>
      <c r="K1065">
        <v>1</v>
      </c>
      <c r="L1065">
        <v>466</v>
      </c>
      <c r="M1065">
        <v>45</v>
      </c>
      <c r="N1065" s="1">
        <f t="shared" si="128"/>
        <v>44938</v>
      </c>
      <c r="O1065" s="1">
        <f t="shared" si="129"/>
        <v>43101</v>
      </c>
      <c r="P1065" s="1">
        <f t="shared" si="130"/>
        <v>44774</v>
      </c>
      <c r="Q1065" s="8">
        <f t="shared" si="131"/>
        <v>0</v>
      </c>
      <c r="R1065" s="8">
        <f t="shared" si="132"/>
        <v>56</v>
      </c>
      <c r="S1065" s="8">
        <f t="shared" ca="1" si="133"/>
        <v>56</v>
      </c>
      <c r="T1065">
        <f t="shared" ca="1" si="134"/>
        <v>7.0593142159069471</v>
      </c>
      <c r="U1065" s="8">
        <f t="shared" ca="1" si="135"/>
        <v>1.0000811296384149</v>
      </c>
      <c r="V1065" s="8">
        <f ca="1">RawData[[#This Row],[Z (smoothed demand size)]]/RawData[[#This Row],[X (smoothed interval)]]</f>
        <v>7.058741542757919</v>
      </c>
    </row>
    <row r="1066" spans="1:22">
      <c r="A1066" t="s">
        <v>32</v>
      </c>
      <c r="B1066" t="s">
        <v>14</v>
      </c>
      <c r="C1066">
        <v>27</v>
      </c>
      <c r="D1066" t="s">
        <v>22</v>
      </c>
      <c r="E1066" t="s">
        <v>16</v>
      </c>
      <c r="F1066" s="1">
        <v>44570</v>
      </c>
      <c r="G1066">
        <v>6</v>
      </c>
      <c r="H1066">
        <v>6</v>
      </c>
      <c r="I1066">
        <v>7</v>
      </c>
      <c r="J1066">
        <v>1</v>
      </c>
      <c r="K1066">
        <v>0</v>
      </c>
      <c r="L1066">
        <v>411</v>
      </c>
      <c r="M1066">
        <v>30</v>
      </c>
      <c r="N1066" s="1">
        <f t="shared" si="128"/>
        <v>44938</v>
      </c>
      <c r="O1066" s="1">
        <f t="shared" si="129"/>
        <v>43101</v>
      </c>
      <c r="P1066" s="1">
        <f t="shared" si="130"/>
        <v>44805</v>
      </c>
      <c r="Q1066" s="8">
        <f t="shared" si="131"/>
        <v>0</v>
      </c>
      <c r="R1066" s="8">
        <f t="shared" si="132"/>
        <v>57</v>
      </c>
      <c r="S1066" s="8">
        <f t="shared" ca="1" si="133"/>
        <v>57</v>
      </c>
      <c r="T1066">
        <f t="shared" ca="1" si="134"/>
        <v>6.8474513727255584</v>
      </c>
      <c r="U1066" s="8">
        <f t="shared" ca="1" si="135"/>
        <v>1.0000649037107319</v>
      </c>
      <c r="V1066" s="8">
        <f ca="1">RawData[[#This Row],[Z (smoothed demand size)]]/RawData[[#This Row],[X (smoothed interval)]]</f>
        <v>6.847006976565372</v>
      </c>
    </row>
    <row r="1067" spans="1:22">
      <c r="A1067" t="s">
        <v>32</v>
      </c>
      <c r="B1067" t="s">
        <v>14</v>
      </c>
      <c r="C1067">
        <v>27</v>
      </c>
      <c r="D1067" t="s">
        <v>22</v>
      </c>
      <c r="E1067" t="s">
        <v>16</v>
      </c>
      <c r="F1067" s="1">
        <v>44571</v>
      </c>
      <c r="G1067">
        <v>4</v>
      </c>
      <c r="H1067">
        <v>4</v>
      </c>
      <c r="I1067">
        <v>13</v>
      </c>
      <c r="J1067">
        <v>9</v>
      </c>
      <c r="K1067">
        <v>0</v>
      </c>
      <c r="L1067">
        <v>409</v>
      </c>
      <c r="M1067">
        <v>45</v>
      </c>
      <c r="N1067" s="1">
        <f t="shared" si="128"/>
        <v>44938</v>
      </c>
      <c r="O1067" s="1">
        <f t="shared" si="129"/>
        <v>43101</v>
      </c>
      <c r="P1067" s="1">
        <f t="shared" si="130"/>
        <v>44835</v>
      </c>
      <c r="Q1067" s="8">
        <f t="shared" si="131"/>
        <v>0</v>
      </c>
      <c r="R1067" s="8">
        <f t="shared" si="132"/>
        <v>58</v>
      </c>
      <c r="S1067" s="8">
        <f t="shared" ca="1" si="133"/>
        <v>58</v>
      </c>
      <c r="T1067">
        <f t="shared" ca="1" si="134"/>
        <v>6.2779610981804472</v>
      </c>
      <c r="U1067" s="8">
        <f t="shared" ca="1" si="135"/>
        <v>1.0000519229685856</v>
      </c>
      <c r="V1067" s="8">
        <f ca="1">RawData[[#This Row],[Z (smoothed demand size)]]/RawData[[#This Row],[X (smoothed interval)]]</f>
        <v>6.2776351447280359</v>
      </c>
    </row>
    <row r="1068" spans="1:22">
      <c r="A1068" t="s">
        <v>32</v>
      </c>
      <c r="B1068" t="s">
        <v>14</v>
      </c>
      <c r="C1068">
        <v>27</v>
      </c>
      <c r="D1068" t="s">
        <v>22</v>
      </c>
      <c r="E1068" t="s">
        <v>16</v>
      </c>
      <c r="F1068" s="1">
        <v>44572</v>
      </c>
      <c r="G1068">
        <v>8</v>
      </c>
      <c r="H1068">
        <v>8</v>
      </c>
      <c r="I1068">
        <v>9</v>
      </c>
      <c r="J1068">
        <v>1</v>
      </c>
      <c r="K1068">
        <v>0</v>
      </c>
      <c r="L1068">
        <v>411</v>
      </c>
      <c r="M1068">
        <v>60</v>
      </c>
      <c r="N1068" s="1">
        <f t="shared" si="128"/>
        <v>44938</v>
      </c>
      <c r="O1068" s="1">
        <f t="shared" si="129"/>
        <v>43101</v>
      </c>
      <c r="P1068" s="1">
        <f t="shared" si="130"/>
        <v>44866</v>
      </c>
      <c r="Q1068" s="8">
        <f t="shared" si="131"/>
        <v>0</v>
      </c>
      <c r="R1068" s="8">
        <f t="shared" si="132"/>
        <v>59</v>
      </c>
      <c r="S1068" s="8">
        <f t="shared" ca="1" si="133"/>
        <v>59</v>
      </c>
      <c r="T1068">
        <f t="shared" ca="1" si="134"/>
        <v>6.6223688785443589</v>
      </c>
      <c r="U1068" s="8">
        <f t="shared" ca="1" si="135"/>
        <v>1.0000415383748684</v>
      </c>
      <c r="V1068" s="8">
        <f ca="1">RawData[[#This Row],[Z (smoothed demand size)]]/RawData[[#This Row],[X (smoothed interval)]]</f>
        <v>6.6220938075293683</v>
      </c>
    </row>
    <row r="1069" spans="1:22">
      <c r="A1069" t="s">
        <v>32</v>
      </c>
      <c r="B1069" t="s">
        <v>14</v>
      </c>
      <c r="C1069">
        <v>27</v>
      </c>
      <c r="D1069" t="s">
        <v>22</v>
      </c>
      <c r="E1069" t="s">
        <v>16</v>
      </c>
      <c r="F1069" s="1">
        <v>44573</v>
      </c>
      <c r="G1069">
        <v>10</v>
      </c>
      <c r="H1069">
        <v>1</v>
      </c>
      <c r="I1069">
        <v>1</v>
      </c>
      <c r="J1069">
        <v>0</v>
      </c>
      <c r="K1069">
        <v>1</v>
      </c>
      <c r="L1069">
        <v>462</v>
      </c>
      <c r="M1069">
        <v>15</v>
      </c>
      <c r="N1069" s="1">
        <f t="shared" si="128"/>
        <v>44938</v>
      </c>
      <c r="O1069" s="1">
        <f t="shared" si="129"/>
        <v>43101</v>
      </c>
      <c r="P1069" s="1">
        <f t="shared" si="130"/>
        <v>44896</v>
      </c>
      <c r="Q1069" s="8">
        <f t="shared" si="131"/>
        <v>0</v>
      </c>
      <c r="R1069" s="8">
        <f t="shared" si="132"/>
        <v>60</v>
      </c>
      <c r="S1069" s="8">
        <f t="shared" ca="1" si="133"/>
        <v>60</v>
      </c>
      <c r="T1069">
        <f t="shared" ca="1" si="134"/>
        <v>7.2978951028354873</v>
      </c>
      <c r="U1069" s="8">
        <f t="shared" ca="1" si="135"/>
        <v>1.0000332306998947</v>
      </c>
      <c r="V1069" s="8">
        <f ca="1">RawData[[#This Row],[Z (smoothed demand size)]]/RawData[[#This Row],[X (smoothed interval)]]</f>
        <v>7.2976525967321093</v>
      </c>
    </row>
    <row r="1070" spans="1:22">
      <c r="A1070" t="s">
        <v>32</v>
      </c>
      <c r="B1070" t="s">
        <v>14</v>
      </c>
      <c r="C1070">
        <v>27</v>
      </c>
      <c r="D1070" t="s">
        <v>22</v>
      </c>
      <c r="E1070" t="s">
        <v>16</v>
      </c>
      <c r="F1070" s="1">
        <v>44927</v>
      </c>
      <c r="G1070">
        <v>11</v>
      </c>
      <c r="H1070">
        <v>7</v>
      </c>
      <c r="I1070">
        <v>7</v>
      </c>
      <c r="J1070">
        <v>0</v>
      </c>
      <c r="K1070">
        <v>1</v>
      </c>
      <c r="L1070">
        <v>407</v>
      </c>
      <c r="M1070">
        <v>60</v>
      </c>
      <c r="N1070" s="1">
        <f t="shared" si="128"/>
        <v>44938</v>
      </c>
      <c r="O1070" s="1">
        <f t="shared" si="129"/>
        <v>43101</v>
      </c>
      <c r="P1070" s="1">
        <f t="shared" si="130"/>
        <v>44927</v>
      </c>
      <c r="Q1070" s="8">
        <f t="shared" si="131"/>
        <v>0</v>
      </c>
      <c r="R1070" s="8">
        <f t="shared" si="132"/>
        <v>61</v>
      </c>
      <c r="S1070" s="8">
        <f t="shared" ca="1" si="133"/>
        <v>61</v>
      </c>
      <c r="T1070">
        <f t="shared" ca="1" si="134"/>
        <v>8.0383160822683912</v>
      </c>
      <c r="U1070" s="8">
        <f t="shared" ca="1" si="135"/>
        <v>1.0000265845599159</v>
      </c>
      <c r="V1070" s="8">
        <f ca="1">RawData[[#This Row],[Z (smoothed demand size)]]/RawData[[#This Row],[X (smoothed interval)]]</f>
        <v>8.0381023928537179</v>
      </c>
    </row>
    <row r="1071" spans="1:22">
      <c r="A1071" t="s">
        <v>32</v>
      </c>
      <c r="B1071" t="s">
        <v>14</v>
      </c>
      <c r="C1071">
        <v>27</v>
      </c>
      <c r="D1071" t="s">
        <v>22</v>
      </c>
      <c r="E1071" t="s">
        <v>16</v>
      </c>
      <c r="F1071" s="1">
        <v>44928</v>
      </c>
      <c r="G1071">
        <v>4</v>
      </c>
      <c r="H1071">
        <v>0</v>
      </c>
      <c r="I1071">
        <v>0</v>
      </c>
      <c r="J1071">
        <v>0</v>
      </c>
      <c r="K1071">
        <v>1</v>
      </c>
      <c r="L1071">
        <v>405</v>
      </c>
      <c r="M1071">
        <v>30</v>
      </c>
      <c r="N1071" s="1">
        <f t="shared" si="128"/>
        <v>44938</v>
      </c>
      <c r="O1071" s="1">
        <f t="shared" si="129"/>
        <v>43101</v>
      </c>
      <c r="P1071" s="1">
        <f t="shared" si="130"/>
        <v>44958</v>
      </c>
      <c r="Q1071" s="8">
        <f t="shared" si="131"/>
        <v>0</v>
      </c>
      <c r="R1071" s="8">
        <f t="shared" si="132"/>
        <v>62</v>
      </c>
      <c r="S1071" s="8">
        <f t="shared" ca="1" si="133"/>
        <v>62</v>
      </c>
      <c r="T1071">
        <f t="shared" ca="1" si="134"/>
        <v>7.2306528658147133</v>
      </c>
      <c r="U1071" s="8">
        <f t="shared" ca="1" si="135"/>
        <v>1.0000212676479328</v>
      </c>
      <c r="V1071" s="8">
        <f ca="1">RawData[[#This Row],[Z (smoothed demand size)]]/RawData[[#This Row],[X (smoothed interval)]]</f>
        <v>7.2304990901056865</v>
      </c>
    </row>
    <row r="1072" spans="1:22">
      <c r="A1072" t="s">
        <v>32</v>
      </c>
      <c r="B1072" t="s">
        <v>14</v>
      </c>
      <c r="C1072">
        <v>27</v>
      </c>
      <c r="D1072" t="s">
        <v>22</v>
      </c>
      <c r="E1072" t="s">
        <v>16</v>
      </c>
      <c r="F1072" s="1">
        <v>44929</v>
      </c>
      <c r="G1072">
        <v>3</v>
      </c>
      <c r="H1072">
        <v>3</v>
      </c>
      <c r="I1072">
        <v>8</v>
      </c>
      <c r="J1072">
        <v>5</v>
      </c>
      <c r="K1072">
        <v>0</v>
      </c>
      <c r="L1072">
        <v>415</v>
      </c>
      <c r="M1072">
        <v>15</v>
      </c>
      <c r="N1072" s="1">
        <f t="shared" si="128"/>
        <v>44938</v>
      </c>
      <c r="O1072" s="1">
        <f t="shared" si="129"/>
        <v>43101</v>
      </c>
      <c r="P1072" s="1">
        <f t="shared" si="130"/>
        <v>44986</v>
      </c>
      <c r="Q1072" s="8">
        <f t="shared" si="131"/>
        <v>0</v>
      </c>
      <c r="R1072" s="8">
        <f t="shared" si="132"/>
        <v>63</v>
      </c>
      <c r="S1072" s="8">
        <f t="shared" ca="1" si="133"/>
        <v>63</v>
      </c>
      <c r="T1072">
        <f t="shared" ca="1" si="134"/>
        <v>6.3845222926517717</v>
      </c>
      <c r="U1072" s="8">
        <f t="shared" ca="1" si="135"/>
        <v>1.0000170141183462</v>
      </c>
      <c r="V1072" s="8">
        <f ca="1">RawData[[#This Row],[Z (smoothed demand size)]]/RawData[[#This Row],[X (smoothed interval)]]</f>
        <v>6.384413667482062</v>
      </c>
    </row>
    <row r="1073" spans="1:22">
      <c r="A1073" t="s">
        <v>32</v>
      </c>
      <c r="B1073" t="s">
        <v>14</v>
      </c>
      <c r="C1073">
        <v>27</v>
      </c>
      <c r="D1073" t="s">
        <v>22</v>
      </c>
      <c r="E1073" t="s">
        <v>16</v>
      </c>
      <c r="F1073" s="1">
        <v>44930</v>
      </c>
      <c r="G1073">
        <v>2</v>
      </c>
      <c r="H1073">
        <v>2</v>
      </c>
      <c r="I1073">
        <v>12</v>
      </c>
      <c r="J1073">
        <v>10</v>
      </c>
      <c r="K1073">
        <v>0</v>
      </c>
      <c r="L1073">
        <v>409</v>
      </c>
      <c r="M1073">
        <v>45</v>
      </c>
      <c r="N1073" s="1">
        <f t="shared" si="128"/>
        <v>44938</v>
      </c>
      <c r="O1073" s="1">
        <f t="shared" si="129"/>
        <v>43101</v>
      </c>
      <c r="P1073" s="1">
        <f t="shared" si="130"/>
        <v>45017</v>
      </c>
      <c r="Q1073" s="8">
        <f t="shared" si="131"/>
        <v>0</v>
      </c>
      <c r="R1073" s="8">
        <f t="shared" si="132"/>
        <v>64</v>
      </c>
      <c r="S1073" s="8">
        <f t="shared" ca="1" si="133"/>
        <v>64</v>
      </c>
      <c r="T1073">
        <f t="shared" ca="1" si="134"/>
        <v>5.5076178341214179</v>
      </c>
      <c r="U1073" s="8">
        <f t="shared" ca="1" si="135"/>
        <v>1.0000136112946769</v>
      </c>
      <c r="V1073" s="8">
        <f ca="1">RawData[[#This Row],[Z (smoothed demand size)]]/RawData[[#This Row],[X (smoothed interval)]]</f>
        <v>5.5075428693324779</v>
      </c>
    </row>
    <row r="1074" spans="1:22">
      <c r="A1074" t="s">
        <v>32</v>
      </c>
      <c r="B1074" t="s">
        <v>14</v>
      </c>
      <c r="C1074">
        <v>27</v>
      </c>
      <c r="D1074" t="s">
        <v>22</v>
      </c>
      <c r="E1074" t="s">
        <v>16</v>
      </c>
      <c r="F1074" s="1">
        <v>44931</v>
      </c>
      <c r="G1074">
        <v>8</v>
      </c>
      <c r="H1074">
        <v>8</v>
      </c>
      <c r="I1074">
        <v>10</v>
      </c>
      <c r="J1074">
        <v>2</v>
      </c>
      <c r="K1074">
        <v>0</v>
      </c>
      <c r="L1074">
        <v>406</v>
      </c>
      <c r="M1074">
        <v>15</v>
      </c>
      <c r="N1074" s="1">
        <f t="shared" si="128"/>
        <v>44938</v>
      </c>
      <c r="O1074" s="1">
        <f t="shared" si="129"/>
        <v>43101</v>
      </c>
      <c r="P1074" s="1">
        <f t="shared" si="130"/>
        <v>45047</v>
      </c>
      <c r="Q1074" s="8">
        <f t="shared" si="131"/>
        <v>0</v>
      </c>
      <c r="R1074" s="8">
        <f t="shared" si="132"/>
        <v>65</v>
      </c>
      <c r="S1074" s="8">
        <f t="shared" ca="1" si="133"/>
        <v>65</v>
      </c>
      <c r="T1074">
        <f t="shared" ca="1" si="134"/>
        <v>6.0060942672971347</v>
      </c>
      <c r="U1074" s="8">
        <f t="shared" ca="1" si="135"/>
        <v>1.0000108890357415</v>
      </c>
      <c r="V1074" s="8">
        <f ca="1">RawData[[#This Row],[Z (smoothed demand size)]]/RawData[[#This Row],[X (smoothed interval)]]</f>
        <v>6.0060288674341322</v>
      </c>
    </row>
    <row r="1075" spans="1:22">
      <c r="A1075" t="s">
        <v>32</v>
      </c>
      <c r="B1075" t="s">
        <v>14</v>
      </c>
      <c r="C1075">
        <v>27</v>
      </c>
      <c r="D1075" t="s">
        <v>22</v>
      </c>
      <c r="E1075" t="s">
        <v>16</v>
      </c>
      <c r="F1075" s="1">
        <v>44932</v>
      </c>
      <c r="G1075">
        <v>4</v>
      </c>
      <c r="H1075">
        <v>4</v>
      </c>
      <c r="I1075">
        <v>10</v>
      </c>
      <c r="J1075">
        <v>6</v>
      </c>
      <c r="K1075">
        <v>0</v>
      </c>
      <c r="L1075">
        <v>468</v>
      </c>
      <c r="M1075">
        <v>60</v>
      </c>
      <c r="N1075" s="1">
        <f t="shared" si="128"/>
        <v>44938</v>
      </c>
      <c r="O1075" s="1">
        <f t="shared" si="129"/>
        <v>43101</v>
      </c>
      <c r="P1075" s="1">
        <f t="shared" si="130"/>
        <v>45078</v>
      </c>
      <c r="Q1075" s="8">
        <f t="shared" si="131"/>
        <v>0</v>
      </c>
      <c r="R1075" s="8">
        <f t="shared" si="132"/>
        <v>66</v>
      </c>
      <c r="S1075" s="8">
        <f t="shared" ca="1" si="133"/>
        <v>66</v>
      </c>
      <c r="T1075">
        <f t="shared" ca="1" si="134"/>
        <v>5.6048754138377079</v>
      </c>
      <c r="U1075" s="8">
        <f t="shared" ca="1" si="135"/>
        <v>1.0000087112285934</v>
      </c>
      <c r="V1075" s="8">
        <f ca="1">RawData[[#This Row],[Z (smoothed demand size)]]/RawData[[#This Row],[X (smoothed interval)]]</f>
        <v>5.6048265889120659</v>
      </c>
    </row>
    <row r="1076" spans="1:22">
      <c r="A1076" t="s">
        <v>32</v>
      </c>
      <c r="B1076" t="s">
        <v>14</v>
      </c>
      <c r="C1076">
        <v>27</v>
      </c>
      <c r="D1076" t="s">
        <v>22</v>
      </c>
      <c r="E1076" t="s">
        <v>16</v>
      </c>
      <c r="F1076" s="1">
        <v>44933</v>
      </c>
      <c r="G1076">
        <v>11</v>
      </c>
      <c r="H1076">
        <v>6</v>
      </c>
      <c r="I1076">
        <v>6</v>
      </c>
      <c r="J1076">
        <v>0</v>
      </c>
      <c r="K1076">
        <v>1</v>
      </c>
      <c r="L1076">
        <v>467</v>
      </c>
      <c r="M1076">
        <v>15</v>
      </c>
      <c r="N1076" s="1">
        <f t="shared" si="128"/>
        <v>44938</v>
      </c>
      <c r="O1076" s="1">
        <f t="shared" si="129"/>
        <v>43101</v>
      </c>
      <c r="P1076" s="1">
        <f t="shared" si="130"/>
        <v>45108</v>
      </c>
      <c r="Q1076" s="8">
        <f t="shared" si="131"/>
        <v>0</v>
      </c>
      <c r="R1076" s="8">
        <f t="shared" si="132"/>
        <v>67</v>
      </c>
      <c r="S1076" s="8">
        <f t="shared" ca="1" si="133"/>
        <v>67</v>
      </c>
      <c r="T1076">
        <f t="shared" ca="1" si="134"/>
        <v>6.6839003310701663</v>
      </c>
      <c r="U1076" s="8">
        <f t="shared" ca="1" si="135"/>
        <v>1.0000069689828748</v>
      </c>
      <c r="V1076" s="8">
        <f ca="1">RawData[[#This Row],[Z (smoothed demand size)]]/RawData[[#This Row],[X (smoothed interval)]]</f>
        <v>6.6838537514078356</v>
      </c>
    </row>
    <row r="1077" spans="1:22">
      <c r="A1077" t="s">
        <v>32</v>
      </c>
      <c r="B1077" t="s">
        <v>14</v>
      </c>
      <c r="C1077">
        <v>27</v>
      </c>
      <c r="D1077" t="s">
        <v>22</v>
      </c>
      <c r="E1077" t="s">
        <v>16</v>
      </c>
      <c r="F1077" s="1">
        <v>44934</v>
      </c>
      <c r="G1077">
        <v>7</v>
      </c>
      <c r="H1077">
        <v>7</v>
      </c>
      <c r="I1077">
        <v>11</v>
      </c>
      <c r="J1077">
        <v>4</v>
      </c>
      <c r="K1077">
        <v>0</v>
      </c>
      <c r="L1077">
        <v>470</v>
      </c>
      <c r="M1077">
        <v>60</v>
      </c>
      <c r="N1077" s="1">
        <f t="shared" si="128"/>
        <v>44938</v>
      </c>
      <c r="O1077" s="1">
        <f t="shared" si="129"/>
        <v>43101</v>
      </c>
      <c r="P1077" s="1">
        <f t="shared" si="130"/>
        <v>45139</v>
      </c>
      <c r="Q1077" s="8">
        <f t="shared" si="131"/>
        <v>0</v>
      </c>
      <c r="R1077" s="8">
        <f t="shared" si="132"/>
        <v>68</v>
      </c>
      <c r="S1077" s="8">
        <f t="shared" ca="1" si="133"/>
        <v>68</v>
      </c>
      <c r="T1077">
        <f t="shared" ca="1" si="134"/>
        <v>6.7471202648561341</v>
      </c>
      <c r="U1077" s="8">
        <f t="shared" ca="1" si="135"/>
        <v>1.0000055751863</v>
      </c>
      <c r="V1077" s="8">
        <f ca="1">RawData[[#This Row],[Z (smoothed demand size)]]/RawData[[#This Row],[X (smoothed interval)]]</f>
        <v>6.7470826486133868</v>
      </c>
    </row>
    <row r="1078" spans="1:22">
      <c r="A1078" t="s">
        <v>32</v>
      </c>
      <c r="B1078" t="s">
        <v>14</v>
      </c>
      <c r="C1078">
        <v>27</v>
      </c>
      <c r="D1078" t="s">
        <v>22</v>
      </c>
      <c r="E1078" t="s">
        <v>16</v>
      </c>
      <c r="F1078" s="1">
        <v>44935</v>
      </c>
      <c r="G1078">
        <v>6</v>
      </c>
      <c r="H1078">
        <v>4</v>
      </c>
      <c r="I1078">
        <v>4</v>
      </c>
      <c r="J1078">
        <v>0</v>
      </c>
      <c r="K1078">
        <v>1</v>
      </c>
      <c r="L1078">
        <v>402</v>
      </c>
      <c r="M1078">
        <v>30</v>
      </c>
      <c r="N1078" s="1">
        <f t="shared" si="128"/>
        <v>44938</v>
      </c>
      <c r="O1078" s="1">
        <f t="shared" si="129"/>
        <v>43101</v>
      </c>
      <c r="P1078" s="1">
        <f t="shared" si="130"/>
        <v>45170</v>
      </c>
      <c r="Q1078" s="8">
        <f t="shared" si="131"/>
        <v>0</v>
      </c>
      <c r="R1078" s="8">
        <f t="shared" si="132"/>
        <v>69</v>
      </c>
      <c r="S1078" s="8">
        <f t="shared" ca="1" si="133"/>
        <v>69</v>
      </c>
      <c r="T1078">
        <f t="shared" ca="1" si="134"/>
        <v>6.5976962118849078</v>
      </c>
      <c r="U1078" s="8">
        <f t="shared" ca="1" si="135"/>
        <v>1.0000044601490401</v>
      </c>
      <c r="V1078" s="8">
        <f ca="1">RawData[[#This Row],[Z (smoothed demand size)]]/RawData[[#This Row],[X (smoothed interval)]]</f>
        <v>6.5976667853077284</v>
      </c>
    </row>
    <row r="1079" spans="1:22">
      <c r="A1079" t="s">
        <v>32</v>
      </c>
      <c r="B1079" t="s">
        <v>14</v>
      </c>
      <c r="C1079">
        <v>27</v>
      </c>
      <c r="D1079" t="s">
        <v>22</v>
      </c>
      <c r="E1079" t="s">
        <v>16</v>
      </c>
      <c r="F1079" s="1">
        <v>44936</v>
      </c>
      <c r="G1079">
        <v>6</v>
      </c>
      <c r="H1079">
        <v>6</v>
      </c>
      <c r="I1079">
        <v>12</v>
      </c>
      <c r="J1079">
        <v>6</v>
      </c>
      <c r="K1079">
        <v>0</v>
      </c>
      <c r="L1079">
        <v>411</v>
      </c>
      <c r="M1079">
        <v>30</v>
      </c>
      <c r="N1079" s="1">
        <f t="shared" si="128"/>
        <v>44938</v>
      </c>
      <c r="O1079" s="1">
        <f t="shared" si="129"/>
        <v>43101</v>
      </c>
      <c r="P1079" s="1">
        <f t="shared" si="130"/>
        <v>45200</v>
      </c>
      <c r="Q1079" s="8">
        <f t="shared" si="131"/>
        <v>0</v>
      </c>
      <c r="R1079" s="8">
        <f t="shared" si="132"/>
        <v>70</v>
      </c>
      <c r="S1079" s="8">
        <f t="shared" ca="1" si="133"/>
        <v>70</v>
      </c>
      <c r="T1079">
        <f t="shared" ca="1" si="134"/>
        <v>6.4781569695079266</v>
      </c>
      <c r="U1079" s="8">
        <f t="shared" ca="1" si="135"/>
        <v>1.0000035681192321</v>
      </c>
      <c r="V1079" s="8">
        <f ca="1">RawData[[#This Row],[Z (smoothed demand size)]]/RawData[[#This Row],[X (smoothed interval)]]</f>
        <v>6.4781338547539313</v>
      </c>
    </row>
    <row r="1080" spans="1:22">
      <c r="A1080" t="s">
        <v>32</v>
      </c>
      <c r="B1080" t="s">
        <v>14</v>
      </c>
      <c r="C1080">
        <v>27</v>
      </c>
      <c r="D1080" t="s">
        <v>22</v>
      </c>
      <c r="E1080" t="s">
        <v>16</v>
      </c>
      <c r="F1080" s="1">
        <v>44937</v>
      </c>
      <c r="G1080">
        <v>6</v>
      </c>
      <c r="H1080">
        <v>6</v>
      </c>
      <c r="I1080">
        <v>16</v>
      </c>
      <c r="J1080">
        <v>10</v>
      </c>
      <c r="K1080">
        <v>0</v>
      </c>
      <c r="L1080">
        <v>400</v>
      </c>
      <c r="M1080">
        <v>15</v>
      </c>
      <c r="N1080" s="1">
        <f t="shared" si="128"/>
        <v>44938</v>
      </c>
      <c r="O1080" s="1">
        <f t="shared" si="129"/>
        <v>43101</v>
      </c>
      <c r="P1080" s="1">
        <f t="shared" si="130"/>
        <v>45231</v>
      </c>
      <c r="Q1080" s="8">
        <f t="shared" si="131"/>
        <v>0</v>
      </c>
      <c r="R1080" s="8">
        <f t="shared" si="132"/>
        <v>71</v>
      </c>
      <c r="S1080" s="8">
        <f t="shared" ca="1" si="133"/>
        <v>71</v>
      </c>
      <c r="T1080">
        <f t="shared" ca="1" si="134"/>
        <v>6.3825255756063415</v>
      </c>
      <c r="U1080" s="8">
        <f t="shared" ca="1" si="135"/>
        <v>1.0000028544953856</v>
      </c>
      <c r="V1080" s="8">
        <f ca="1">RawData[[#This Row],[Z (smoothed demand size)]]/RawData[[#This Row],[X (smoothed interval)]]</f>
        <v>6.3825073567685431</v>
      </c>
    </row>
    <row r="1081" spans="1:22">
      <c r="A1081" t="s">
        <v>32</v>
      </c>
      <c r="B1081" t="s">
        <v>14</v>
      </c>
      <c r="C1081">
        <v>27</v>
      </c>
      <c r="D1081" t="s">
        <v>22</v>
      </c>
      <c r="E1081" t="s">
        <v>16</v>
      </c>
      <c r="F1081" s="1">
        <v>44938</v>
      </c>
      <c r="G1081">
        <v>6</v>
      </c>
      <c r="H1081">
        <v>6</v>
      </c>
      <c r="I1081">
        <v>10</v>
      </c>
      <c r="J1081">
        <v>4</v>
      </c>
      <c r="K1081">
        <v>0</v>
      </c>
      <c r="L1081">
        <v>468</v>
      </c>
      <c r="M1081">
        <v>60</v>
      </c>
      <c r="N1081" s="1">
        <f t="shared" si="128"/>
        <v>44938</v>
      </c>
      <c r="O1081" s="1">
        <f t="shared" si="129"/>
        <v>43101</v>
      </c>
      <c r="P1081" s="1">
        <f t="shared" si="130"/>
        <v>45261</v>
      </c>
      <c r="Q1081" s="8">
        <f t="shared" si="131"/>
        <v>0</v>
      </c>
      <c r="R1081" s="8">
        <f t="shared" si="132"/>
        <v>72</v>
      </c>
      <c r="S1081" s="8">
        <f t="shared" ca="1" si="133"/>
        <v>72</v>
      </c>
      <c r="T1081">
        <f t="shared" ca="1" si="134"/>
        <v>6.3060204604850734</v>
      </c>
      <c r="U1081" s="8">
        <f t="shared" ca="1" si="135"/>
        <v>1.0000022835963085</v>
      </c>
      <c r="V1081" s="8">
        <f ca="1">RawData[[#This Row],[Z (smoothed demand size)]]/RawData[[#This Row],[X (smoothed interval)]]</f>
        <v>6.3060060601129129</v>
      </c>
    </row>
    <row r="1082" spans="1:22">
      <c r="A1082" t="s">
        <v>33</v>
      </c>
      <c r="B1082" t="s">
        <v>14</v>
      </c>
      <c r="C1082">
        <v>27</v>
      </c>
      <c r="D1082" t="s">
        <v>22</v>
      </c>
      <c r="E1082" t="s">
        <v>16</v>
      </c>
      <c r="F1082" s="1">
        <v>43101</v>
      </c>
      <c r="G1082">
        <v>4</v>
      </c>
      <c r="H1082">
        <v>4</v>
      </c>
      <c r="I1082">
        <v>27</v>
      </c>
      <c r="J1082">
        <v>23</v>
      </c>
      <c r="K1082">
        <v>0</v>
      </c>
      <c r="L1082">
        <v>685</v>
      </c>
      <c r="M1082">
        <v>60</v>
      </c>
      <c r="N1082" s="1">
        <f t="shared" si="128"/>
        <v>44938</v>
      </c>
      <c r="O1082" s="1">
        <f t="shared" si="129"/>
        <v>43101</v>
      </c>
      <c r="P1082" s="1">
        <f t="shared" si="130"/>
        <v>43101</v>
      </c>
      <c r="Q1082" s="8">
        <f t="shared" si="131"/>
        <v>1</v>
      </c>
      <c r="R1082" s="8">
        <f t="shared" si="132"/>
        <v>1</v>
      </c>
      <c r="S1082" s="8">
        <f t="shared" ca="1" si="133"/>
        <v>1</v>
      </c>
      <c r="T1082">
        <f t="shared" ca="1" si="134"/>
        <v>4</v>
      </c>
      <c r="U1082" s="8">
        <f t="shared" ca="1" si="135"/>
        <v>1</v>
      </c>
      <c r="V1082" s="8">
        <f ca="1">RawData[[#This Row],[Z (smoothed demand size)]]/RawData[[#This Row],[X (smoothed interval)]]</f>
        <v>4</v>
      </c>
    </row>
    <row r="1083" spans="1:22">
      <c r="A1083" t="s">
        <v>33</v>
      </c>
      <c r="B1083" t="s">
        <v>14</v>
      </c>
      <c r="C1083">
        <v>27</v>
      </c>
      <c r="D1083" t="s">
        <v>22</v>
      </c>
      <c r="E1083" t="s">
        <v>16</v>
      </c>
      <c r="F1083" s="1">
        <v>43102</v>
      </c>
      <c r="G1083">
        <v>7</v>
      </c>
      <c r="H1083">
        <v>7</v>
      </c>
      <c r="I1083">
        <v>23</v>
      </c>
      <c r="J1083">
        <v>16</v>
      </c>
      <c r="K1083">
        <v>0</v>
      </c>
      <c r="L1083">
        <v>681</v>
      </c>
      <c r="M1083">
        <v>45</v>
      </c>
      <c r="N1083" s="1">
        <f t="shared" si="128"/>
        <v>44938</v>
      </c>
      <c r="O1083" s="1">
        <f t="shared" si="129"/>
        <v>43101</v>
      </c>
      <c r="P1083" s="1">
        <f t="shared" si="130"/>
        <v>43132</v>
      </c>
      <c r="Q1083" s="8">
        <f t="shared" si="131"/>
        <v>0</v>
      </c>
      <c r="R1083" s="8">
        <f t="shared" si="132"/>
        <v>2</v>
      </c>
      <c r="S1083" s="8">
        <f t="shared" ca="1" si="133"/>
        <v>2</v>
      </c>
      <c r="T1083">
        <f t="shared" ca="1" si="134"/>
        <v>4.6000000000000005</v>
      </c>
      <c r="U1083" s="8">
        <f t="shared" ca="1" si="135"/>
        <v>1</v>
      </c>
      <c r="V1083" s="8">
        <f ca="1">RawData[[#This Row],[Z (smoothed demand size)]]/RawData[[#This Row],[X (smoothed interval)]]</f>
        <v>4.6000000000000005</v>
      </c>
    </row>
    <row r="1084" spans="1:22">
      <c r="A1084" t="s">
        <v>33</v>
      </c>
      <c r="B1084" t="s">
        <v>14</v>
      </c>
      <c r="C1084">
        <v>27</v>
      </c>
      <c r="D1084" t="s">
        <v>22</v>
      </c>
      <c r="E1084" t="s">
        <v>16</v>
      </c>
      <c r="F1084" s="1">
        <v>43103</v>
      </c>
      <c r="G1084">
        <v>4</v>
      </c>
      <c r="H1084">
        <v>4</v>
      </c>
      <c r="I1084">
        <v>16</v>
      </c>
      <c r="J1084">
        <v>12</v>
      </c>
      <c r="K1084">
        <v>0</v>
      </c>
      <c r="L1084">
        <v>689</v>
      </c>
      <c r="M1084">
        <v>30</v>
      </c>
      <c r="N1084" s="1">
        <f t="shared" si="128"/>
        <v>44938</v>
      </c>
      <c r="O1084" s="1">
        <f t="shared" si="129"/>
        <v>43101</v>
      </c>
      <c r="P1084" s="1">
        <f t="shared" si="130"/>
        <v>43160</v>
      </c>
      <c r="Q1084" s="8">
        <f t="shared" si="131"/>
        <v>0</v>
      </c>
      <c r="R1084" s="8">
        <f t="shared" si="132"/>
        <v>3</v>
      </c>
      <c r="S1084" s="8">
        <f t="shared" ca="1" si="133"/>
        <v>3</v>
      </c>
      <c r="T1084">
        <f t="shared" ca="1" si="134"/>
        <v>4.4800000000000004</v>
      </c>
      <c r="U1084" s="8">
        <f t="shared" ca="1" si="135"/>
        <v>1</v>
      </c>
      <c r="V1084" s="8">
        <f ca="1">RawData[[#This Row],[Z (smoothed demand size)]]/RawData[[#This Row],[X (smoothed interval)]]</f>
        <v>4.4800000000000004</v>
      </c>
    </row>
    <row r="1085" spans="1:22">
      <c r="A1085" t="s">
        <v>33</v>
      </c>
      <c r="B1085" t="s">
        <v>14</v>
      </c>
      <c r="C1085">
        <v>27</v>
      </c>
      <c r="D1085" t="s">
        <v>22</v>
      </c>
      <c r="E1085" t="s">
        <v>16</v>
      </c>
      <c r="F1085" s="1">
        <v>43104</v>
      </c>
      <c r="G1085">
        <v>10</v>
      </c>
      <c r="H1085">
        <v>10</v>
      </c>
      <c r="I1085">
        <v>12</v>
      </c>
      <c r="J1085">
        <v>2</v>
      </c>
      <c r="K1085">
        <v>0</v>
      </c>
      <c r="L1085">
        <v>684</v>
      </c>
      <c r="M1085">
        <v>30</v>
      </c>
      <c r="N1085" s="1">
        <f t="shared" si="128"/>
        <v>44938</v>
      </c>
      <c r="O1085" s="1">
        <f t="shared" si="129"/>
        <v>43101</v>
      </c>
      <c r="P1085" s="1">
        <f t="shared" si="130"/>
        <v>43191</v>
      </c>
      <c r="Q1085" s="8">
        <f t="shared" si="131"/>
        <v>0</v>
      </c>
      <c r="R1085" s="8">
        <f t="shared" si="132"/>
        <v>4</v>
      </c>
      <c r="S1085" s="8">
        <f t="shared" ca="1" si="133"/>
        <v>4</v>
      </c>
      <c r="T1085">
        <f t="shared" ca="1" si="134"/>
        <v>5.5840000000000005</v>
      </c>
      <c r="U1085" s="8">
        <f t="shared" ca="1" si="135"/>
        <v>1</v>
      </c>
      <c r="V1085" s="8">
        <f ca="1">RawData[[#This Row],[Z (smoothed demand size)]]/RawData[[#This Row],[X (smoothed interval)]]</f>
        <v>5.5840000000000005</v>
      </c>
    </row>
    <row r="1086" spans="1:22">
      <c r="A1086" t="s">
        <v>33</v>
      </c>
      <c r="B1086" t="s">
        <v>14</v>
      </c>
      <c r="C1086">
        <v>27</v>
      </c>
      <c r="D1086" t="s">
        <v>22</v>
      </c>
      <c r="E1086" t="s">
        <v>16</v>
      </c>
      <c r="F1086" s="1">
        <v>43105</v>
      </c>
      <c r="G1086">
        <v>0</v>
      </c>
      <c r="H1086">
        <v>0</v>
      </c>
      <c r="I1086">
        <v>14</v>
      </c>
      <c r="J1086">
        <v>14</v>
      </c>
      <c r="K1086">
        <v>0</v>
      </c>
      <c r="L1086">
        <v>684</v>
      </c>
      <c r="M1086">
        <v>60</v>
      </c>
      <c r="N1086" s="1">
        <f t="shared" si="128"/>
        <v>44938</v>
      </c>
      <c r="O1086" s="1">
        <f t="shared" si="129"/>
        <v>43101</v>
      </c>
      <c r="P1086" s="1">
        <f t="shared" si="130"/>
        <v>43221</v>
      </c>
      <c r="Q1086" s="8">
        <f t="shared" si="131"/>
        <v>0</v>
      </c>
      <c r="R1086" s="8">
        <f t="shared" si="132"/>
        <v>5</v>
      </c>
      <c r="S1086" s="8">
        <f t="shared" ca="1" si="133"/>
        <v>4</v>
      </c>
      <c r="T1086">
        <f t="shared" ca="1" si="134"/>
        <v>5.5840000000000005</v>
      </c>
      <c r="U1086" s="8">
        <f t="shared" ca="1" si="135"/>
        <v>1</v>
      </c>
      <c r="V1086" s="8">
        <f ca="1">RawData[[#This Row],[Z (smoothed demand size)]]/RawData[[#This Row],[X (smoothed interval)]]</f>
        <v>5.5840000000000005</v>
      </c>
    </row>
    <row r="1087" spans="1:22">
      <c r="A1087" t="s">
        <v>33</v>
      </c>
      <c r="B1087" t="s">
        <v>14</v>
      </c>
      <c r="C1087">
        <v>27</v>
      </c>
      <c r="D1087" t="s">
        <v>22</v>
      </c>
      <c r="E1087" t="s">
        <v>16</v>
      </c>
      <c r="F1087" s="1">
        <v>43106</v>
      </c>
      <c r="G1087">
        <v>10</v>
      </c>
      <c r="H1087">
        <v>10</v>
      </c>
      <c r="I1087">
        <v>14</v>
      </c>
      <c r="J1087">
        <v>4</v>
      </c>
      <c r="K1087">
        <v>0</v>
      </c>
      <c r="L1087">
        <v>796</v>
      </c>
      <c r="M1087">
        <v>15</v>
      </c>
      <c r="N1087" s="1">
        <f t="shared" si="128"/>
        <v>44938</v>
      </c>
      <c r="O1087" s="1">
        <f t="shared" si="129"/>
        <v>43101</v>
      </c>
      <c r="P1087" s="1">
        <f t="shared" si="130"/>
        <v>43252</v>
      </c>
      <c r="Q1087" s="8">
        <f t="shared" si="131"/>
        <v>0</v>
      </c>
      <c r="R1087" s="8">
        <f t="shared" si="132"/>
        <v>6</v>
      </c>
      <c r="S1087" s="8">
        <f t="shared" ca="1" si="133"/>
        <v>6</v>
      </c>
      <c r="T1087">
        <f t="shared" ca="1" si="134"/>
        <v>6.4672000000000009</v>
      </c>
      <c r="U1087" s="8">
        <f t="shared" ca="1" si="135"/>
        <v>1.2000000000000002</v>
      </c>
      <c r="V1087" s="8">
        <f ca="1">RawData[[#This Row],[Z (smoothed demand size)]]/RawData[[#This Row],[X (smoothed interval)]]</f>
        <v>5.3893333333333331</v>
      </c>
    </row>
    <row r="1088" spans="1:22">
      <c r="A1088" t="s">
        <v>33</v>
      </c>
      <c r="B1088" t="s">
        <v>14</v>
      </c>
      <c r="C1088">
        <v>27</v>
      </c>
      <c r="D1088" t="s">
        <v>22</v>
      </c>
      <c r="E1088" t="s">
        <v>16</v>
      </c>
      <c r="F1088" s="1">
        <v>43107</v>
      </c>
      <c r="G1088">
        <v>5</v>
      </c>
      <c r="H1088">
        <v>5</v>
      </c>
      <c r="I1088">
        <v>15</v>
      </c>
      <c r="J1088">
        <v>10</v>
      </c>
      <c r="K1088">
        <v>0</v>
      </c>
      <c r="L1088">
        <v>794</v>
      </c>
      <c r="M1088">
        <v>30</v>
      </c>
      <c r="N1088" s="1">
        <f t="shared" si="128"/>
        <v>44938</v>
      </c>
      <c r="O1088" s="1">
        <f t="shared" si="129"/>
        <v>43101</v>
      </c>
      <c r="P1088" s="1">
        <f t="shared" si="130"/>
        <v>43282</v>
      </c>
      <c r="Q1088" s="8">
        <f t="shared" si="131"/>
        <v>0</v>
      </c>
      <c r="R1088" s="8">
        <f t="shared" si="132"/>
        <v>7</v>
      </c>
      <c r="S1088" s="8">
        <f t="shared" ca="1" si="133"/>
        <v>7</v>
      </c>
      <c r="T1088">
        <f t="shared" ca="1" si="134"/>
        <v>6.1737600000000015</v>
      </c>
      <c r="U1088" s="8">
        <f t="shared" ca="1" si="135"/>
        <v>1.1600000000000001</v>
      </c>
      <c r="V1088" s="8">
        <f ca="1">RawData[[#This Row],[Z (smoothed demand size)]]/RawData[[#This Row],[X (smoothed interval)]]</f>
        <v>5.3222068965517249</v>
      </c>
    </row>
    <row r="1089" spans="1:22">
      <c r="A1089" t="s">
        <v>33</v>
      </c>
      <c r="B1089" t="s">
        <v>14</v>
      </c>
      <c r="C1089">
        <v>27</v>
      </c>
      <c r="D1089" t="s">
        <v>22</v>
      </c>
      <c r="E1089" t="s">
        <v>16</v>
      </c>
      <c r="F1089" s="1">
        <v>43108</v>
      </c>
      <c r="G1089">
        <v>7</v>
      </c>
      <c r="H1089">
        <v>7</v>
      </c>
      <c r="I1089">
        <v>10</v>
      </c>
      <c r="J1089">
        <v>3</v>
      </c>
      <c r="K1089">
        <v>0</v>
      </c>
      <c r="L1089">
        <v>786</v>
      </c>
      <c r="M1089">
        <v>30</v>
      </c>
      <c r="N1089" s="1">
        <f t="shared" si="128"/>
        <v>44938</v>
      </c>
      <c r="O1089" s="1">
        <f t="shared" si="129"/>
        <v>43101</v>
      </c>
      <c r="P1089" s="1">
        <f t="shared" si="130"/>
        <v>43313</v>
      </c>
      <c r="Q1089" s="8">
        <f t="shared" si="131"/>
        <v>0</v>
      </c>
      <c r="R1089" s="8">
        <f t="shared" si="132"/>
        <v>8</v>
      </c>
      <c r="S1089" s="8">
        <f t="shared" ca="1" si="133"/>
        <v>8</v>
      </c>
      <c r="T1089">
        <f t="shared" ca="1" si="134"/>
        <v>6.3390080000000015</v>
      </c>
      <c r="U1089" s="8">
        <f t="shared" ca="1" si="135"/>
        <v>1.1280000000000001</v>
      </c>
      <c r="V1089" s="8">
        <f ca="1">RawData[[#This Row],[Z (smoothed demand size)]]/RawData[[#This Row],[X (smoothed interval)]]</f>
        <v>5.6196879432624121</v>
      </c>
    </row>
    <row r="1090" spans="1:22">
      <c r="A1090" t="s">
        <v>33</v>
      </c>
      <c r="B1090" t="s">
        <v>14</v>
      </c>
      <c r="C1090">
        <v>27</v>
      </c>
      <c r="D1090" t="s">
        <v>22</v>
      </c>
      <c r="E1090" t="s">
        <v>16</v>
      </c>
      <c r="F1090" s="1">
        <v>43109</v>
      </c>
      <c r="G1090">
        <v>14</v>
      </c>
      <c r="H1090">
        <v>12</v>
      </c>
      <c r="I1090">
        <v>12</v>
      </c>
      <c r="J1090">
        <v>0</v>
      </c>
      <c r="K1090">
        <v>1</v>
      </c>
      <c r="L1090">
        <v>683</v>
      </c>
      <c r="M1090">
        <v>30</v>
      </c>
      <c r="N1090" s="1">
        <f t="shared" ref="N1090:N1153" si="136">MAX(F:F)</f>
        <v>44938</v>
      </c>
      <c r="O1090" s="1">
        <f t="shared" ref="O1090:O1153" si="137">MIN(F:F)</f>
        <v>43101</v>
      </c>
      <c r="P1090" s="1">
        <f t="shared" ref="P1090:P1153" si="138">DATE(YEAR(F1090), DAY(F1090), 1)</f>
        <v>43344</v>
      </c>
      <c r="Q1090" s="8">
        <f t="shared" ref="Q1090:Q1153" si="139" xml:space="preserve"> IF(A1090&lt;&gt;A1089, 1, 0)</f>
        <v>0</v>
      </c>
      <c r="R1090" s="8">
        <f t="shared" ref="R1090:R1153" si="140">IF(Q1090=1,1,R1089+1)</f>
        <v>9</v>
      </c>
      <c r="S1090" s="8">
        <f t="shared" ref="S1090:S1153" ca="1" si="141" xml:space="preserve"> IF(Q1090=1, IF(G1090&gt;0, R1090, 0), IF(G1090&gt;0, R1090, OFFSET(S1090,-1,0)))</f>
        <v>9</v>
      </c>
      <c r="T1090">
        <f t="shared" ref="T1090:T1153" ca="1" si="142" xml:space="preserve"> IF(Q1090=1, IF(G1090&gt;0, G1090, 0), IF(G1090&gt;0, $X$1*G1090+(1-$X$1)*OFFSET(T1090,-1,0), OFFSET(T1090,-1,0)))</f>
        <v>7.8712064000000019</v>
      </c>
      <c r="U1090" s="8">
        <f t="shared" ref="U1090:U1153" ca="1" si="143" xml:space="preserve"> IF(Q1090=1, 1, IF(G1090&gt;0, $X$1*(R1090-OFFSET(S1090,-1,0))+(1-$X$1)*OFFSET(U1090,-1,0), OFFSET(U1090,-1,0)))</f>
        <v>1.1024</v>
      </c>
      <c r="V1090" s="8">
        <f ca="1">RawData[[#This Row],[Z (smoothed demand size)]]/RawData[[#This Row],[X (smoothed interval)]]</f>
        <v>7.1400638606676354</v>
      </c>
    </row>
    <row r="1091" spans="1:22">
      <c r="A1091" t="s">
        <v>33</v>
      </c>
      <c r="B1091" t="s">
        <v>14</v>
      </c>
      <c r="C1091">
        <v>27</v>
      </c>
      <c r="D1091" t="s">
        <v>22</v>
      </c>
      <c r="E1091" t="s">
        <v>16</v>
      </c>
      <c r="F1091" s="1">
        <v>43110</v>
      </c>
      <c r="G1091">
        <v>9</v>
      </c>
      <c r="H1091">
        <v>9</v>
      </c>
      <c r="I1091">
        <v>10</v>
      </c>
      <c r="J1091">
        <v>1</v>
      </c>
      <c r="K1091">
        <v>0</v>
      </c>
      <c r="L1091">
        <v>683</v>
      </c>
      <c r="M1091">
        <v>60</v>
      </c>
      <c r="N1091" s="1">
        <f t="shared" si="136"/>
        <v>44938</v>
      </c>
      <c r="O1091" s="1">
        <f t="shared" si="137"/>
        <v>43101</v>
      </c>
      <c r="P1091" s="1">
        <f t="shared" si="138"/>
        <v>43374</v>
      </c>
      <c r="Q1091" s="8">
        <f t="shared" si="139"/>
        <v>0</v>
      </c>
      <c r="R1091" s="8">
        <f t="shared" si="140"/>
        <v>10</v>
      </c>
      <c r="S1091" s="8">
        <f t="shared" ca="1" si="141"/>
        <v>10</v>
      </c>
      <c r="T1091">
        <f t="shared" ca="1" si="142"/>
        <v>8.0969651200000019</v>
      </c>
      <c r="U1091" s="8">
        <f t="shared" ca="1" si="143"/>
        <v>1.08192</v>
      </c>
      <c r="V1091" s="8">
        <f ca="1">RawData[[#This Row],[Z (smoothed demand size)]]/RawData[[#This Row],[X (smoothed interval)]]</f>
        <v>7.4838852410529446</v>
      </c>
    </row>
    <row r="1092" spans="1:22">
      <c r="A1092" t="s">
        <v>33</v>
      </c>
      <c r="B1092" t="s">
        <v>14</v>
      </c>
      <c r="C1092">
        <v>27</v>
      </c>
      <c r="D1092" t="s">
        <v>22</v>
      </c>
      <c r="E1092" t="s">
        <v>16</v>
      </c>
      <c r="F1092" s="1">
        <v>43111</v>
      </c>
      <c r="G1092">
        <v>3</v>
      </c>
      <c r="H1092">
        <v>1</v>
      </c>
      <c r="I1092">
        <v>1</v>
      </c>
      <c r="J1092">
        <v>0</v>
      </c>
      <c r="K1092">
        <v>1</v>
      </c>
      <c r="L1092">
        <v>671</v>
      </c>
      <c r="M1092">
        <v>45</v>
      </c>
      <c r="N1092" s="1">
        <f t="shared" si="136"/>
        <v>44938</v>
      </c>
      <c r="O1092" s="1">
        <f t="shared" si="137"/>
        <v>43101</v>
      </c>
      <c r="P1092" s="1">
        <f t="shared" si="138"/>
        <v>43405</v>
      </c>
      <c r="Q1092" s="8">
        <f t="shared" si="139"/>
        <v>0</v>
      </c>
      <c r="R1092" s="8">
        <f t="shared" si="140"/>
        <v>11</v>
      </c>
      <c r="S1092" s="8">
        <f t="shared" ca="1" si="141"/>
        <v>11</v>
      </c>
      <c r="T1092">
        <f t="shared" ca="1" si="142"/>
        <v>7.0775720960000026</v>
      </c>
      <c r="U1092" s="8">
        <f t="shared" ca="1" si="143"/>
        <v>1.065536</v>
      </c>
      <c r="V1092" s="8">
        <f ca="1">RawData[[#This Row],[Z (smoothed demand size)]]/RawData[[#This Row],[X (smoothed interval)]]</f>
        <v>6.6422646405189525</v>
      </c>
    </row>
    <row r="1093" spans="1:22">
      <c r="A1093" t="s">
        <v>33</v>
      </c>
      <c r="B1093" t="s">
        <v>14</v>
      </c>
      <c r="C1093">
        <v>27</v>
      </c>
      <c r="D1093" t="s">
        <v>22</v>
      </c>
      <c r="E1093" t="s">
        <v>16</v>
      </c>
      <c r="F1093" s="1">
        <v>43112</v>
      </c>
      <c r="G1093">
        <v>14</v>
      </c>
      <c r="H1093">
        <v>7</v>
      </c>
      <c r="I1093">
        <v>7</v>
      </c>
      <c r="J1093">
        <v>0</v>
      </c>
      <c r="K1093">
        <v>1</v>
      </c>
      <c r="L1093">
        <v>796</v>
      </c>
      <c r="M1093">
        <v>15</v>
      </c>
      <c r="N1093" s="1">
        <f t="shared" si="136"/>
        <v>44938</v>
      </c>
      <c r="O1093" s="1">
        <f t="shared" si="137"/>
        <v>43101</v>
      </c>
      <c r="P1093" s="1">
        <f t="shared" si="138"/>
        <v>43435</v>
      </c>
      <c r="Q1093" s="8">
        <f t="shared" si="139"/>
        <v>0</v>
      </c>
      <c r="R1093" s="8">
        <f t="shared" si="140"/>
        <v>12</v>
      </c>
      <c r="S1093" s="8">
        <f t="shared" ca="1" si="141"/>
        <v>12</v>
      </c>
      <c r="T1093">
        <f t="shared" ca="1" si="142"/>
        <v>8.4620576768000024</v>
      </c>
      <c r="U1093" s="8">
        <f t="shared" ca="1" si="143"/>
        <v>1.0524288000000002</v>
      </c>
      <c r="V1093" s="8">
        <f ca="1">RawData[[#This Row],[Z (smoothed demand size)]]/RawData[[#This Row],[X (smoothed interval)]]</f>
        <v>8.0405037155957739</v>
      </c>
    </row>
    <row r="1094" spans="1:22">
      <c r="A1094" t="s">
        <v>33</v>
      </c>
      <c r="B1094" t="s">
        <v>14</v>
      </c>
      <c r="C1094">
        <v>27</v>
      </c>
      <c r="D1094" t="s">
        <v>22</v>
      </c>
      <c r="E1094" t="s">
        <v>16</v>
      </c>
      <c r="F1094" s="1">
        <v>43466</v>
      </c>
      <c r="G1094">
        <v>9</v>
      </c>
      <c r="H1094">
        <v>7</v>
      </c>
      <c r="I1094">
        <v>7</v>
      </c>
      <c r="J1094">
        <v>0</v>
      </c>
      <c r="K1094">
        <v>1</v>
      </c>
      <c r="L1094">
        <v>678</v>
      </c>
      <c r="M1094">
        <v>30</v>
      </c>
      <c r="N1094" s="1">
        <f t="shared" si="136"/>
        <v>44938</v>
      </c>
      <c r="O1094" s="1">
        <f t="shared" si="137"/>
        <v>43101</v>
      </c>
      <c r="P1094" s="1">
        <f t="shared" si="138"/>
        <v>43466</v>
      </c>
      <c r="Q1094" s="8">
        <f t="shared" si="139"/>
        <v>0</v>
      </c>
      <c r="R1094" s="8">
        <f t="shared" si="140"/>
        <v>13</v>
      </c>
      <c r="S1094" s="8">
        <f t="shared" ca="1" si="141"/>
        <v>13</v>
      </c>
      <c r="T1094">
        <f t="shared" ca="1" si="142"/>
        <v>8.5696461414400034</v>
      </c>
      <c r="U1094" s="8">
        <f t="shared" ca="1" si="143"/>
        <v>1.0419430400000003</v>
      </c>
      <c r="V1094" s="8">
        <f ca="1">RawData[[#This Row],[Z (smoothed demand size)]]/RawData[[#This Row],[X (smoothed interval)]]</f>
        <v>8.2246781373384881</v>
      </c>
    </row>
    <row r="1095" spans="1:22">
      <c r="A1095" t="s">
        <v>33</v>
      </c>
      <c r="B1095" t="s">
        <v>14</v>
      </c>
      <c r="C1095">
        <v>27</v>
      </c>
      <c r="D1095" t="s">
        <v>22</v>
      </c>
      <c r="E1095" t="s">
        <v>16</v>
      </c>
      <c r="F1095" s="1">
        <v>43467</v>
      </c>
      <c r="G1095">
        <v>10</v>
      </c>
      <c r="H1095">
        <v>10</v>
      </c>
      <c r="I1095">
        <v>11</v>
      </c>
      <c r="J1095">
        <v>1</v>
      </c>
      <c r="K1095">
        <v>0</v>
      </c>
      <c r="L1095">
        <v>689</v>
      </c>
      <c r="M1095">
        <v>30</v>
      </c>
      <c r="N1095" s="1">
        <f t="shared" si="136"/>
        <v>44938</v>
      </c>
      <c r="O1095" s="1">
        <f t="shared" si="137"/>
        <v>43101</v>
      </c>
      <c r="P1095" s="1">
        <f t="shared" si="138"/>
        <v>43497</v>
      </c>
      <c r="Q1095" s="8">
        <f t="shared" si="139"/>
        <v>0</v>
      </c>
      <c r="R1095" s="8">
        <f t="shared" si="140"/>
        <v>14</v>
      </c>
      <c r="S1095" s="8">
        <f t="shared" ca="1" si="141"/>
        <v>14</v>
      </c>
      <c r="T1095">
        <f t="shared" ca="1" si="142"/>
        <v>8.855716913152003</v>
      </c>
      <c r="U1095" s="8">
        <f t="shared" ca="1" si="143"/>
        <v>1.0335544320000003</v>
      </c>
      <c r="V1095" s="8">
        <f ca="1">RawData[[#This Row],[Z (smoothed demand size)]]/RawData[[#This Row],[X (smoothed interval)]]</f>
        <v>8.5682153150033624</v>
      </c>
    </row>
    <row r="1096" spans="1:22">
      <c r="A1096" t="s">
        <v>33</v>
      </c>
      <c r="B1096" t="s">
        <v>14</v>
      </c>
      <c r="C1096">
        <v>27</v>
      </c>
      <c r="D1096" t="s">
        <v>22</v>
      </c>
      <c r="E1096" t="s">
        <v>16</v>
      </c>
      <c r="F1096" s="1">
        <v>43468</v>
      </c>
      <c r="G1096">
        <v>4</v>
      </c>
      <c r="H1096">
        <v>4</v>
      </c>
      <c r="I1096">
        <v>10</v>
      </c>
      <c r="J1096">
        <v>6</v>
      </c>
      <c r="K1096">
        <v>0</v>
      </c>
      <c r="L1096">
        <v>683</v>
      </c>
      <c r="M1096">
        <v>60</v>
      </c>
      <c r="N1096" s="1">
        <f t="shared" si="136"/>
        <v>44938</v>
      </c>
      <c r="O1096" s="1">
        <f t="shared" si="137"/>
        <v>43101</v>
      </c>
      <c r="P1096" s="1">
        <f t="shared" si="138"/>
        <v>43525</v>
      </c>
      <c r="Q1096" s="8">
        <f t="shared" si="139"/>
        <v>0</v>
      </c>
      <c r="R1096" s="8">
        <f t="shared" si="140"/>
        <v>15</v>
      </c>
      <c r="S1096" s="8">
        <f t="shared" ca="1" si="141"/>
        <v>15</v>
      </c>
      <c r="T1096">
        <f t="shared" ca="1" si="142"/>
        <v>7.8845735305216023</v>
      </c>
      <c r="U1096" s="8">
        <f t="shared" ca="1" si="143"/>
        <v>1.0268435456000002</v>
      </c>
      <c r="V1096" s="8">
        <f ca="1">RawData[[#This Row],[Z (smoothed demand size)]]/RawData[[#This Row],[X (smoothed interval)]]</f>
        <v>7.6784565324550265</v>
      </c>
    </row>
    <row r="1097" spans="1:22">
      <c r="A1097" t="s">
        <v>33</v>
      </c>
      <c r="B1097" t="s">
        <v>14</v>
      </c>
      <c r="C1097">
        <v>27</v>
      </c>
      <c r="D1097" t="s">
        <v>22</v>
      </c>
      <c r="E1097" t="s">
        <v>16</v>
      </c>
      <c r="F1097" s="1">
        <v>43469</v>
      </c>
      <c r="G1097">
        <v>0</v>
      </c>
      <c r="H1097">
        <v>0</v>
      </c>
      <c r="I1097">
        <v>6</v>
      </c>
      <c r="J1097">
        <v>6</v>
      </c>
      <c r="K1097">
        <v>0</v>
      </c>
      <c r="L1097">
        <v>692</v>
      </c>
      <c r="M1097">
        <v>60</v>
      </c>
      <c r="N1097" s="1">
        <f t="shared" si="136"/>
        <v>44938</v>
      </c>
      <c r="O1097" s="1">
        <f t="shared" si="137"/>
        <v>43101</v>
      </c>
      <c r="P1097" s="1">
        <f t="shared" si="138"/>
        <v>43556</v>
      </c>
      <c r="Q1097" s="8">
        <f t="shared" si="139"/>
        <v>0</v>
      </c>
      <c r="R1097" s="8">
        <f t="shared" si="140"/>
        <v>16</v>
      </c>
      <c r="S1097" s="8">
        <f t="shared" ca="1" si="141"/>
        <v>15</v>
      </c>
      <c r="T1097">
        <f t="shared" ca="1" si="142"/>
        <v>7.8845735305216023</v>
      </c>
      <c r="U1097" s="8">
        <f t="shared" ca="1" si="143"/>
        <v>1.0268435456000002</v>
      </c>
      <c r="V1097" s="8">
        <f ca="1">RawData[[#This Row],[Z (smoothed demand size)]]/RawData[[#This Row],[X (smoothed interval)]]</f>
        <v>7.6784565324550265</v>
      </c>
    </row>
    <row r="1098" spans="1:22">
      <c r="A1098" t="s">
        <v>33</v>
      </c>
      <c r="B1098" t="s">
        <v>14</v>
      </c>
      <c r="C1098">
        <v>27</v>
      </c>
      <c r="D1098" t="s">
        <v>22</v>
      </c>
      <c r="E1098" t="s">
        <v>16</v>
      </c>
      <c r="F1098" s="1">
        <v>43470</v>
      </c>
      <c r="G1098">
        <v>15</v>
      </c>
      <c r="H1098">
        <v>14</v>
      </c>
      <c r="I1098">
        <v>14</v>
      </c>
      <c r="J1098">
        <v>0</v>
      </c>
      <c r="K1098">
        <v>1</v>
      </c>
      <c r="L1098">
        <v>687</v>
      </c>
      <c r="M1098">
        <v>60</v>
      </c>
      <c r="N1098" s="1">
        <f t="shared" si="136"/>
        <v>44938</v>
      </c>
      <c r="O1098" s="1">
        <f t="shared" si="137"/>
        <v>43101</v>
      </c>
      <c r="P1098" s="1">
        <f t="shared" si="138"/>
        <v>43586</v>
      </c>
      <c r="Q1098" s="8">
        <f t="shared" si="139"/>
        <v>0</v>
      </c>
      <c r="R1098" s="8">
        <f t="shared" si="140"/>
        <v>17</v>
      </c>
      <c r="S1098" s="8">
        <f t="shared" ca="1" si="141"/>
        <v>17</v>
      </c>
      <c r="T1098">
        <f t="shared" ca="1" si="142"/>
        <v>9.3076588244172811</v>
      </c>
      <c r="U1098" s="8">
        <f t="shared" ca="1" si="143"/>
        <v>1.2214748364800001</v>
      </c>
      <c r="V1098" s="8">
        <f ca="1">RawData[[#This Row],[Z (smoothed demand size)]]/RawData[[#This Row],[X (smoothed interval)]]</f>
        <v>7.6200168406577573</v>
      </c>
    </row>
    <row r="1099" spans="1:22">
      <c r="A1099" t="s">
        <v>33</v>
      </c>
      <c r="B1099" t="s">
        <v>14</v>
      </c>
      <c r="C1099">
        <v>27</v>
      </c>
      <c r="D1099" t="s">
        <v>22</v>
      </c>
      <c r="E1099" t="s">
        <v>16</v>
      </c>
      <c r="F1099" s="1">
        <v>43471</v>
      </c>
      <c r="G1099">
        <v>8</v>
      </c>
      <c r="H1099">
        <v>0</v>
      </c>
      <c r="I1099">
        <v>0</v>
      </c>
      <c r="J1099">
        <v>0</v>
      </c>
      <c r="K1099">
        <v>1</v>
      </c>
      <c r="L1099">
        <v>793</v>
      </c>
      <c r="M1099">
        <v>60</v>
      </c>
      <c r="N1099" s="1">
        <f t="shared" si="136"/>
        <v>44938</v>
      </c>
      <c r="O1099" s="1">
        <f t="shared" si="137"/>
        <v>43101</v>
      </c>
      <c r="P1099" s="1">
        <f t="shared" si="138"/>
        <v>43617</v>
      </c>
      <c r="Q1099" s="8">
        <f t="shared" si="139"/>
        <v>0</v>
      </c>
      <c r="R1099" s="8">
        <f t="shared" si="140"/>
        <v>18</v>
      </c>
      <c r="S1099" s="8">
        <f t="shared" ca="1" si="141"/>
        <v>18</v>
      </c>
      <c r="T1099">
        <f t="shared" ca="1" si="142"/>
        <v>9.0461270595338252</v>
      </c>
      <c r="U1099" s="8">
        <f t="shared" ca="1" si="143"/>
        <v>1.1771798691840001</v>
      </c>
      <c r="V1099" s="8">
        <f ca="1">RawData[[#This Row],[Z (smoothed demand size)]]/RawData[[#This Row],[X (smoothed interval)]]</f>
        <v>7.6845750563203543</v>
      </c>
    </row>
    <row r="1100" spans="1:22">
      <c r="A1100" t="s">
        <v>33</v>
      </c>
      <c r="B1100" t="s">
        <v>14</v>
      </c>
      <c r="C1100">
        <v>27</v>
      </c>
      <c r="D1100" t="s">
        <v>22</v>
      </c>
      <c r="E1100" t="s">
        <v>16</v>
      </c>
      <c r="F1100" s="1">
        <v>43472</v>
      </c>
      <c r="G1100">
        <v>10</v>
      </c>
      <c r="H1100">
        <v>10</v>
      </c>
      <c r="I1100">
        <v>10</v>
      </c>
      <c r="J1100">
        <v>0</v>
      </c>
      <c r="K1100">
        <v>0</v>
      </c>
      <c r="L1100">
        <v>781</v>
      </c>
      <c r="M1100">
        <v>60</v>
      </c>
      <c r="N1100" s="1">
        <f t="shared" si="136"/>
        <v>44938</v>
      </c>
      <c r="O1100" s="1">
        <f t="shared" si="137"/>
        <v>43101</v>
      </c>
      <c r="P1100" s="1">
        <f t="shared" si="138"/>
        <v>43647</v>
      </c>
      <c r="Q1100" s="8">
        <f t="shared" si="139"/>
        <v>0</v>
      </c>
      <c r="R1100" s="8">
        <f t="shared" si="140"/>
        <v>19</v>
      </c>
      <c r="S1100" s="8">
        <f t="shared" ca="1" si="141"/>
        <v>19</v>
      </c>
      <c r="T1100">
        <f t="shared" ca="1" si="142"/>
        <v>9.2369016476270609</v>
      </c>
      <c r="U1100" s="8">
        <f t="shared" ca="1" si="143"/>
        <v>1.1417438953472001</v>
      </c>
      <c r="V1100" s="8">
        <f ca="1">RawData[[#This Row],[Z (smoothed demand size)]]/RawData[[#This Row],[X (smoothed interval)]]</f>
        <v>8.0901695076006099</v>
      </c>
    </row>
    <row r="1101" spans="1:22">
      <c r="A1101" t="s">
        <v>33</v>
      </c>
      <c r="B1101" t="s">
        <v>14</v>
      </c>
      <c r="C1101">
        <v>27</v>
      </c>
      <c r="D1101" t="s">
        <v>22</v>
      </c>
      <c r="E1101" t="s">
        <v>16</v>
      </c>
      <c r="F1101" s="1">
        <v>43473</v>
      </c>
      <c r="G1101">
        <v>11</v>
      </c>
      <c r="H1101">
        <v>0</v>
      </c>
      <c r="I1101">
        <v>0</v>
      </c>
      <c r="J1101">
        <v>0</v>
      </c>
      <c r="K1101">
        <v>1</v>
      </c>
      <c r="L1101">
        <v>775</v>
      </c>
      <c r="M1101">
        <v>15</v>
      </c>
      <c r="N1101" s="1">
        <f t="shared" si="136"/>
        <v>44938</v>
      </c>
      <c r="O1101" s="1">
        <f t="shared" si="137"/>
        <v>43101</v>
      </c>
      <c r="P1101" s="1">
        <f t="shared" si="138"/>
        <v>43678</v>
      </c>
      <c r="Q1101" s="8">
        <f t="shared" si="139"/>
        <v>0</v>
      </c>
      <c r="R1101" s="8">
        <f t="shared" si="140"/>
        <v>20</v>
      </c>
      <c r="S1101" s="8">
        <f t="shared" ca="1" si="141"/>
        <v>20</v>
      </c>
      <c r="T1101">
        <f t="shared" ca="1" si="142"/>
        <v>9.5895213181016494</v>
      </c>
      <c r="U1101" s="8">
        <f t="shared" ca="1" si="143"/>
        <v>1.1133951162777602</v>
      </c>
      <c r="V1101" s="8">
        <f ca="1">RawData[[#This Row],[Z (smoothed demand size)]]/RawData[[#This Row],[X (smoothed interval)]]</f>
        <v>8.6128645418894916</v>
      </c>
    </row>
    <row r="1102" spans="1:22">
      <c r="A1102" t="s">
        <v>33</v>
      </c>
      <c r="B1102" t="s">
        <v>14</v>
      </c>
      <c r="C1102">
        <v>27</v>
      </c>
      <c r="D1102" t="s">
        <v>22</v>
      </c>
      <c r="E1102" t="s">
        <v>16</v>
      </c>
      <c r="F1102" s="1">
        <v>43474</v>
      </c>
      <c r="G1102">
        <v>9</v>
      </c>
      <c r="H1102">
        <v>7</v>
      </c>
      <c r="I1102">
        <v>7</v>
      </c>
      <c r="J1102">
        <v>0</v>
      </c>
      <c r="K1102">
        <v>1</v>
      </c>
      <c r="L1102">
        <v>684</v>
      </c>
      <c r="M1102">
        <v>30</v>
      </c>
      <c r="N1102" s="1">
        <f t="shared" si="136"/>
        <v>44938</v>
      </c>
      <c r="O1102" s="1">
        <f t="shared" si="137"/>
        <v>43101</v>
      </c>
      <c r="P1102" s="1">
        <f t="shared" si="138"/>
        <v>43709</v>
      </c>
      <c r="Q1102" s="8">
        <f t="shared" si="139"/>
        <v>0</v>
      </c>
      <c r="R1102" s="8">
        <f t="shared" si="140"/>
        <v>21</v>
      </c>
      <c r="S1102" s="8">
        <f t="shared" ca="1" si="141"/>
        <v>21</v>
      </c>
      <c r="T1102">
        <f t="shared" ca="1" si="142"/>
        <v>9.471617054481321</v>
      </c>
      <c r="U1102" s="8">
        <f t="shared" ca="1" si="143"/>
        <v>1.0907160930222082</v>
      </c>
      <c r="V1102" s="8">
        <f ca="1">RawData[[#This Row],[Z (smoothed demand size)]]/RawData[[#This Row],[X (smoothed interval)]]</f>
        <v>8.6838519345918073</v>
      </c>
    </row>
    <row r="1103" spans="1:22">
      <c r="A1103" t="s">
        <v>33</v>
      </c>
      <c r="B1103" t="s">
        <v>14</v>
      </c>
      <c r="C1103">
        <v>27</v>
      </c>
      <c r="D1103" t="s">
        <v>22</v>
      </c>
      <c r="E1103" t="s">
        <v>16</v>
      </c>
      <c r="F1103" s="1">
        <v>43475</v>
      </c>
      <c r="G1103">
        <v>12</v>
      </c>
      <c r="H1103">
        <v>10</v>
      </c>
      <c r="I1103">
        <v>10</v>
      </c>
      <c r="J1103">
        <v>0</v>
      </c>
      <c r="K1103">
        <v>1</v>
      </c>
      <c r="L1103">
        <v>670</v>
      </c>
      <c r="M1103">
        <v>30</v>
      </c>
      <c r="N1103" s="1">
        <f t="shared" si="136"/>
        <v>44938</v>
      </c>
      <c r="O1103" s="1">
        <f t="shared" si="137"/>
        <v>43101</v>
      </c>
      <c r="P1103" s="1">
        <f t="shared" si="138"/>
        <v>43739</v>
      </c>
      <c r="Q1103" s="8">
        <f t="shared" si="139"/>
        <v>0</v>
      </c>
      <c r="R1103" s="8">
        <f t="shared" si="140"/>
        <v>22</v>
      </c>
      <c r="S1103" s="8">
        <f t="shared" ca="1" si="141"/>
        <v>22</v>
      </c>
      <c r="T1103">
        <f t="shared" ca="1" si="142"/>
        <v>9.9772936435850568</v>
      </c>
      <c r="U1103" s="8">
        <f t="shared" ca="1" si="143"/>
        <v>1.0725728744177665</v>
      </c>
      <c r="V1103" s="8">
        <f ca="1">RawData[[#This Row],[Z (smoothed demand size)]]/RawData[[#This Row],[X (smoothed interval)]]</f>
        <v>9.3022058282064162</v>
      </c>
    </row>
    <row r="1104" spans="1:22">
      <c r="A1104" t="s">
        <v>33</v>
      </c>
      <c r="B1104" t="s">
        <v>14</v>
      </c>
      <c r="C1104">
        <v>27</v>
      </c>
      <c r="D1104" t="s">
        <v>22</v>
      </c>
      <c r="E1104" t="s">
        <v>16</v>
      </c>
      <c r="F1104" s="1">
        <v>43476</v>
      </c>
      <c r="G1104">
        <v>12</v>
      </c>
      <c r="H1104">
        <v>10</v>
      </c>
      <c r="I1104">
        <v>10</v>
      </c>
      <c r="J1104">
        <v>0</v>
      </c>
      <c r="K1104">
        <v>1</v>
      </c>
      <c r="L1104">
        <v>680</v>
      </c>
      <c r="M1104">
        <v>60</v>
      </c>
      <c r="N1104" s="1">
        <f t="shared" si="136"/>
        <v>44938</v>
      </c>
      <c r="O1104" s="1">
        <f t="shared" si="137"/>
        <v>43101</v>
      </c>
      <c r="P1104" s="1">
        <f t="shared" si="138"/>
        <v>43770</v>
      </c>
      <c r="Q1104" s="8">
        <f t="shared" si="139"/>
        <v>0</v>
      </c>
      <c r="R1104" s="8">
        <f t="shared" si="140"/>
        <v>23</v>
      </c>
      <c r="S1104" s="8">
        <f t="shared" ca="1" si="141"/>
        <v>23</v>
      </c>
      <c r="T1104">
        <f t="shared" ca="1" si="142"/>
        <v>10.381834914868046</v>
      </c>
      <c r="U1104" s="8">
        <f t="shared" ca="1" si="143"/>
        <v>1.0580582995342132</v>
      </c>
      <c r="V1104" s="8">
        <f ca="1">RawData[[#This Row],[Z (smoothed demand size)]]/RawData[[#This Row],[X (smoothed interval)]]</f>
        <v>9.8121577227251269</v>
      </c>
    </row>
    <row r="1105" spans="1:22">
      <c r="A1105" t="s">
        <v>33</v>
      </c>
      <c r="B1105" t="s">
        <v>14</v>
      </c>
      <c r="C1105">
        <v>27</v>
      </c>
      <c r="D1105" t="s">
        <v>22</v>
      </c>
      <c r="E1105" t="s">
        <v>16</v>
      </c>
      <c r="F1105" s="1">
        <v>43477</v>
      </c>
      <c r="G1105">
        <v>6</v>
      </c>
      <c r="H1105">
        <v>0</v>
      </c>
      <c r="I1105">
        <v>0</v>
      </c>
      <c r="J1105">
        <v>0</v>
      </c>
      <c r="K1105">
        <v>1</v>
      </c>
      <c r="L1105">
        <v>776</v>
      </c>
      <c r="M1105">
        <v>60</v>
      </c>
      <c r="N1105" s="1">
        <f t="shared" si="136"/>
        <v>44938</v>
      </c>
      <c r="O1105" s="1">
        <f t="shared" si="137"/>
        <v>43101</v>
      </c>
      <c r="P1105" s="1">
        <f t="shared" si="138"/>
        <v>43800</v>
      </c>
      <c r="Q1105" s="8">
        <f t="shared" si="139"/>
        <v>0</v>
      </c>
      <c r="R1105" s="8">
        <f t="shared" si="140"/>
        <v>24</v>
      </c>
      <c r="S1105" s="8">
        <f t="shared" ca="1" si="141"/>
        <v>24</v>
      </c>
      <c r="T1105">
        <f t="shared" ca="1" si="142"/>
        <v>9.5054679318944366</v>
      </c>
      <c r="U1105" s="8">
        <f t="shared" ca="1" si="143"/>
        <v>1.0464466396273706</v>
      </c>
      <c r="V1105" s="8">
        <f ca="1">RawData[[#This Row],[Z (smoothed demand size)]]/RawData[[#This Row],[X (smoothed interval)]]</f>
        <v>9.0835667791711199</v>
      </c>
    </row>
    <row r="1106" spans="1:22">
      <c r="A1106" t="s">
        <v>33</v>
      </c>
      <c r="B1106" t="s">
        <v>14</v>
      </c>
      <c r="C1106">
        <v>27</v>
      </c>
      <c r="D1106" t="s">
        <v>22</v>
      </c>
      <c r="E1106" t="s">
        <v>16</v>
      </c>
      <c r="F1106" s="1">
        <v>43831</v>
      </c>
      <c r="G1106">
        <v>5</v>
      </c>
      <c r="H1106">
        <v>5</v>
      </c>
      <c r="I1106">
        <v>7</v>
      </c>
      <c r="J1106">
        <v>2</v>
      </c>
      <c r="K1106">
        <v>0</v>
      </c>
      <c r="L1106">
        <v>675</v>
      </c>
      <c r="M1106">
        <v>30</v>
      </c>
      <c r="N1106" s="1">
        <f t="shared" si="136"/>
        <v>44938</v>
      </c>
      <c r="O1106" s="1">
        <f t="shared" si="137"/>
        <v>43101</v>
      </c>
      <c r="P1106" s="1">
        <f t="shared" si="138"/>
        <v>43831</v>
      </c>
      <c r="Q1106" s="8">
        <f t="shared" si="139"/>
        <v>0</v>
      </c>
      <c r="R1106" s="8">
        <f t="shared" si="140"/>
        <v>25</v>
      </c>
      <c r="S1106" s="8">
        <f t="shared" ca="1" si="141"/>
        <v>25</v>
      </c>
      <c r="T1106">
        <f t="shared" ca="1" si="142"/>
        <v>8.6043743455155486</v>
      </c>
      <c r="U1106" s="8">
        <f t="shared" ca="1" si="143"/>
        <v>1.0371573117018966</v>
      </c>
      <c r="V1106" s="8">
        <f ca="1">RawData[[#This Row],[Z (smoothed demand size)]]/RawData[[#This Row],[X (smoothed interval)]]</f>
        <v>8.2961130856768701</v>
      </c>
    </row>
    <row r="1107" spans="1:22">
      <c r="A1107" t="s">
        <v>33</v>
      </c>
      <c r="B1107" t="s">
        <v>14</v>
      </c>
      <c r="C1107">
        <v>27</v>
      </c>
      <c r="D1107" t="s">
        <v>22</v>
      </c>
      <c r="E1107" t="s">
        <v>16</v>
      </c>
      <c r="F1107" s="1">
        <v>43832</v>
      </c>
      <c r="G1107">
        <v>4</v>
      </c>
      <c r="H1107">
        <v>4</v>
      </c>
      <c r="I1107">
        <v>14</v>
      </c>
      <c r="J1107">
        <v>10</v>
      </c>
      <c r="K1107">
        <v>0</v>
      </c>
      <c r="L1107">
        <v>685</v>
      </c>
      <c r="M1107">
        <v>45</v>
      </c>
      <c r="N1107" s="1">
        <f t="shared" si="136"/>
        <v>44938</v>
      </c>
      <c r="O1107" s="1">
        <f t="shared" si="137"/>
        <v>43101</v>
      </c>
      <c r="P1107" s="1">
        <f t="shared" si="138"/>
        <v>43862</v>
      </c>
      <c r="Q1107" s="8">
        <f t="shared" si="139"/>
        <v>0</v>
      </c>
      <c r="R1107" s="8">
        <f t="shared" si="140"/>
        <v>26</v>
      </c>
      <c r="S1107" s="8">
        <f t="shared" ca="1" si="141"/>
        <v>26</v>
      </c>
      <c r="T1107">
        <f t="shared" ca="1" si="142"/>
        <v>7.6834994764124387</v>
      </c>
      <c r="U1107" s="8">
        <f t="shared" ca="1" si="143"/>
        <v>1.0297258493615173</v>
      </c>
      <c r="V1107" s="8">
        <f ca="1">RawData[[#This Row],[Z (smoothed demand size)]]/RawData[[#This Row],[X (smoothed interval)]]</f>
        <v>7.4616942763713281</v>
      </c>
    </row>
    <row r="1108" spans="1:22">
      <c r="A1108" t="s">
        <v>33</v>
      </c>
      <c r="B1108" t="s">
        <v>14</v>
      </c>
      <c r="C1108">
        <v>27</v>
      </c>
      <c r="D1108" t="s">
        <v>22</v>
      </c>
      <c r="E1108" t="s">
        <v>16</v>
      </c>
      <c r="F1108" s="1">
        <v>43833</v>
      </c>
      <c r="G1108">
        <v>6</v>
      </c>
      <c r="H1108">
        <v>6</v>
      </c>
      <c r="I1108">
        <v>10</v>
      </c>
      <c r="J1108">
        <v>4</v>
      </c>
      <c r="K1108">
        <v>0</v>
      </c>
      <c r="L1108">
        <v>684</v>
      </c>
      <c r="M1108">
        <v>15</v>
      </c>
      <c r="N1108" s="1">
        <f t="shared" si="136"/>
        <v>44938</v>
      </c>
      <c r="O1108" s="1">
        <f t="shared" si="137"/>
        <v>43101</v>
      </c>
      <c r="P1108" s="1">
        <f t="shared" si="138"/>
        <v>43891</v>
      </c>
      <c r="Q1108" s="8">
        <f t="shared" si="139"/>
        <v>0</v>
      </c>
      <c r="R1108" s="8">
        <f t="shared" si="140"/>
        <v>27</v>
      </c>
      <c r="S1108" s="8">
        <f t="shared" ca="1" si="141"/>
        <v>27</v>
      </c>
      <c r="T1108">
        <f t="shared" ca="1" si="142"/>
        <v>7.3467995811299511</v>
      </c>
      <c r="U1108" s="8">
        <f t="shared" ca="1" si="143"/>
        <v>1.0237806794892139</v>
      </c>
      <c r="V1108" s="8">
        <f ca="1">RawData[[#This Row],[Z (smoothed demand size)]]/RawData[[#This Row],[X (smoothed interval)]]</f>
        <v>7.1761459542247144</v>
      </c>
    </row>
    <row r="1109" spans="1:22">
      <c r="A1109" t="s">
        <v>33</v>
      </c>
      <c r="B1109" t="s">
        <v>14</v>
      </c>
      <c r="C1109">
        <v>27</v>
      </c>
      <c r="D1109" t="s">
        <v>22</v>
      </c>
      <c r="E1109" t="s">
        <v>16</v>
      </c>
      <c r="F1109" s="1">
        <v>43834</v>
      </c>
      <c r="G1109">
        <v>6</v>
      </c>
      <c r="H1109">
        <v>6</v>
      </c>
      <c r="I1109">
        <v>16</v>
      </c>
      <c r="J1109">
        <v>10</v>
      </c>
      <c r="K1109">
        <v>0</v>
      </c>
      <c r="L1109">
        <v>680</v>
      </c>
      <c r="M1109">
        <v>15</v>
      </c>
      <c r="N1109" s="1">
        <f t="shared" si="136"/>
        <v>44938</v>
      </c>
      <c r="O1109" s="1">
        <f t="shared" si="137"/>
        <v>43101</v>
      </c>
      <c r="P1109" s="1">
        <f t="shared" si="138"/>
        <v>43922</v>
      </c>
      <c r="Q1109" s="8">
        <f t="shared" si="139"/>
        <v>0</v>
      </c>
      <c r="R1109" s="8">
        <f t="shared" si="140"/>
        <v>28</v>
      </c>
      <c r="S1109" s="8">
        <f t="shared" ca="1" si="141"/>
        <v>28</v>
      </c>
      <c r="T1109">
        <f t="shared" ca="1" si="142"/>
        <v>7.0774396649039613</v>
      </c>
      <c r="U1109" s="8">
        <f t="shared" ca="1" si="143"/>
        <v>1.0190245435913712</v>
      </c>
      <c r="V1109" s="8">
        <f ca="1">RawData[[#This Row],[Z (smoothed demand size)]]/RawData[[#This Row],[X (smoothed interval)]]</f>
        <v>6.9453083435662704</v>
      </c>
    </row>
    <row r="1110" spans="1:22">
      <c r="A1110" t="s">
        <v>33</v>
      </c>
      <c r="B1110" t="s">
        <v>14</v>
      </c>
      <c r="C1110">
        <v>27</v>
      </c>
      <c r="D1110" t="s">
        <v>22</v>
      </c>
      <c r="E1110" t="s">
        <v>16</v>
      </c>
      <c r="F1110" s="1">
        <v>43835</v>
      </c>
      <c r="G1110">
        <v>4</v>
      </c>
      <c r="H1110">
        <v>4</v>
      </c>
      <c r="I1110">
        <v>10</v>
      </c>
      <c r="J1110">
        <v>6</v>
      </c>
      <c r="K1110">
        <v>0</v>
      </c>
      <c r="L1110">
        <v>683</v>
      </c>
      <c r="M1110">
        <v>30</v>
      </c>
      <c r="N1110" s="1">
        <f t="shared" si="136"/>
        <v>44938</v>
      </c>
      <c r="O1110" s="1">
        <f t="shared" si="137"/>
        <v>43101</v>
      </c>
      <c r="P1110" s="1">
        <f t="shared" si="138"/>
        <v>43952</v>
      </c>
      <c r="Q1110" s="8">
        <f t="shared" si="139"/>
        <v>0</v>
      </c>
      <c r="R1110" s="8">
        <f t="shared" si="140"/>
        <v>29</v>
      </c>
      <c r="S1110" s="8">
        <f t="shared" ca="1" si="141"/>
        <v>29</v>
      </c>
      <c r="T1110">
        <f t="shared" ca="1" si="142"/>
        <v>6.4619517319231692</v>
      </c>
      <c r="U1110" s="8">
        <f t="shared" ca="1" si="143"/>
        <v>1.0152196348730971</v>
      </c>
      <c r="V1110" s="8">
        <f ca="1">RawData[[#This Row],[Z (smoothed demand size)]]/RawData[[#This Row],[X (smoothed interval)]]</f>
        <v>6.3650775752883426</v>
      </c>
    </row>
    <row r="1111" spans="1:22">
      <c r="A1111" t="s">
        <v>33</v>
      </c>
      <c r="B1111" t="s">
        <v>14</v>
      </c>
      <c r="C1111">
        <v>27</v>
      </c>
      <c r="D1111" t="s">
        <v>22</v>
      </c>
      <c r="E1111" t="s">
        <v>16</v>
      </c>
      <c r="F1111" s="1">
        <v>43836</v>
      </c>
      <c r="G1111">
        <v>20</v>
      </c>
      <c r="H1111">
        <v>16</v>
      </c>
      <c r="I1111">
        <v>16</v>
      </c>
      <c r="J1111">
        <v>0</v>
      </c>
      <c r="K1111">
        <v>1</v>
      </c>
      <c r="L1111">
        <v>779</v>
      </c>
      <c r="M1111">
        <v>60</v>
      </c>
      <c r="N1111" s="1">
        <f t="shared" si="136"/>
        <v>44938</v>
      </c>
      <c r="O1111" s="1">
        <f t="shared" si="137"/>
        <v>43101</v>
      </c>
      <c r="P1111" s="1">
        <f t="shared" si="138"/>
        <v>43983</v>
      </c>
      <c r="Q1111" s="8">
        <f t="shared" si="139"/>
        <v>0</v>
      </c>
      <c r="R1111" s="8">
        <f t="shared" si="140"/>
        <v>30</v>
      </c>
      <c r="S1111" s="8">
        <f t="shared" ca="1" si="141"/>
        <v>30</v>
      </c>
      <c r="T1111">
        <f t="shared" ca="1" si="142"/>
        <v>9.1695613855385361</v>
      </c>
      <c r="U1111" s="8">
        <f t="shared" ca="1" si="143"/>
        <v>1.0121757078984777</v>
      </c>
      <c r="V1111" s="8">
        <f ca="1">RawData[[#This Row],[Z (smoothed demand size)]]/RawData[[#This Row],[X (smoothed interval)]]</f>
        <v>9.0592585002625388</v>
      </c>
    </row>
    <row r="1112" spans="1:22">
      <c r="A1112" t="s">
        <v>33</v>
      </c>
      <c r="B1112" t="s">
        <v>14</v>
      </c>
      <c r="C1112">
        <v>27</v>
      </c>
      <c r="D1112" t="s">
        <v>22</v>
      </c>
      <c r="E1112" t="s">
        <v>16</v>
      </c>
      <c r="F1112" s="1">
        <v>43837</v>
      </c>
      <c r="G1112">
        <v>6</v>
      </c>
      <c r="H1112">
        <v>0</v>
      </c>
      <c r="I1112">
        <v>0</v>
      </c>
      <c r="J1112">
        <v>0</v>
      </c>
      <c r="K1112">
        <v>1</v>
      </c>
      <c r="L1112">
        <v>802</v>
      </c>
      <c r="M1112">
        <v>45</v>
      </c>
      <c r="N1112" s="1">
        <f t="shared" si="136"/>
        <v>44938</v>
      </c>
      <c r="O1112" s="1">
        <f t="shared" si="137"/>
        <v>43101</v>
      </c>
      <c r="P1112" s="1">
        <f t="shared" si="138"/>
        <v>44013</v>
      </c>
      <c r="Q1112" s="8">
        <f t="shared" si="139"/>
        <v>0</v>
      </c>
      <c r="R1112" s="8">
        <f t="shared" si="140"/>
        <v>31</v>
      </c>
      <c r="S1112" s="8">
        <f t="shared" ca="1" si="141"/>
        <v>31</v>
      </c>
      <c r="T1112">
        <f t="shared" ca="1" si="142"/>
        <v>8.5356491084308281</v>
      </c>
      <c r="U1112" s="8">
        <f t="shared" ca="1" si="143"/>
        <v>1.0097405663187822</v>
      </c>
      <c r="V1112" s="8">
        <f ca="1">RawData[[#This Row],[Z (smoothed demand size)]]/RawData[[#This Row],[X (smoothed interval)]]</f>
        <v>8.4533090906204755</v>
      </c>
    </row>
    <row r="1113" spans="1:22">
      <c r="A1113" t="s">
        <v>33</v>
      </c>
      <c r="B1113" t="s">
        <v>14</v>
      </c>
      <c r="C1113">
        <v>27</v>
      </c>
      <c r="D1113" t="s">
        <v>22</v>
      </c>
      <c r="E1113" t="s">
        <v>16</v>
      </c>
      <c r="F1113" s="1">
        <v>43838</v>
      </c>
      <c r="G1113">
        <v>11</v>
      </c>
      <c r="H1113">
        <v>8</v>
      </c>
      <c r="I1113">
        <v>8</v>
      </c>
      <c r="J1113">
        <v>0</v>
      </c>
      <c r="K1113">
        <v>1</v>
      </c>
      <c r="L1113">
        <v>785</v>
      </c>
      <c r="M1113">
        <v>15</v>
      </c>
      <c r="N1113" s="1">
        <f t="shared" si="136"/>
        <v>44938</v>
      </c>
      <c r="O1113" s="1">
        <f t="shared" si="137"/>
        <v>43101</v>
      </c>
      <c r="P1113" s="1">
        <f t="shared" si="138"/>
        <v>44044</v>
      </c>
      <c r="Q1113" s="8">
        <f t="shared" si="139"/>
        <v>0</v>
      </c>
      <c r="R1113" s="8">
        <f t="shared" si="140"/>
        <v>32</v>
      </c>
      <c r="S1113" s="8">
        <f t="shared" ca="1" si="141"/>
        <v>32</v>
      </c>
      <c r="T1113">
        <f t="shared" ca="1" si="142"/>
        <v>9.0285192867446629</v>
      </c>
      <c r="U1113" s="8">
        <f t="shared" ca="1" si="143"/>
        <v>1.0077924530550257</v>
      </c>
      <c r="V1113" s="8">
        <f ca="1">RawData[[#This Row],[Z (smoothed demand size)]]/RawData[[#This Row],[X (smoothed interval)]]</f>
        <v>8.9587089676803746</v>
      </c>
    </row>
    <row r="1114" spans="1:22">
      <c r="A1114" t="s">
        <v>33</v>
      </c>
      <c r="B1114" t="s">
        <v>14</v>
      </c>
      <c r="C1114">
        <v>27</v>
      </c>
      <c r="D1114" t="s">
        <v>22</v>
      </c>
      <c r="E1114" t="s">
        <v>16</v>
      </c>
      <c r="F1114" s="1">
        <v>43839</v>
      </c>
      <c r="G1114">
        <v>7</v>
      </c>
      <c r="H1114">
        <v>7</v>
      </c>
      <c r="I1114">
        <v>9</v>
      </c>
      <c r="J1114">
        <v>2</v>
      </c>
      <c r="K1114">
        <v>0</v>
      </c>
      <c r="L1114">
        <v>677</v>
      </c>
      <c r="M1114">
        <v>30</v>
      </c>
      <c r="N1114" s="1">
        <f t="shared" si="136"/>
        <v>44938</v>
      </c>
      <c r="O1114" s="1">
        <f t="shared" si="137"/>
        <v>43101</v>
      </c>
      <c r="P1114" s="1">
        <f t="shared" si="138"/>
        <v>44075</v>
      </c>
      <c r="Q1114" s="8">
        <f t="shared" si="139"/>
        <v>0</v>
      </c>
      <c r="R1114" s="8">
        <f t="shared" si="140"/>
        <v>33</v>
      </c>
      <c r="S1114" s="8">
        <f t="shared" ca="1" si="141"/>
        <v>33</v>
      </c>
      <c r="T1114">
        <f t="shared" ca="1" si="142"/>
        <v>8.6228154293957306</v>
      </c>
      <c r="U1114" s="8">
        <f t="shared" ca="1" si="143"/>
        <v>1.0062339624440206</v>
      </c>
      <c r="V1114" s="8">
        <f ca="1">RawData[[#This Row],[Z (smoothed demand size)]]/RawData[[#This Row],[X (smoothed interval)]]</f>
        <v>8.5693941481084117</v>
      </c>
    </row>
    <row r="1115" spans="1:22">
      <c r="A1115" t="s">
        <v>33</v>
      </c>
      <c r="B1115" t="s">
        <v>14</v>
      </c>
      <c r="C1115">
        <v>27</v>
      </c>
      <c r="D1115" t="s">
        <v>22</v>
      </c>
      <c r="E1115" t="s">
        <v>16</v>
      </c>
      <c r="F1115" s="1">
        <v>43840</v>
      </c>
      <c r="G1115">
        <v>4</v>
      </c>
      <c r="H1115">
        <v>4</v>
      </c>
      <c r="I1115">
        <v>11</v>
      </c>
      <c r="J1115">
        <v>7</v>
      </c>
      <c r="K1115">
        <v>0</v>
      </c>
      <c r="L1115">
        <v>687</v>
      </c>
      <c r="M1115">
        <v>45</v>
      </c>
      <c r="N1115" s="1">
        <f t="shared" si="136"/>
        <v>44938</v>
      </c>
      <c r="O1115" s="1">
        <f t="shared" si="137"/>
        <v>43101</v>
      </c>
      <c r="P1115" s="1">
        <f t="shared" si="138"/>
        <v>44105</v>
      </c>
      <c r="Q1115" s="8">
        <f t="shared" si="139"/>
        <v>0</v>
      </c>
      <c r="R1115" s="8">
        <f t="shared" si="140"/>
        <v>34</v>
      </c>
      <c r="S1115" s="8">
        <f t="shared" ca="1" si="141"/>
        <v>34</v>
      </c>
      <c r="T1115">
        <f t="shared" ca="1" si="142"/>
        <v>7.6982523435165851</v>
      </c>
      <c r="U1115" s="8">
        <f t="shared" ca="1" si="143"/>
        <v>1.0049871699552166</v>
      </c>
      <c r="V1115" s="8">
        <f ca="1">RawData[[#This Row],[Z (smoothed demand size)]]/RawData[[#This Row],[X (smoothed interval)]]</f>
        <v>7.6600503704536127</v>
      </c>
    </row>
    <row r="1116" spans="1:22">
      <c r="A1116" t="s">
        <v>33</v>
      </c>
      <c r="B1116" t="s">
        <v>14</v>
      </c>
      <c r="C1116">
        <v>27</v>
      </c>
      <c r="D1116" t="s">
        <v>22</v>
      </c>
      <c r="E1116" t="s">
        <v>16</v>
      </c>
      <c r="F1116" s="1">
        <v>43841</v>
      </c>
      <c r="G1116">
        <v>8</v>
      </c>
      <c r="H1116">
        <v>7</v>
      </c>
      <c r="I1116">
        <v>7</v>
      </c>
      <c r="J1116">
        <v>0</v>
      </c>
      <c r="K1116">
        <v>1</v>
      </c>
      <c r="L1116">
        <v>689</v>
      </c>
      <c r="M1116">
        <v>45</v>
      </c>
      <c r="N1116" s="1">
        <f t="shared" si="136"/>
        <v>44938</v>
      </c>
      <c r="O1116" s="1">
        <f t="shared" si="137"/>
        <v>43101</v>
      </c>
      <c r="P1116" s="1">
        <f t="shared" si="138"/>
        <v>44136</v>
      </c>
      <c r="Q1116" s="8">
        <f t="shared" si="139"/>
        <v>0</v>
      </c>
      <c r="R1116" s="8">
        <f t="shared" si="140"/>
        <v>35</v>
      </c>
      <c r="S1116" s="8">
        <f t="shared" ca="1" si="141"/>
        <v>35</v>
      </c>
      <c r="T1116">
        <f t="shared" ca="1" si="142"/>
        <v>7.7586018748132677</v>
      </c>
      <c r="U1116" s="8">
        <f t="shared" ca="1" si="143"/>
        <v>1.0039897359641734</v>
      </c>
      <c r="V1116" s="8">
        <f ca="1">RawData[[#This Row],[Z (smoothed demand size)]]/RawData[[#This Row],[X (smoothed interval)]]</f>
        <v>7.7277701124726708</v>
      </c>
    </row>
    <row r="1117" spans="1:22">
      <c r="A1117" t="s">
        <v>33</v>
      </c>
      <c r="B1117" t="s">
        <v>14</v>
      </c>
      <c r="C1117">
        <v>27</v>
      </c>
      <c r="D1117" t="s">
        <v>22</v>
      </c>
      <c r="E1117" t="s">
        <v>16</v>
      </c>
      <c r="F1117" s="1">
        <v>43842</v>
      </c>
      <c r="G1117">
        <v>13</v>
      </c>
      <c r="H1117">
        <v>11</v>
      </c>
      <c r="I1117">
        <v>11</v>
      </c>
      <c r="J1117">
        <v>0</v>
      </c>
      <c r="K1117">
        <v>1</v>
      </c>
      <c r="L1117">
        <v>777</v>
      </c>
      <c r="M1117">
        <v>15</v>
      </c>
      <c r="N1117" s="1">
        <f t="shared" si="136"/>
        <v>44938</v>
      </c>
      <c r="O1117" s="1">
        <f t="shared" si="137"/>
        <v>43101</v>
      </c>
      <c r="P1117" s="1">
        <f t="shared" si="138"/>
        <v>44166</v>
      </c>
      <c r="Q1117" s="8">
        <f t="shared" si="139"/>
        <v>0</v>
      </c>
      <c r="R1117" s="8">
        <f t="shared" si="140"/>
        <v>36</v>
      </c>
      <c r="S1117" s="8">
        <f t="shared" ca="1" si="141"/>
        <v>36</v>
      </c>
      <c r="T1117">
        <f t="shared" ca="1" si="142"/>
        <v>8.8068814998506149</v>
      </c>
      <c r="U1117" s="8">
        <f t="shared" ca="1" si="143"/>
        <v>1.0031917887713389</v>
      </c>
      <c r="V1117" s="8">
        <f ca="1">RawData[[#This Row],[Z (smoothed demand size)]]/RawData[[#This Row],[X (smoothed interval)]]</f>
        <v>8.7788612291542591</v>
      </c>
    </row>
    <row r="1118" spans="1:22">
      <c r="A1118" t="s">
        <v>33</v>
      </c>
      <c r="B1118" t="s">
        <v>14</v>
      </c>
      <c r="C1118">
        <v>27</v>
      </c>
      <c r="D1118" t="s">
        <v>22</v>
      </c>
      <c r="E1118" t="s">
        <v>16</v>
      </c>
      <c r="F1118" s="1">
        <v>44197</v>
      </c>
      <c r="G1118">
        <v>9</v>
      </c>
      <c r="H1118">
        <v>9</v>
      </c>
      <c r="I1118">
        <v>11</v>
      </c>
      <c r="J1118">
        <v>2</v>
      </c>
      <c r="K1118">
        <v>0</v>
      </c>
      <c r="L1118">
        <v>669</v>
      </c>
      <c r="M1118">
        <v>45</v>
      </c>
      <c r="N1118" s="1">
        <f t="shared" si="136"/>
        <v>44938</v>
      </c>
      <c r="O1118" s="1">
        <f t="shared" si="137"/>
        <v>43101</v>
      </c>
      <c r="P1118" s="1">
        <f t="shared" si="138"/>
        <v>44197</v>
      </c>
      <c r="Q1118" s="8">
        <f t="shared" si="139"/>
        <v>0</v>
      </c>
      <c r="R1118" s="8">
        <f t="shared" si="140"/>
        <v>37</v>
      </c>
      <c r="S1118" s="8">
        <f t="shared" ca="1" si="141"/>
        <v>37</v>
      </c>
      <c r="T1118">
        <f t="shared" ca="1" si="142"/>
        <v>8.8455051998804919</v>
      </c>
      <c r="U1118" s="8">
        <f t="shared" ca="1" si="143"/>
        <v>1.0025534310170712</v>
      </c>
      <c r="V1118" s="8">
        <f ca="1">RawData[[#This Row],[Z (smoothed demand size)]]/RawData[[#This Row],[X (smoothed interval)]]</f>
        <v>8.8229763384350459</v>
      </c>
    </row>
    <row r="1119" spans="1:22">
      <c r="A1119" t="s">
        <v>33</v>
      </c>
      <c r="B1119" t="s">
        <v>14</v>
      </c>
      <c r="C1119">
        <v>27</v>
      </c>
      <c r="D1119" t="s">
        <v>22</v>
      </c>
      <c r="E1119" t="s">
        <v>16</v>
      </c>
      <c r="F1119" s="1">
        <v>44198</v>
      </c>
      <c r="G1119">
        <v>8</v>
      </c>
      <c r="H1119">
        <v>2</v>
      </c>
      <c r="I1119">
        <v>2</v>
      </c>
      <c r="J1119">
        <v>0</v>
      </c>
      <c r="K1119">
        <v>1</v>
      </c>
      <c r="L1119">
        <v>671</v>
      </c>
      <c r="M1119">
        <v>60</v>
      </c>
      <c r="N1119" s="1">
        <f t="shared" si="136"/>
        <v>44938</v>
      </c>
      <c r="O1119" s="1">
        <f t="shared" si="137"/>
        <v>43101</v>
      </c>
      <c r="P1119" s="1">
        <f t="shared" si="138"/>
        <v>44228</v>
      </c>
      <c r="Q1119" s="8">
        <f t="shared" si="139"/>
        <v>0</v>
      </c>
      <c r="R1119" s="8">
        <f t="shared" si="140"/>
        <v>38</v>
      </c>
      <c r="S1119" s="8">
        <f t="shared" ca="1" si="141"/>
        <v>38</v>
      </c>
      <c r="T1119">
        <f t="shared" ca="1" si="142"/>
        <v>8.6764041599043935</v>
      </c>
      <c r="U1119" s="8">
        <f t="shared" ca="1" si="143"/>
        <v>1.0020427448136571</v>
      </c>
      <c r="V1119" s="8">
        <f ca="1">RawData[[#This Row],[Z (smoothed demand size)]]/RawData[[#This Row],[X (smoothed interval)]]</f>
        <v>8.6587166114534213</v>
      </c>
    </row>
    <row r="1120" spans="1:22">
      <c r="A1120" t="s">
        <v>33</v>
      </c>
      <c r="B1120" t="s">
        <v>14</v>
      </c>
      <c r="C1120">
        <v>27</v>
      </c>
      <c r="D1120" t="s">
        <v>22</v>
      </c>
      <c r="E1120" t="s">
        <v>16</v>
      </c>
      <c r="F1120" s="1">
        <v>44199</v>
      </c>
      <c r="G1120">
        <v>8</v>
      </c>
      <c r="H1120">
        <v>7</v>
      </c>
      <c r="I1120">
        <v>7</v>
      </c>
      <c r="J1120">
        <v>0</v>
      </c>
      <c r="K1120">
        <v>1</v>
      </c>
      <c r="L1120">
        <v>674</v>
      </c>
      <c r="M1120">
        <v>60</v>
      </c>
      <c r="N1120" s="1">
        <f t="shared" si="136"/>
        <v>44938</v>
      </c>
      <c r="O1120" s="1">
        <f t="shared" si="137"/>
        <v>43101</v>
      </c>
      <c r="P1120" s="1">
        <f t="shared" si="138"/>
        <v>44256</v>
      </c>
      <c r="Q1120" s="8">
        <f t="shared" si="139"/>
        <v>0</v>
      </c>
      <c r="R1120" s="8">
        <f t="shared" si="140"/>
        <v>39</v>
      </c>
      <c r="S1120" s="8">
        <f t="shared" ca="1" si="141"/>
        <v>39</v>
      </c>
      <c r="T1120">
        <f t="shared" ca="1" si="142"/>
        <v>8.5411233279235148</v>
      </c>
      <c r="U1120" s="8">
        <f t="shared" ca="1" si="143"/>
        <v>1.0016341958509256</v>
      </c>
      <c r="V1120" s="8">
        <f ca="1">RawData[[#This Row],[Z (smoothed demand size)]]/RawData[[#This Row],[X (smoothed interval)]]</f>
        <v>8.5271882322942378</v>
      </c>
    </row>
    <row r="1121" spans="1:22">
      <c r="A1121" t="s">
        <v>33</v>
      </c>
      <c r="B1121" t="s">
        <v>14</v>
      </c>
      <c r="C1121">
        <v>27</v>
      </c>
      <c r="D1121" t="s">
        <v>22</v>
      </c>
      <c r="E1121" t="s">
        <v>16</v>
      </c>
      <c r="F1121" s="1">
        <v>44200</v>
      </c>
      <c r="G1121">
        <v>8</v>
      </c>
      <c r="H1121">
        <v>0</v>
      </c>
      <c r="I1121">
        <v>0</v>
      </c>
      <c r="J1121">
        <v>0</v>
      </c>
      <c r="K1121">
        <v>1</v>
      </c>
      <c r="L1121">
        <v>678</v>
      </c>
      <c r="M1121">
        <v>30</v>
      </c>
      <c r="N1121" s="1">
        <f t="shared" si="136"/>
        <v>44938</v>
      </c>
      <c r="O1121" s="1">
        <f t="shared" si="137"/>
        <v>43101</v>
      </c>
      <c r="P1121" s="1">
        <f t="shared" si="138"/>
        <v>44287</v>
      </c>
      <c r="Q1121" s="8">
        <f t="shared" si="139"/>
        <v>0</v>
      </c>
      <c r="R1121" s="8">
        <f t="shared" si="140"/>
        <v>40</v>
      </c>
      <c r="S1121" s="8">
        <f t="shared" ca="1" si="141"/>
        <v>40</v>
      </c>
      <c r="T1121">
        <f t="shared" ca="1" si="142"/>
        <v>8.4328986623388129</v>
      </c>
      <c r="U1121" s="8">
        <f t="shared" ca="1" si="143"/>
        <v>1.0013073566807404</v>
      </c>
      <c r="V1121" s="8">
        <f ca="1">RawData[[#This Row],[Z (smoothed demand size)]]/RawData[[#This Row],[X (smoothed interval)]]</f>
        <v>8.4218882504701114</v>
      </c>
    </row>
    <row r="1122" spans="1:22">
      <c r="A1122" t="s">
        <v>33</v>
      </c>
      <c r="B1122" t="s">
        <v>14</v>
      </c>
      <c r="C1122">
        <v>27</v>
      </c>
      <c r="D1122" t="s">
        <v>22</v>
      </c>
      <c r="E1122" t="s">
        <v>16</v>
      </c>
      <c r="F1122" s="1">
        <v>44201</v>
      </c>
      <c r="G1122">
        <v>0</v>
      </c>
      <c r="H1122">
        <v>0</v>
      </c>
      <c r="I1122">
        <v>11</v>
      </c>
      <c r="J1122">
        <v>11</v>
      </c>
      <c r="K1122">
        <v>0</v>
      </c>
      <c r="L1122">
        <v>668</v>
      </c>
      <c r="M1122">
        <v>60</v>
      </c>
      <c r="N1122" s="1">
        <f t="shared" si="136"/>
        <v>44938</v>
      </c>
      <c r="O1122" s="1">
        <f t="shared" si="137"/>
        <v>43101</v>
      </c>
      <c r="P1122" s="1">
        <f t="shared" si="138"/>
        <v>44317</v>
      </c>
      <c r="Q1122" s="8">
        <f t="shared" si="139"/>
        <v>0</v>
      </c>
      <c r="R1122" s="8">
        <f t="shared" si="140"/>
        <v>41</v>
      </c>
      <c r="S1122" s="8">
        <f t="shared" ca="1" si="141"/>
        <v>40</v>
      </c>
      <c r="T1122">
        <f t="shared" ca="1" si="142"/>
        <v>8.4328986623388129</v>
      </c>
      <c r="U1122" s="8">
        <f t="shared" ca="1" si="143"/>
        <v>1.0013073566807404</v>
      </c>
      <c r="V1122" s="8">
        <f ca="1">RawData[[#This Row],[Z (smoothed demand size)]]/RawData[[#This Row],[X (smoothed interval)]]</f>
        <v>8.4218882504701114</v>
      </c>
    </row>
    <row r="1123" spans="1:22">
      <c r="A1123" t="s">
        <v>33</v>
      </c>
      <c r="B1123" t="s">
        <v>14</v>
      </c>
      <c r="C1123">
        <v>27</v>
      </c>
      <c r="D1123" t="s">
        <v>22</v>
      </c>
      <c r="E1123" t="s">
        <v>16</v>
      </c>
      <c r="F1123" s="1">
        <v>44202</v>
      </c>
      <c r="G1123">
        <v>9</v>
      </c>
      <c r="H1123">
        <v>9</v>
      </c>
      <c r="I1123">
        <v>11</v>
      </c>
      <c r="J1123">
        <v>2</v>
      </c>
      <c r="K1123">
        <v>0</v>
      </c>
      <c r="L1123">
        <v>777</v>
      </c>
      <c r="M1123">
        <v>30</v>
      </c>
      <c r="N1123" s="1">
        <f t="shared" si="136"/>
        <v>44938</v>
      </c>
      <c r="O1123" s="1">
        <f t="shared" si="137"/>
        <v>43101</v>
      </c>
      <c r="P1123" s="1">
        <f t="shared" si="138"/>
        <v>44348</v>
      </c>
      <c r="Q1123" s="8">
        <f t="shared" si="139"/>
        <v>0</v>
      </c>
      <c r="R1123" s="8">
        <f t="shared" si="140"/>
        <v>42</v>
      </c>
      <c r="S1123" s="8">
        <f t="shared" ca="1" si="141"/>
        <v>42</v>
      </c>
      <c r="T1123">
        <f t="shared" ca="1" si="142"/>
        <v>8.5463189298710507</v>
      </c>
      <c r="U1123" s="8">
        <f t="shared" ca="1" si="143"/>
        <v>1.2010458853445924</v>
      </c>
      <c r="V1123" s="8">
        <f ca="1">RawData[[#This Row],[Z (smoothed demand size)]]/RawData[[#This Row],[X (smoothed interval)]]</f>
        <v>7.1157305762877021</v>
      </c>
    </row>
    <row r="1124" spans="1:22">
      <c r="A1124" t="s">
        <v>33</v>
      </c>
      <c r="B1124" t="s">
        <v>14</v>
      </c>
      <c r="C1124">
        <v>27</v>
      </c>
      <c r="D1124" t="s">
        <v>22</v>
      </c>
      <c r="E1124" t="s">
        <v>16</v>
      </c>
      <c r="F1124" s="1">
        <v>44203</v>
      </c>
      <c r="G1124">
        <v>12</v>
      </c>
      <c r="H1124">
        <v>12</v>
      </c>
      <c r="I1124">
        <v>13</v>
      </c>
      <c r="J1124">
        <v>1</v>
      </c>
      <c r="K1124">
        <v>0</v>
      </c>
      <c r="L1124">
        <v>779</v>
      </c>
      <c r="M1124">
        <v>45</v>
      </c>
      <c r="N1124" s="1">
        <f t="shared" si="136"/>
        <v>44938</v>
      </c>
      <c r="O1124" s="1">
        <f t="shared" si="137"/>
        <v>43101</v>
      </c>
      <c r="P1124" s="1">
        <f t="shared" si="138"/>
        <v>44378</v>
      </c>
      <c r="Q1124" s="8">
        <f t="shared" si="139"/>
        <v>0</v>
      </c>
      <c r="R1124" s="8">
        <f t="shared" si="140"/>
        <v>43</v>
      </c>
      <c r="S1124" s="8">
        <f t="shared" ca="1" si="141"/>
        <v>43</v>
      </c>
      <c r="T1124">
        <f t="shared" ca="1" si="142"/>
        <v>9.2370551438968409</v>
      </c>
      <c r="U1124" s="8">
        <f t="shared" ca="1" si="143"/>
        <v>1.1608367082756741</v>
      </c>
      <c r="V1124" s="8">
        <f ca="1">RawData[[#This Row],[Z (smoothed demand size)]]/RawData[[#This Row],[X (smoothed interval)]]</f>
        <v>7.9572390139330746</v>
      </c>
    </row>
    <row r="1125" spans="1:22">
      <c r="A1125" t="s">
        <v>33</v>
      </c>
      <c r="B1125" t="s">
        <v>14</v>
      </c>
      <c r="C1125">
        <v>27</v>
      </c>
      <c r="D1125" t="s">
        <v>22</v>
      </c>
      <c r="E1125" t="s">
        <v>16</v>
      </c>
      <c r="F1125" s="1">
        <v>44204</v>
      </c>
      <c r="G1125">
        <v>9</v>
      </c>
      <c r="H1125">
        <v>1</v>
      </c>
      <c r="I1125">
        <v>1</v>
      </c>
      <c r="J1125">
        <v>0</v>
      </c>
      <c r="K1125">
        <v>1</v>
      </c>
      <c r="L1125">
        <v>783</v>
      </c>
      <c r="M1125">
        <v>60</v>
      </c>
      <c r="N1125" s="1">
        <f t="shared" si="136"/>
        <v>44938</v>
      </c>
      <c r="O1125" s="1">
        <f t="shared" si="137"/>
        <v>43101</v>
      </c>
      <c r="P1125" s="1">
        <f t="shared" si="138"/>
        <v>44409</v>
      </c>
      <c r="Q1125" s="8">
        <f t="shared" si="139"/>
        <v>0</v>
      </c>
      <c r="R1125" s="8">
        <f t="shared" si="140"/>
        <v>44</v>
      </c>
      <c r="S1125" s="8">
        <f t="shared" ca="1" si="141"/>
        <v>44</v>
      </c>
      <c r="T1125">
        <f t="shared" ca="1" si="142"/>
        <v>9.1896441151174741</v>
      </c>
      <c r="U1125" s="8">
        <f t="shared" ca="1" si="143"/>
        <v>1.1286693666205394</v>
      </c>
      <c r="V1125" s="8">
        <f ca="1">RawData[[#This Row],[Z (smoothed demand size)]]/RawData[[#This Row],[X (smoothed interval)]]</f>
        <v>8.142016065017426</v>
      </c>
    </row>
    <row r="1126" spans="1:22">
      <c r="A1126" t="s">
        <v>33</v>
      </c>
      <c r="B1126" t="s">
        <v>14</v>
      </c>
      <c r="C1126">
        <v>27</v>
      </c>
      <c r="D1126" t="s">
        <v>22</v>
      </c>
      <c r="E1126" t="s">
        <v>16</v>
      </c>
      <c r="F1126" s="1">
        <v>44205</v>
      </c>
      <c r="G1126">
        <v>5</v>
      </c>
      <c r="H1126">
        <v>5</v>
      </c>
      <c r="I1126">
        <v>10</v>
      </c>
      <c r="J1126">
        <v>5</v>
      </c>
      <c r="K1126">
        <v>0</v>
      </c>
      <c r="L1126">
        <v>683</v>
      </c>
      <c r="M1126">
        <v>15</v>
      </c>
      <c r="N1126" s="1">
        <f t="shared" si="136"/>
        <v>44938</v>
      </c>
      <c r="O1126" s="1">
        <f t="shared" si="137"/>
        <v>43101</v>
      </c>
      <c r="P1126" s="1">
        <f t="shared" si="138"/>
        <v>44440</v>
      </c>
      <c r="Q1126" s="8">
        <f t="shared" si="139"/>
        <v>0</v>
      </c>
      <c r="R1126" s="8">
        <f t="shared" si="140"/>
        <v>45</v>
      </c>
      <c r="S1126" s="8">
        <f t="shared" ca="1" si="141"/>
        <v>45</v>
      </c>
      <c r="T1126">
        <f t="shared" ca="1" si="142"/>
        <v>8.3517152920939797</v>
      </c>
      <c r="U1126" s="8">
        <f t="shared" ca="1" si="143"/>
        <v>1.1029354932964315</v>
      </c>
      <c r="V1126" s="8">
        <f ca="1">RawData[[#This Row],[Z (smoothed demand size)]]/RawData[[#This Row],[X (smoothed interval)]]</f>
        <v>7.5722608827580116</v>
      </c>
    </row>
    <row r="1127" spans="1:22">
      <c r="A1127" t="s">
        <v>33</v>
      </c>
      <c r="B1127" t="s">
        <v>14</v>
      </c>
      <c r="C1127">
        <v>27</v>
      </c>
      <c r="D1127" t="s">
        <v>22</v>
      </c>
      <c r="E1127" t="s">
        <v>16</v>
      </c>
      <c r="F1127" s="1">
        <v>44206</v>
      </c>
      <c r="G1127">
        <v>13</v>
      </c>
      <c r="H1127">
        <v>12</v>
      </c>
      <c r="I1127">
        <v>12</v>
      </c>
      <c r="J1127">
        <v>0</v>
      </c>
      <c r="K1127">
        <v>1</v>
      </c>
      <c r="L1127">
        <v>682</v>
      </c>
      <c r="M1127">
        <v>45</v>
      </c>
      <c r="N1127" s="1">
        <f t="shared" si="136"/>
        <v>44938</v>
      </c>
      <c r="O1127" s="1">
        <f t="shared" si="137"/>
        <v>43101</v>
      </c>
      <c r="P1127" s="1">
        <f t="shared" si="138"/>
        <v>44470</v>
      </c>
      <c r="Q1127" s="8">
        <f t="shared" si="139"/>
        <v>0</v>
      </c>
      <c r="R1127" s="8">
        <f t="shared" si="140"/>
        <v>46</v>
      </c>
      <c r="S1127" s="8">
        <f t="shared" ca="1" si="141"/>
        <v>46</v>
      </c>
      <c r="T1127">
        <f t="shared" ca="1" si="142"/>
        <v>9.2813722336751834</v>
      </c>
      <c r="U1127" s="8">
        <f t="shared" ca="1" si="143"/>
        <v>1.0823483946371453</v>
      </c>
      <c r="V1127" s="8">
        <f ca="1">RawData[[#This Row],[Z (smoothed demand size)]]/RawData[[#This Row],[X (smoothed interval)]]</f>
        <v>8.5752168891854286</v>
      </c>
    </row>
    <row r="1128" spans="1:22">
      <c r="A1128" t="s">
        <v>33</v>
      </c>
      <c r="B1128" t="s">
        <v>14</v>
      </c>
      <c r="C1128">
        <v>27</v>
      </c>
      <c r="D1128" t="s">
        <v>22</v>
      </c>
      <c r="E1128" t="s">
        <v>16</v>
      </c>
      <c r="F1128" s="1">
        <v>44207</v>
      </c>
      <c r="G1128">
        <v>5</v>
      </c>
      <c r="H1128">
        <v>0</v>
      </c>
      <c r="I1128">
        <v>0</v>
      </c>
      <c r="J1128">
        <v>0</v>
      </c>
      <c r="K1128">
        <v>1</v>
      </c>
      <c r="L1128">
        <v>691</v>
      </c>
      <c r="M1128">
        <v>30</v>
      </c>
      <c r="N1128" s="1">
        <f t="shared" si="136"/>
        <v>44938</v>
      </c>
      <c r="O1128" s="1">
        <f t="shared" si="137"/>
        <v>43101</v>
      </c>
      <c r="P1128" s="1">
        <f t="shared" si="138"/>
        <v>44501</v>
      </c>
      <c r="Q1128" s="8">
        <f t="shared" si="139"/>
        <v>0</v>
      </c>
      <c r="R1128" s="8">
        <f t="shared" si="140"/>
        <v>47</v>
      </c>
      <c r="S1128" s="8">
        <f t="shared" ca="1" si="141"/>
        <v>47</v>
      </c>
      <c r="T1128">
        <f t="shared" ca="1" si="142"/>
        <v>8.425097786940146</v>
      </c>
      <c r="U1128" s="8">
        <f t="shared" ca="1" si="143"/>
        <v>1.0658787157097163</v>
      </c>
      <c r="V1128" s="8">
        <f ca="1">RawData[[#This Row],[Z (smoothed demand size)]]/RawData[[#This Row],[X (smoothed interval)]]</f>
        <v>7.904368163811478</v>
      </c>
    </row>
    <row r="1129" spans="1:22">
      <c r="A1129" t="s">
        <v>33</v>
      </c>
      <c r="B1129" t="s">
        <v>14</v>
      </c>
      <c r="C1129">
        <v>27</v>
      </c>
      <c r="D1129" t="s">
        <v>22</v>
      </c>
      <c r="E1129" t="s">
        <v>16</v>
      </c>
      <c r="F1129" s="1">
        <v>44208</v>
      </c>
      <c r="G1129">
        <v>6</v>
      </c>
      <c r="H1129">
        <v>6</v>
      </c>
      <c r="I1129">
        <v>11</v>
      </c>
      <c r="J1129">
        <v>5</v>
      </c>
      <c r="K1129">
        <v>0</v>
      </c>
      <c r="L1129">
        <v>789</v>
      </c>
      <c r="M1129">
        <v>45</v>
      </c>
      <c r="N1129" s="1">
        <f t="shared" si="136"/>
        <v>44938</v>
      </c>
      <c r="O1129" s="1">
        <f t="shared" si="137"/>
        <v>43101</v>
      </c>
      <c r="P1129" s="1">
        <f t="shared" si="138"/>
        <v>44531</v>
      </c>
      <c r="Q1129" s="8">
        <f t="shared" si="139"/>
        <v>0</v>
      </c>
      <c r="R1129" s="8">
        <f t="shared" si="140"/>
        <v>48</v>
      </c>
      <c r="S1129" s="8">
        <f t="shared" ca="1" si="141"/>
        <v>48</v>
      </c>
      <c r="T1129">
        <f t="shared" ca="1" si="142"/>
        <v>7.9400782295521175</v>
      </c>
      <c r="U1129" s="8">
        <f t="shared" ca="1" si="143"/>
        <v>1.052702972567773</v>
      </c>
      <c r="V1129" s="8">
        <f ca="1">RawData[[#This Row],[Z (smoothed demand size)]]/RawData[[#This Row],[X (smoothed interval)]]</f>
        <v>7.542562751755634</v>
      </c>
    </row>
    <row r="1130" spans="1:22">
      <c r="A1130" t="s">
        <v>33</v>
      </c>
      <c r="B1130" t="s">
        <v>14</v>
      </c>
      <c r="C1130">
        <v>27</v>
      </c>
      <c r="D1130" t="s">
        <v>22</v>
      </c>
      <c r="E1130" t="s">
        <v>16</v>
      </c>
      <c r="F1130" s="1">
        <v>44562</v>
      </c>
      <c r="G1130">
        <v>8</v>
      </c>
      <c r="H1130">
        <v>5</v>
      </c>
      <c r="I1130">
        <v>5</v>
      </c>
      <c r="J1130">
        <v>0</v>
      </c>
      <c r="K1130">
        <v>1</v>
      </c>
      <c r="L1130">
        <v>678</v>
      </c>
      <c r="M1130">
        <v>45</v>
      </c>
      <c r="N1130" s="1">
        <f t="shared" si="136"/>
        <v>44938</v>
      </c>
      <c r="O1130" s="1">
        <f t="shared" si="137"/>
        <v>43101</v>
      </c>
      <c r="P1130" s="1">
        <f t="shared" si="138"/>
        <v>44562</v>
      </c>
      <c r="Q1130" s="8">
        <f t="shared" si="139"/>
        <v>0</v>
      </c>
      <c r="R1130" s="8">
        <f t="shared" si="140"/>
        <v>49</v>
      </c>
      <c r="S1130" s="8">
        <f t="shared" ca="1" si="141"/>
        <v>49</v>
      </c>
      <c r="T1130">
        <f t="shared" ca="1" si="142"/>
        <v>7.9520625836416947</v>
      </c>
      <c r="U1130" s="8">
        <f t="shared" ca="1" si="143"/>
        <v>1.0421623780542184</v>
      </c>
      <c r="V1130" s="8">
        <f ca="1">RawData[[#This Row],[Z (smoothed demand size)]]/RawData[[#This Row],[X (smoothed interval)]]</f>
        <v>7.6303489274758576</v>
      </c>
    </row>
    <row r="1131" spans="1:22">
      <c r="A1131" t="s">
        <v>33</v>
      </c>
      <c r="B1131" t="s">
        <v>14</v>
      </c>
      <c r="C1131">
        <v>27</v>
      </c>
      <c r="D1131" t="s">
        <v>22</v>
      </c>
      <c r="E1131" t="s">
        <v>16</v>
      </c>
      <c r="F1131" s="1">
        <v>44563</v>
      </c>
      <c r="G1131">
        <v>11</v>
      </c>
      <c r="H1131">
        <v>11</v>
      </c>
      <c r="I1131">
        <v>12</v>
      </c>
      <c r="J1131">
        <v>1</v>
      </c>
      <c r="K1131">
        <v>0</v>
      </c>
      <c r="L1131">
        <v>670</v>
      </c>
      <c r="M1131">
        <v>15</v>
      </c>
      <c r="N1131" s="1">
        <f t="shared" si="136"/>
        <v>44938</v>
      </c>
      <c r="O1131" s="1">
        <f t="shared" si="137"/>
        <v>43101</v>
      </c>
      <c r="P1131" s="1">
        <f t="shared" si="138"/>
        <v>44593</v>
      </c>
      <c r="Q1131" s="8">
        <f t="shared" si="139"/>
        <v>0</v>
      </c>
      <c r="R1131" s="8">
        <f t="shared" si="140"/>
        <v>50</v>
      </c>
      <c r="S1131" s="8">
        <f t="shared" ca="1" si="141"/>
        <v>50</v>
      </c>
      <c r="T1131">
        <f t="shared" ca="1" si="142"/>
        <v>8.5616500669133551</v>
      </c>
      <c r="U1131" s="8">
        <f t="shared" ca="1" si="143"/>
        <v>1.0337299024433748</v>
      </c>
      <c r="V1131" s="8">
        <f ca="1">RawData[[#This Row],[Z (smoothed demand size)]]/RawData[[#This Row],[X (smoothed interval)]]</f>
        <v>8.2822892582255943</v>
      </c>
    </row>
    <row r="1132" spans="1:22">
      <c r="A1132" t="s">
        <v>33</v>
      </c>
      <c r="B1132" t="s">
        <v>14</v>
      </c>
      <c r="C1132">
        <v>27</v>
      </c>
      <c r="D1132" t="s">
        <v>22</v>
      </c>
      <c r="E1132" t="s">
        <v>16</v>
      </c>
      <c r="F1132" s="1">
        <v>44564</v>
      </c>
      <c r="G1132">
        <v>10</v>
      </c>
      <c r="H1132">
        <v>10</v>
      </c>
      <c r="I1132">
        <v>13</v>
      </c>
      <c r="J1132">
        <v>3</v>
      </c>
      <c r="K1132">
        <v>0</v>
      </c>
      <c r="L1132">
        <v>672</v>
      </c>
      <c r="M1132">
        <v>60</v>
      </c>
      <c r="N1132" s="1">
        <f t="shared" si="136"/>
        <v>44938</v>
      </c>
      <c r="O1132" s="1">
        <f t="shared" si="137"/>
        <v>43101</v>
      </c>
      <c r="P1132" s="1">
        <f t="shared" si="138"/>
        <v>44621</v>
      </c>
      <c r="Q1132" s="8">
        <f t="shared" si="139"/>
        <v>0</v>
      </c>
      <c r="R1132" s="8">
        <f t="shared" si="140"/>
        <v>51</v>
      </c>
      <c r="S1132" s="8">
        <f t="shared" ca="1" si="141"/>
        <v>51</v>
      </c>
      <c r="T1132">
        <f t="shared" ca="1" si="142"/>
        <v>8.8493200535306844</v>
      </c>
      <c r="U1132" s="8">
        <f t="shared" ca="1" si="143"/>
        <v>1.0269839219546999</v>
      </c>
      <c r="V1132" s="8">
        <f ca="1">RawData[[#This Row],[Z (smoothed demand size)]]/RawData[[#This Row],[X (smoothed interval)]]</f>
        <v>8.6168048635926233</v>
      </c>
    </row>
    <row r="1133" spans="1:22">
      <c r="A1133" t="s">
        <v>33</v>
      </c>
      <c r="B1133" t="s">
        <v>14</v>
      </c>
      <c r="C1133">
        <v>27</v>
      </c>
      <c r="D1133" t="s">
        <v>22</v>
      </c>
      <c r="E1133" t="s">
        <v>16</v>
      </c>
      <c r="F1133" s="1">
        <v>44565</v>
      </c>
      <c r="G1133">
        <v>8</v>
      </c>
      <c r="H1133">
        <v>3</v>
      </c>
      <c r="I1133">
        <v>3</v>
      </c>
      <c r="J1133">
        <v>0</v>
      </c>
      <c r="K1133">
        <v>1</v>
      </c>
      <c r="L1133">
        <v>667</v>
      </c>
      <c r="M1133">
        <v>45</v>
      </c>
      <c r="N1133" s="1">
        <f t="shared" si="136"/>
        <v>44938</v>
      </c>
      <c r="O1133" s="1">
        <f t="shared" si="137"/>
        <v>43101</v>
      </c>
      <c r="P1133" s="1">
        <f t="shared" si="138"/>
        <v>44652</v>
      </c>
      <c r="Q1133" s="8">
        <f t="shared" si="139"/>
        <v>0</v>
      </c>
      <c r="R1133" s="8">
        <f t="shared" si="140"/>
        <v>52</v>
      </c>
      <c r="S1133" s="8">
        <f t="shared" ca="1" si="141"/>
        <v>52</v>
      </c>
      <c r="T1133">
        <f t="shared" ca="1" si="142"/>
        <v>8.6794560428245475</v>
      </c>
      <c r="U1133" s="8">
        <f t="shared" ca="1" si="143"/>
        <v>1.02158713756376</v>
      </c>
      <c r="V1133" s="8">
        <f ca="1">RawData[[#This Row],[Z (smoothed demand size)]]/RawData[[#This Row],[X (smoothed interval)]]</f>
        <v>8.4960506291445359</v>
      </c>
    </row>
    <row r="1134" spans="1:22">
      <c r="A1134" t="s">
        <v>33</v>
      </c>
      <c r="B1134" t="s">
        <v>14</v>
      </c>
      <c r="C1134">
        <v>27</v>
      </c>
      <c r="D1134" t="s">
        <v>22</v>
      </c>
      <c r="E1134" t="s">
        <v>16</v>
      </c>
      <c r="F1134" s="1">
        <v>44566</v>
      </c>
      <c r="G1134">
        <v>7</v>
      </c>
      <c r="H1134">
        <v>7</v>
      </c>
      <c r="I1134">
        <v>11</v>
      </c>
      <c r="J1134">
        <v>4</v>
      </c>
      <c r="K1134">
        <v>0</v>
      </c>
      <c r="L1134">
        <v>678</v>
      </c>
      <c r="M1134">
        <v>45</v>
      </c>
      <c r="N1134" s="1">
        <f t="shared" si="136"/>
        <v>44938</v>
      </c>
      <c r="O1134" s="1">
        <f t="shared" si="137"/>
        <v>43101</v>
      </c>
      <c r="P1134" s="1">
        <f t="shared" si="138"/>
        <v>44682</v>
      </c>
      <c r="Q1134" s="8">
        <f t="shared" si="139"/>
        <v>0</v>
      </c>
      <c r="R1134" s="8">
        <f t="shared" si="140"/>
        <v>53</v>
      </c>
      <c r="S1134" s="8">
        <f t="shared" ca="1" si="141"/>
        <v>53</v>
      </c>
      <c r="T1134">
        <f t="shared" ca="1" si="142"/>
        <v>8.343564834259638</v>
      </c>
      <c r="U1134" s="8">
        <f t="shared" ca="1" si="143"/>
        <v>1.017269710051008</v>
      </c>
      <c r="V1134" s="8">
        <f ca="1">RawData[[#This Row],[Z (smoothed demand size)]]/RawData[[#This Row],[X (smoothed interval)]]</f>
        <v>8.2019200530813752</v>
      </c>
    </row>
    <row r="1135" spans="1:22">
      <c r="A1135" t="s">
        <v>33</v>
      </c>
      <c r="B1135" t="s">
        <v>14</v>
      </c>
      <c r="C1135">
        <v>27</v>
      </c>
      <c r="D1135" t="s">
        <v>22</v>
      </c>
      <c r="E1135" t="s">
        <v>16</v>
      </c>
      <c r="F1135" s="1">
        <v>44567</v>
      </c>
      <c r="G1135">
        <v>4</v>
      </c>
      <c r="H1135">
        <v>4</v>
      </c>
      <c r="I1135">
        <v>4</v>
      </c>
      <c r="J1135">
        <v>0</v>
      </c>
      <c r="K1135">
        <v>0</v>
      </c>
      <c r="L1135">
        <v>781</v>
      </c>
      <c r="M1135">
        <v>30</v>
      </c>
      <c r="N1135" s="1">
        <f t="shared" si="136"/>
        <v>44938</v>
      </c>
      <c r="O1135" s="1">
        <f t="shared" si="137"/>
        <v>43101</v>
      </c>
      <c r="P1135" s="1">
        <f t="shared" si="138"/>
        <v>44713</v>
      </c>
      <c r="Q1135" s="8">
        <f t="shared" si="139"/>
        <v>0</v>
      </c>
      <c r="R1135" s="8">
        <f t="shared" si="140"/>
        <v>54</v>
      </c>
      <c r="S1135" s="8">
        <f t="shared" ca="1" si="141"/>
        <v>54</v>
      </c>
      <c r="T1135">
        <f t="shared" ca="1" si="142"/>
        <v>7.4748518674077102</v>
      </c>
      <c r="U1135" s="8">
        <f t="shared" ca="1" si="143"/>
        <v>1.0138157680408064</v>
      </c>
      <c r="V1135" s="8">
        <f ca="1">RawData[[#This Row],[Z (smoothed demand size)]]/RawData[[#This Row],[X (smoothed interval)]]</f>
        <v>7.3729883703158627</v>
      </c>
    </row>
    <row r="1136" spans="1:22">
      <c r="A1136" t="s">
        <v>33</v>
      </c>
      <c r="B1136" t="s">
        <v>14</v>
      </c>
      <c r="C1136">
        <v>27</v>
      </c>
      <c r="D1136" t="s">
        <v>22</v>
      </c>
      <c r="E1136" t="s">
        <v>16</v>
      </c>
      <c r="F1136" s="1">
        <v>44568</v>
      </c>
      <c r="G1136">
        <v>7</v>
      </c>
      <c r="H1136">
        <v>7</v>
      </c>
      <c r="I1136">
        <v>10</v>
      </c>
      <c r="J1136">
        <v>3</v>
      </c>
      <c r="K1136">
        <v>0</v>
      </c>
      <c r="L1136">
        <v>785</v>
      </c>
      <c r="M1136">
        <v>45</v>
      </c>
      <c r="N1136" s="1">
        <f t="shared" si="136"/>
        <v>44938</v>
      </c>
      <c r="O1136" s="1">
        <f t="shared" si="137"/>
        <v>43101</v>
      </c>
      <c r="P1136" s="1">
        <f t="shared" si="138"/>
        <v>44743</v>
      </c>
      <c r="Q1136" s="8">
        <f t="shared" si="139"/>
        <v>0</v>
      </c>
      <c r="R1136" s="8">
        <f t="shared" si="140"/>
        <v>55</v>
      </c>
      <c r="S1136" s="8">
        <f t="shared" ca="1" si="141"/>
        <v>55</v>
      </c>
      <c r="T1136">
        <f t="shared" ca="1" si="142"/>
        <v>7.3798814939261685</v>
      </c>
      <c r="U1136" s="8">
        <f t="shared" ca="1" si="143"/>
        <v>1.0110526144326453</v>
      </c>
      <c r="V1136" s="8">
        <f ca="1">RawData[[#This Row],[Z (smoothed demand size)]]/RawData[[#This Row],[X (smoothed interval)]]</f>
        <v>7.2992061823285113</v>
      </c>
    </row>
    <row r="1137" spans="1:22">
      <c r="A1137" t="s">
        <v>33</v>
      </c>
      <c r="B1137" t="s">
        <v>14</v>
      </c>
      <c r="C1137">
        <v>27</v>
      </c>
      <c r="D1137" t="s">
        <v>22</v>
      </c>
      <c r="E1137" t="s">
        <v>16</v>
      </c>
      <c r="F1137" s="1">
        <v>44569</v>
      </c>
      <c r="G1137">
        <v>12</v>
      </c>
      <c r="H1137">
        <v>3</v>
      </c>
      <c r="I1137">
        <v>3</v>
      </c>
      <c r="J1137">
        <v>0</v>
      </c>
      <c r="K1137">
        <v>1</v>
      </c>
      <c r="L1137">
        <v>780</v>
      </c>
      <c r="M1137">
        <v>60</v>
      </c>
      <c r="N1137" s="1">
        <f t="shared" si="136"/>
        <v>44938</v>
      </c>
      <c r="O1137" s="1">
        <f t="shared" si="137"/>
        <v>43101</v>
      </c>
      <c r="P1137" s="1">
        <f t="shared" si="138"/>
        <v>44774</v>
      </c>
      <c r="Q1137" s="8">
        <f t="shared" si="139"/>
        <v>0</v>
      </c>
      <c r="R1137" s="8">
        <f t="shared" si="140"/>
        <v>56</v>
      </c>
      <c r="S1137" s="8">
        <f t="shared" ca="1" si="141"/>
        <v>56</v>
      </c>
      <c r="T1137">
        <f t="shared" ca="1" si="142"/>
        <v>8.3039051951409348</v>
      </c>
      <c r="U1137" s="8">
        <f t="shared" ca="1" si="143"/>
        <v>1.0088420915461163</v>
      </c>
      <c r="V1137" s="8">
        <f ca="1">RawData[[#This Row],[Z (smoothed demand size)]]/RawData[[#This Row],[X (smoothed interval)]]</f>
        <v>8.2311248358151463</v>
      </c>
    </row>
    <row r="1138" spans="1:22">
      <c r="A1138" t="s">
        <v>33</v>
      </c>
      <c r="B1138" t="s">
        <v>14</v>
      </c>
      <c r="C1138">
        <v>27</v>
      </c>
      <c r="D1138" t="s">
        <v>22</v>
      </c>
      <c r="E1138" t="s">
        <v>16</v>
      </c>
      <c r="F1138" s="1">
        <v>44570</v>
      </c>
      <c r="G1138">
        <v>6</v>
      </c>
      <c r="H1138">
        <v>6</v>
      </c>
      <c r="I1138">
        <v>10</v>
      </c>
      <c r="J1138">
        <v>4</v>
      </c>
      <c r="K1138">
        <v>0</v>
      </c>
      <c r="L1138">
        <v>684</v>
      </c>
      <c r="M1138">
        <v>60</v>
      </c>
      <c r="N1138" s="1">
        <f t="shared" si="136"/>
        <v>44938</v>
      </c>
      <c r="O1138" s="1">
        <f t="shared" si="137"/>
        <v>43101</v>
      </c>
      <c r="P1138" s="1">
        <f t="shared" si="138"/>
        <v>44805</v>
      </c>
      <c r="Q1138" s="8">
        <f t="shared" si="139"/>
        <v>0</v>
      </c>
      <c r="R1138" s="8">
        <f t="shared" si="140"/>
        <v>57</v>
      </c>
      <c r="S1138" s="8">
        <f t="shared" ca="1" si="141"/>
        <v>57</v>
      </c>
      <c r="T1138">
        <f t="shared" ca="1" si="142"/>
        <v>7.843124156112748</v>
      </c>
      <c r="U1138" s="8">
        <f t="shared" ca="1" si="143"/>
        <v>1.007073673236893</v>
      </c>
      <c r="V1138" s="8">
        <f ca="1">RawData[[#This Row],[Z (smoothed demand size)]]/RawData[[#This Row],[X (smoothed interval)]]</f>
        <v>7.788034147396302</v>
      </c>
    </row>
    <row r="1139" spans="1:22">
      <c r="A1139" t="s">
        <v>33</v>
      </c>
      <c r="B1139" t="s">
        <v>14</v>
      </c>
      <c r="C1139">
        <v>27</v>
      </c>
      <c r="D1139" t="s">
        <v>22</v>
      </c>
      <c r="E1139" t="s">
        <v>16</v>
      </c>
      <c r="F1139" s="1">
        <v>44571</v>
      </c>
      <c r="G1139">
        <v>6</v>
      </c>
      <c r="H1139">
        <v>4</v>
      </c>
      <c r="I1139">
        <v>4</v>
      </c>
      <c r="J1139">
        <v>0</v>
      </c>
      <c r="K1139">
        <v>1</v>
      </c>
      <c r="L1139">
        <v>684</v>
      </c>
      <c r="M1139">
        <v>60</v>
      </c>
      <c r="N1139" s="1">
        <f t="shared" si="136"/>
        <v>44938</v>
      </c>
      <c r="O1139" s="1">
        <f t="shared" si="137"/>
        <v>43101</v>
      </c>
      <c r="P1139" s="1">
        <f t="shared" si="138"/>
        <v>44835</v>
      </c>
      <c r="Q1139" s="8">
        <f t="shared" si="139"/>
        <v>0</v>
      </c>
      <c r="R1139" s="8">
        <f t="shared" si="140"/>
        <v>58</v>
      </c>
      <c r="S1139" s="8">
        <f t="shared" ca="1" si="141"/>
        <v>58</v>
      </c>
      <c r="T1139">
        <f t="shared" ca="1" si="142"/>
        <v>7.474499324890199</v>
      </c>
      <c r="U1139" s="8">
        <f t="shared" ca="1" si="143"/>
        <v>1.0056589385895145</v>
      </c>
      <c r="V1139" s="8">
        <f ca="1">RawData[[#This Row],[Z (smoothed demand size)]]/RawData[[#This Row],[X (smoothed interval)]]</f>
        <v>7.4324396055918793</v>
      </c>
    </row>
    <row r="1140" spans="1:22">
      <c r="A1140" t="s">
        <v>33</v>
      </c>
      <c r="B1140" t="s">
        <v>14</v>
      </c>
      <c r="C1140">
        <v>27</v>
      </c>
      <c r="D1140" t="s">
        <v>22</v>
      </c>
      <c r="E1140" t="s">
        <v>16</v>
      </c>
      <c r="F1140" s="1">
        <v>44572</v>
      </c>
      <c r="G1140">
        <v>6</v>
      </c>
      <c r="H1140">
        <v>6</v>
      </c>
      <c r="I1140">
        <v>11</v>
      </c>
      <c r="J1140">
        <v>5</v>
      </c>
      <c r="K1140">
        <v>0</v>
      </c>
      <c r="L1140">
        <v>670</v>
      </c>
      <c r="M1140">
        <v>30</v>
      </c>
      <c r="N1140" s="1">
        <f t="shared" si="136"/>
        <v>44938</v>
      </c>
      <c r="O1140" s="1">
        <f t="shared" si="137"/>
        <v>43101</v>
      </c>
      <c r="P1140" s="1">
        <f t="shared" si="138"/>
        <v>44866</v>
      </c>
      <c r="Q1140" s="8">
        <f t="shared" si="139"/>
        <v>0</v>
      </c>
      <c r="R1140" s="8">
        <f t="shared" si="140"/>
        <v>59</v>
      </c>
      <c r="S1140" s="8">
        <f t="shared" ca="1" si="141"/>
        <v>59</v>
      </c>
      <c r="T1140">
        <f t="shared" ca="1" si="142"/>
        <v>7.1795994599121595</v>
      </c>
      <c r="U1140" s="8">
        <f t="shared" ca="1" si="143"/>
        <v>1.0045271508716116</v>
      </c>
      <c r="V1140" s="8">
        <f ca="1">RawData[[#This Row],[Z (smoothed demand size)]]/RawData[[#This Row],[X (smoothed interval)]]</f>
        <v>7.1472428133799468</v>
      </c>
    </row>
    <row r="1141" spans="1:22">
      <c r="A1141" t="s">
        <v>33</v>
      </c>
      <c r="B1141" t="s">
        <v>14</v>
      </c>
      <c r="C1141">
        <v>27</v>
      </c>
      <c r="D1141" t="s">
        <v>22</v>
      </c>
      <c r="E1141" t="s">
        <v>16</v>
      </c>
      <c r="F1141" s="1">
        <v>44573</v>
      </c>
      <c r="G1141">
        <v>9</v>
      </c>
      <c r="H1141">
        <v>9</v>
      </c>
      <c r="I1141">
        <v>16</v>
      </c>
      <c r="J1141">
        <v>7</v>
      </c>
      <c r="K1141">
        <v>0</v>
      </c>
      <c r="L1141">
        <v>774</v>
      </c>
      <c r="M1141">
        <v>30</v>
      </c>
      <c r="N1141" s="1">
        <f t="shared" si="136"/>
        <v>44938</v>
      </c>
      <c r="O1141" s="1">
        <f t="shared" si="137"/>
        <v>43101</v>
      </c>
      <c r="P1141" s="1">
        <f t="shared" si="138"/>
        <v>44896</v>
      </c>
      <c r="Q1141" s="8">
        <f t="shared" si="139"/>
        <v>0</v>
      </c>
      <c r="R1141" s="8">
        <f t="shared" si="140"/>
        <v>60</v>
      </c>
      <c r="S1141" s="8">
        <f t="shared" ca="1" si="141"/>
        <v>60</v>
      </c>
      <c r="T1141">
        <f t="shared" ca="1" si="142"/>
        <v>7.5436795679297282</v>
      </c>
      <c r="U1141" s="8">
        <f t="shared" ca="1" si="143"/>
        <v>1.0036217206972893</v>
      </c>
      <c r="V1141" s="8">
        <f ca="1">RawData[[#This Row],[Z (smoothed demand size)]]/RawData[[#This Row],[X (smoothed interval)]]</f>
        <v>7.5164570598258704</v>
      </c>
    </row>
    <row r="1142" spans="1:22">
      <c r="A1142" t="s">
        <v>33</v>
      </c>
      <c r="B1142" t="s">
        <v>14</v>
      </c>
      <c r="C1142">
        <v>27</v>
      </c>
      <c r="D1142" t="s">
        <v>22</v>
      </c>
      <c r="E1142" t="s">
        <v>16</v>
      </c>
      <c r="F1142" s="1">
        <v>44927</v>
      </c>
      <c r="G1142">
        <v>8</v>
      </c>
      <c r="H1142">
        <v>8</v>
      </c>
      <c r="I1142">
        <v>18</v>
      </c>
      <c r="J1142">
        <v>10</v>
      </c>
      <c r="K1142">
        <v>0</v>
      </c>
      <c r="L1142">
        <v>675</v>
      </c>
      <c r="M1142">
        <v>30</v>
      </c>
      <c r="N1142" s="1">
        <f t="shared" si="136"/>
        <v>44938</v>
      </c>
      <c r="O1142" s="1">
        <f t="shared" si="137"/>
        <v>43101</v>
      </c>
      <c r="P1142" s="1">
        <f t="shared" si="138"/>
        <v>44927</v>
      </c>
      <c r="Q1142" s="8">
        <f t="shared" si="139"/>
        <v>0</v>
      </c>
      <c r="R1142" s="8">
        <f t="shared" si="140"/>
        <v>61</v>
      </c>
      <c r="S1142" s="8">
        <f t="shared" ca="1" si="141"/>
        <v>61</v>
      </c>
      <c r="T1142">
        <f t="shared" ca="1" si="142"/>
        <v>7.6349436543437825</v>
      </c>
      <c r="U1142" s="8">
        <f t="shared" ca="1" si="143"/>
        <v>1.0028973765578315</v>
      </c>
      <c r="V1142" s="8">
        <f ca="1">RawData[[#This Row],[Z (smoothed demand size)]]/RawData[[#This Row],[X (smoothed interval)]]</f>
        <v>7.6128862561677249</v>
      </c>
    </row>
    <row r="1143" spans="1:22">
      <c r="A1143" t="s">
        <v>33</v>
      </c>
      <c r="B1143" t="s">
        <v>14</v>
      </c>
      <c r="C1143">
        <v>27</v>
      </c>
      <c r="D1143" t="s">
        <v>22</v>
      </c>
      <c r="E1143" t="s">
        <v>16</v>
      </c>
      <c r="F1143" s="1">
        <v>44928</v>
      </c>
      <c r="G1143">
        <v>0</v>
      </c>
      <c r="H1143">
        <v>0</v>
      </c>
      <c r="I1143">
        <v>10</v>
      </c>
      <c r="J1143">
        <v>10</v>
      </c>
      <c r="K1143">
        <v>0</v>
      </c>
      <c r="L1143">
        <v>670</v>
      </c>
      <c r="M1143">
        <v>45</v>
      </c>
      <c r="N1143" s="1">
        <f t="shared" si="136"/>
        <v>44938</v>
      </c>
      <c r="O1143" s="1">
        <f t="shared" si="137"/>
        <v>43101</v>
      </c>
      <c r="P1143" s="1">
        <f t="shared" si="138"/>
        <v>44958</v>
      </c>
      <c r="Q1143" s="8">
        <f t="shared" si="139"/>
        <v>0</v>
      </c>
      <c r="R1143" s="8">
        <f t="shared" si="140"/>
        <v>62</v>
      </c>
      <c r="S1143" s="8">
        <f t="shared" ca="1" si="141"/>
        <v>61</v>
      </c>
      <c r="T1143">
        <f t="shared" ca="1" si="142"/>
        <v>7.6349436543437825</v>
      </c>
      <c r="U1143" s="8">
        <f t="shared" ca="1" si="143"/>
        <v>1.0028973765578315</v>
      </c>
      <c r="V1143" s="8">
        <f ca="1">RawData[[#This Row],[Z (smoothed demand size)]]/RawData[[#This Row],[X (smoothed interval)]]</f>
        <v>7.6128862561677249</v>
      </c>
    </row>
    <row r="1144" spans="1:22">
      <c r="A1144" t="s">
        <v>33</v>
      </c>
      <c r="B1144" t="s">
        <v>14</v>
      </c>
      <c r="C1144">
        <v>27</v>
      </c>
      <c r="D1144" t="s">
        <v>22</v>
      </c>
      <c r="E1144" t="s">
        <v>16</v>
      </c>
      <c r="F1144" s="1">
        <v>44929</v>
      </c>
      <c r="G1144">
        <v>4</v>
      </c>
      <c r="H1144">
        <v>4</v>
      </c>
      <c r="I1144">
        <v>10</v>
      </c>
      <c r="J1144">
        <v>6</v>
      </c>
      <c r="K1144">
        <v>0</v>
      </c>
      <c r="L1144">
        <v>673</v>
      </c>
      <c r="M1144">
        <v>15</v>
      </c>
      <c r="N1144" s="1">
        <f t="shared" si="136"/>
        <v>44938</v>
      </c>
      <c r="O1144" s="1">
        <f t="shared" si="137"/>
        <v>43101</v>
      </c>
      <c r="P1144" s="1">
        <f t="shared" si="138"/>
        <v>44986</v>
      </c>
      <c r="Q1144" s="8">
        <f t="shared" si="139"/>
        <v>0</v>
      </c>
      <c r="R1144" s="8">
        <f t="shared" si="140"/>
        <v>63</v>
      </c>
      <c r="S1144" s="8">
        <f t="shared" ca="1" si="141"/>
        <v>63</v>
      </c>
      <c r="T1144">
        <f t="shared" ca="1" si="142"/>
        <v>6.9079549234750264</v>
      </c>
      <c r="U1144" s="8">
        <f t="shared" ca="1" si="143"/>
        <v>1.2023179012462653</v>
      </c>
      <c r="V1144" s="8">
        <f ca="1">RawData[[#This Row],[Z (smoothed demand size)]]/RawData[[#This Row],[X (smoothed interval)]]</f>
        <v>5.7455311247670604</v>
      </c>
    </row>
    <row r="1145" spans="1:22">
      <c r="A1145" t="s">
        <v>33</v>
      </c>
      <c r="B1145" t="s">
        <v>14</v>
      </c>
      <c r="C1145">
        <v>27</v>
      </c>
      <c r="D1145" t="s">
        <v>22</v>
      </c>
      <c r="E1145" t="s">
        <v>16</v>
      </c>
      <c r="F1145" s="1">
        <v>44930</v>
      </c>
      <c r="G1145">
        <v>3</v>
      </c>
      <c r="H1145">
        <v>3</v>
      </c>
      <c r="I1145">
        <v>17</v>
      </c>
      <c r="J1145">
        <v>14</v>
      </c>
      <c r="K1145">
        <v>0</v>
      </c>
      <c r="L1145">
        <v>677</v>
      </c>
      <c r="M1145">
        <v>30</v>
      </c>
      <c r="N1145" s="1">
        <f t="shared" si="136"/>
        <v>44938</v>
      </c>
      <c r="O1145" s="1">
        <f t="shared" si="137"/>
        <v>43101</v>
      </c>
      <c r="P1145" s="1">
        <f t="shared" si="138"/>
        <v>45017</v>
      </c>
      <c r="Q1145" s="8">
        <f t="shared" si="139"/>
        <v>0</v>
      </c>
      <c r="R1145" s="8">
        <f t="shared" si="140"/>
        <v>64</v>
      </c>
      <c r="S1145" s="8">
        <f t="shared" ca="1" si="141"/>
        <v>64</v>
      </c>
      <c r="T1145">
        <f t="shared" ca="1" si="142"/>
        <v>6.1263639387800222</v>
      </c>
      <c r="U1145" s="8">
        <f t="shared" ca="1" si="143"/>
        <v>1.1618543209970122</v>
      </c>
      <c r="V1145" s="8">
        <f ca="1">RawData[[#This Row],[Z (smoothed demand size)]]/RawData[[#This Row],[X (smoothed interval)]]</f>
        <v>5.2729191845005641</v>
      </c>
    </row>
    <row r="1146" spans="1:22">
      <c r="A1146" t="s">
        <v>33</v>
      </c>
      <c r="B1146" t="s">
        <v>14</v>
      </c>
      <c r="C1146">
        <v>27</v>
      </c>
      <c r="D1146" t="s">
        <v>22</v>
      </c>
      <c r="E1146" t="s">
        <v>16</v>
      </c>
      <c r="F1146" s="1">
        <v>44931</v>
      </c>
      <c r="G1146">
        <v>9</v>
      </c>
      <c r="H1146">
        <v>9</v>
      </c>
      <c r="I1146">
        <v>14</v>
      </c>
      <c r="J1146">
        <v>5</v>
      </c>
      <c r="K1146">
        <v>0</v>
      </c>
      <c r="L1146">
        <v>674</v>
      </c>
      <c r="M1146">
        <v>15</v>
      </c>
      <c r="N1146" s="1">
        <f t="shared" si="136"/>
        <v>44938</v>
      </c>
      <c r="O1146" s="1">
        <f t="shared" si="137"/>
        <v>43101</v>
      </c>
      <c r="P1146" s="1">
        <f t="shared" si="138"/>
        <v>45047</v>
      </c>
      <c r="Q1146" s="8">
        <f t="shared" si="139"/>
        <v>0</v>
      </c>
      <c r="R1146" s="8">
        <f t="shared" si="140"/>
        <v>65</v>
      </c>
      <c r="S1146" s="8">
        <f t="shared" ca="1" si="141"/>
        <v>65</v>
      </c>
      <c r="T1146">
        <f t="shared" ca="1" si="142"/>
        <v>6.7010911510240181</v>
      </c>
      <c r="U1146" s="8">
        <f t="shared" ca="1" si="143"/>
        <v>1.1294834567976098</v>
      </c>
      <c r="V1146" s="8">
        <f ca="1">RawData[[#This Row],[Z (smoothed demand size)]]/RawData[[#This Row],[X (smoothed interval)]]</f>
        <v>5.9328811862578483</v>
      </c>
    </row>
    <row r="1147" spans="1:22">
      <c r="A1147" t="s">
        <v>33</v>
      </c>
      <c r="B1147" t="s">
        <v>14</v>
      </c>
      <c r="C1147">
        <v>27</v>
      </c>
      <c r="D1147" t="s">
        <v>22</v>
      </c>
      <c r="E1147" t="s">
        <v>16</v>
      </c>
      <c r="F1147" s="1">
        <v>44932</v>
      </c>
      <c r="G1147">
        <v>14</v>
      </c>
      <c r="H1147">
        <v>14</v>
      </c>
      <c r="I1147">
        <v>14</v>
      </c>
      <c r="J1147">
        <v>0</v>
      </c>
      <c r="K1147">
        <v>0</v>
      </c>
      <c r="L1147">
        <v>776</v>
      </c>
      <c r="M1147">
        <v>30</v>
      </c>
      <c r="N1147" s="1">
        <f t="shared" si="136"/>
        <v>44938</v>
      </c>
      <c r="O1147" s="1">
        <f t="shared" si="137"/>
        <v>43101</v>
      </c>
      <c r="P1147" s="1">
        <f t="shared" si="138"/>
        <v>45078</v>
      </c>
      <c r="Q1147" s="8">
        <f t="shared" si="139"/>
        <v>0</v>
      </c>
      <c r="R1147" s="8">
        <f t="shared" si="140"/>
        <v>66</v>
      </c>
      <c r="S1147" s="8">
        <f t="shared" ca="1" si="141"/>
        <v>66</v>
      </c>
      <c r="T1147">
        <f t="shared" ca="1" si="142"/>
        <v>8.1608729208192159</v>
      </c>
      <c r="U1147" s="8">
        <f t="shared" ca="1" si="143"/>
        <v>1.1035867654380878</v>
      </c>
      <c r="V1147" s="8">
        <f ca="1">RawData[[#This Row],[Z (smoothed demand size)]]/RawData[[#This Row],[X (smoothed interval)]]</f>
        <v>7.3948629835005466</v>
      </c>
    </row>
    <row r="1148" spans="1:22">
      <c r="A1148" t="s">
        <v>33</v>
      </c>
      <c r="B1148" t="s">
        <v>14</v>
      </c>
      <c r="C1148">
        <v>27</v>
      </c>
      <c r="D1148" t="s">
        <v>22</v>
      </c>
      <c r="E1148" t="s">
        <v>16</v>
      </c>
      <c r="F1148" s="1">
        <v>44933</v>
      </c>
      <c r="G1148">
        <v>12</v>
      </c>
      <c r="H1148">
        <v>7</v>
      </c>
      <c r="I1148">
        <v>7</v>
      </c>
      <c r="J1148">
        <v>0</v>
      </c>
      <c r="K1148">
        <v>1</v>
      </c>
      <c r="L1148">
        <v>769</v>
      </c>
      <c r="M1148">
        <v>45</v>
      </c>
      <c r="N1148" s="1">
        <f t="shared" si="136"/>
        <v>44938</v>
      </c>
      <c r="O1148" s="1">
        <f t="shared" si="137"/>
        <v>43101</v>
      </c>
      <c r="P1148" s="1">
        <f t="shared" si="138"/>
        <v>45108</v>
      </c>
      <c r="Q1148" s="8">
        <f t="shared" si="139"/>
        <v>0</v>
      </c>
      <c r="R1148" s="8">
        <f t="shared" si="140"/>
        <v>67</v>
      </c>
      <c r="S1148" s="8">
        <f t="shared" ca="1" si="141"/>
        <v>67</v>
      </c>
      <c r="T1148">
        <f t="shared" ca="1" si="142"/>
        <v>8.9286983366553727</v>
      </c>
      <c r="U1148" s="8">
        <f t="shared" ca="1" si="143"/>
        <v>1.0828694123504703</v>
      </c>
      <c r="V1148" s="8">
        <f ca="1">RawData[[#This Row],[Z (smoothed demand size)]]/RawData[[#This Row],[X (smoothed interval)]]</f>
        <v>8.2454063572400571</v>
      </c>
    </row>
    <row r="1149" spans="1:22">
      <c r="A1149" t="s">
        <v>33</v>
      </c>
      <c r="B1149" t="s">
        <v>14</v>
      </c>
      <c r="C1149">
        <v>27</v>
      </c>
      <c r="D1149" t="s">
        <v>22</v>
      </c>
      <c r="E1149" t="s">
        <v>16</v>
      </c>
      <c r="F1149" s="1">
        <v>44934</v>
      </c>
      <c r="G1149">
        <v>4</v>
      </c>
      <c r="H1149">
        <v>0</v>
      </c>
      <c r="I1149">
        <v>0</v>
      </c>
      <c r="J1149">
        <v>0</v>
      </c>
      <c r="K1149">
        <v>1</v>
      </c>
      <c r="L1149">
        <v>780</v>
      </c>
      <c r="M1149">
        <v>45</v>
      </c>
      <c r="N1149" s="1">
        <f t="shared" si="136"/>
        <v>44938</v>
      </c>
      <c r="O1149" s="1">
        <f t="shared" si="137"/>
        <v>43101</v>
      </c>
      <c r="P1149" s="1">
        <f t="shared" si="138"/>
        <v>45139</v>
      </c>
      <c r="Q1149" s="8">
        <f t="shared" si="139"/>
        <v>0</v>
      </c>
      <c r="R1149" s="8">
        <f t="shared" si="140"/>
        <v>68</v>
      </c>
      <c r="S1149" s="8">
        <f t="shared" ca="1" si="141"/>
        <v>68</v>
      </c>
      <c r="T1149">
        <f t="shared" ca="1" si="142"/>
        <v>7.9429586693242982</v>
      </c>
      <c r="U1149" s="8">
        <f t="shared" ca="1" si="143"/>
        <v>1.0662955298803762</v>
      </c>
      <c r="V1149" s="8">
        <f ca="1">RawData[[#This Row],[Z (smoothed demand size)]]/RawData[[#This Row],[X (smoothed interval)]]</f>
        <v>7.4491156032656249</v>
      </c>
    </row>
    <row r="1150" spans="1:22">
      <c r="A1150" t="s">
        <v>33</v>
      </c>
      <c r="B1150" t="s">
        <v>14</v>
      </c>
      <c r="C1150">
        <v>27</v>
      </c>
      <c r="D1150" t="s">
        <v>22</v>
      </c>
      <c r="E1150" t="s">
        <v>16</v>
      </c>
      <c r="F1150" s="1">
        <v>44935</v>
      </c>
      <c r="G1150">
        <v>3</v>
      </c>
      <c r="H1150">
        <v>3</v>
      </c>
      <c r="I1150">
        <v>7</v>
      </c>
      <c r="J1150">
        <v>4</v>
      </c>
      <c r="K1150">
        <v>0</v>
      </c>
      <c r="L1150">
        <v>678</v>
      </c>
      <c r="M1150">
        <v>30</v>
      </c>
      <c r="N1150" s="1">
        <f t="shared" si="136"/>
        <v>44938</v>
      </c>
      <c r="O1150" s="1">
        <f t="shared" si="137"/>
        <v>43101</v>
      </c>
      <c r="P1150" s="1">
        <f t="shared" si="138"/>
        <v>45170</v>
      </c>
      <c r="Q1150" s="8">
        <f t="shared" si="139"/>
        <v>0</v>
      </c>
      <c r="R1150" s="8">
        <f t="shared" si="140"/>
        <v>69</v>
      </c>
      <c r="S1150" s="8">
        <f t="shared" ca="1" si="141"/>
        <v>69</v>
      </c>
      <c r="T1150">
        <f t="shared" ca="1" si="142"/>
        <v>6.9543669354594382</v>
      </c>
      <c r="U1150" s="8">
        <f t="shared" ca="1" si="143"/>
        <v>1.0530364239043011</v>
      </c>
      <c r="V1150" s="8">
        <f ca="1">RawData[[#This Row],[Z (smoothed demand size)]]/RawData[[#This Row],[X (smoothed interval)]]</f>
        <v>6.6041086306160333</v>
      </c>
    </row>
    <row r="1151" spans="1:22">
      <c r="A1151" t="s">
        <v>33</v>
      </c>
      <c r="B1151" t="s">
        <v>14</v>
      </c>
      <c r="C1151">
        <v>27</v>
      </c>
      <c r="D1151" t="s">
        <v>22</v>
      </c>
      <c r="E1151" t="s">
        <v>16</v>
      </c>
      <c r="F1151" s="1">
        <v>44936</v>
      </c>
      <c r="G1151">
        <v>7</v>
      </c>
      <c r="H1151">
        <v>7</v>
      </c>
      <c r="I1151">
        <v>14</v>
      </c>
      <c r="J1151">
        <v>7</v>
      </c>
      <c r="K1151">
        <v>0</v>
      </c>
      <c r="L1151">
        <v>670</v>
      </c>
      <c r="M1151">
        <v>15</v>
      </c>
      <c r="N1151" s="1">
        <f t="shared" si="136"/>
        <v>44938</v>
      </c>
      <c r="O1151" s="1">
        <f t="shared" si="137"/>
        <v>43101</v>
      </c>
      <c r="P1151" s="1">
        <f t="shared" si="138"/>
        <v>45200</v>
      </c>
      <c r="Q1151" s="8">
        <f t="shared" si="139"/>
        <v>0</v>
      </c>
      <c r="R1151" s="8">
        <f t="shared" si="140"/>
        <v>70</v>
      </c>
      <c r="S1151" s="8">
        <f t="shared" ca="1" si="141"/>
        <v>70</v>
      </c>
      <c r="T1151">
        <f t="shared" ca="1" si="142"/>
        <v>6.9634935483675511</v>
      </c>
      <c r="U1151" s="8">
        <f t="shared" ca="1" si="143"/>
        <v>1.0424291391234408</v>
      </c>
      <c r="V1151" s="8">
        <f ca="1">RawData[[#This Row],[Z (smoothed demand size)]]/RawData[[#This Row],[X (smoothed interval)]]</f>
        <v>6.6800641760868489</v>
      </c>
    </row>
    <row r="1152" spans="1:22">
      <c r="A1152" t="s">
        <v>33</v>
      </c>
      <c r="B1152" t="s">
        <v>14</v>
      </c>
      <c r="C1152">
        <v>27</v>
      </c>
      <c r="D1152" t="s">
        <v>22</v>
      </c>
      <c r="E1152" t="s">
        <v>16</v>
      </c>
      <c r="F1152" s="1">
        <v>44937</v>
      </c>
      <c r="G1152">
        <v>4</v>
      </c>
      <c r="H1152">
        <v>4</v>
      </c>
      <c r="I1152">
        <v>19</v>
      </c>
      <c r="J1152">
        <v>15</v>
      </c>
      <c r="K1152">
        <v>0</v>
      </c>
      <c r="L1152">
        <v>666</v>
      </c>
      <c r="M1152">
        <v>15</v>
      </c>
      <c r="N1152" s="1">
        <f t="shared" si="136"/>
        <v>44938</v>
      </c>
      <c r="O1152" s="1">
        <f t="shared" si="137"/>
        <v>43101</v>
      </c>
      <c r="P1152" s="1">
        <f t="shared" si="138"/>
        <v>45231</v>
      </c>
      <c r="Q1152" s="8">
        <f t="shared" si="139"/>
        <v>0</v>
      </c>
      <c r="R1152" s="8">
        <f t="shared" si="140"/>
        <v>71</v>
      </c>
      <c r="S1152" s="8">
        <f t="shared" ca="1" si="141"/>
        <v>71</v>
      </c>
      <c r="T1152">
        <f t="shared" ca="1" si="142"/>
        <v>6.3707948386940414</v>
      </c>
      <c r="U1152" s="8">
        <f t="shared" ca="1" si="143"/>
        <v>1.0339433112987526</v>
      </c>
      <c r="V1152" s="8">
        <f ca="1">RawData[[#This Row],[Z (smoothed demand size)]]/RawData[[#This Row],[X (smoothed interval)]]</f>
        <v>6.1616480991511855</v>
      </c>
    </row>
    <row r="1153" spans="1:22">
      <c r="A1153" t="s">
        <v>33</v>
      </c>
      <c r="B1153" t="s">
        <v>14</v>
      </c>
      <c r="C1153">
        <v>27</v>
      </c>
      <c r="D1153" t="s">
        <v>22</v>
      </c>
      <c r="E1153" t="s">
        <v>16</v>
      </c>
      <c r="F1153" s="1">
        <v>44938</v>
      </c>
      <c r="G1153">
        <v>8</v>
      </c>
      <c r="H1153">
        <v>8</v>
      </c>
      <c r="I1153">
        <v>15</v>
      </c>
      <c r="J1153">
        <v>7</v>
      </c>
      <c r="K1153">
        <v>0</v>
      </c>
      <c r="L1153">
        <v>785</v>
      </c>
      <c r="M1153">
        <v>60</v>
      </c>
      <c r="N1153" s="1">
        <f t="shared" si="136"/>
        <v>44938</v>
      </c>
      <c r="O1153" s="1">
        <f t="shared" si="137"/>
        <v>43101</v>
      </c>
      <c r="P1153" s="1">
        <f t="shared" si="138"/>
        <v>45261</v>
      </c>
      <c r="Q1153" s="8">
        <f t="shared" si="139"/>
        <v>0</v>
      </c>
      <c r="R1153" s="8">
        <f t="shared" si="140"/>
        <v>72</v>
      </c>
      <c r="S1153" s="8">
        <f t="shared" ca="1" si="141"/>
        <v>72</v>
      </c>
      <c r="T1153">
        <f t="shared" ca="1" si="142"/>
        <v>6.6966358709552338</v>
      </c>
      <c r="U1153" s="8">
        <f t="shared" ca="1" si="143"/>
        <v>1.0271546490390022</v>
      </c>
      <c r="V1153" s="8">
        <f ca="1">RawData[[#This Row],[Z (smoothed demand size)]]/RawData[[#This Row],[X (smoothed interval)]]</f>
        <v>6.5195984628220822</v>
      </c>
    </row>
    <row r="1154" spans="1:22">
      <c r="A1154" t="s">
        <v>34</v>
      </c>
      <c r="B1154" t="s">
        <v>14</v>
      </c>
      <c r="C1154">
        <v>32</v>
      </c>
      <c r="D1154" t="s">
        <v>22</v>
      </c>
      <c r="E1154" t="s">
        <v>16</v>
      </c>
      <c r="F1154" s="1">
        <v>43101</v>
      </c>
      <c r="G1154">
        <v>7</v>
      </c>
      <c r="H1154">
        <v>7</v>
      </c>
      <c r="I1154">
        <v>29</v>
      </c>
      <c r="J1154">
        <v>22</v>
      </c>
      <c r="K1154">
        <v>0</v>
      </c>
      <c r="L1154">
        <v>635</v>
      </c>
      <c r="M1154">
        <v>60</v>
      </c>
      <c r="N1154" s="1">
        <f t="shared" ref="N1154:N1217" si="144">MAX(F:F)</f>
        <v>44938</v>
      </c>
      <c r="O1154" s="1">
        <f t="shared" ref="O1154:O1217" si="145">MIN(F:F)</f>
        <v>43101</v>
      </c>
      <c r="P1154" s="1">
        <f t="shared" ref="P1154:P1217" si="146">DATE(YEAR(F1154), DAY(F1154), 1)</f>
        <v>43101</v>
      </c>
      <c r="Q1154" s="8">
        <f t="shared" ref="Q1154:Q1217" si="147" xml:space="preserve"> IF(A1154&lt;&gt;A1153, 1, 0)</f>
        <v>1</v>
      </c>
      <c r="R1154" s="8">
        <f t="shared" ref="R1154:R1217" si="148">IF(Q1154=1,1,R1153+1)</f>
        <v>1</v>
      </c>
      <c r="S1154" s="8">
        <f t="shared" ref="S1154:S1217" ca="1" si="149" xml:space="preserve"> IF(Q1154=1, IF(G1154&gt;0, R1154, 0), IF(G1154&gt;0, R1154, OFFSET(S1154,-1,0)))</f>
        <v>1</v>
      </c>
      <c r="T1154">
        <f t="shared" ref="T1154:T1217" ca="1" si="150" xml:space="preserve"> IF(Q1154=1, IF(G1154&gt;0, G1154, 0), IF(G1154&gt;0, $X$1*G1154+(1-$X$1)*OFFSET(T1154,-1,0), OFFSET(T1154,-1,0)))</f>
        <v>7</v>
      </c>
      <c r="U1154" s="8">
        <f t="shared" ref="U1154:U1217" ca="1" si="151" xml:space="preserve"> IF(Q1154=1, 1, IF(G1154&gt;0, $X$1*(R1154-OFFSET(S1154,-1,0))+(1-$X$1)*OFFSET(U1154,-1,0), OFFSET(U1154,-1,0)))</f>
        <v>1</v>
      </c>
      <c r="V1154" s="8">
        <f ca="1">RawData[[#This Row],[Z (smoothed demand size)]]/RawData[[#This Row],[X (smoothed interval)]]</f>
        <v>7</v>
      </c>
    </row>
    <row r="1155" spans="1:22">
      <c r="A1155" t="s">
        <v>34</v>
      </c>
      <c r="B1155" t="s">
        <v>14</v>
      </c>
      <c r="C1155">
        <v>32</v>
      </c>
      <c r="D1155" t="s">
        <v>22</v>
      </c>
      <c r="E1155" t="s">
        <v>16</v>
      </c>
      <c r="F1155" s="1">
        <v>43102</v>
      </c>
      <c r="G1155">
        <v>6</v>
      </c>
      <c r="H1155">
        <v>6</v>
      </c>
      <c r="I1155">
        <v>22</v>
      </c>
      <c r="J1155">
        <v>16</v>
      </c>
      <c r="K1155">
        <v>0</v>
      </c>
      <c r="L1155">
        <v>639</v>
      </c>
      <c r="M1155">
        <v>30</v>
      </c>
      <c r="N1155" s="1">
        <f t="shared" si="144"/>
        <v>44938</v>
      </c>
      <c r="O1155" s="1">
        <f t="shared" si="145"/>
        <v>43101</v>
      </c>
      <c r="P1155" s="1">
        <f t="shared" si="146"/>
        <v>43132</v>
      </c>
      <c r="Q1155" s="8">
        <f t="shared" si="147"/>
        <v>0</v>
      </c>
      <c r="R1155" s="8">
        <f t="shared" si="148"/>
        <v>2</v>
      </c>
      <c r="S1155" s="8">
        <f t="shared" ca="1" si="149"/>
        <v>2</v>
      </c>
      <c r="T1155">
        <f t="shared" ca="1" si="150"/>
        <v>6.8000000000000007</v>
      </c>
      <c r="U1155" s="8">
        <f t="shared" ca="1" si="151"/>
        <v>1</v>
      </c>
      <c r="V1155" s="8">
        <f ca="1">RawData[[#This Row],[Z (smoothed demand size)]]/RawData[[#This Row],[X (smoothed interval)]]</f>
        <v>6.8000000000000007</v>
      </c>
    </row>
    <row r="1156" spans="1:22">
      <c r="A1156" t="s">
        <v>34</v>
      </c>
      <c r="B1156" t="s">
        <v>14</v>
      </c>
      <c r="C1156">
        <v>32</v>
      </c>
      <c r="D1156" t="s">
        <v>22</v>
      </c>
      <c r="E1156" t="s">
        <v>16</v>
      </c>
      <c r="F1156" s="1">
        <v>43103</v>
      </c>
      <c r="G1156">
        <v>8</v>
      </c>
      <c r="H1156">
        <v>8</v>
      </c>
      <c r="I1156">
        <v>16</v>
      </c>
      <c r="J1156">
        <v>8</v>
      </c>
      <c r="K1156">
        <v>0</v>
      </c>
      <c r="L1156">
        <v>648</v>
      </c>
      <c r="M1156">
        <v>15</v>
      </c>
      <c r="N1156" s="1">
        <f t="shared" si="144"/>
        <v>44938</v>
      </c>
      <c r="O1156" s="1">
        <f t="shared" si="145"/>
        <v>43101</v>
      </c>
      <c r="P1156" s="1">
        <f t="shared" si="146"/>
        <v>43160</v>
      </c>
      <c r="Q1156" s="8">
        <f t="shared" si="147"/>
        <v>0</v>
      </c>
      <c r="R1156" s="8">
        <f t="shared" si="148"/>
        <v>3</v>
      </c>
      <c r="S1156" s="8">
        <f t="shared" ca="1" si="149"/>
        <v>3</v>
      </c>
      <c r="T1156">
        <f t="shared" ca="1" si="150"/>
        <v>7.0400000000000009</v>
      </c>
      <c r="U1156" s="8">
        <f t="shared" ca="1" si="151"/>
        <v>1</v>
      </c>
      <c r="V1156" s="8">
        <f ca="1">RawData[[#This Row],[Z (smoothed demand size)]]/RawData[[#This Row],[X (smoothed interval)]]</f>
        <v>7.0400000000000009</v>
      </c>
    </row>
    <row r="1157" spans="1:22">
      <c r="A1157" t="s">
        <v>34</v>
      </c>
      <c r="B1157" t="s">
        <v>14</v>
      </c>
      <c r="C1157">
        <v>32</v>
      </c>
      <c r="D1157" t="s">
        <v>22</v>
      </c>
      <c r="E1157" t="s">
        <v>16</v>
      </c>
      <c r="F1157" s="1">
        <v>43104</v>
      </c>
      <c r="G1157">
        <v>6</v>
      </c>
      <c r="H1157">
        <v>6</v>
      </c>
      <c r="I1157">
        <v>18</v>
      </c>
      <c r="J1157">
        <v>12</v>
      </c>
      <c r="K1157">
        <v>0</v>
      </c>
      <c r="L1157">
        <v>641</v>
      </c>
      <c r="M1157">
        <v>60</v>
      </c>
      <c r="N1157" s="1">
        <f t="shared" si="144"/>
        <v>44938</v>
      </c>
      <c r="O1157" s="1">
        <f t="shared" si="145"/>
        <v>43101</v>
      </c>
      <c r="P1157" s="1">
        <f t="shared" si="146"/>
        <v>43191</v>
      </c>
      <c r="Q1157" s="8">
        <f t="shared" si="147"/>
        <v>0</v>
      </c>
      <c r="R1157" s="8">
        <f t="shared" si="148"/>
        <v>4</v>
      </c>
      <c r="S1157" s="8">
        <f t="shared" ca="1" si="149"/>
        <v>4</v>
      </c>
      <c r="T1157">
        <f t="shared" ca="1" si="150"/>
        <v>6.8320000000000016</v>
      </c>
      <c r="U1157" s="8">
        <f t="shared" ca="1" si="151"/>
        <v>1</v>
      </c>
      <c r="V1157" s="8">
        <f ca="1">RawData[[#This Row],[Z (smoothed demand size)]]/RawData[[#This Row],[X (smoothed interval)]]</f>
        <v>6.8320000000000016</v>
      </c>
    </row>
    <row r="1158" spans="1:22">
      <c r="A1158" t="s">
        <v>34</v>
      </c>
      <c r="B1158" t="s">
        <v>14</v>
      </c>
      <c r="C1158">
        <v>32</v>
      </c>
      <c r="D1158" t="s">
        <v>22</v>
      </c>
      <c r="E1158" t="s">
        <v>16</v>
      </c>
      <c r="F1158" s="1">
        <v>43105</v>
      </c>
      <c r="G1158">
        <v>7</v>
      </c>
      <c r="H1158">
        <v>7</v>
      </c>
      <c r="I1158">
        <v>12</v>
      </c>
      <c r="J1158">
        <v>5</v>
      </c>
      <c r="K1158">
        <v>0</v>
      </c>
      <c r="L1158">
        <v>649</v>
      </c>
      <c r="M1158">
        <v>30</v>
      </c>
      <c r="N1158" s="1">
        <f t="shared" si="144"/>
        <v>44938</v>
      </c>
      <c r="O1158" s="1">
        <f t="shared" si="145"/>
        <v>43101</v>
      </c>
      <c r="P1158" s="1">
        <f t="shared" si="146"/>
        <v>43221</v>
      </c>
      <c r="Q1158" s="8">
        <f t="shared" si="147"/>
        <v>0</v>
      </c>
      <c r="R1158" s="8">
        <f t="shared" si="148"/>
        <v>5</v>
      </c>
      <c r="S1158" s="8">
        <f t="shared" ca="1" si="149"/>
        <v>5</v>
      </c>
      <c r="T1158">
        <f t="shared" ca="1" si="150"/>
        <v>6.8656000000000024</v>
      </c>
      <c r="U1158" s="8">
        <f t="shared" ca="1" si="151"/>
        <v>1</v>
      </c>
      <c r="V1158" s="8">
        <f ca="1">RawData[[#This Row],[Z (smoothed demand size)]]/RawData[[#This Row],[X (smoothed interval)]]</f>
        <v>6.8656000000000024</v>
      </c>
    </row>
    <row r="1159" spans="1:22">
      <c r="A1159" t="s">
        <v>34</v>
      </c>
      <c r="B1159" t="s">
        <v>14</v>
      </c>
      <c r="C1159">
        <v>32</v>
      </c>
      <c r="D1159" t="s">
        <v>22</v>
      </c>
      <c r="E1159" t="s">
        <v>16</v>
      </c>
      <c r="F1159" s="1">
        <v>43106</v>
      </c>
      <c r="G1159">
        <v>7</v>
      </c>
      <c r="H1159">
        <v>7</v>
      </c>
      <c r="I1159">
        <v>15</v>
      </c>
      <c r="J1159">
        <v>8</v>
      </c>
      <c r="K1159">
        <v>0</v>
      </c>
      <c r="L1159">
        <v>732</v>
      </c>
      <c r="M1159">
        <v>45</v>
      </c>
      <c r="N1159" s="1">
        <f t="shared" si="144"/>
        <v>44938</v>
      </c>
      <c r="O1159" s="1">
        <f t="shared" si="145"/>
        <v>43101</v>
      </c>
      <c r="P1159" s="1">
        <f t="shared" si="146"/>
        <v>43252</v>
      </c>
      <c r="Q1159" s="8">
        <f t="shared" si="147"/>
        <v>0</v>
      </c>
      <c r="R1159" s="8">
        <f t="shared" si="148"/>
        <v>6</v>
      </c>
      <c r="S1159" s="8">
        <f t="shared" ca="1" si="149"/>
        <v>6</v>
      </c>
      <c r="T1159">
        <f t="shared" ca="1" si="150"/>
        <v>6.8924800000000026</v>
      </c>
      <c r="U1159" s="8">
        <f t="shared" ca="1" si="151"/>
        <v>1</v>
      </c>
      <c r="V1159" s="8">
        <f ca="1">RawData[[#This Row],[Z (smoothed demand size)]]/RawData[[#This Row],[X (smoothed interval)]]</f>
        <v>6.8924800000000026</v>
      </c>
    </row>
    <row r="1160" spans="1:22">
      <c r="A1160" t="s">
        <v>34</v>
      </c>
      <c r="B1160" t="s">
        <v>14</v>
      </c>
      <c r="C1160">
        <v>32</v>
      </c>
      <c r="D1160" t="s">
        <v>22</v>
      </c>
      <c r="E1160" t="s">
        <v>16</v>
      </c>
      <c r="F1160" s="1">
        <v>43107</v>
      </c>
      <c r="G1160">
        <v>11</v>
      </c>
      <c r="H1160">
        <v>8</v>
      </c>
      <c r="I1160">
        <v>8</v>
      </c>
      <c r="J1160">
        <v>0</v>
      </c>
      <c r="K1160">
        <v>1</v>
      </c>
      <c r="L1160">
        <v>720</v>
      </c>
      <c r="M1160">
        <v>15</v>
      </c>
      <c r="N1160" s="1">
        <f t="shared" si="144"/>
        <v>44938</v>
      </c>
      <c r="O1160" s="1">
        <f t="shared" si="145"/>
        <v>43101</v>
      </c>
      <c r="P1160" s="1">
        <f t="shared" si="146"/>
        <v>43282</v>
      </c>
      <c r="Q1160" s="8">
        <f t="shared" si="147"/>
        <v>0</v>
      </c>
      <c r="R1160" s="8">
        <f t="shared" si="148"/>
        <v>7</v>
      </c>
      <c r="S1160" s="8">
        <f t="shared" ca="1" si="149"/>
        <v>7</v>
      </c>
      <c r="T1160">
        <f t="shared" ca="1" si="150"/>
        <v>7.7139840000000026</v>
      </c>
      <c r="U1160" s="8">
        <f t="shared" ca="1" si="151"/>
        <v>1</v>
      </c>
      <c r="V1160" s="8">
        <f ca="1">RawData[[#This Row],[Z (smoothed demand size)]]/RawData[[#This Row],[X (smoothed interval)]]</f>
        <v>7.7139840000000026</v>
      </c>
    </row>
    <row r="1161" spans="1:22">
      <c r="A1161" t="s">
        <v>34</v>
      </c>
      <c r="B1161" t="s">
        <v>14</v>
      </c>
      <c r="C1161">
        <v>32</v>
      </c>
      <c r="D1161" t="s">
        <v>22</v>
      </c>
      <c r="E1161" t="s">
        <v>16</v>
      </c>
      <c r="F1161" s="1">
        <v>43108</v>
      </c>
      <c r="G1161">
        <v>4</v>
      </c>
      <c r="H1161">
        <v>4</v>
      </c>
      <c r="I1161">
        <v>11</v>
      </c>
      <c r="J1161">
        <v>7</v>
      </c>
      <c r="K1161">
        <v>0</v>
      </c>
      <c r="L1161">
        <v>756</v>
      </c>
      <c r="M1161">
        <v>15</v>
      </c>
      <c r="N1161" s="1">
        <f t="shared" si="144"/>
        <v>44938</v>
      </c>
      <c r="O1161" s="1">
        <f t="shared" si="145"/>
        <v>43101</v>
      </c>
      <c r="P1161" s="1">
        <f t="shared" si="146"/>
        <v>43313</v>
      </c>
      <c r="Q1161" s="8">
        <f t="shared" si="147"/>
        <v>0</v>
      </c>
      <c r="R1161" s="8">
        <f t="shared" si="148"/>
        <v>8</v>
      </c>
      <c r="S1161" s="8">
        <f t="shared" ca="1" si="149"/>
        <v>8</v>
      </c>
      <c r="T1161">
        <f t="shared" ca="1" si="150"/>
        <v>6.9711872000000019</v>
      </c>
      <c r="U1161" s="8">
        <f t="shared" ca="1" si="151"/>
        <v>1</v>
      </c>
      <c r="V1161" s="8">
        <f ca="1">RawData[[#This Row],[Z (smoothed demand size)]]/RawData[[#This Row],[X (smoothed interval)]]</f>
        <v>6.9711872000000019</v>
      </c>
    </row>
    <row r="1162" spans="1:22">
      <c r="A1162" t="s">
        <v>34</v>
      </c>
      <c r="B1162" t="s">
        <v>14</v>
      </c>
      <c r="C1162">
        <v>32</v>
      </c>
      <c r="D1162" t="s">
        <v>22</v>
      </c>
      <c r="E1162" t="s">
        <v>16</v>
      </c>
      <c r="F1162" s="1">
        <v>43109</v>
      </c>
      <c r="G1162">
        <v>11</v>
      </c>
      <c r="H1162">
        <v>11</v>
      </c>
      <c r="I1162">
        <v>16</v>
      </c>
      <c r="J1162">
        <v>5</v>
      </c>
      <c r="K1162">
        <v>0</v>
      </c>
      <c r="L1162">
        <v>642</v>
      </c>
      <c r="M1162">
        <v>15</v>
      </c>
      <c r="N1162" s="1">
        <f t="shared" si="144"/>
        <v>44938</v>
      </c>
      <c r="O1162" s="1">
        <f t="shared" si="145"/>
        <v>43101</v>
      </c>
      <c r="P1162" s="1">
        <f t="shared" si="146"/>
        <v>43344</v>
      </c>
      <c r="Q1162" s="8">
        <f t="shared" si="147"/>
        <v>0</v>
      </c>
      <c r="R1162" s="8">
        <f t="shared" si="148"/>
        <v>9</v>
      </c>
      <c r="S1162" s="8">
        <f t="shared" ca="1" si="149"/>
        <v>9</v>
      </c>
      <c r="T1162">
        <f t="shared" ca="1" si="150"/>
        <v>7.7769497600000017</v>
      </c>
      <c r="U1162" s="8">
        <f t="shared" ca="1" si="151"/>
        <v>1</v>
      </c>
      <c r="V1162" s="8">
        <f ca="1">RawData[[#This Row],[Z (smoothed demand size)]]/RawData[[#This Row],[X (smoothed interval)]]</f>
        <v>7.7769497600000017</v>
      </c>
    </row>
    <row r="1163" spans="1:22">
      <c r="A1163" t="s">
        <v>34</v>
      </c>
      <c r="B1163" t="s">
        <v>14</v>
      </c>
      <c r="C1163">
        <v>32</v>
      </c>
      <c r="D1163" t="s">
        <v>22</v>
      </c>
      <c r="E1163" t="s">
        <v>16</v>
      </c>
      <c r="F1163" s="1">
        <v>43110</v>
      </c>
      <c r="G1163">
        <v>6</v>
      </c>
      <c r="H1163">
        <v>6</v>
      </c>
      <c r="I1163">
        <v>17</v>
      </c>
      <c r="J1163">
        <v>11</v>
      </c>
      <c r="K1163">
        <v>0</v>
      </c>
      <c r="L1163">
        <v>646</v>
      </c>
      <c r="M1163">
        <v>45</v>
      </c>
      <c r="N1163" s="1">
        <f t="shared" si="144"/>
        <v>44938</v>
      </c>
      <c r="O1163" s="1">
        <f t="shared" si="145"/>
        <v>43101</v>
      </c>
      <c r="P1163" s="1">
        <f t="shared" si="146"/>
        <v>43374</v>
      </c>
      <c r="Q1163" s="8">
        <f t="shared" si="147"/>
        <v>0</v>
      </c>
      <c r="R1163" s="8">
        <f t="shared" si="148"/>
        <v>10</v>
      </c>
      <c r="S1163" s="8">
        <f t="shared" ca="1" si="149"/>
        <v>10</v>
      </c>
      <c r="T1163">
        <f t="shared" ca="1" si="150"/>
        <v>7.4215598080000023</v>
      </c>
      <c r="U1163" s="8">
        <f t="shared" ca="1" si="151"/>
        <v>1</v>
      </c>
      <c r="V1163" s="8">
        <f ca="1">RawData[[#This Row],[Z (smoothed demand size)]]/RawData[[#This Row],[X (smoothed interval)]]</f>
        <v>7.4215598080000023</v>
      </c>
    </row>
    <row r="1164" spans="1:22">
      <c r="A1164" t="s">
        <v>34</v>
      </c>
      <c r="B1164" t="s">
        <v>14</v>
      </c>
      <c r="C1164">
        <v>32</v>
      </c>
      <c r="D1164" t="s">
        <v>22</v>
      </c>
      <c r="E1164" t="s">
        <v>16</v>
      </c>
      <c r="F1164" s="1">
        <v>43111</v>
      </c>
      <c r="G1164">
        <v>5</v>
      </c>
      <c r="H1164">
        <v>5</v>
      </c>
      <c r="I1164">
        <v>11</v>
      </c>
      <c r="J1164">
        <v>6</v>
      </c>
      <c r="K1164">
        <v>0</v>
      </c>
      <c r="L1164">
        <v>636</v>
      </c>
      <c r="M1164">
        <v>45</v>
      </c>
      <c r="N1164" s="1">
        <f t="shared" si="144"/>
        <v>44938</v>
      </c>
      <c r="O1164" s="1">
        <f t="shared" si="145"/>
        <v>43101</v>
      </c>
      <c r="P1164" s="1">
        <f t="shared" si="146"/>
        <v>43405</v>
      </c>
      <c r="Q1164" s="8">
        <f t="shared" si="147"/>
        <v>0</v>
      </c>
      <c r="R1164" s="8">
        <f t="shared" si="148"/>
        <v>11</v>
      </c>
      <c r="S1164" s="8">
        <f t="shared" ca="1" si="149"/>
        <v>11</v>
      </c>
      <c r="T1164">
        <f t="shared" ca="1" si="150"/>
        <v>6.9372478464000018</v>
      </c>
      <c r="U1164" s="8">
        <f t="shared" ca="1" si="151"/>
        <v>1</v>
      </c>
      <c r="V1164" s="8">
        <f ca="1">RawData[[#This Row],[Z (smoothed demand size)]]/RawData[[#This Row],[X (smoothed interval)]]</f>
        <v>6.9372478464000018</v>
      </c>
    </row>
    <row r="1165" spans="1:22">
      <c r="A1165" t="s">
        <v>34</v>
      </c>
      <c r="B1165" t="s">
        <v>14</v>
      </c>
      <c r="C1165">
        <v>32</v>
      </c>
      <c r="D1165" t="s">
        <v>22</v>
      </c>
      <c r="E1165" t="s">
        <v>16</v>
      </c>
      <c r="F1165" s="1">
        <v>43112</v>
      </c>
      <c r="G1165">
        <v>12</v>
      </c>
      <c r="H1165">
        <v>6</v>
      </c>
      <c r="I1165">
        <v>6</v>
      </c>
      <c r="J1165">
        <v>0</v>
      </c>
      <c r="K1165">
        <v>1</v>
      </c>
      <c r="L1165">
        <v>727</v>
      </c>
      <c r="M1165">
        <v>30</v>
      </c>
      <c r="N1165" s="1">
        <f t="shared" si="144"/>
        <v>44938</v>
      </c>
      <c r="O1165" s="1">
        <f t="shared" si="145"/>
        <v>43101</v>
      </c>
      <c r="P1165" s="1">
        <f t="shared" si="146"/>
        <v>43435</v>
      </c>
      <c r="Q1165" s="8">
        <f t="shared" si="147"/>
        <v>0</v>
      </c>
      <c r="R1165" s="8">
        <f t="shared" si="148"/>
        <v>12</v>
      </c>
      <c r="S1165" s="8">
        <f t="shared" ca="1" si="149"/>
        <v>12</v>
      </c>
      <c r="T1165">
        <f t="shared" ca="1" si="150"/>
        <v>7.949798277120002</v>
      </c>
      <c r="U1165" s="8">
        <f t="shared" ca="1" si="151"/>
        <v>1</v>
      </c>
      <c r="V1165" s="8">
        <f ca="1">RawData[[#This Row],[Z (smoothed demand size)]]/RawData[[#This Row],[X (smoothed interval)]]</f>
        <v>7.949798277120002</v>
      </c>
    </row>
    <row r="1166" spans="1:22">
      <c r="A1166" t="s">
        <v>34</v>
      </c>
      <c r="B1166" t="s">
        <v>14</v>
      </c>
      <c r="C1166">
        <v>32</v>
      </c>
      <c r="D1166" t="s">
        <v>22</v>
      </c>
      <c r="E1166" t="s">
        <v>16</v>
      </c>
      <c r="F1166" s="1">
        <v>43466</v>
      </c>
      <c r="G1166">
        <v>4</v>
      </c>
      <c r="H1166">
        <v>4</v>
      </c>
      <c r="I1166">
        <v>10</v>
      </c>
      <c r="J1166">
        <v>6</v>
      </c>
      <c r="K1166">
        <v>0</v>
      </c>
      <c r="L1166">
        <v>640</v>
      </c>
      <c r="M1166">
        <v>15</v>
      </c>
      <c r="N1166" s="1">
        <f t="shared" si="144"/>
        <v>44938</v>
      </c>
      <c r="O1166" s="1">
        <f t="shared" si="145"/>
        <v>43101</v>
      </c>
      <c r="P1166" s="1">
        <f t="shared" si="146"/>
        <v>43466</v>
      </c>
      <c r="Q1166" s="8">
        <f t="shared" si="147"/>
        <v>0</v>
      </c>
      <c r="R1166" s="8">
        <f t="shared" si="148"/>
        <v>13</v>
      </c>
      <c r="S1166" s="8">
        <f t="shared" ca="1" si="149"/>
        <v>13</v>
      </c>
      <c r="T1166">
        <f t="shared" ca="1" si="150"/>
        <v>7.1598386216960019</v>
      </c>
      <c r="U1166" s="8">
        <f t="shared" ca="1" si="151"/>
        <v>1</v>
      </c>
      <c r="V1166" s="8">
        <f ca="1">RawData[[#This Row],[Z (smoothed demand size)]]/RawData[[#This Row],[X (smoothed interval)]]</f>
        <v>7.1598386216960019</v>
      </c>
    </row>
    <row r="1167" spans="1:22">
      <c r="A1167" t="s">
        <v>34</v>
      </c>
      <c r="B1167" t="s">
        <v>14</v>
      </c>
      <c r="C1167">
        <v>32</v>
      </c>
      <c r="D1167" t="s">
        <v>22</v>
      </c>
      <c r="E1167" t="s">
        <v>16</v>
      </c>
      <c r="F1167" s="1">
        <v>43467</v>
      </c>
      <c r="G1167">
        <v>3</v>
      </c>
      <c r="H1167">
        <v>3</v>
      </c>
      <c r="I1167">
        <v>17</v>
      </c>
      <c r="J1167">
        <v>14</v>
      </c>
      <c r="K1167">
        <v>0</v>
      </c>
      <c r="L1167">
        <v>626</v>
      </c>
      <c r="M1167">
        <v>30</v>
      </c>
      <c r="N1167" s="1">
        <f t="shared" si="144"/>
        <v>44938</v>
      </c>
      <c r="O1167" s="1">
        <f t="shared" si="145"/>
        <v>43101</v>
      </c>
      <c r="P1167" s="1">
        <f t="shared" si="146"/>
        <v>43497</v>
      </c>
      <c r="Q1167" s="8">
        <f t="shared" si="147"/>
        <v>0</v>
      </c>
      <c r="R1167" s="8">
        <f t="shared" si="148"/>
        <v>14</v>
      </c>
      <c r="S1167" s="8">
        <f t="shared" ca="1" si="149"/>
        <v>14</v>
      </c>
      <c r="T1167">
        <f t="shared" ca="1" si="150"/>
        <v>6.3278708973568012</v>
      </c>
      <c r="U1167" s="8">
        <f t="shared" ca="1" si="151"/>
        <v>1</v>
      </c>
      <c r="V1167" s="8">
        <f ca="1">RawData[[#This Row],[Z (smoothed demand size)]]/RawData[[#This Row],[X (smoothed interval)]]</f>
        <v>6.3278708973568012</v>
      </c>
    </row>
    <row r="1168" spans="1:22">
      <c r="A1168" t="s">
        <v>34</v>
      </c>
      <c r="B1168" t="s">
        <v>14</v>
      </c>
      <c r="C1168">
        <v>32</v>
      </c>
      <c r="D1168" t="s">
        <v>22</v>
      </c>
      <c r="E1168" t="s">
        <v>16</v>
      </c>
      <c r="F1168" s="1">
        <v>43468</v>
      </c>
      <c r="G1168">
        <v>5</v>
      </c>
      <c r="H1168">
        <v>5</v>
      </c>
      <c r="I1168">
        <v>14</v>
      </c>
      <c r="J1168">
        <v>9</v>
      </c>
      <c r="K1168">
        <v>0</v>
      </c>
      <c r="L1168">
        <v>637</v>
      </c>
      <c r="M1168">
        <v>30</v>
      </c>
      <c r="N1168" s="1">
        <f t="shared" si="144"/>
        <v>44938</v>
      </c>
      <c r="O1168" s="1">
        <f t="shared" si="145"/>
        <v>43101</v>
      </c>
      <c r="P1168" s="1">
        <f t="shared" si="146"/>
        <v>43525</v>
      </c>
      <c r="Q1168" s="8">
        <f t="shared" si="147"/>
        <v>0</v>
      </c>
      <c r="R1168" s="8">
        <f t="shared" si="148"/>
        <v>15</v>
      </c>
      <c r="S1168" s="8">
        <f t="shared" ca="1" si="149"/>
        <v>15</v>
      </c>
      <c r="T1168">
        <f t="shared" ca="1" si="150"/>
        <v>6.0622967178854417</v>
      </c>
      <c r="U1168" s="8">
        <f t="shared" ca="1" si="151"/>
        <v>1</v>
      </c>
      <c r="V1168" s="8">
        <f ca="1">RawData[[#This Row],[Z (smoothed demand size)]]/RawData[[#This Row],[X (smoothed interval)]]</f>
        <v>6.0622967178854417</v>
      </c>
    </row>
    <row r="1169" spans="1:22">
      <c r="A1169" t="s">
        <v>34</v>
      </c>
      <c r="B1169" t="s">
        <v>14</v>
      </c>
      <c r="C1169">
        <v>32</v>
      </c>
      <c r="D1169" t="s">
        <v>22</v>
      </c>
      <c r="E1169" t="s">
        <v>16</v>
      </c>
      <c r="F1169" s="1">
        <v>43469</v>
      </c>
      <c r="G1169">
        <v>14</v>
      </c>
      <c r="H1169">
        <v>9</v>
      </c>
      <c r="I1169">
        <v>9</v>
      </c>
      <c r="J1169">
        <v>0</v>
      </c>
      <c r="K1169">
        <v>1</v>
      </c>
      <c r="L1169">
        <v>646</v>
      </c>
      <c r="M1169">
        <v>30</v>
      </c>
      <c r="N1169" s="1">
        <f t="shared" si="144"/>
        <v>44938</v>
      </c>
      <c r="O1169" s="1">
        <f t="shared" si="145"/>
        <v>43101</v>
      </c>
      <c r="P1169" s="1">
        <f t="shared" si="146"/>
        <v>43556</v>
      </c>
      <c r="Q1169" s="8">
        <f t="shared" si="147"/>
        <v>0</v>
      </c>
      <c r="R1169" s="8">
        <f t="shared" si="148"/>
        <v>16</v>
      </c>
      <c r="S1169" s="8">
        <f t="shared" ca="1" si="149"/>
        <v>16</v>
      </c>
      <c r="T1169">
        <f t="shared" ca="1" si="150"/>
        <v>7.6498373743083548</v>
      </c>
      <c r="U1169" s="8">
        <f t="shared" ca="1" si="151"/>
        <v>1</v>
      </c>
      <c r="V1169" s="8">
        <f ca="1">RawData[[#This Row],[Z (smoothed demand size)]]/RawData[[#This Row],[X (smoothed interval)]]</f>
        <v>7.6498373743083548</v>
      </c>
    </row>
    <row r="1170" spans="1:22">
      <c r="A1170" t="s">
        <v>34</v>
      </c>
      <c r="B1170" t="s">
        <v>14</v>
      </c>
      <c r="C1170">
        <v>32</v>
      </c>
      <c r="D1170" t="s">
        <v>22</v>
      </c>
      <c r="E1170" t="s">
        <v>16</v>
      </c>
      <c r="F1170" s="1">
        <v>43470</v>
      </c>
      <c r="G1170">
        <v>7</v>
      </c>
      <c r="H1170">
        <v>7</v>
      </c>
      <c r="I1170">
        <v>9</v>
      </c>
      <c r="J1170">
        <v>2</v>
      </c>
      <c r="K1170">
        <v>0</v>
      </c>
      <c r="L1170">
        <v>642</v>
      </c>
      <c r="M1170">
        <v>60</v>
      </c>
      <c r="N1170" s="1">
        <f t="shared" si="144"/>
        <v>44938</v>
      </c>
      <c r="O1170" s="1">
        <f t="shared" si="145"/>
        <v>43101</v>
      </c>
      <c r="P1170" s="1">
        <f t="shared" si="146"/>
        <v>43586</v>
      </c>
      <c r="Q1170" s="8">
        <f t="shared" si="147"/>
        <v>0</v>
      </c>
      <c r="R1170" s="8">
        <f t="shared" si="148"/>
        <v>17</v>
      </c>
      <c r="S1170" s="8">
        <f t="shared" ca="1" si="149"/>
        <v>17</v>
      </c>
      <c r="T1170">
        <f t="shared" ca="1" si="150"/>
        <v>7.5198698994466842</v>
      </c>
      <c r="U1170" s="8">
        <f t="shared" ca="1" si="151"/>
        <v>1</v>
      </c>
      <c r="V1170" s="8">
        <f ca="1">RawData[[#This Row],[Z (smoothed demand size)]]/RawData[[#This Row],[X (smoothed interval)]]</f>
        <v>7.5198698994466842</v>
      </c>
    </row>
    <row r="1171" spans="1:22">
      <c r="A1171" t="s">
        <v>34</v>
      </c>
      <c r="B1171" t="s">
        <v>14</v>
      </c>
      <c r="C1171">
        <v>32</v>
      </c>
      <c r="D1171" t="s">
        <v>22</v>
      </c>
      <c r="E1171" t="s">
        <v>16</v>
      </c>
      <c r="F1171" s="1">
        <v>43471</v>
      </c>
      <c r="G1171">
        <v>0</v>
      </c>
      <c r="H1171">
        <v>0</v>
      </c>
      <c r="I1171">
        <v>2</v>
      </c>
      <c r="J1171">
        <v>2</v>
      </c>
      <c r="K1171">
        <v>0</v>
      </c>
      <c r="L1171">
        <v>737</v>
      </c>
      <c r="M1171">
        <v>15</v>
      </c>
      <c r="N1171" s="1">
        <f t="shared" si="144"/>
        <v>44938</v>
      </c>
      <c r="O1171" s="1">
        <f t="shared" si="145"/>
        <v>43101</v>
      </c>
      <c r="P1171" s="1">
        <f t="shared" si="146"/>
        <v>43617</v>
      </c>
      <c r="Q1171" s="8">
        <f t="shared" si="147"/>
        <v>0</v>
      </c>
      <c r="R1171" s="8">
        <f t="shared" si="148"/>
        <v>18</v>
      </c>
      <c r="S1171" s="8">
        <f t="shared" ca="1" si="149"/>
        <v>17</v>
      </c>
      <c r="T1171">
        <f t="shared" ca="1" si="150"/>
        <v>7.5198698994466842</v>
      </c>
      <c r="U1171" s="8">
        <f t="shared" ca="1" si="151"/>
        <v>1</v>
      </c>
      <c r="V1171" s="8">
        <f ca="1">RawData[[#This Row],[Z (smoothed demand size)]]/RawData[[#This Row],[X (smoothed interval)]]</f>
        <v>7.5198698994466842</v>
      </c>
    </row>
    <row r="1172" spans="1:22">
      <c r="A1172" t="s">
        <v>34</v>
      </c>
      <c r="B1172" t="s">
        <v>14</v>
      </c>
      <c r="C1172">
        <v>32</v>
      </c>
      <c r="D1172" t="s">
        <v>22</v>
      </c>
      <c r="E1172" t="s">
        <v>16</v>
      </c>
      <c r="F1172" s="1">
        <v>43472</v>
      </c>
      <c r="G1172">
        <v>0</v>
      </c>
      <c r="H1172">
        <v>0</v>
      </c>
      <c r="I1172">
        <v>10</v>
      </c>
      <c r="J1172">
        <v>10</v>
      </c>
      <c r="K1172">
        <v>0</v>
      </c>
      <c r="L1172">
        <v>748</v>
      </c>
      <c r="M1172">
        <v>15</v>
      </c>
      <c r="N1172" s="1">
        <f t="shared" si="144"/>
        <v>44938</v>
      </c>
      <c r="O1172" s="1">
        <f t="shared" si="145"/>
        <v>43101</v>
      </c>
      <c r="P1172" s="1">
        <f t="shared" si="146"/>
        <v>43647</v>
      </c>
      <c r="Q1172" s="8">
        <f t="shared" si="147"/>
        <v>0</v>
      </c>
      <c r="R1172" s="8">
        <f t="shared" si="148"/>
        <v>19</v>
      </c>
      <c r="S1172" s="8">
        <f t="shared" ca="1" si="149"/>
        <v>17</v>
      </c>
      <c r="T1172">
        <f t="shared" ca="1" si="150"/>
        <v>7.5198698994466842</v>
      </c>
      <c r="U1172" s="8">
        <f t="shared" ca="1" si="151"/>
        <v>1</v>
      </c>
      <c r="V1172" s="8">
        <f ca="1">RawData[[#This Row],[Z (smoothed demand size)]]/RawData[[#This Row],[X (smoothed interval)]]</f>
        <v>7.5198698994466842</v>
      </c>
    </row>
    <row r="1173" spans="1:22">
      <c r="A1173" t="s">
        <v>34</v>
      </c>
      <c r="B1173" t="s">
        <v>14</v>
      </c>
      <c r="C1173">
        <v>32</v>
      </c>
      <c r="D1173" t="s">
        <v>22</v>
      </c>
      <c r="E1173" t="s">
        <v>16</v>
      </c>
      <c r="F1173" s="1">
        <v>43473</v>
      </c>
      <c r="G1173">
        <v>12</v>
      </c>
      <c r="H1173">
        <v>10</v>
      </c>
      <c r="I1173">
        <v>10</v>
      </c>
      <c r="J1173">
        <v>0</v>
      </c>
      <c r="K1173">
        <v>1</v>
      </c>
      <c r="L1173">
        <v>738</v>
      </c>
      <c r="M1173">
        <v>45</v>
      </c>
      <c r="N1173" s="1">
        <f t="shared" si="144"/>
        <v>44938</v>
      </c>
      <c r="O1173" s="1">
        <f t="shared" si="145"/>
        <v>43101</v>
      </c>
      <c r="P1173" s="1">
        <f t="shared" si="146"/>
        <v>43678</v>
      </c>
      <c r="Q1173" s="8">
        <f t="shared" si="147"/>
        <v>0</v>
      </c>
      <c r="R1173" s="8">
        <f t="shared" si="148"/>
        <v>20</v>
      </c>
      <c r="S1173" s="8">
        <f t="shared" ca="1" si="149"/>
        <v>20</v>
      </c>
      <c r="T1173">
        <f t="shared" ca="1" si="150"/>
        <v>8.4158959195573484</v>
      </c>
      <c r="U1173" s="8">
        <f t="shared" ca="1" si="151"/>
        <v>1.4000000000000001</v>
      </c>
      <c r="V1173" s="8">
        <f ca="1">RawData[[#This Row],[Z (smoothed demand size)]]/RawData[[#This Row],[X (smoothed interval)]]</f>
        <v>6.0113542282552483</v>
      </c>
    </row>
    <row r="1174" spans="1:22">
      <c r="A1174" t="s">
        <v>34</v>
      </c>
      <c r="B1174" t="s">
        <v>14</v>
      </c>
      <c r="C1174">
        <v>32</v>
      </c>
      <c r="D1174" t="s">
        <v>22</v>
      </c>
      <c r="E1174" t="s">
        <v>16</v>
      </c>
      <c r="F1174" s="1">
        <v>43474</v>
      </c>
      <c r="G1174">
        <v>8</v>
      </c>
      <c r="H1174">
        <v>0</v>
      </c>
      <c r="I1174">
        <v>0</v>
      </c>
      <c r="J1174">
        <v>0</v>
      </c>
      <c r="K1174">
        <v>1</v>
      </c>
      <c r="L1174">
        <v>627</v>
      </c>
      <c r="M1174">
        <v>60</v>
      </c>
      <c r="N1174" s="1">
        <f t="shared" si="144"/>
        <v>44938</v>
      </c>
      <c r="O1174" s="1">
        <f t="shared" si="145"/>
        <v>43101</v>
      </c>
      <c r="P1174" s="1">
        <f t="shared" si="146"/>
        <v>43709</v>
      </c>
      <c r="Q1174" s="8">
        <f t="shared" si="147"/>
        <v>0</v>
      </c>
      <c r="R1174" s="8">
        <f t="shared" si="148"/>
        <v>21</v>
      </c>
      <c r="S1174" s="8">
        <f t="shared" ca="1" si="149"/>
        <v>21</v>
      </c>
      <c r="T1174">
        <f t="shared" ca="1" si="150"/>
        <v>8.3327167356458798</v>
      </c>
      <c r="U1174" s="8">
        <f t="shared" ca="1" si="151"/>
        <v>1.32</v>
      </c>
      <c r="V1174" s="8">
        <f ca="1">RawData[[#This Row],[Z (smoothed demand size)]]/RawData[[#This Row],[X (smoothed interval)]]</f>
        <v>6.3126641936711207</v>
      </c>
    </row>
    <row r="1175" spans="1:22">
      <c r="A1175" t="s">
        <v>34</v>
      </c>
      <c r="B1175" t="s">
        <v>14</v>
      </c>
      <c r="C1175">
        <v>32</v>
      </c>
      <c r="D1175" t="s">
        <v>22</v>
      </c>
      <c r="E1175" t="s">
        <v>16</v>
      </c>
      <c r="F1175" s="1">
        <v>43475</v>
      </c>
      <c r="G1175">
        <v>13</v>
      </c>
      <c r="H1175">
        <v>7</v>
      </c>
      <c r="I1175">
        <v>7</v>
      </c>
      <c r="J1175">
        <v>0</v>
      </c>
      <c r="K1175">
        <v>1</v>
      </c>
      <c r="L1175">
        <v>638</v>
      </c>
      <c r="M1175">
        <v>45</v>
      </c>
      <c r="N1175" s="1">
        <f t="shared" si="144"/>
        <v>44938</v>
      </c>
      <c r="O1175" s="1">
        <f t="shared" si="145"/>
        <v>43101</v>
      </c>
      <c r="P1175" s="1">
        <f t="shared" si="146"/>
        <v>43739</v>
      </c>
      <c r="Q1175" s="8">
        <f t="shared" si="147"/>
        <v>0</v>
      </c>
      <c r="R1175" s="8">
        <f t="shared" si="148"/>
        <v>22</v>
      </c>
      <c r="S1175" s="8">
        <f t="shared" ca="1" si="149"/>
        <v>22</v>
      </c>
      <c r="T1175">
        <f t="shared" ca="1" si="150"/>
        <v>9.2661733885167035</v>
      </c>
      <c r="U1175" s="8">
        <f t="shared" ca="1" si="151"/>
        <v>1.256</v>
      </c>
      <c r="V1175" s="8">
        <f ca="1">RawData[[#This Row],[Z (smoothed demand size)]]/RawData[[#This Row],[X (smoothed interval)]]</f>
        <v>7.3775265832139363</v>
      </c>
    </row>
    <row r="1176" spans="1:22">
      <c r="A1176" t="s">
        <v>34</v>
      </c>
      <c r="B1176" t="s">
        <v>14</v>
      </c>
      <c r="C1176">
        <v>32</v>
      </c>
      <c r="D1176" t="s">
        <v>22</v>
      </c>
      <c r="E1176" t="s">
        <v>16</v>
      </c>
      <c r="F1176" s="1">
        <v>43476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651</v>
      </c>
      <c r="M1176">
        <v>30</v>
      </c>
      <c r="N1176" s="1">
        <f t="shared" si="144"/>
        <v>44938</v>
      </c>
      <c r="O1176" s="1">
        <f t="shared" si="145"/>
        <v>43101</v>
      </c>
      <c r="P1176" s="1">
        <f t="shared" si="146"/>
        <v>43770</v>
      </c>
      <c r="Q1176" s="8">
        <f t="shared" si="147"/>
        <v>0</v>
      </c>
      <c r="R1176" s="8">
        <f t="shared" si="148"/>
        <v>23</v>
      </c>
      <c r="S1176" s="8">
        <f t="shared" ca="1" si="149"/>
        <v>22</v>
      </c>
      <c r="T1176">
        <f t="shared" ca="1" si="150"/>
        <v>9.2661733885167035</v>
      </c>
      <c r="U1176" s="8">
        <f t="shared" ca="1" si="151"/>
        <v>1.256</v>
      </c>
      <c r="V1176" s="8">
        <f ca="1">RawData[[#This Row],[Z (smoothed demand size)]]/RawData[[#This Row],[X (smoothed interval)]]</f>
        <v>7.3775265832139363</v>
      </c>
    </row>
    <row r="1177" spans="1:22">
      <c r="A1177" t="s">
        <v>34</v>
      </c>
      <c r="B1177" t="s">
        <v>14</v>
      </c>
      <c r="C1177">
        <v>32</v>
      </c>
      <c r="D1177" t="s">
        <v>22</v>
      </c>
      <c r="E1177" t="s">
        <v>16</v>
      </c>
      <c r="F1177" s="1">
        <v>43477</v>
      </c>
      <c r="G1177">
        <v>5</v>
      </c>
      <c r="H1177">
        <v>5</v>
      </c>
      <c r="I1177">
        <v>11</v>
      </c>
      <c r="J1177">
        <v>6</v>
      </c>
      <c r="K1177">
        <v>0</v>
      </c>
      <c r="L1177">
        <v>733</v>
      </c>
      <c r="M1177">
        <v>30</v>
      </c>
      <c r="N1177" s="1">
        <f t="shared" si="144"/>
        <v>44938</v>
      </c>
      <c r="O1177" s="1">
        <f t="shared" si="145"/>
        <v>43101</v>
      </c>
      <c r="P1177" s="1">
        <f t="shared" si="146"/>
        <v>43800</v>
      </c>
      <c r="Q1177" s="8">
        <f t="shared" si="147"/>
        <v>0</v>
      </c>
      <c r="R1177" s="8">
        <f t="shared" si="148"/>
        <v>24</v>
      </c>
      <c r="S1177" s="8">
        <f t="shared" ca="1" si="149"/>
        <v>24</v>
      </c>
      <c r="T1177">
        <f t="shared" ca="1" si="150"/>
        <v>8.4129387108133642</v>
      </c>
      <c r="U1177" s="8">
        <f t="shared" ca="1" si="151"/>
        <v>1.4048000000000003</v>
      </c>
      <c r="V1177" s="8">
        <f ca="1">RawData[[#This Row],[Z (smoothed demand size)]]/RawData[[#This Row],[X (smoothed interval)]]</f>
        <v>5.9887092189730655</v>
      </c>
    </row>
    <row r="1178" spans="1:22">
      <c r="A1178" t="s">
        <v>34</v>
      </c>
      <c r="B1178" t="s">
        <v>14</v>
      </c>
      <c r="C1178">
        <v>32</v>
      </c>
      <c r="D1178" t="s">
        <v>22</v>
      </c>
      <c r="E1178" t="s">
        <v>16</v>
      </c>
      <c r="F1178" s="1">
        <v>43831</v>
      </c>
      <c r="G1178">
        <v>9</v>
      </c>
      <c r="H1178">
        <v>9</v>
      </c>
      <c r="I1178">
        <v>18</v>
      </c>
      <c r="J1178">
        <v>9</v>
      </c>
      <c r="K1178">
        <v>0</v>
      </c>
      <c r="L1178">
        <v>649</v>
      </c>
      <c r="M1178">
        <v>60</v>
      </c>
      <c r="N1178" s="1">
        <f t="shared" si="144"/>
        <v>44938</v>
      </c>
      <c r="O1178" s="1">
        <f t="shared" si="145"/>
        <v>43101</v>
      </c>
      <c r="P1178" s="1">
        <f t="shared" si="146"/>
        <v>43831</v>
      </c>
      <c r="Q1178" s="8">
        <f t="shared" si="147"/>
        <v>0</v>
      </c>
      <c r="R1178" s="8">
        <f t="shared" si="148"/>
        <v>25</v>
      </c>
      <c r="S1178" s="8">
        <f t="shared" ca="1" si="149"/>
        <v>25</v>
      </c>
      <c r="T1178">
        <f t="shared" ca="1" si="150"/>
        <v>8.5303509686506924</v>
      </c>
      <c r="U1178" s="8">
        <f t="shared" ca="1" si="151"/>
        <v>1.3238400000000001</v>
      </c>
      <c r="V1178" s="8">
        <f ca="1">RawData[[#This Row],[Z (smoothed demand size)]]/RawData[[#This Row],[X (smoothed interval)]]</f>
        <v>6.4436419572234493</v>
      </c>
    </row>
    <row r="1179" spans="1:22">
      <c r="A1179" t="s">
        <v>34</v>
      </c>
      <c r="B1179" t="s">
        <v>14</v>
      </c>
      <c r="C1179">
        <v>32</v>
      </c>
      <c r="D1179" t="s">
        <v>22</v>
      </c>
      <c r="E1179" t="s">
        <v>16</v>
      </c>
      <c r="F1179" s="1">
        <v>43832</v>
      </c>
      <c r="G1179">
        <v>4</v>
      </c>
      <c r="H1179">
        <v>4</v>
      </c>
      <c r="I1179">
        <v>9</v>
      </c>
      <c r="J1179">
        <v>5</v>
      </c>
      <c r="K1179">
        <v>0</v>
      </c>
      <c r="L1179">
        <v>644</v>
      </c>
      <c r="M1179">
        <v>15</v>
      </c>
      <c r="N1179" s="1">
        <f t="shared" si="144"/>
        <v>44938</v>
      </c>
      <c r="O1179" s="1">
        <f t="shared" si="145"/>
        <v>43101</v>
      </c>
      <c r="P1179" s="1">
        <f t="shared" si="146"/>
        <v>43862</v>
      </c>
      <c r="Q1179" s="8">
        <f t="shared" si="147"/>
        <v>0</v>
      </c>
      <c r="R1179" s="8">
        <f t="shared" si="148"/>
        <v>26</v>
      </c>
      <c r="S1179" s="8">
        <f t="shared" ca="1" si="149"/>
        <v>26</v>
      </c>
      <c r="T1179">
        <f t="shared" ca="1" si="150"/>
        <v>7.6242807749205541</v>
      </c>
      <c r="U1179" s="8">
        <f t="shared" ca="1" si="151"/>
        <v>1.2590720000000002</v>
      </c>
      <c r="V1179" s="8">
        <f ca="1">RawData[[#This Row],[Z (smoothed demand size)]]/RawData[[#This Row],[X (smoothed interval)]]</f>
        <v>6.0554763944560381</v>
      </c>
    </row>
    <row r="1180" spans="1:22">
      <c r="A1180" t="s">
        <v>34</v>
      </c>
      <c r="B1180" t="s">
        <v>14</v>
      </c>
      <c r="C1180">
        <v>32</v>
      </c>
      <c r="D1180" t="s">
        <v>22</v>
      </c>
      <c r="E1180" t="s">
        <v>16</v>
      </c>
      <c r="F1180" s="1">
        <v>43833</v>
      </c>
      <c r="G1180">
        <v>8</v>
      </c>
      <c r="H1180">
        <v>8</v>
      </c>
      <c r="I1180">
        <v>13</v>
      </c>
      <c r="J1180">
        <v>5</v>
      </c>
      <c r="K1180">
        <v>0</v>
      </c>
      <c r="L1180">
        <v>635</v>
      </c>
      <c r="M1180">
        <v>15</v>
      </c>
      <c r="N1180" s="1">
        <f t="shared" si="144"/>
        <v>44938</v>
      </c>
      <c r="O1180" s="1">
        <f t="shared" si="145"/>
        <v>43101</v>
      </c>
      <c r="P1180" s="1">
        <f t="shared" si="146"/>
        <v>43891</v>
      </c>
      <c r="Q1180" s="8">
        <f t="shared" si="147"/>
        <v>0</v>
      </c>
      <c r="R1180" s="8">
        <f t="shared" si="148"/>
        <v>27</v>
      </c>
      <c r="S1180" s="8">
        <f t="shared" ca="1" si="149"/>
        <v>27</v>
      </c>
      <c r="T1180">
        <f t="shared" ca="1" si="150"/>
        <v>7.699424619936444</v>
      </c>
      <c r="U1180" s="8">
        <f t="shared" ca="1" si="151"/>
        <v>1.2072576000000002</v>
      </c>
      <c r="V1180" s="8">
        <f ca="1">RawData[[#This Row],[Z (smoothed demand size)]]/RawData[[#This Row],[X (smoothed interval)]]</f>
        <v>6.3776153655495254</v>
      </c>
    </row>
    <row r="1181" spans="1:22">
      <c r="A1181" t="s">
        <v>34</v>
      </c>
      <c r="B1181" t="s">
        <v>14</v>
      </c>
      <c r="C1181">
        <v>32</v>
      </c>
      <c r="D1181" t="s">
        <v>22</v>
      </c>
      <c r="E1181" t="s">
        <v>16</v>
      </c>
      <c r="F1181" s="1">
        <v>43834</v>
      </c>
      <c r="G1181">
        <v>8</v>
      </c>
      <c r="H1181">
        <v>8</v>
      </c>
      <c r="I1181">
        <v>14</v>
      </c>
      <c r="J1181">
        <v>6</v>
      </c>
      <c r="K1181">
        <v>0</v>
      </c>
      <c r="L1181">
        <v>630</v>
      </c>
      <c r="M1181">
        <v>45</v>
      </c>
      <c r="N1181" s="1">
        <f t="shared" si="144"/>
        <v>44938</v>
      </c>
      <c r="O1181" s="1">
        <f t="shared" si="145"/>
        <v>43101</v>
      </c>
      <c r="P1181" s="1">
        <f t="shared" si="146"/>
        <v>43922</v>
      </c>
      <c r="Q1181" s="8">
        <f t="shared" si="147"/>
        <v>0</v>
      </c>
      <c r="R1181" s="8">
        <f t="shared" si="148"/>
        <v>28</v>
      </c>
      <c r="S1181" s="8">
        <f t="shared" ca="1" si="149"/>
        <v>28</v>
      </c>
      <c r="T1181">
        <f t="shared" ca="1" si="150"/>
        <v>7.7595396959491563</v>
      </c>
      <c r="U1181" s="8">
        <f t="shared" ca="1" si="151"/>
        <v>1.1658060800000001</v>
      </c>
      <c r="V1181" s="8">
        <f ca="1">RawData[[#This Row],[Z (smoothed demand size)]]/RawData[[#This Row],[X (smoothed interval)]]</f>
        <v>6.6559437534835606</v>
      </c>
    </row>
    <row r="1182" spans="1:22">
      <c r="A1182" t="s">
        <v>34</v>
      </c>
      <c r="B1182" t="s">
        <v>14</v>
      </c>
      <c r="C1182">
        <v>32</v>
      </c>
      <c r="D1182" t="s">
        <v>22</v>
      </c>
      <c r="E1182" t="s">
        <v>16</v>
      </c>
      <c r="F1182" s="1">
        <v>43835</v>
      </c>
      <c r="G1182">
        <v>11</v>
      </c>
      <c r="H1182">
        <v>6</v>
      </c>
      <c r="I1182">
        <v>6</v>
      </c>
      <c r="J1182">
        <v>0</v>
      </c>
      <c r="K1182">
        <v>1</v>
      </c>
      <c r="L1182">
        <v>639</v>
      </c>
      <c r="M1182">
        <v>15</v>
      </c>
      <c r="N1182" s="1">
        <f t="shared" si="144"/>
        <v>44938</v>
      </c>
      <c r="O1182" s="1">
        <f t="shared" si="145"/>
        <v>43101</v>
      </c>
      <c r="P1182" s="1">
        <f t="shared" si="146"/>
        <v>43952</v>
      </c>
      <c r="Q1182" s="8">
        <f t="shared" si="147"/>
        <v>0</v>
      </c>
      <c r="R1182" s="8">
        <f t="shared" si="148"/>
        <v>29</v>
      </c>
      <c r="S1182" s="8">
        <f t="shared" ca="1" si="149"/>
        <v>29</v>
      </c>
      <c r="T1182">
        <f t="shared" ca="1" si="150"/>
        <v>8.4076317567593257</v>
      </c>
      <c r="U1182" s="8">
        <f t="shared" ca="1" si="151"/>
        <v>1.1326448640000002</v>
      </c>
      <c r="V1182" s="8">
        <f ca="1">RawData[[#This Row],[Z (smoothed demand size)]]/RawData[[#This Row],[X (smoothed interval)]]</f>
        <v>7.4230078853377686</v>
      </c>
    </row>
    <row r="1183" spans="1:22">
      <c r="A1183" t="s">
        <v>34</v>
      </c>
      <c r="B1183" t="s">
        <v>14</v>
      </c>
      <c r="C1183">
        <v>32</v>
      </c>
      <c r="D1183" t="s">
        <v>22</v>
      </c>
      <c r="E1183" t="s">
        <v>16</v>
      </c>
      <c r="F1183" s="1">
        <v>43836</v>
      </c>
      <c r="G1183">
        <v>12</v>
      </c>
      <c r="H1183">
        <v>8</v>
      </c>
      <c r="I1183">
        <v>8</v>
      </c>
      <c r="J1183">
        <v>0</v>
      </c>
      <c r="K1183">
        <v>1</v>
      </c>
      <c r="L1183">
        <v>742</v>
      </c>
      <c r="M1183">
        <v>30</v>
      </c>
      <c r="N1183" s="1">
        <f t="shared" si="144"/>
        <v>44938</v>
      </c>
      <c r="O1183" s="1">
        <f t="shared" si="145"/>
        <v>43101</v>
      </c>
      <c r="P1183" s="1">
        <f t="shared" si="146"/>
        <v>43983</v>
      </c>
      <c r="Q1183" s="8">
        <f t="shared" si="147"/>
        <v>0</v>
      </c>
      <c r="R1183" s="8">
        <f t="shared" si="148"/>
        <v>30</v>
      </c>
      <c r="S1183" s="8">
        <f t="shared" ca="1" si="149"/>
        <v>30</v>
      </c>
      <c r="T1183">
        <f t="shared" ca="1" si="150"/>
        <v>9.1261054054074613</v>
      </c>
      <c r="U1183" s="8">
        <f t="shared" ca="1" si="151"/>
        <v>1.1061158912000002</v>
      </c>
      <c r="V1183" s="8">
        <f ca="1">RawData[[#This Row],[Z (smoothed demand size)]]/RawData[[#This Row],[X (smoothed interval)]]</f>
        <v>8.2505870117341455</v>
      </c>
    </row>
    <row r="1184" spans="1:22">
      <c r="A1184" t="s">
        <v>34</v>
      </c>
      <c r="B1184" t="s">
        <v>14</v>
      </c>
      <c r="C1184">
        <v>32</v>
      </c>
      <c r="D1184" t="s">
        <v>22</v>
      </c>
      <c r="E1184" t="s">
        <v>16</v>
      </c>
      <c r="F1184" s="1">
        <v>43837</v>
      </c>
      <c r="G1184">
        <v>7</v>
      </c>
      <c r="H1184">
        <v>7</v>
      </c>
      <c r="I1184">
        <v>10</v>
      </c>
      <c r="J1184">
        <v>3</v>
      </c>
      <c r="K1184">
        <v>0</v>
      </c>
      <c r="L1184">
        <v>721</v>
      </c>
      <c r="M1184">
        <v>45</v>
      </c>
      <c r="N1184" s="1">
        <f t="shared" si="144"/>
        <v>44938</v>
      </c>
      <c r="O1184" s="1">
        <f t="shared" si="145"/>
        <v>43101</v>
      </c>
      <c r="P1184" s="1">
        <f t="shared" si="146"/>
        <v>44013</v>
      </c>
      <c r="Q1184" s="8">
        <f t="shared" si="147"/>
        <v>0</v>
      </c>
      <c r="R1184" s="8">
        <f t="shared" si="148"/>
        <v>31</v>
      </c>
      <c r="S1184" s="8">
        <f t="shared" ca="1" si="149"/>
        <v>31</v>
      </c>
      <c r="T1184">
        <f t="shared" ca="1" si="150"/>
        <v>8.700884324325969</v>
      </c>
      <c r="U1184" s="8">
        <f t="shared" ca="1" si="151"/>
        <v>1.0848927129600001</v>
      </c>
      <c r="V1184" s="8">
        <f ca="1">RawData[[#This Row],[Z (smoothed demand size)]]/RawData[[#This Row],[X (smoothed interval)]]</f>
        <v>8.0200412634228559</v>
      </c>
    </row>
    <row r="1185" spans="1:22">
      <c r="A1185" t="s">
        <v>34</v>
      </c>
      <c r="B1185" t="s">
        <v>14</v>
      </c>
      <c r="C1185">
        <v>32</v>
      </c>
      <c r="D1185" t="s">
        <v>22</v>
      </c>
      <c r="E1185" t="s">
        <v>16</v>
      </c>
      <c r="F1185" s="1">
        <v>43838</v>
      </c>
      <c r="G1185">
        <v>16</v>
      </c>
      <c r="H1185">
        <v>3</v>
      </c>
      <c r="I1185">
        <v>3</v>
      </c>
      <c r="J1185">
        <v>0</v>
      </c>
      <c r="K1185">
        <v>1</v>
      </c>
      <c r="L1185">
        <v>734</v>
      </c>
      <c r="M1185">
        <v>45</v>
      </c>
      <c r="N1185" s="1">
        <f t="shared" si="144"/>
        <v>44938</v>
      </c>
      <c r="O1185" s="1">
        <f t="shared" si="145"/>
        <v>43101</v>
      </c>
      <c r="P1185" s="1">
        <f t="shared" si="146"/>
        <v>44044</v>
      </c>
      <c r="Q1185" s="8">
        <f t="shared" si="147"/>
        <v>0</v>
      </c>
      <c r="R1185" s="8">
        <f t="shared" si="148"/>
        <v>32</v>
      </c>
      <c r="S1185" s="8">
        <f t="shared" ca="1" si="149"/>
        <v>32</v>
      </c>
      <c r="T1185">
        <f t="shared" ca="1" si="150"/>
        <v>10.160707459460776</v>
      </c>
      <c r="U1185" s="8">
        <f t="shared" ca="1" si="151"/>
        <v>1.0679141703680002</v>
      </c>
      <c r="V1185" s="8">
        <f ca="1">RawData[[#This Row],[Z (smoothed demand size)]]/RawData[[#This Row],[X (smoothed interval)]]</f>
        <v>9.5145356634414018</v>
      </c>
    </row>
    <row r="1186" spans="1:22">
      <c r="A1186" t="s">
        <v>34</v>
      </c>
      <c r="B1186" t="s">
        <v>14</v>
      </c>
      <c r="C1186">
        <v>32</v>
      </c>
      <c r="D1186" t="s">
        <v>22</v>
      </c>
      <c r="E1186" t="s">
        <v>16</v>
      </c>
      <c r="F1186" s="1">
        <v>43839</v>
      </c>
      <c r="G1186">
        <v>6</v>
      </c>
      <c r="H1186">
        <v>6</v>
      </c>
      <c r="I1186">
        <v>7</v>
      </c>
      <c r="J1186">
        <v>1</v>
      </c>
      <c r="K1186">
        <v>0</v>
      </c>
      <c r="L1186">
        <v>624</v>
      </c>
      <c r="M1186">
        <v>15</v>
      </c>
      <c r="N1186" s="1">
        <f t="shared" si="144"/>
        <v>44938</v>
      </c>
      <c r="O1186" s="1">
        <f t="shared" si="145"/>
        <v>43101</v>
      </c>
      <c r="P1186" s="1">
        <f t="shared" si="146"/>
        <v>44075</v>
      </c>
      <c r="Q1186" s="8">
        <f t="shared" si="147"/>
        <v>0</v>
      </c>
      <c r="R1186" s="8">
        <f t="shared" si="148"/>
        <v>33</v>
      </c>
      <c r="S1186" s="8">
        <f t="shared" ca="1" si="149"/>
        <v>33</v>
      </c>
      <c r="T1186">
        <f t="shared" ca="1" si="150"/>
        <v>9.3285659675686219</v>
      </c>
      <c r="U1186" s="8">
        <f t="shared" ca="1" si="151"/>
        <v>1.0543313362944002</v>
      </c>
      <c r="V1186" s="8">
        <f ca="1">RawData[[#This Row],[Z (smoothed demand size)]]/RawData[[#This Row],[X (smoothed interval)]]</f>
        <v>8.8478504303544785</v>
      </c>
    </row>
    <row r="1187" spans="1:22">
      <c r="A1187" t="s">
        <v>34</v>
      </c>
      <c r="B1187" t="s">
        <v>14</v>
      </c>
      <c r="C1187">
        <v>32</v>
      </c>
      <c r="D1187" t="s">
        <v>22</v>
      </c>
      <c r="E1187" t="s">
        <v>16</v>
      </c>
      <c r="F1187" s="1">
        <v>43840</v>
      </c>
      <c r="G1187">
        <v>13</v>
      </c>
      <c r="H1187">
        <v>9</v>
      </c>
      <c r="I1187">
        <v>9</v>
      </c>
      <c r="J1187">
        <v>0</v>
      </c>
      <c r="K1187">
        <v>1</v>
      </c>
      <c r="L1187">
        <v>635</v>
      </c>
      <c r="M1187">
        <v>45</v>
      </c>
      <c r="N1187" s="1">
        <f t="shared" si="144"/>
        <v>44938</v>
      </c>
      <c r="O1187" s="1">
        <f t="shared" si="145"/>
        <v>43101</v>
      </c>
      <c r="P1187" s="1">
        <f t="shared" si="146"/>
        <v>44105</v>
      </c>
      <c r="Q1187" s="8">
        <f t="shared" si="147"/>
        <v>0</v>
      </c>
      <c r="R1187" s="8">
        <f t="shared" si="148"/>
        <v>34</v>
      </c>
      <c r="S1187" s="8">
        <f t="shared" ca="1" si="149"/>
        <v>34</v>
      </c>
      <c r="T1187">
        <f t="shared" ca="1" si="150"/>
        <v>10.062852774054898</v>
      </c>
      <c r="U1187" s="8">
        <f t="shared" ca="1" si="151"/>
        <v>1.0434650690355203</v>
      </c>
      <c r="V1187" s="8">
        <f ca="1">RawData[[#This Row],[Z (smoothed demand size)]]/RawData[[#This Row],[X (smoothed interval)]]</f>
        <v>9.6436891590017861</v>
      </c>
    </row>
    <row r="1188" spans="1:22">
      <c r="A1188" t="s">
        <v>34</v>
      </c>
      <c r="B1188" t="s">
        <v>14</v>
      </c>
      <c r="C1188">
        <v>32</v>
      </c>
      <c r="D1188" t="s">
        <v>22</v>
      </c>
      <c r="E1188" t="s">
        <v>16</v>
      </c>
      <c r="F1188" s="1">
        <v>43841</v>
      </c>
      <c r="G1188">
        <v>6</v>
      </c>
      <c r="H1188">
        <v>0</v>
      </c>
      <c r="I1188">
        <v>0</v>
      </c>
      <c r="J1188">
        <v>0</v>
      </c>
      <c r="K1188">
        <v>1</v>
      </c>
      <c r="L1188">
        <v>627</v>
      </c>
      <c r="M1188">
        <v>45</v>
      </c>
      <c r="N1188" s="1">
        <f t="shared" si="144"/>
        <v>44938</v>
      </c>
      <c r="O1188" s="1">
        <f t="shared" si="145"/>
        <v>43101</v>
      </c>
      <c r="P1188" s="1">
        <f t="shared" si="146"/>
        <v>44136</v>
      </c>
      <c r="Q1188" s="8">
        <f t="shared" si="147"/>
        <v>0</v>
      </c>
      <c r="R1188" s="8">
        <f t="shared" si="148"/>
        <v>35</v>
      </c>
      <c r="S1188" s="8">
        <f t="shared" ca="1" si="149"/>
        <v>35</v>
      </c>
      <c r="T1188">
        <f t="shared" ca="1" si="150"/>
        <v>9.2502822192439176</v>
      </c>
      <c r="U1188" s="8">
        <f t="shared" ca="1" si="151"/>
        <v>1.0347720552284163</v>
      </c>
      <c r="V1188" s="8">
        <f ca="1">RawData[[#This Row],[Z (smoothed demand size)]]/RawData[[#This Row],[X (smoothed interval)]]</f>
        <v>8.9394395340546797</v>
      </c>
    </row>
    <row r="1189" spans="1:22">
      <c r="A1189" t="s">
        <v>34</v>
      </c>
      <c r="B1189" t="s">
        <v>14</v>
      </c>
      <c r="C1189">
        <v>32</v>
      </c>
      <c r="D1189" t="s">
        <v>22</v>
      </c>
      <c r="E1189" t="s">
        <v>16</v>
      </c>
      <c r="F1189" s="1">
        <v>43842</v>
      </c>
      <c r="G1189">
        <v>17</v>
      </c>
      <c r="H1189">
        <v>7</v>
      </c>
      <c r="I1189">
        <v>7</v>
      </c>
      <c r="J1189">
        <v>0</v>
      </c>
      <c r="K1189">
        <v>1</v>
      </c>
      <c r="L1189">
        <v>737</v>
      </c>
      <c r="M1189">
        <v>15</v>
      </c>
      <c r="N1189" s="1">
        <f t="shared" si="144"/>
        <v>44938</v>
      </c>
      <c r="O1189" s="1">
        <f t="shared" si="145"/>
        <v>43101</v>
      </c>
      <c r="P1189" s="1">
        <f t="shared" si="146"/>
        <v>44166</v>
      </c>
      <c r="Q1189" s="8">
        <f t="shared" si="147"/>
        <v>0</v>
      </c>
      <c r="R1189" s="8">
        <f t="shared" si="148"/>
        <v>36</v>
      </c>
      <c r="S1189" s="8">
        <f t="shared" ca="1" si="149"/>
        <v>36</v>
      </c>
      <c r="T1189">
        <f t="shared" ca="1" si="150"/>
        <v>10.800225775395134</v>
      </c>
      <c r="U1189" s="8">
        <f t="shared" ca="1" si="151"/>
        <v>1.0278176441827331</v>
      </c>
      <c r="V1189" s="8">
        <f ca="1">RawData[[#This Row],[Z (smoothed demand size)]]/RawData[[#This Row],[X (smoothed interval)]]</f>
        <v>10.507920190437</v>
      </c>
    </row>
    <row r="1190" spans="1:22">
      <c r="A1190" t="s">
        <v>34</v>
      </c>
      <c r="B1190" t="s">
        <v>14</v>
      </c>
      <c r="C1190">
        <v>32</v>
      </c>
      <c r="D1190" t="s">
        <v>22</v>
      </c>
      <c r="E1190" t="s">
        <v>16</v>
      </c>
      <c r="F1190" s="1">
        <v>44197</v>
      </c>
      <c r="G1190">
        <v>7</v>
      </c>
      <c r="H1190">
        <v>7</v>
      </c>
      <c r="I1190">
        <v>8</v>
      </c>
      <c r="J1190">
        <v>1</v>
      </c>
      <c r="K1190">
        <v>0</v>
      </c>
      <c r="L1190">
        <v>631</v>
      </c>
      <c r="M1190">
        <v>45</v>
      </c>
      <c r="N1190" s="1">
        <f t="shared" si="144"/>
        <v>44938</v>
      </c>
      <c r="O1190" s="1">
        <f t="shared" si="145"/>
        <v>43101</v>
      </c>
      <c r="P1190" s="1">
        <f t="shared" si="146"/>
        <v>44197</v>
      </c>
      <c r="Q1190" s="8">
        <f t="shared" si="147"/>
        <v>0</v>
      </c>
      <c r="R1190" s="8">
        <f t="shared" si="148"/>
        <v>37</v>
      </c>
      <c r="S1190" s="8">
        <f t="shared" ca="1" si="149"/>
        <v>37</v>
      </c>
      <c r="T1190">
        <f t="shared" ca="1" si="150"/>
        <v>10.040180620316107</v>
      </c>
      <c r="U1190" s="8">
        <f t="shared" ca="1" si="151"/>
        <v>1.0222541153461866</v>
      </c>
      <c r="V1190" s="8">
        <f ca="1">RawData[[#This Row],[Z (smoothed demand size)]]/RawData[[#This Row],[X (smoothed interval)]]</f>
        <v>9.8216093920208856</v>
      </c>
    </row>
    <row r="1191" spans="1:22">
      <c r="A1191" t="s">
        <v>34</v>
      </c>
      <c r="B1191" t="s">
        <v>14</v>
      </c>
      <c r="C1191">
        <v>32</v>
      </c>
      <c r="D1191" t="s">
        <v>22</v>
      </c>
      <c r="E1191" t="s">
        <v>16</v>
      </c>
      <c r="F1191" s="1">
        <v>44198</v>
      </c>
      <c r="G1191">
        <v>10</v>
      </c>
      <c r="H1191">
        <v>1</v>
      </c>
      <c r="I1191">
        <v>1</v>
      </c>
      <c r="J1191">
        <v>0</v>
      </c>
      <c r="K1191">
        <v>1</v>
      </c>
      <c r="L1191">
        <v>643</v>
      </c>
      <c r="M1191">
        <v>30</v>
      </c>
      <c r="N1191" s="1">
        <f t="shared" si="144"/>
        <v>44938</v>
      </c>
      <c r="O1191" s="1">
        <f t="shared" si="145"/>
        <v>43101</v>
      </c>
      <c r="P1191" s="1">
        <f t="shared" si="146"/>
        <v>44228</v>
      </c>
      <c r="Q1191" s="8">
        <f t="shared" si="147"/>
        <v>0</v>
      </c>
      <c r="R1191" s="8">
        <f t="shared" si="148"/>
        <v>38</v>
      </c>
      <c r="S1191" s="8">
        <f t="shared" ca="1" si="149"/>
        <v>38</v>
      </c>
      <c r="T1191">
        <f t="shared" ca="1" si="150"/>
        <v>10.032144496252887</v>
      </c>
      <c r="U1191" s="8">
        <f t="shared" ca="1" si="151"/>
        <v>1.0178032922769493</v>
      </c>
      <c r="V1191" s="8">
        <f ca="1">RawData[[#This Row],[Z (smoothed demand size)]]/RawData[[#This Row],[X (smoothed interval)]]</f>
        <v>9.856663436222302</v>
      </c>
    </row>
    <row r="1192" spans="1:22">
      <c r="A1192" t="s">
        <v>34</v>
      </c>
      <c r="B1192" t="s">
        <v>14</v>
      </c>
      <c r="C1192">
        <v>32</v>
      </c>
      <c r="D1192" t="s">
        <v>22</v>
      </c>
      <c r="E1192" t="s">
        <v>16</v>
      </c>
      <c r="F1192" s="1">
        <v>44199</v>
      </c>
      <c r="G1192">
        <v>10</v>
      </c>
      <c r="H1192">
        <v>8</v>
      </c>
      <c r="I1192">
        <v>8</v>
      </c>
      <c r="J1192">
        <v>0</v>
      </c>
      <c r="K1192">
        <v>1</v>
      </c>
      <c r="L1192">
        <v>632</v>
      </c>
      <c r="M1192">
        <v>30</v>
      </c>
      <c r="N1192" s="1">
        <f t="shared" si="144"/>
        <v>44938</v>
      </c>
      <c r="O1192" s="1">
        <f t="shared" si="145"/>
        <v>43101</v>
      </c>
      <c r="P1192" s="1">
        <f t="shared" si="146"/>
        <v>44256</v>
      </c>
      <c r="Q1192" s="8">
        <f t="shared" si="147"/>
        <v>0</v>
      </c>
      <c r="R1192" s="8">
        <f t="shared" si="148"/>
        <v>39</v>
      </c>
      <c r="S1192" s="8">
        <f t="shared" ca="1" si="149"/>
        <v>39</v>
      </c>
      <c r="T1192">
        <f t="shared" ca="1" si="150"/>
        <v>10.025715597002309</v>
      </c>
      <c r="U1192" s="8">
        <f t="shared" ca="1" si="151"/>
        <v>1.0142426338215595</v>
      </c>
      <c r="V1192" s="8">
        <f ca="1">RawData[[#This Row],[Z (smoothed demand size)]]/RawData[[#This Row],[X (smoothed interval)]]</f>
        <v>9.8849281845178076</v>
      </c>
    </row>
    <row r="1193" spans="1:22">
      <c r="A1193" t="s">
        <v>34</v>
      </c>
      <c r="B1193" t="s">
        <v>14</v>
      </c>
      <c r="C1193">
        <v>32</v>
      </c>
      <c r="D1193" t="s">
        <v>22</v>
      </c>
      <c r="E1193" t="s">
        <v>16</v>
      </c>
      <c r="F1193" s="1">
        <v>44200</v>
      </c>
      <c r="G1193">
        <v>13</v>
      </c>
      <c r="H1193">
        <v>10</v>
      </c>
      <c r="I1193">
        <v>10</v>
      </c>
      <c r="J1193">
        <v>0</v>
      </c>
      <c r="K1193">
        <v>1</v>
      </c>
      <c r="L1193">
        <v>631</v>
      </c>
      <c r="M1193">
        <v>15</v>
      </c>
      <c r="N1193" s="1">
        <f t="shared" si="144"/>
        <v>44938</v>
      </c>
      <c r="O1193" s="1">
        <f t="shared" si="145"/>
        <v>43101</v>
      </c>
      <c r="P1193" s="1">
        <f t="shared" si="146"/>
        <v>44287</v>
      </c>
      <c r="Q1193" s="8">
        <f t="shared" si="147"/>
        <v>0</v>
      </c>
      <c r="R1193" s="8">
        <f t="shared" si="148"/>
        <v>40</v>
      </c>
      <c r="S1193" s="8">
        <f t="shared" ca="1" si="149"/>
        <v>40</v>
      </c>
      <c r="T1193">
        <f t="shared" ca="1" si="150"/>
        <v>10.620572477601847</v>
      </c>
      <c r="U1193" s="8">
        <f t="shared" ca="1" si="151"/>
        <v>1.0113941070572476</v>
      </c>
      <c r="V1193" s="8">
        <f ca="1">RawData[[#This Row],[Z (smoothed demand size)]]/RawData[[#This Row],[X (smoothed interval)]]</f>
        <v>10.500923827313436</v>
      </c>
    </row>
    <row r="1194" spans="1:22">
      <c r="A1194" t="s">
        <v>34</v>
      </c>
      <c r="B1194" t="s">
        <v>14</v>
      </c>
      <c r="C1194">
        <v>32</v>
      </c>
      <c r="D1194" t="s">
        <v>22</v>
      </c>
      <c r="E1194" t="s">
        <v>16</v>
      </c>
      <c r="F1194" s="1">
        <v>44201</v>
      </c>
      <c r="G1194">
        <v>8</v>
      </c>
      <c r="H1194">
        <v>7</v>
      </c>
      <c r="I1194">
        <v>7</v>
      </c>
      <c r="J1194">
        <v>0</v>
      </c>
      <c r="K1194">
        <v>1</v>
      </c>
      <c r="L1194">
        <v>625</v>
      </c>
      <c r="M1194">
        <v>60</v>
      </c>
      <c r="N1194" s="1">
        <f t="shared" si="144"/>
        <v>44938</v>
      </c>
      <c r="O1194" s="1">
        <f t="shared" si="145"/>
        <v>43101</v>
      </c>
      <c r="P1194" s="1">
        <f t="shared" si="146"/>
        <v>44317</v>
      </c>
      <c r="Q1194" s="8">
        <f t="shared" si="147"/>
        <v>0</v>
      </c>
      <c r="R1194" s="8">
        <f t="shared" si="148"/>
        <v>41</v>
      </c>
      <c r="S1194" s="8">
        <f t="shared" ca="1" si="149"/>
        <v>41</v>
      </c>
      <c r="T1194">
        <f t="shared" ca="1" si="150"/>
        <v>10.096457982081478</v>
      </c>
      <c r="U1194" s="8">
        <f t="shared" ca="1" si="151"/>
        <v>1.0091152856457981</v>
      </c>
      <c r="V1194" s="8">
        <f ca="1">RawData[[#This Row],[Z (smoothed demand size)]]/RawData[[#This Row],[X (smoothed interval)]]</f>
        <v>10.00525720470095</v>
      </c>
    </row>
    <row r="1195" spans="1:22">
      <c r="A1195" t="s">
        <v>34</v>
      </c>
      <c r="B1195" t="s">
        <v>14</v>
      </c>
      <c r="C1195">
        <v>32</v>
      </c>
      <c r="D1195" t="s">
        <v>22</v>
      </c>
      <c r="E1195" t="s">
        <v>16</v>
      </c>
      <c r="F1195" s="1">
        <v>44202</v>
      </c>
      <c r="G1195">
        <v>10</v>
      </c>
      <c r="H1195">
        <v>0</v>
      </c>
      <c r="I1195">
        <v>0</v>
      </c>
      <c r="J1195">
        <v>0</v>
      </c>
      <c r="K1195">
        <v>1</v>
      </c>
      <c r="L1195">
        <v>733</v>
      </c>
      <c r="M1195">
        <v>45</v>
      </c>
      <c r="N1195" s="1">
        <f t="shared" si="144"/>
        <v>44938</v>
      </c>
      <c r="O1195" s="1">
        <f t="shared" si="145"/>
        <v>43101</v>
      </c>
      <c r="P1195" s="1">
        <f t="shared" si="146"/>
        <v>44348</v>
      </c>
      <c r="Q1195" s="8">
        <f t="shared" si="147"/>
        <v>0</v>
      </c>
      <c r="R1195" s="8">
        <f t="shared" si="148"/>
        <v>42</v>
      </c>
      <c r="S1195" s="8">
        <f t="shared" ca="1" si="149"/>
        <v>42</v>
      </c>
      <c r="T1195">
        <f t="shared" ca="1" si="150"/>
        <v>10.077166385665183</v>
      </c>
      <c r="U1195" s="8">
        <f t="shared" ca="1" si="151"/>
        <v>1.0072922285166386</v>
      </c>
      <c r="V1195" s="8">
        <f ca="1">RawData[[#This Row],[Z (smoothed demand size)]]/RawData[[#This Row],[X (smoothed interval)]]</f>
        <v>10.004213375601088</v>
      </c>
    </row>
    <row r="1196" spans="1:22">
      <c r="A1196" t="s">
        <v>34</v>
      </c>
      <c r="B1196" t="s">
        <v>14</v>
      </c>
      <c r="C1196">
        <v>32</v>
      </c>
      <c r="D1196" t="s">
        <v>22</v>
      </c>
      <c r="E1196" t="s">
        <v>16</v>
      </c>
      <c r="F1196" s="1">
        <v>44203</v>
      </c>
      <c r="G1196">
        <v>11</v>
      </c>
      <c r="H1196">
        <v>8</v>
      </c>
      <c r="I1196">
        <v>8</v>
      </c>
      <c r="J1196">
        <v>0</v>
      </c>
      <c r="K1196">
        <v>1</v>
      </c>
      <c r="L1196">
        <v>734</v>
      </c>
      <c r="M1196">
        <v>15</v>
      </c>
      <c r="N1196" s="1">
        <f t="shared" si="144"/>
        <v>44938</v>
      </c>
      <c r="O1196" s="1">
        <f t="shared" si="145"/>
        <v>43101</v>
      </c>
      <c r="P1196" s="1">
        <f t="shared" si="146"/>
        <v>44378</v>
      </c>
      <c r="Q1196" s="8">
        <f t="shared" si="147"/>
        <v>0</v>
      </c>
      <c r="R1196" s="8">
        <f t="shared" si="148"/>
        <v>43</v>
      </c>
      <c r="S1196" s="8">
        <f t="shared" ca="1" si="149"/>
        <v>43</v>
      </c>
      <c r="T1196">
        <f t="shared" ca="1" si="150"/>
        <v>10.261733108532148</v>
      </c>
      <c r="U1196" s="8">
        <f t="shared" ca="1" si="151"/>
        <v>1.0058337828133108</v>
      </c>
      <c r="V1196" s="8">
        <f ca="1">RawData[[#This Row],[Z (smoothed demand size)]]/RawData[[#This Row],[X (smoothed interval)]]</f>
        <v>10.202215598515835</v>
      </c>
    </row>
    <row r="1197" spans="1:22">
      <c r="A1197" t="s">
        <v>34</v>
      </c>
      <c r="B1197" t="s">
        <v>14</v>
      </c>
      <c r="C1197">
        <v>32</v>
      </c>
      <c r="D1197" t="s">
        <v>22</v>
      </c>
      <c r="E1197" t="s">
        <v>16</v>
      </c>
      <c r="F1197" s="1">
        <v>44204</v>
      </c>
      <c r="G1197">
        <v>7</v>
      </c>
      <c r="H1197">
        <v>7</v>
      </c>
      <c r="I1197">
        <v>7</v>
      </c>
      <c r="J1197">
        <v>0</v>
      </c>
      <c r="K1197">
        <v>0</v>
      </c>
      <c r="L1197">
        <v>737</v>
      </c>
      <c r="M1197">
        <v>60</v>
      </c>
      <c r="N1197" s="1">
        <f t="shared" si="144"/>
        <v>44938</v>
      </c>
      <c r="O1197" s="1">
        <f t="shared" si="145"/>
        <v>43101</v>
      </c>
      <c r="P1197" s="1">
        <f t="shared" si="146"/>
        <v>44409</v>
      </c>
      <c r="Q1197" s="8">
        <f t="shared" si="147"/>
        <v>0</v>
      </c>
      <c r="R1197" s="8">
        <f t="shared" si="148"/>
        <v>44</v>
      </c>
      <c r="S1197" s="8">
        <f t="shared" ca="1" si="149"/>
        <v>44</v>
      </c>
      <c r="T1197">
        <f t="shared" ca="1" si="150"/>
        <v>9.6093864868257199</v>
      </c>
      <c r="U1197" s="8">
        <f t="shared" ca="1" si="151"/>
        <v>1.0046670262506487</v>
      </c>
      <c r="V1197" s="8">
        <f ca="1">RawData[[#This Row],[Z (smoothed demand size)]]/RawData[[#This Row],[X (smoothed interval)]]</f>
        <v>9.5647475588875626</v>
      </c>
    </row>
    <row r="1198" spans="1:22">
      <c r="A1198" t="s">
        <v>34</v>
      </c>
      <c r="B1198" t="s">
        <v>14</v>
      </c>
      <c r="C1198">
        <v>32</v>
      </c>
      <c r="D1198" t="s">
        <v>22</v>
      </c>
      <c r="E1198" t="s">
        <v>16</v>
      </c>
      <c r="F1198" s="1">
        <v>44205</v>
      </c>
      <c r="G1198">
        <v>10</v>
      </c>
      <c r="H1198">
        <v>0</v>
      </c>
      <c r="I1198">
        <v>0</v>
      </c>
      <c r="J1198">
        <v>0</v>
      </c>
      <c r="K1198">
        <v>1</v>
      </c>
      <c r="L1198">
        <v>639</v>
      </c>
      <c r="M1198">
        <v>30</v>
      </c>
      <c r="N1198" s="1">
        <f t="shared" si="144"/>
        <v>44938</v>
      </c>
      <c r="O1198" s="1">
        <f t="shared" si="145"/>
        <v>43101</v>
      </c>
      <c r="P1198" s="1">
        <f t="shared" si="146"/>
        <v>44440</v>
      </c>
      <c r="Q1198" s="8">
        <f t="shared" si="147"/>
        <v>0</v>
      </c>
      <c r="R1198" s="8">
        <f t="shared" si="148"/>
        <v>45</v>
      </c>
      <c r="S1198" s="8">
        <f t="shared" ca="1" si="149"/>
        <v>45</v>
      </c>
      <c r="T1198">
        <f t="shared" ca="1" si="150"/>
        <v>9.6875091894605774</v>
      </c>
      <c r="U1198" s="8">
        <f t="shared" ca="1" si="151"/>
        <v>1.003733621000519</v>
      </c>
      <c r="V1198" s="8">
        <f ca="1">RawData[[#This Row],[Z (smoothed demand size)]]/RawData[[#This Row],[X (smoothed interval)]]</f>
        <v>9.6514742425426512</v>
      </c>
    </row>
    <row r="1199" spans="1:22">
      <c r="A1199" t="s">
        <v>34</v>
      </c>
      <c r="B1199" t="s">
        <v>14</v>
      </c>
      <c r="C1199">
        <v>32</v>
      </c>
      <c r="D1199" t="s">
        <v>22</v>
      </c>
      <c r="E1199" t="s">
        <v>16</v>
      </c>
      <c r="F1199" s="1">
        <v>44206</v>
      </c>
      <c r="G1199">
        <v>8</v>
      </c>
      <c r="H1199">
        <v>8</v>
      </c>
      <c r="I1199">
        <v>9</v>
      </c>
      <c r="J1199">
        <v>1</v>
      </c>
      <c r="K1199">
        <v>0</v>
      </c>
      <c r="L1199">
        <v>638</v>
      </c>
      <c r="M1199">
        <v>15</v>
      </c>
      <c r="N1199" s="1">
        <f t="shared" si="144"/>
        <v>44938</v>
      </c>
      <c r="O1199" s="1">
        <f t="shared" si="145"/>
        <v>43101</v>
      </c>
      <c r="P1199" s="1">
        <f t="shared" si="146"/>
        <v>44470</v>
      </c>
      <c r="Q1199" s="8">
        <f t="shared" si="147"/>
        <v>0</v>
      </c>
      <c r="R1199" s="8">
        <f t="shared" si="148"/>
        <v>46</v>
      </c>
      <c r="S1199" s="8">
        <f t="shared" ca="1" si="149"/>
        <v>46</v>
      </c>
      <c r="T1199">
        <f t="shared" ca="1" si="150"/>
        <v>9.350007351568463</v>
      </c>
      <c r="U1199" s="8">
        <f t="shared" ca="1" si="151"/>
        <v>1.0029868968004152</v>
      </c>
      <c r="V1199" s="8">
        <f ca="1">RawData[[#This Row],[Z (smoothed demand size)]]/RawData[[#This Row],[X (smoothed interval)]]</f>
        <v>9.3221630126929025</v>
      </c>
    </row>
    <row r="1200" spans="1:22">
      <c r="A1200" t="s">
        <v>34</v>
      </c>
      <c r="B1200" t="s">
        <v>14</v>
      </c>
      <c r="C1200">
        <v>32</v>
      </c>
      <c r="D1200" t="s">
        <v>22</v>
      </c>
      <c r="E1200" t="s">
        <v>16</v>
      </c>
      <c r="F1200" s="1">
        <v>44207</v>
      </c>
      <c r="G1200">
        <v>8</v>
      </c>
      <c r="H1200">
        <v>8</v>
      </c>
      <c r="I1200">
        <v>9</v>
      </c>
      <c r="J1200">
        <v>1</v>
      </c>
      <c r="K1200">
        <v>0</v>
      </c>
      <c r="L1200">
        <v>639</v>
      </c>
      <c r="M1200">
        <v>15</v>
      </c>
      <c r="N1200" s="1">
        <f t="shared" si="144"/>
        <v>44938</v>
      </c>
      <c r="O1200" s="1">
        <f t="shared" si="145"/>
        <v>43101</v>
      </c>
      <c r="P1200" s="1">
        <f t="shared" si="146"/>
        <v>44501</v>
      </c>
      <c r="Q1200" s="8">
        <f t="shared" si="147"/>
        <v>0</v>
      </c>
      <c r="R1200" s="8">
        <f t="shared" si="148"/>
        <v>47</v>
      </c>
      <c r="S1200" s="8">
        <f t="shared" ca="1" si="149"/>
        <v>47</v>
      </c>
      <c r="T1200">
        <f t="shared" ca="1" si="150"/>
        <v>9.0800058812547704</v>
      </c>
      <c r="U1200" s="8">
        <f t="shared" ca="1" si="151"/>
        <v>1.0023895174403321</v>
      </c>
      <c r="V1200" s="8">
        <f ca="1">RawData[[#This Row],[Z (smoothed demand size)]]/RawData[[#This Row],[X (smoothed interval)]]</f>
        <v>9.0583607702135254</v>
      </c>
    </row>
    <row r="1201" spans="1:22">
      <c r="A1201" t="s">
        <v>34</v>
      </c>
      <c r="B1201" t="s">
        <v>14</v>
      </c>
      <c r="C1201">
        <v>32</v>
      </c>
      <c r="D1201" t="s">
        <v>22</v>
      </c>
      <c r="E1201" t="s">
        <v>16</v>
      </c>
      <c r="F1201" s="1">
        <v>44208</v>
      </c>
      <c r="G1201">
        <v>4</v>
      </c>
      <c r="H1201">
        <v>4</v>
      </c>
      <c r="I1201">
        <v>12</v>
      </c>
      <c r="J1201">
        <v>8</v>
      </c>
      <c r="K1201">
        <v>0</v>
      </c>
      <c r="L1201">
        <v>736</v>
      </c>
      <c r="M1201">
        <v>60</v>
      </c>
      <c r="N1201" s="1">
        <f t="shared" si="144"/>
        <v>44938</v>
      </c>
      <c r="O1201" s="1">
        <f t="shared" si="145"/>
        <v>43101</v>
      </c>
      <c r="P1201" s="1">
        <f t="shared" si="146"/>
        <v>44531</v>
      </c>
      <c r="Q1201" s="8">
        <f t="shared" si="147"/>
        <v>0</v>
      </c>
      <c r="R1201" s="8">
        <f t="shared" si="148"/>
        <v>48</v>
      </c>
      <c r="S1201" s="8">
        <f t="shared" ca="1" si="149"/>
        <v>48</v>
      </c>
      <c r="T1201">
        <f t="shared" ca="1" si="150"/>
        <v>8.0640047050038177</v>
      </c>
      <c r="U1201" s="8">
        <f t="shared" ca="1" si="151"/>
        <v>1.0019116139522657</v>
      </c>
      <c r="V1201" s="8">
        <f ca="1">RawData[[#This Row],[Z (smoothed demand size)]]/RawData[[#This Row],[X (smoothed interval)]]</f>
        <v>8.0486188529081293</v>
      </c>
    </row>
    <row r="1202" spans="1:22">
      <c r="A1202" t="s">
        <v>34</v>
      </c>
      <c r="B1202" t="s">
        <v>14</v>
      </c>
      <c r="C1202">
        <v>32</v>
      </c>
      <c r="D1202" t="s">
        <v>22</v>
      </c>
      <c r="E1202" t="s">
        <v>16</v>
      </c>
      <c r="F1202" s="1">
        <v>44562</v>
      </c>
      <c r="G1202">
        <v>5</v>
      </c>
      <c r="H1202">
        <v>5</v>
      </c>
      <c r="I1202">
        <v>8</v>
      </c>
      <c r="J1202">
        <v>3</v>
      </c>
      <c r="K1202">
        <v>0</v>
      </c>
      <c r="L1202">
        <v>639</v>
      </c>
      <c r="M1202">
        <v>15</v>
      </c>
      <c r="N1202" s="1">
        <f t="shared" si="144"/>
        <v>44938</v>
      </c>
      <c r="O1202" s="1">
        <f t="shared" si="145"/>
        <v>43101</v>
      </c>
      <c r="P1202" s="1">
        <f t="shared" si="146"/>
        <v>44562</v>
      </c>
      <c r="Q1202" s="8">
        <f t="shared" si="147"/>
        <v>0</v>
      </c>
      <c r="R1202" s="8">
        <f t="shared" si="148"/>
        <v>49</v>
      </c>
      <c r="S1202" s="8">
        <f t="shared" ca="1" si="149"/>
        <v>49</v>
      </c>
      <c r="T1202">
        <f t="shared" ca="1" si="150"/>
        <v>7.4512037640030542</v>
      </c>
      <c r="U1202" s="8">
        <f t="shared" ca="1" si="151"/>
        <v>1.0015292911618126</v>
      </c>
      <c r="V1202" s="8">
        <f ca="1">RawData[[#This Row],[Z (smoothed demand size)]]/RawData[[#This Row],[X (smoothed interval)]]</f>
        <v>7.4398261036972473</v>
      </c>
    </row>
    <row r="1203" spans="1:22">
      <c r="A1203" t="s">
        <v>34</v>
      </c>
      <c r="B1203" t="s">
        <v>14</v>
      </c>
      <c r="C1203">
        <v>32</v>
      </c>
      <c r="D1203" t="s">
        <v>22</v>
      </c>
      <c r="E1203" t="s">
        <v>16</v>
      </c>
      <c r="F1203" s="1">
        <v>44563</v>
      </c>
      <c r="G1203">
        <v>7</v>
      </c>
      <c r="H1203">
        <v>7</v>
      </c>
      <c r="I1203">
        <v>10</v>
      </c>
      <c r="J1203">
        <v>3</v>
      </c>
      <c r="K1203">
        <v>0</v>
      </c>
      <c r="L1203">
        <v>624</v>
      </c>
      <c r="M1203">
        <v>45</v>
      </c>
      <c r="N1203" s="1">
        <f t="shared" si="144"/>
        <v>44938</v>
      </c>
      <c r="O1203" s="1">
        <f t="shared" si="145"/>
        <v>43101</v>
      </c>
      <c r="P1203" s="1">
        <f t="shared" si="146"/>
        <v>44593</v>
      </c>
      <c r="Q1203" s="8">
        <f t="shared" si="147"/>
        <v>0</v>
      </c>
      <c r="R1203" s="8">
        <f t="shared" si="148"/>
        <v>50</v>
      </c>
      <c r="S1203" s="8">
        <f t="shared" ca="1" si="149"/>
        <v>50</v>
      </c>
      <c r="T1203">
        <f t="shared" ca="1" si="150"/>
        <v>7.3609630112024442</v>
      </c>
      <c r="U1203" s="8">
        <f t="shared" ca="1" si="151"/>
        <v>1.00122343292945</v>
      </c>
      <c r="V1203" s="8">
        <f ca="1">RawData[[#This Row],[Z (smoothed demand size)]]/RawData[[#This Row],[X (smoothed interval)]]</f>
        <v>7.3519683710010861</v>
      </c>
    </row>
    <row r="1204" spans="1:22">
      <c r="A1204" t="s">
        <v>34</v>
      </c>
      <c r="B1204" t="s">
        <v>14</v>
      </c>
      <c r="C1204">
        <v>32</v>
      </c>
      <c r="D1204" t="s">
        <v>22</v>
      </c>
      <c r="E1204" t="s">
        <v>16</v>
      </c>
      <c r="F1204" s="1">
        <v>44564</v>
      </c>
      <c r="G1204">
        <v>8</v>
      </c>
      <c r="H1204">
        <v>3</v>
      </c>
      <c r="I1204">
        <v>3</v>
      </c>
      <c r="J1204">
        <v>0</v>
      </c>
      <c r="K1204">
        <v>1</v>
      </c>
      <c r="L1204">
        <v>630</v>
      </c>
      <c r="M1204">
        <v>30</v>
      </c>
      <c r="N1204" s="1">
        <f t="shared" si="144"/>
        <v>44938</v>
      </c>
      <c r="O1204" s="1">
        <f t="shared" si="145"/>
        <v>43101</v>
      </c>
      <c r="P1204" s="1">
        <f t="shared" si="146"/>
        <v>44621</v>
      </c>
      <c r="Q1204" s="8">
        <f t="shared" si="147"/>
        <v>0</v>
      </c>
      <c r="R1204" s="8">
        <f t="shared" si="148"/>
        <v>51</v>
      </c>
      <c r="S1204" s="8">
        <f t="shared" ca="1" si="149"/>
        <v>51</v>
      </c>
      <c r="T1204">
        <f t="shared" ca="1" si="150"/>
        <v>7.4887704089619564</v>
      </c>
      <c r="U1204" s="8">
        <f t="shared" ca="1" si="151"/>
        <v>1.00097874634356</v>
      </c>
      <c r="V1204" s="8">
        <f ca="1">RawData[[#This Row],[Z (smoothed demand size)]]/RawData[[#This Row],[X (smoothed interval)]]</f>
        <v>7.4814479691176485</v>
      </c>
    </row>
    <row r="1205" spans="1:22">
      <c r="A1205" t="s">
        <v>34</v>
      </c>
      <c r="B1205" t="s">
        <v>14</v>
      </c>
      <c r="C1205">
        <v>32</v>
      </c>
      <c r="D1205" t="s">
        <v>22</v>
      </c>
      <c r="E1205" t="s">
        <v>16</v>
      </c>
      <c r="F1205" s="1">
        <v>44565</v>
      </c>
      <c r="G1205">
        <v>5</v>
      </c>
      <c r="H1205">
        <v>5</v>
      </c>
      <c r="I1205">
        <v>12</v>
      </c>
      <c r="J1205">
        <v>7</v>
      </c>
      <c r="K1205">
        <v>0</v>
      </c>
      <c r="L1205">
        <v>623</v>
      </c>
      <c r="M1205">
        <v>60</v>
      </c>
      <c r="N1205" s="1">
        <f t="shared" si="144"/>
        <v>44938</v>
      </c>
      <c r="O1205" s="1">
        <f t="shared" si="145"/>
        <v>43101</v>
      </c>
      <c r="P1205" s="1">
        <f t="shared" si="146"/>
        <v>44652</v>
      </c>
      <c r="Q1205" s="8">
        <f t="shared" si="147"/>
        <v>0</v>
      </c>
      <c r="R1205" s="8">
        <f t="shared" si="148"/>
        <v>52</v>
      </c>
      <c r="S1205" s="8">
        <f t="shared" ca="1" si="149"/>
        <v>52</v>
      </c>
      <c r="T1205">
        <f t="shared" ca="1" si="150"/>
        <v>6.9910163271695653</v>
      </c>
      <c r="U1205" s="8">
        <f t="shared" ca="1" si="151"/>
        <v>1.0007829970748481</v>
      </c>
      <c r="V1205" s="8">
        <f ca="1">RawData[[#This Row],[Z (smoothed demand size)]]/RawData[[#This Row],[X (smoothed interval)]]</f>
        <v>6.9855466645649962</v>
      </c>
    </row>
    <row r="1206" spans="1:22">
      <c r="A1206" t="s">
        <v>34</v>
      </c>
      <c r="B1206" t="s">
        <v>14</v>
      </c>
      <c r="C1206">
        <v>32</v>
      </c>
      <c r="D1206" t="s">
        <v>22</v>
      </c>
      <c r="E1206" t="s">
        <v>16</v>
      </c>
      <c r="F1206" s="1">
        <v>44566</v>
      </c>
      <c r="G1206">
        <v>4</v>
      </c>
      <c r="H1206">
        <v>4</v>
      </c>
      <c r="I1206">
        <v>7</v>
      </c>
      <c r="J1206">
        <v>3</v>
      </c>
      <c r="K1206">
        <v>0</v>
      </c>
      <c r="L1206">
        <v>635</v>
      </c>
      <c r="M1206">
        <v>45</v>
      </c>
      <c r="N1206" s="1">
        <f t="shared" si="144"/>
        <v>44938</v>
      </c>
      <c r="O1206" s="1">
        <f t="shared" si="145"/>
        <v>43101</v>
      </c>
      <c r="P1206" s="1">
        <f t="shared" si="146"/>
        <v>44682</v>
      </c>
      <c r="Q1206" s="8">
        <f t="shared" si="147"/>
        <v>0</v>
      </c>
      <c r="R1206" s="8">
        <f t="shared" si="148"/>
        <v>53</v>
      </c>
      <c r="S1206" s="8">
        <f t="shared" ca="1" si="149"/>
        <v>53</v>
      </c>
      <c r="T1206">
        <f t="shared" ca="1" si="150"/>
        <v>6.3928130617356524</v>
      </c>
      <c r="U1206" s="8">
        <f t="shared" ca="1" si="151"/>
        <v>1.0006263976598786</v>
      </c>
      <c r="V1206" s="8">
        <f ca="1">RawData[[#This Row],[Z (smoothed demand size)]]/RawData[[#This Row],[X (smoothed interval)]]</f>
        <v>6.3888111253972975</v>
      </c>
    </row>
    <row r="1207" spans="1:22">
      <c r="A1207" t="s">
        <v>34</v>
      </c>
      <c r="B1207" t="s">
        <v>14</v>
      </c>
      <c r="C1207">
        <v>32</v>
      </c>
      <c r="D1207" t="s">
        <v>22</v>
      </c>
      <c r="E1207" t="s">
        <v>16</v>
      </c>
      <c r="F1207" s="1">
        <v>44567</v>
      </c>
      <c r="G1207">
        <v>11</v>
      </c>
      <c r="H1207">
        <v>10</v>
      </c>
      <c r="I1207">
        <v>10</v>
      </c>
      <c r="J1207">
        <v>0</v>
      </c>
      <c r="K1207">
        <v>1</v>
      </c>
      <c r="L1207">
        <v>740</v>
      </c>
      <c r="M1207">
        <v>60</v>
      </c>
      <c r="N1207" s="1">
        <f t="shared" si="144"/>
        <v>44938</v>
      </c>
      <c r="O1207" s="1">
        <f t="shared" si="145"/>
        <v>43101</v>
      </c>
      <c r="P1207" s="1">
        <f t="shared" si="146"/>
        <v>44713</v>
      </c>
      <c r="Q1207" s="8">
        <f t="shared" si="147"/>
        <v>0</v>
      </c>
      <c r="R1207" s="8">
        <f t="shared" si="148"/>
        <v>54</v>
      </c>
      <c r="S1207" s="8">
        <f t="shared" ca="1" si="149"/>
        <v>54</v>
      </c>
      <c r="T1207">
        <f t="shared" ca="1" si="150"/>
        <v>7.3142504493885223</v>
      </c>
      <c r="U1207" s="8">
        <f t="shared" ca="1" si="151"/>
        <v>1.0005011181279029</v>
      </c>
      <c r="V1207" s="8">
        <f ca="1">RawData[[#This Row],[Z (smoothed demand size)]]/RawData[[#This Row],[X (smoothed interval)]]</f>
        <v>7.3105869817263684</v>
      </c>
    </row>
    <row r="1208" spans="1:22">
      <c r="A1208" t="s">
        <v>34</v>
      </c>
      <c r="B1208" t="s">
        <v>14</v>
      </c>
      <c r="C1208">
        <v>32</v>
      </c>
      <c r="D1208" t="s">
        <v>22</v>
      </c>
      <c r="E1208" t="s">
        <v>16</v>
      </c>
      <c r="F1208" s="1">
        <v>44568</v>
      </c>
      <c r="G1208">
        <v>7</v>
      </c>
      <c r="H1208">
        <v>0</v>
      </c>
      <c r="I1208">
        <v>0</v>
      </c>
      <c r="J1208">
        <v>0</v>
      </c>
      <c r="K1208">
        <v>1</v>
      </c>
      <c r="L1208">
        <v>735</v>
      </c>
      <c r="M1208">
        <v>45</v>
      </c>
      <c r="N1208" s="1">
        <f t="shared" si="144"/>
        <v>44938</v>
      </c>
      <c r="O1208" s="1">
        <f t="shared" si="145"/>
        <v>43101</v>
      </c>
      <c r="P1208" s="1">
        <f t="shared" si="146"/>
        <v>44743</v>
      </c>
      <c r="Q1208" s="8">
        <f t="shared" si="147"/>
        <v>0</v>
      </c>
      <c r="R1208" s="8">
        <f t="shared" si="148"/>
        <v>55</v>
      </c>
      <c r="S1208" s="8">
        <f t="shared" ca="1" si="149"/>
        <v>55</v>
      </c>
      <c r="T1208">
        <f t="shared" ca="1" si="150"/>
        <v>7.2514003595108187</v>
      </c>
      <c r="U1208" s="8">
        <f t="shared" ca="1" si="151"/>
        <v>1.0004008945023224</v>
      </c>
      <c r="V1208" s="8">
        <f ca="1">RawData[[#This Row],[Z (smoothed demand size)]]/RawData[[#This Row],[X (smoothed interval)]]</f>
        <v>7.2484944779245044</v>
      </c>
    </row>
    <row r="1209" spans="1:22">
      <c r="A1209" t="s">
        <v>34</v>
      </c>
      <c r="B1209" t="s">
        <v>14</v>
      </c>
      <c r="C1209">
        <v>32</v>
      </c>
      <c r="D1209" t="s">
        <v>22</v>
      </c>
      <c r="E1209" t="s">
        <v>16</v>
      </c>
      <c r="F1209" s="1">
        <v>44569</v>
      </c>
      <c r="G1209">
        <v>10</v>
      </c>
      <c r="H1209">
        <v>9</v>
      </c>
      <c r="I1209">
        <v>9</v>
      </c>
      <c r="J1209">
        <v>0</v>
      </c>
      <c r="K1209">
        <v>1</v>
      </c>
      <c r="L1209">
        <v>724</v>
      </c>
      <c r="M1209">
        <v>30</v>
      </c>
      <c r="N1209" s="1">
        <f t="shared" si="144"/>
        <v>44938</v>
      </c>
      <c r="O1209" s="1">
        <f t="shared" si="145"/>
        <v>43101</v>
      </c>
      <c r="P1209" s="1">
        <f t="shared" si="146"/>
        <v>44774</v>
      </c>
      <c r="Q1209" s="8">
        <f t="shared" si="147"/>
        <v>0</v>
      </c>
      <c r="R1209" s="8">
        <f t="shared" si="148"/>
        <v>56</v>
      </c>
      <c r="S1209" s="8">
        <f t="shared" ca="1" si="149"/>
        <v>56</v>
      </c>
      <c r="T1209">
        <f t="shared" ca="1" si="150"/>
        <v>7.8011202876086552</v>
      </c>
      <c r="U1209" s="8">
        <f t="shared" ca="1" si="151"/>
        <v>1.0003207156018579</v>
      </c>
      <c r="V1209" s="8">
        <f ca="1">RawData[[#This Row],[Z (smoothed demand size)]]/RawData[[#This Row],[X (smoothed interval)]]</f>
        <v>7.7986191487746952</v>
      </c>
    </row>
    <row r="1210" spans="1:22">
      <c r="A1210" t="s">
        <v>34</v>
      </c>
      <c r="B1210" t="s">
        <v>14</v>
      </c>
      <c r="C1210">
        <v>32</v>
      </c>
      <c r="D1210" t="s">
        <v>22</v>
      </c>
      <c r="E1210" t="s">
        <v>16</v>
      </c>
      <c r="F1210" s="1">
        <v>44570</v>
      </c>
      <c r="G1210">
        <v>9</v>
      </c>
      <c r="H1210">
        <v>9</v>
      </c>
      <c r="I1210">
        <v>11</v>
      </c>
      <c r="J1210">
        <v>2</v>
      </c>
      <c r="K1210">
        <v>0</v>
      </c>
      <c r="L1210">
        <v>637</v>
      </c>
      <c r="M1210">
        <v>60</v>
      </c>
      <c r="N1210" s="1">
        <f t="shared" si="144"/>
        <v>44938</v>
      </c>
      <c r="O1210" s="1">
        <f t="shared" si="145"/>
        <v>43101</v>
      </c>
      <c r="P1210" s="1">
        <f t="shared" si="146"/>
        <v>44805</v>
      </c>
      <c r="Q1210" s="8">
        <f t="shared" si="147"/>
        <v>0</v>
      </c>
      <c r="R1210" s="8">
        <f t="shared" si="148"/>
        <v>57</v>
      </c>
      <c r="S1210" s="8">
        <f t="shared" ca="1" si="149"/>
        <v>57</v>
      </c>
      <c r="T1210">
        <f t="shared" ca="1" si="150"/>
        <v>8.0408962300869256</v>
      </c>
      <c r="U1210" s="8">
        <f t="shared" ca="1" si="151"/>
        <v>1.0002565724814863</v>
      </c>
      <c r="V1210" s="8">
        <f ca="1">RawData[[#This Row],[Z (smoothed demand size)]]/RawData[[#This Row],[X (smoothed interval)]]</f>
        <v>8.0388336865797037</v>
      </c>
    </row>
    <row r="1211" spans="1:22">
      <c r="A1211" t="s">
        <v>34</v>
      </c>
      <c r="B1211" t="s">
        <v>14</v>
      </c>
      <c r="C1211">
        <v>32</v>
      </c>
      <c r="D1211" t="s">
        <v>22</v>
      </c>
      <c r="E1211" t="s">
        <v>16</v>
      </c>
      <c r="F1211" s="1">
        <v>44571</v>
      </c>
      <c r="G1211">
        <v>8</v>
      </c>
      <c r="H1211">
        <v>2</v>
      </c>
      <c r="I1211">
        <v>2</v>
      </c>
      <c r="J1211">
        <v>0</v>
      </c>
      <c r="K1211">
        <v>1</v>
      </c>
      <c r="L1211">
        <v>636</v>
      </c>
      <c r="M1211">
        <v>60</v>
      </c>
      <c r="N1211" s="1">
        <f t="shared" si="144"/>
        <v>44938</v>
      </c>
      <c r="O1211" s="1">
        <f t="shared" si="145"/>
        <v>43101</v>
      </c>
      <c r="P1211" s="1">
        <f t="shared" si="146"/>
        <v>44835</v>
      </c>
      <c r="Q1211" s="8">
        <f t="shared" si="147"/>
        <v>0</v>
      </c>
      <c r="R1211" s="8">
        <f t="shared" si="148"/>
        <v>58</v>
      </c>
      <c r="S1211" s="8">
        <f t="shared" ca="1" si="149"/>
        <v>58</v>
      </c>
      <c r="T1211">
        <f t="shared" ca="1" si="150"/>
        <v>8.0327169840695412</v>
      </c>
      <c r="U1211" s="8">
        <f t="shared" ca="1" si="151"/>
        <v>1.000205257985189</v>
      </c>
      <c r="V1211" s="8">
        <f ca="1">RawData[[#This Row],[Z (smoothed demand size)]]/RawData[[#This Row],[X (smoothed interval)]]</f>
        <v>8.0310685431214655</v>
      </c>
    </row>
    <row r="1212" spans="1:22">
      <c r="A1212" t="s">
        <v>34</v>
      </c>
      <c r="B1212" t="s">
        <v>14</v>
      </c>
      <c r="C1212">
        <v>32</v>
      </c>
      <c r="D1212" t="s">
        <v>22</v>
      </c>
      <c r="E1212" t="s">
        <v>16</v>
      </c>
      <c r="F1212" s="1">
        <v>44572</v>
      </c>
      <c r="G1212">
        <v>16</v>
      </c>
      <c r="H1212">
        <v>11</v>
      </c>
      <c r="I1212">
        <v>11</v>
      </c>
      <c r="J1212">
        <v>0</v>
      </c>
      <c r="K1212">
        <v>1</v>
      </c>
      <c r="L1212">
        <v>635</v>
      </c>
      <c r="M1212">
        <v>15</v>
      </c>
      <c r="N1212" s="1">
        <f t="shared" si="144"/>
        <v>44938</v>
      </c>
      <c r="O1212" s="1">
        <f t="shared" si="145"/>
        <v>43101</v>
      </c>
      <c r="P1212" s="1">
        <f t="shared" si="146"/>
        <v>44866</v>
      </c>
      <c r="Q1212" s="8">
        <f t="shared" si="147"/>
        <v>0</v>
      </c>
      <c r="R1212" s="8">
        <f t="shared" si="148"/>
        <v>59</v>
      </c>
      <c r="S1212" s="8">
        <f t="shared" ca="1" si="149"/>
        <v>59</v>
      </c>
      <c r="T1212">
        <f t="shared" ca="1" si="150"/>
        <v>9.6261735872556322</v>
      </c>
      <c r="U1212" s="8">
        <f t="shared" ca="1" si="151"/>
        <v>1.0001642063881513</v>
      </c>
      <c r="V1212" s="8">
        <f ca="1">RawData[[#This Row],[Z (smoothed demand size)]]/RawData[[#This Row],[X (smoothed interval)]]</f>
        <v>9.6245931675741598</v>
      </c>
    </row>
    <row r="1213" spans="1:22">
      <c r="A1213" t="s">
        <v>34</v>
      </c>
      <c r="B1213" t="s">
        <v>14</v>
      </c>
      <c r="C1213">
        <v>32</v>
      </c>
      <c r="D1213" t="s">
        <v>22</v>
      </c>
      <c r="E1213" t="s">
        <v>16</v>
      </c>
      <c r="F1213" s="1">
        <v>44573</v>
      </c>
      <c r="G1213">
        <v>6</v>
      </c>
      <c r="H1213">
        <v>6</v>
      </c>
      <c r="I1213">
        <v>10</v>
      </c>
      <c r="J1213">
        <v>4</v>
      </c>
      <c r="K1213">
        <v>0</v>
      </c>
      <c r="L1213">
        <v>719</v>
      </c>
      <c r="M1213">
        <v>45</v>
      </c>
      <c r="N1213" s="1">
        <f t="shared" si="144"/>
        <v>44938</v>
      </c>
      <c r="O1213" s="1">
        <f t="shared" si="145"/>
        <v>43101</v>
      </c>
      <c r="P1213" s="1">
        <f t="shared" si="146"/>
        <v>44896</v>
      </c>
      <c r="Q1213" s="8">
        <f t="shared" si="147"/>
        <v>0</v>
      </c>
      <c r="R1213" s="8">
        <f t="shared" si="148"/>
        <v>60</v>
      </c>
      <c r="S1213" s="8">
        <f t="shared" ca="1" si="149"/>
        <v>60</v>
      </c>
      <c r="T1213">
        <f t="shared" ca="1" si="150"/>
        <v>8.9009388698045058</v>
      </c>
      <c r="U1213" s="8">
        <f t="shared" ca="1" si="151"/>
        <v>1.000131365110521</v>
      </c>
      <c r="V1213" s="8">
        <f ca="1">RawData[[#This Row],[Z (smoothed demand size)]]/RawData[[#This Row],[X (smoothed interval)]]</f>
        <v>8.8997697505676108</v>
      </c>
    </row>
    <row r="1214" spans="1:22">
      <c r="A1214" t="s">
        <v>34</v>
      </c>
      <c r="B1214" t="s">
        <v>14</v>
      </c>
      <c r="C1214">
        <v>32</v>
      </c>
      <c r="D1214" t="s">
        <v>22</v>
      </c>
      <c r="E1214" t="s">
        <v>16</v>
      </c>
      <c r="F1214" s="1">
        <v>44927</v>
      </c>
      <c r="G1214">
        <v>4</v>
      </c>
      <c r="H1214">
        <v>4</v>
      </c>
      <c r="I1214">
        <v>4</v>
      </c>
      <c r="J1214">
        <v>0</v>
      </c>
      <c r="K1214">
        <v>0</v>
      </c>
      <c r="L1214">
        <v>640</v>
      </c>
      <c r="M1214">
        <v>60</v>
      </c>
      <c r="N1214" s="1">
        <f t="shared" si="144"/>
        <v>44938</v>
      </c>
      <c r="O1214" s="1">
        <f t="shared" si="145"/>
        <v>43101</v>
      </c>
      <c r="P1214" s="1">
        <f t="shared" si="146"/>
        <v>44927</v>
      </c>
      <c r="Q1214" s="8">
        <f t="shared" si="147"/>
        <v>0</v>
      </c>
      <c r="R1214" s="8">
        <f t="shared" si="148"/>
        <v>61</v>
      </c>
      <c r="S1214" s="8">
        <f t="shared" ca="1" si="149"/>
        <v>61</v>
      </c>
      <c r="T1214">
        <f t="shared" ca="1" si="150"/>
        <v>7.9207510958436051</v>
      </c>
      <c r="U1214" s="8">
        <f t="shared" ca="1" si="151"/>
        <v>1.0001050920884169</v>
      </c>
      <c r="V1214" s="8">
        <f ca="1">RawData[[#This Row],[Z (smoothed demand size)]]/RawData[[#This Row],[X (smoothed interval)]]</f>
        <v>7.9199187750394442</v>
      </c>
    </row>
    <row r="1215" spans="1:22">
      <c r="A1215" t="s">
        <v>34</v>
      </c>
      <c r="B1215" t="s">
        <v>14</v>
      </c>
      <c r="C1215">
        <v>32</v>
      </c>
      <c r="D1215" t="s">
        <v>22</v>
      </c>
      <c r="E1215" t="s">
        <v>16</v>
      </c>
      <c r="F1215" s="1">
        <v>44928</v>
      </c>
      <c r="G1215">
        <v>11</v>
      </c>
      <c r="H1215">
        <v>7</v>
      </c>
      <c r="I1215">
        <v>7</v>
      </c>
      <c r="J1215">
        <v>0</v>
      </c>
      <c r="K1215">
        <v>1</v>
      </c>
      <c r="L1215">
        <v>624</v>
      </c>
      <c r="M1215">
        <v>15</v>
      </c>
      <c r="N1215" s="1">
        <f t="shared" si="144"/>
        <v>44938</v>
      </c>
      <c r="O1215" s="1">
        <f t="shared" si="145"/>
        <v>43101</v>
      </c>
      <c r="P1215" s="1">
        <f t="shared" si="146"/>
        <v>44958</v>
      </c>
      <c r="Q1215" s="8">
        <f t="shared" si="147"/>
        <v>0</v>
      </c>
      <c r="R1215" s="8">
        <f t="shared" si="148"/>
        <v>62</v>
      </c>
      <c r="S1215" s="8">
        <f t="shared" ca="1" si="149"/>
        <v>62</v>
      </c>
      <c r="T1215">
        <f t="shared" ca="1" si="150"/>
        <v>8.5366008766748855</v>
      </c>
      <c r="U1215" s="8">
        <f t="shared" ca="1" si="151"/>
        <v>1.0000840736707335</v>
      </c>
      <c r="V1215" s="8">
        <f ca="1">RawData[[#This Row],[Z (smoothed demand size)]]/RawData[[#This Row],[X (smoothed interval)]]</f>
        <v>8.5358832336384811</v>
      </c>
    </row>
    <row r="1216" spans="1:22">
      <c r="A1216" t="s">
        <v>34</v>
      </c>
      <c r="B1216" t="s">
        <v>14</v>
      </c>
      <c r="C1216">
        <v>32</v>
      </c>
      <c r="D1216" t="s">
        <v>22</v>
      </c>
      <c r="E1216" t="s">
        <v>16</v>
      </c>
      <c r="F1216" s="1">
        <v>44929</v>
      </c>
      <c r="G1216">
        <v>8</v>
      </c>
      <c r="H1216">
        <v>8</v>
      </c>
      <c r="I1216">
        <v>9</v>
      </c>
      <c r="J1216">
        <v>1</v>
      </c>
      <c r="K1216">
        <v>0</v>
      </c>
      <c r="L1216">
        <v>629</v>
      </c>
      <c r="M1216">
        <v>15</v>
      </c>
      <c r="N1216" s="1">
        <f t="shared" si="144"/>
        <v>44938</v>
      </c>
      <c r="O1216" s="1">
        <f t="shared" si="145"/>
        <v>43101</v>
      </c>
      <c r="P1216" s="1">
        <f t="shared" si="146"/>
        <v>44986</v>
      </c>
      <c r="Q1216" s="8">
        <f t="shared" si="147"/>
        <v>0</v>
      </c>
      <c r="R1216" s="8">
        <f t="shared" si="148"/>
        <v>63</v>
      </c>
      <c r="S1216" s="8">
        <f t="shared" ca="1" si="149"/>
        <v>63</v>
      </c>
      <c r="T1216">
        <f t="shared" ca="1" si="150"/>
        <v>8.4292807013399091</v>
      </c>
      <c r="U1216" s="8">
        <f t="shared" ca="1" si="151"/>
        <v>1.0000672589365869</v>
      </c>
      <c r="V1216" s="8">
        <f ca="1">RawData[[#This Row],[Z (smoothed demand size)]]/RawData[[#This Row],[X (smoothed interval)]]</f>
        <v>8.4287137950132607</v>
      </c>
    </row>
    <row r="1217" spans="1:22">
      <c r="A1217" t="s">
        <v>34</v>
      </c>
      <c r="B1217" t="s">
        <v>14</v>
      </c>
      <c r="C1217">
        <v>32</v>
      </c>
      <c r="D1217" t="s">
        <v>22</v>
      </c>
      <c r="E1217" t="s">
        <v>16</v>
      </c>
      <c r="F1217" s="1">
        <v>44930</v>
      </c>
      <c r="G1217">
        <v>8</v>
      </c>
      <c r="H1217">
        <v>8</v>
      </c>
      <c r="I1217">
        <v>12</v>
      </c>
      <c r="J1217">
        <v>4</v>
      </c>
      <c r="K1217">
        <v>0</v>
      </c>
      <c r="L1217">
        <v>637</v>
      </c>
      <c r="M1217">
        <v>15</v>
      </c>
      <c r="N1217" s="1">
        <f t="shared" si="144"/>
        <v>44938</v>
      </c>
      <c r="O1217" s="1">
        <f t="shared" si="145"/>
        <v>43101</v>
      </c>
      <c r="P1217" s="1">
        <f t="shared" si="146"/>
        <v>45017</v>
      </c>
      <c r="Q1217" s="8">
        <f t="shared" si="147"/>
        <v>0</v>
      </c>
      <c r="R1217" s="8">
        <f t="shared" si="148"/>
        <v>64</v>
      </c>
      <c r="S1217" s="8">
        <f t="shared" ca="1" si="149"/>
        <v>64</v>
      </c>
      <c r="T1217">
        <f t="shared" ca="1" si="150"/>
        <v>8.3434245610719273</v>
      </c>
      <c r="U1217" s="8">
        <f t="shared" ca="1" si="151"/>
        <v>1.0000538071492695</v>
      </c>
      <c r="V1217" s="8">
        <f ca="1">RawData[[#This Row],[Z (smoothed demand size)]]/RawData[[#This Row],[X (smoothed interval)]]</f>
        <v>8.3429756493358109</v>
      </c>
    </row>
    <row r="1218" spans="1:22">
      <c r="A1218" t="s">
        <v>34</v>
      </c>
      <c r="B1218" t="s">
        <v>14</v>
      </c>
      <c r="C1218">
        <v>32</v>
      </c>
      <c r="D1218" t="s">
        <v>22</v>
      </c>
      <c r="E1218" t="s">
        <v>16</v>
      </c>
      <c r="F1218" s="1">
        <v>44931</v>
      </c>
      <c r="G1218">
        <v>10</v>
      </c>
      <c r="H1218">
        <v>10</v>
      </c>
      <c r="I1218">
        <v>14</v>
      </c>
      <c r="J1218">
        <v>4</v>
      </c>
      <c r="K1218">
        <v>0</v>
      </c>
      <c r="L1218">
        <v>629</v>
      </c>
      <c r="M1218">
        <v>45</v>
      </c>
      <c r="N1218" s="1">
        <f t="shared" ref="N1218:N1281" si="152">MAX(F:F)</f>
        <v>44938</v>
      </c>
      <c r="O1218" s="1">
        <f t="shared" ref="O1218:O1281" si="153">MIN(F:F)</f>
        <v>43101</v>
      </c>
      <c r="P1218" s="1">
        <f t="shared" ref="P1218:P1281" si="154">DATE(YEAR(F1218), DAY(F1218), 1)</f>
        <v>45047</v>
      </c>
      <c r="Q1218" s="8">
        <f t="shared" ref="Q1218:Q1281" si="155" xml:space="preserve"> IF(A1218&lt;&gt;A1217, 1, 0)</f>
        <v>0</v>
      </c>
      <c r="R1218" s="8">
        <f t="shared" ref="R1218:R1281" si="156">IF(Q1218=1,1,R1217+1)</f>
        <v>65</v>
      </c>
      <c r="S1218" s="8">
        <f t="shared" ref="S1218:S1281" ca="1" si="157" xml:space="preserve"> IF(Q1218=1, IF(G1218&gt;0, R1218, 0), IF(G1218&gt;0, R1218, OFFSET(S1218,-1,0)))</f>
        <v>65</v>
      </c>
      <c r="T1218">
        <f t="shared" ref="T1218:T1281" ca="1" si="158" xml:space="preserve"> IF(Q1218=1, IF(G1218&gt;0, G1218, 0), IF(G1218&gt;0, $X$1*G1218+(1-$X$1)*OFFSET(T1218,-1,0), OFFSET(T1218,-1,0)))</f>
        <v>8.6747396488575426</v>
      </c>
      <c r="U1218" s="8">
        <f t="shared" ref="U1218:U1281" ca="1" si="159" xml:space="preserve"> IF(Q1218=1, 1, IF(G1218&gt;0, $X$1*(R1218-OFFSET(S1218,-1,0))+(1-$X$1)*OFFSET(U1218,-1,0), OFFSET(U1218,-1,0)))</f>
        <v>1.0000430457194156</v>
      </c>
      <c r="V1218" s="8">
        <f ca="1">RawData[[#This Row],[Z (smoothed demand size)]]/RawData[[#This Row],[X (smoothed interval)]]</f>
        <v>8.674366254521642</v>
      </c>
    </row>
    <row r="1219" spans="1:22">
      <c r="A1219" t="s">
        <v>34</v>
      </c>
      <c r="B1219" t="s">
        <v>14</v>
      </c>
      <c r="C1219">
        <v>32</v>
      </c>
      <c r="D1219" t="s">
        <v>22</v>
      </c>
      <c r="E1219" t="s">
        <v>16</v>
      </c>
      <c r="F1219" s="1">
        <v>44932</v>
      </c>
      <c r="G1219">
        <v>12</v>
      </c>
      <c r="H1219">
        <v>4</v>
      </c>
      <c r="I1219">
        <v>4</v>
      </c>
      <c r="J1219">
        <v>0</v>
      </c>
      <c r="K1219">
        <v>1</v>
      </c>
      <c r="L1219">
        <v>727</v>
      </c>
      <c r="M1219">
        <v>60</v>
      </c>
      <c r="N1219" s="1">
        <f t="shared" si="152"/>
        <v>44938</v>
      </c>
      <c r="O1219" s="1">
        <f t="shared" si="153"/>
        <v>43101</v>
      </c>
      <c r="P1219" s="1">
        <f t="shared" si="154"/>
        <v>45078</v>
      </c>
      <c r="Q1219" s="8">
        <f t="shared" si="155"/>
        <v>0</v>
      </c>
      <c r="R1219" s="8">
        <f t="shared" si="156"/>
        <v>66</v>
      </c>
      <c r="S1219" s="8">
        <f t="shared" ca="1" si="157"/>
        <v>66</v>
      </c>
      <c r="T1219">
        <f t="shared" ca="1" si="158"/>
        <v>9.3397917190860351</v>
      </c>
      <c r="U1219" s="8">
        <f t="shared" ca="1" si="159"/>
        <v>1.0000344365755325</v>
      </c>
      <c r="V1219" s="8">
        <f ca="1">RawData[[#This Row],[Z (smoothed demand size)]]/RawData[[#This Row],[X (smoothed interval)]]</f>
        <v>9.3394700997185129</v>
      </c>
    </row>
    <row r="1220" spans="1:22">
      <c r="A1220" t="s">
        <v>34</v>
      </c>
      <c r="B1220" t="s">
        <v>14</v>
      </c>
      <c r="C1220">
        <v>32</v>
      </c>
      <c r="D1220" t="s">
        <v>22</v>
      </c>
      <c r="E1220" t="s">
        <v>16</v>
      </c>
      <c r="F1220" s="1">
        <v>44933</v>
      </c>
      <c r="G1220">
        <v>6</v>
      </c>
      <c r="H1220">
        <v>6</v>
      </c>
      <c r="I1220">
        <v>7</v>
      </c>
      <c r="J1220">
        <v>1</v>
      </c>
      <c r="K1220">
        <v>0</v>
      </c>
      <c r="L1220">
        <v>727</v>
      </c>
      <c r="M1220">
        <v>15</v>
      </c>
      <c r="N1220" s="1">
        <f t="shared" si="152"/>
        <v>44938</v>
      </c>
      <c r="O1220" s="1">
        <f t="shared" si="153"/>
        <v>43101</v>
      </c>
      <c r="P1220" s="1">
        <f t="shared" si="154"/>
        <v>45108</v>
      </c>
      <c r="Q1220" s="8">
        <f t="shared" si="155"/>
        <v>0</v>
      </c>
      <c r="R1220" s="8">
        <f t="shared" si="156"/>
        <v>67</v>
      </c>
      <c r="S1220" s="8">
        <f t="shared" ca="1" si="157"/>
        <v>67</v>
      </c>
      <c r="T1220">
        <f t="shared" ca="1" si="158"/>
        <v>8.6718333752688288</v>
      </c>
      <c r="U1220" s="8">
        <f t="shared" ca="1" si="159"/>
        <v>1.000027549260426</v>
      </c>
      <c r="V1220" s="8">
        <f ca="1">RawData[[#This Row],[Z (smoothed demand size)]]/RawData[[#This Row],[X (smoothed interval)]]</f>
        <v>8.6715944792542103</v>
      </c>
    </row>
    <row r="1221" spans="1:22">
      <c r="A1221" t="s">
        <v>34</v>
      </c>
      <c r="B1221" t="s">
        <v>14</v>
      </c>
      <c r="C1221">
        <v>32</v>
      </c>
      <c r="D1221" t="s">
        <v>22</v>
      </c>
      <c r="E1221" t="s">
        <v>16</v>
      </c>
      <c r="F1221" s="1">
        <v>44934</v>
      </c>
      <c r="G1221">
        <v>9</v>
      </c>
      <c r="H1221">
        <v>9</v>
      </c>
      <c r="I1221">
        <v>11</v>
      </c>
      <c r="J1221">
        <v>2</v>
      </c>
      <c r="K1221">
        <v>0</v>
      </c>
      <c r="L1221">
        <v>727</v>
      </c>
      <c r="M1221">
        <v>15</v>
      </c>
      <c r="N1221" s="1">
        <f t="shared" si="152"/>
        <v>44938</v>
      </c>
      <c r="O1221" s="1">
        <f t="shared" si="153"/>
        <v>43101</v>
      </c>
      <c r="P1221" s="1">
        <f t="shared" si="154"/>
        <v>45139</v>
      </c>
      <c r="Q1221" s="8">
        <f t="shared" si="155"/>
        <v>0</v>
      </c>
      <c r="R1221" s="8">
        <f t="shared" si="156"/>
        <v>68</v>
      </c>
      <c r="S1221" s="8">
        <f t="shared" ca="1" si="157"/>
        <v>68</v>
      </c>
      <c r="T1221">
        <f t="shared" ca="1" si="158"/>
        <v>8.7374667002150641</v>
      </c>
      <c r="U1221" s="8">
        <f t="shared" ca="1" si="159"/>
        <v>1.0000220394083408</v>
      </c>
      <c r="V1221" s="8">
        <f ca="1">RawData[[#This Row],[Z (smoothed demand size)]]/RawData[[#This Row],[X (smoothed interval)]]</f>
        <v>8.7372741358625987</v>
      </c>
    </row>
    <row r="1222" spans="1:22">
      <c r="A1222" t="s">
        <v>34</v>
      </c>
      <c r="B1222" t="s">
        <v>14</v>
      </c>
      <c r="C1222">
        <v>32</v>
      </c>
      <c r="D1222" t="s">
        <v>22</v>
      </c>
      <c r="E1222" t="s">
        <v>16</v>
      </c>
      <c r="F1222" s="1">
        <v>44935</v>
      </c>
      <c r="G1222">
        <v>5</v>
      </c>
      <c r="H1222">
        <v>5</v>
      </c>
      <c r="I1222">
        <v>12</v>
      </c>
      <c r="J1222">
        <v>7</v>
      </c>
      <c r="K1222">
        <v>0</v>
      </c>
      <c r="L1222">
        <v>632</v>
      </c>
      <c r="M1222">
        <v>15</v>
      </c>
      <c r="N1222" s="1">
        <f t="shared" si="152"/>
        <v>44938</v>
      </c>
      <c r="O1222" s="1">
        <f t="shared" si="153"/>
        <v>43101</v>
      </c>
      <c r="P1222" s="1">
        <f t="shared" si="154"/>
        <v>45170</v>
      </c>
      <c r="Q1222" s="8">
        <f t="shared" si="155"/>
        <v>0</v>
      </c>
      <c r="R1222" s="8">
        <f t="shared" si="156"/>
        <v>69</v>
      </c>
      <c r="S1222" s="8">
        <f t="shared" ca="1" si="157"/>
        <v>69</v>
      </c>
      <c r="T1222">
        <f t="shared" ca="1" si="158"/>
        <v>7.9899733601720513</v>
      </c>
      <c r="U1222" s="8">
        <f t="shared" ca="1" si="159"/>
        <v>1.0000176315266727</v>
      </c>
      <c r="V1222" s="8">
        <f ca="1">RawData[[#This Row],[Z (smoothed demand size)]]/RawData[[#This Row],[X (smoothed interval)]]</f>
        <v>7.9898324872274422</v>
      </c>
    </row>
    <row r="1223" spans="1:22">
      <c r="A1223" t="s">
        <v>34</v>
      </c>
      <c r="B1223" t="s">
        <v>14</v>
      </c>
      <c r="C1223">
        <v>32</v>
      </c>
      <c r="D1223" t="s">
        <v>22</v>
      </c>
      <c r="E1223" t="s">
        <v>16</v>
      </c>
      <c r="F1223" s="1">
        <v>44936</v>
      </c>
      <c r="G1223">
        <v>8</v>
      </c>
      <c r="H1223">
        <v>8</v>
      </c>
      <c r="I1223">
        <v>18</v>
      </c>
      <c r="J1223">
        <v>10</v>
      </c>
      <c r="K1223">
        <v>0</v>
      </c>
      <c r="L1223">
        <v>633</v>
      </c>
      <c r="M1223">
        <v>45</v>
      </c>
      <c r="N1223" s="1">
        <f t="shared" si="152"/>
        <v>44938</v>
      </c>
      <c r="O1223" s="1">
        <f t="shared" si="153"/>
        <v>43101</v>
      </c>
      <c r="P1223" s="1">
        <f t="shared" si="154"/>
        <v>45200</v>
      </c>
      <c r="Q1223" s="8">
        <f t="shared" si="155"/>
        <v>0</v>
      </c>
      <c r="R1223" s="8">
        <f t="shared" si="156"/>
        <v>70</v>
      </c>
      <c r="S1223" s="8">
        <f t="shared" ca="1" si="157"/>
        <v>70</v>
      </c>
      <c r="T1223">
        <f t="shared" ca="1" si="158"/>
        <v>7.9919786881376407</v>
      </c>
      <c r="U1223" s="8">
        <f t="shared" ca="1" si="159"/>
        <v>1.0000141052213383</v>
      </c>
      <c r="V1223" s="8">
        <f ca="1">RawData[[#This Row],[Z (smoothed demand size)]]/RawData[[#This Row],[X (smoothed interval)]]</f>
        <v>7.9918659610993537</v>
      </c>
    </row>
    <row r="1224" spans="1:22">
      <c r="A1224" t="s">
        <v>34</v>
      </c>
      <c r="B1224" t="s">
        <v>14</v>
      </c>
      <c r="C1224">
        <v>32</v>
      </c>
      <c r="D1224" t="s">
        <v>22</v>
      </c>
      <c r="E1224" t="s">
        <v>16</v>
      </c>
      <c r="F1224" s="1">
        <v>44937</v>
      </c>
      <c r="G1224">
        <v>4</v>
      </c>
      <c r="H1224">
        <v>4</v>
      </c>
      <c r="I1224">
        <v>10</v>
      </c>
      <c r="J1224">
        <v>6</v>
      </c>
      <c r="K1224">
        <v>0</v>
      </c>
      <c r="L1224">
        <v>632</v>
      </c>
      <c r="M1224">
        <v>45</v>
      </c>
      <c r="N1224" s="1">
        <f t="shared" si="152"/>
        <v>44938</v>
      </c>
      <c r="O1224" s="1">
        <f t="shared" si="153"/>
        <v>43101</v>
      </c>
      <c r="P1224" s="1">
        <f t="shared" si="154"/>
        <v>45231</v>
      </c>
      <c r="Q1224" s="8">
        <f t="shared" si="155"/>
        <v>0</v>
      </c>
      <c r="R1224" s="8">
        <f t="shared" si="156"/>
        <v>71</v>
      </c>
      <c r="S1224" s="8">
        <f t="shared" ca="1" si="157"/>
        <v>71</v>
      </c>
      <c r="T1224">
        <f t="shared" ca="1" si="158"/>
        <v>7.1935829505101125</v>
      </c>
      <c r="U1224" s="8">
        <f t="shared" ca="1" si="159"/>
        <v>1.0000112841770707</v>
      </c>
      <c r="V1224" s="8">
        <f ca="1">RawData[[#This Row],[Z (smoothed demand size)]]/RawData[[#This Row],[X (smoothed interval)]]</f>
        <v>7.1935017777622932</v>
      </c>
    </row>
    <row r="1225" spans="1:22">
      <c r="A1225" t="s">
        <v>34</v>
      </c>
      <c r="B1225" t="s">
        <v>14</v>
      </c>
      <c r="C1225">
        <v>32</v>
      </c>
      <c r="D1225" t="s">
        <v>22</v>
      </c>
      <c r="E1225" t="s">
        <v>16</v>
      </c>
      <c r="F1225" s="1">
        <v>44938</v>
      </c>
      <c r="G1225">
        <v>9</v>
      </c>
      <c r="H1225">
        <v>6</v>
      </c>
      <c r="I1225">
        <v>6</v>
      </c>
      <c r="J1225">
        <v>0</v>
      </c>
      <c r="K1225">
        <v>1</v>
      </c>
      <c r="L1225">
        <v>720</v>
      </c>
      <c r="M1225">
        <v>30</v>
      </c>
      <c r="N1225" s="1">
        <f t="shared" si="152"/>
        <v>44938</v>
      </c>
      <c r="O1225" s="1">
        <f t="shared" si="153"/>
        <v>43101</v>
      </c>
      <c r="P1225" s="1">
        <f t="shared" si="154"/>
        <v>45261</v>
      </c>
      <c r="Q1225" s="8">
        <f t="shared" si="155"/>
        <v>0</v>
      </c>
      <c r="R1225" s="8">
        <f t="shared" si="156"/>
        <v>72</v>
      </c>
      <c r="S1225" s="8">
        <f t="shared" ca="1" si="157"/>
        <v>72</v>
      </c>
      <c r="T1225">
        <f t="shared" ca="1" si="158"/>
        <v>7.5548663604080906</v>
      </c>
      <c r="U1225" s="8">
        <f t="shared" ca="1" si="159"/>
        <v>1.0000090273416566</v>
      </c>
      <c r="V1225" s="8">
        <f ca="1">RawData[[#This Row],[Z (smoothed demand size)]]/RawData[[#This Row],[X (smoothed interval)]]</f>
        <v>7.5547981606639469</v>
      </c>
    </row>
    <row r="1226" spans="1:22">
      <c r="A1226" t="s">
        <v>35</v>
      </c>
      <c r="B1226" t="s">
        <v>14</v>
      </c>
      <c r="C1226">
        <v>27</v>
      </c>
      <c r="D1226" t="s">
        <v>15</v>
      </c>
      <c r="E1226" t="s">
        <v>16</v>
      </c>
      <c r="F1226" s="1">
        <v>43101</v>
      </c>
      <c r="G1226">
        <v>11</v>
      </c>
      <c r="H1226">
        <v>11</v>
      </c>
      <c r="I1226">
        <v>21</v>
      </c>
      <c r="J1226">
        <v>10</v>
      </c>
      <c r="K1226">
        <v>0</v>
      </c>
      <c r="L1226">
        <v>551</v>
      </c>
      <c r="M1226">
        <v>60</v>
      </c>
      <c r="N1226" s="1">
        <f t="shared" si="152"/>
        <v>44938</v>
      </c>
      <c r="O1226" s="1">
        <f t="shared" si="153"/>
        <v>43101</v>
      </c>
      <c r="P1226" s="1">
        <f t="shared" si="154"/>
        <v>43101</v>
      </c>
      <c r="Q1226" s="8">
        <f t="shared" si="155"/>
        <v>1</v>
      </c>
      <c r="R1226" s="8">
        <f t="shared" si="156"/>
        <v>1</v>
      </c>
      <c r="S1226" s="8">
        <f t="shared" ca="1" si="157"/>
        <v>1</v>
      </c>
      <c r="T1226">
        <f t="shared" ca="1" si="158"/>
        <v>11</v>
      </c>
      <c r="U1226" s="8">
        <f t="shared" ca="1" si="159"/>
        <v>1</v>
      </c>
      <c r="V1226" s="8">
        <f ca="1">RawData[[#This Row],[Z (smoothed demand size)]]/RawData[[#This Row],[X (smoothed interval)]]</f>
        <v>11</v>
      </c>
    </row>
    <row r="1227" spans="1:22">
      <c r="A1227" t="s">
        <v>35</v>
      </c>
      <c r="B1227" t="s">
        <v>14</v>
      </c>
      <c r="C1227">
        <v>27</v>
      </c>
      <c r="D1227" t="s">
        <v>15</v>
      </c>
      <c r="E1227" t="s">
        <v>16</v>
      </c>
      <c r="F1227" s="1">
        <v>43102</v>
      </c>
      <c r="G1227">
        <v>10</v>
      </c>
      <c r="H1227">
        <v>10</v>
      </c>
      <c r="I1227">
        <v>10</v>
      </c>
      <c r="J1227">
        <v>0</v>
      </c>
      <c r="K1227">
        <v>0</v>
      </c>
      <c r="L1227">
        <v>548</v>
      </c>
      <c r="M1227">
        <v>30</v>
      </c>
      <c r="N1227" s="1">
        <f t="shared" si="152"/>
        <v>44938</v>
      </c>
      <c r="O1227" s="1">
        <f t="shared" si="153"/>
        <v>43101</v>
      </c>
      <c r="P1227" s="1">
        <f t="shared" si="154"/>
        <v>43132</v>
      </c>
      <c r="Q1227" s="8">
        <f t="shared" si="155"/>
        <v>0</v>
      </c>
      <c r="R1227" s="8">
        <f t="shared" si="156"/>
        <v>2</v>
      </c>
      <c r="S1227" s="8">
        <f t="shared" ca="1" si="157"/>
        <v>2</v>
      </c>
      <c r="T1227">
        <f t="shared" ca="1" si="158"/>
        <v>10.8</v>
      </c>
      <c r="U1227" s="8">
        <f t="shared" ca="1" si="159"/>
        <v>1</v>
      </c>
      <c r="V1227" s="8">
        <f ca="1">RawData[[#This Row],[Z (smoothed demand size)]]/RawData[[#This Row],[X (smoothed interval)]]</f>
        <v>10.8</v>
      </c>
    </row>
    <row r="1228" spans="1:22">
      <c r="A1228" t="s">
        <v>35</v>
      </c>
      <c r="B1228" t="s">
        <v>14</v>
      </c>
      <c r="C1228">
        <v>27</v>
      </c>
      <c r="D1228" t="s">
        <v>15</v>
      </c>
      <c r="E1228" t="s">
        <v>16</v>
      </c>
      <c r="F1228" s="1">
        <v>43103</v>
      </c>
      <c r="G1228">
        <v>10</v>
      </c>
      <c r="H1228">
        <v>10</v>
      </c>
      <c r="I1228">
        <v>12</v>
      </c>
      <c r="J1228">
        <v>2</v>
      </c>
      <c r="K1228">
        <v>0</v>
      </c>
      <c r="L1228">
        <v>545</v>
      </c>
      <c r="M1228">
        <v>45</v>
      </c>
      <c r="N1228" s="1">
        <f t="shared" si="152"/>
        <v>44938</v>
      </c>
      <c r="O1228" s="1">
        <f t="shared" si="153"/>
        <v>43101</v>
      </c>
      <c r="P1228" s="1">
        <f t="shared" si="154"/>
        <v>43160</v>
      </c>
      <c r="Q1228" s="8">
        <f t="shared" si="155"/>
        <v>0</v>
      </c>
      <c r="R1228" s="8">
        <f t="shared" si="156"/>
        <v>3</v>
      </c>
      <c r="S1228" s="8">
        <f t="shared" ca="1" si="157"/>
        <v>3</v>
      </c>
      <c r="T1228">
        <f t="shared" ca="1" si="158"/>
        <v>10.64</v>
      </c>
      <c r="U1228" s="8">
        <f t="shared" ca="1" si="159"/>
        <v>1</v>
      </c>
      <c r="V1228" s="8">
        <f ca="1">RawData[[#This Row],[Z (smoothed demand size)]]/RawData[[#This Row],[X (smoothed interval)]]</f>
        <v>10.64</v>
      </c>
    </row>
    <row r="1229" spans="1:22">
      <c r="A1229" t="s">
        <v>35</v>
      </c>
      <c r="B1229" t="s">
        <v>14</v>
      </c>
      <c r="C1229">
        <v>27</v>
      </c>
      <c r="D1229" t="s">
        <v>15</v>
      </c>
      <c r="E1229" t="s">
        <v>16</v>
      </c>
      <c r="F1229" s="1">
        <v>43104</v>
      </c>
      <c r="G1229">
        <v>10</v>
      </c>
      <c r="H1229">
        <v>2</v>
      </c>
      <c r="I1229">
        <v>2</v>
      </c>
      <c r="J1229">
        <v>0</v>
      </c>
      <c r="K1229">
        <v>1</v>
      </c>
      <c r="L1229">
        <v>549</v>
      </c>
      <c r="M1229">
        <v>15</v>
      </c>
      <c r="N1229" s="1">
        <f t="shared" si="152"/>
        <v>44938</v>
      </c>
      <c r="O1229" s="1">
        <f t="shared" si="153"/>
        <v>43101</v>
      </c>
      <c r="P1229" s="1">
        <f t="shared" si="154"/>
        <v>43191</v>
      </c>
      <c r="Q1229" s="8">
        <f t="shared" si="155"/>
        <v>0</v>
      </c>
      <c r="R1229" s="8">
        <f t="shared" si="156"/>
        <v>4</v>
      </c>
      <c r="S1229" s="8">
        <f t="shared" ca="1" si="157"/>
        <v>4</v>
      </c>
      <c r="T1229">
        <f t="shared" ca="1" si="158"/>
        <v>10.512</v>
      </c>
      <c r="U1229" s="8">
        <f t="shared" ca="1" si="159"/>
        <v>1</v>
      </c>
      <c r="V1229" s="8">
        <f ca="1">RawData[[#This Row],[Z (smoothed demand size)]]/RawData[[#This Row],[X (smoothed interval)]]</f>
        <v>10.512</v>
      </c>
    </row>
    <row r="1230" spans="1:22">
      <c r="A1230" t="s">
        <v>35</v>
      </c>
      <c r="B1230" t="s">
        <v>14</v>
      </c>
      <c r="C1230">
        <v>27</v>
      </c>
      <c r="D1230" t="s">
        <v>15</v>
      </c>
      <c r="E1230" t="s">
        <v>16</v>
      </c>
      <c r="F1230" s="1">
        <v>43105</v>
      </c>
      <c r="G1230">
        <v>7</v>
      </c>
      <c r="H1230">
        <v>7</v>
      </c>
      <c r="I1230">
        <v>8</v>
      </c>
      <c r="J1230">
        <v>1</v>
      </c>
      <c r="K1230">
        <v>0</v>
      </c>
      <c r="L1230">
        <v>545</v>
      </c>
      <c r="M1230">
        <v>15</v>
      </c>
      <c r="N1230" s="1">
        <f t="shared" si="152"/>
        <v>44938</v>
      </c>
      <c r="O1230" s="1">
        <f t="shared" si="153"/>
        <v>43101</v>
      </c>
      <c r="P1230" s="1">
        <f t="shared" si="154"/>
        <v>43221</v>
      </c>
      <c r="Q1230" s="8">
        <f t="shared" si="155"/>
        <v>0</v>
      </c>
      <c r="R1230" s="8">
        <f t="shared" si="156"/>
        <v>5</v>
      </c>
      <c r="S1230" s="8">
        <f t="shared" ca="1" si="157"/>
        <v>5</v>
      </c>
      <c r="T1230">
        <f t="shared" ca="1" si="158"/>
        <v>9.8096000000000014</v>
      </c>
      <c r="U1230" s="8">
        <f t="shared" ca="1" si="159"/>
        <v>1</v>
      </c>
      <c r="V1230" s="8">
        <f ca="1">RawData[[#This Row],[Z (smoothed demand size)]]/RawData[[#This Row],[X (smoothed interval)]]</f>
        <v>9.8096000000000014</v>
      </c>
    </row>
    <row r="1231" spans="1:22">
      <c r="A1231" t="s">
        <v>35</v>
      </c>
      <c r="B1231" t="s">
        <v>14</v>
      </c>
      <c r="C1231">
        <v>27</v>
      </c>
      <c r="D1231" t="s">
        <v>15</v>
      </c>
      <c r="E1231" t="s">
        <v>16</v>
      </c>
      <c r="F1231" s="1">
        <v>43106</v>
      </c>
      <c r="G1231">
        <v>9</v>
      </c>
      <c r="H1231">
        <v>9</v>
      </c>
      <c r="I1231">
        <v>11</v>
      </c>
      <c r="J1231">
        <v>2</v>
      </c>
      <c r="K1231">
        <v>0</v>
      </c>
      <c r="L1231">
        <v>626</v>
      </c>
      <c r="M1231">
        <v>45</v>
      </c>
      <c r="N1231" s="1">
        <f t="shared" si="152"/>
        <v>44938</v>
      </c>
      <c r="O1231" s="1">
        <f t="shared" si="153"/>
        <v>43101</v>
      </c>
      <c r="P1231" s="1">
        <f t="shared" si="154"/>
        <v>43252</v>
      </c>
      <c r="Q1231" s="8">
        <f t="shared" si="155"/>
        <v>0</v>
      </c>
      <c r="R1231" s="8">
        <f t="shared" si="156"/>
        <v>6</v>
      </c>
      <c r="S1231" s="8">
        <f t="shared" ca="1" si="157"/>
        <v>6</v>
      </c>
      <c r="T1231">
        <f t="shared" ca="1" si="158"/>
        <v>9.6476800000000011</v>
      </c>
      <c r="U1231" s="8">
        <f t="shared" ca="1" si="159"/>
        <v>1</v>
      </c>
      <c r="V1231" s="8">
        <f ca="1">RawData[[#This Row],[Z (smoothed demand size)]]/RawData[[#This Row],[X (smoothed interval)]]</f>
        <v>9.6476800000000011</v>
      </c>
    </row>
    <row r="1232" spans="1:22">
      <c r="A1232" t="s">
        <v>35</v>
      </c>
      <c r="B1232" t="s">
        <v>14</v>
      </c>
      <c r="C1232">
        <v>27</v>
      </c>
      <c r="D1232" t="s">
        <v>15</v>
      </c>
      <c r="E1232" t="s">
        <v>16</v>
      </c>
      <c r="F1232" s="1">
        <v>43107</v>
      </c>
      <c r="G1232">
        <v>6</v>
      </c>
      <c r="H1232">
        <v>2</v>
      </c>
      <c r="I1232">
        <v>2</v>
      </c>
      <c r="J1232">
        <v>0</v>
      </c>
      <c r="K1232">
        <v>1</v>
      </c>
      <c r="L1232">
        <v>622</v>
      </c>
      <c r="M1232">
        <v>15</v>
      </c>
      <c r="N1232" s="1">
        <f t="shared" si="152"/>
        <v>44938</v>
      </c>
      <c r="O1232" s="1">
        <f t="shared" si="153"/>
        <v>43101</v>
      </c>
      <c r="P1232" s="1">
        <f t="shared" si="154"/>
        <v>43282</v>
      </c>
      <c r="Q1232" s="8">
        <f t="shared" si="155"/>
        <v>0</v>
      </c>
      <c r="R1232" s="8">
        <f t="shared" si="156"/>
        <v>7</v>
      </c>
      <c r="S1232" s="8">
        <f t="shared" ca="1" si="157"/>
        <v>7</v>
      </c>
      <c r="T1232">
        <f t="shared" ca="1" si="158"/>
        <v>8.9181440000000016</v>
      </c>
      <c r="U1232" s="8">
        <f t="shared" ca="1" si="159"/>
        <v>1</v>
      </c>
      <c r="V1232" s="8">
        <f ca="1">RawData[[#This Row],[Z (smoothed demand size)]]/RawData[[#This Row],[X (smoothed interval)]]</f>
        <v>8.9181440000000016</v>
      </c>
    </row>
    <row r="1233" spans="1:22">
      <c r="A1233" t="s">
        <v>35</v>
      </c>
      <c r="B1233" t="s">
        <v>14</v>
      </c>
      <c r="C1233">
        <v>27</v>
      </c>
      <c r="D1233" t="s">
        <v>15</v>
      </c>
      <c r="E1233" t="s">
        <v>16</v>
      </c>
      <c r="F1233" s="1">
        <v>43108</v>
      </c>
      <c r="G1233">
        <v>7</v>
      </c>
      <c r="H1233">
        <v>7</v>
      </c>
      <c r="I1233">
        <v>12</v>
      </c>
      <c r="J1233">
        <v>5</v>
      </c>
      <c r="K1233">
        <v>0</v>
      </c>
      <c r="L1233">
        <v>623</v>
      </c>
      <c r="M1233">
        <v>45</v>
      </c>
      <c r="N1233" s="1">
        <f t="shared" si="152"/>
        <v>44938</v>
      </c>
      <c r="O1233" s="1">
        <f t="shared" si="153"/>
        <v>43101</v>
      </c>
      <c r="P1233" s="1">
        <f t="shared" si="154"/>
        <v>43313</v>
      </c>
      <c r="Q1233" s="8">
        <f t="shared" si="155"/>
        <v>0</v>
      </c>
      <c r="R1233" s="8">
        <f t="shared" si="156"/>
        <v>8</v>
      </c>
      <c r="S1233" s="8">
        <f t="shared" ca="1" si="157"/>
        <v>8</v>
      </c>
      <c r="T1233">
        <f t="shared" ca="1" si="158"/>
        <v>8.5345152000000013</v>
      </c>
      <c r="U1233" s="8">
        <f t="shared" ca="1" si="159"/>
        <v>1</v>
      </c>
      <c r="V1233" s="8">
        <f ca="1">RawData[[#This Row],[Z (smoothed demand size)]]/RawData[[#This Row],[X (smoothed interval)]]</f>
        <v>8.5345152000000013</v>
      </c>
    </row>
    <row r="1234" spans="1:22">
      <c r="A1234" t="s">
        <v>35</v>
      </c>
      <c r="B1234" t="s">
        <v>14</v>
      </c>
      <c r="C1234">
        <v>27</v>
      </c>
      <c r="D1234" t="s">
        <v>15</v>
      </c>
      <c r="E1234" t="s">
        <v>16</v>
      </c>
      <c r="F1234" s="1">
        <v>43109</v>
      </c>
      <c r="G1234">
        <v>8</v>
      </c>
      <c r="H1234">
        <v>5</v>
      </c>
      <c r="I1234">
        <v>5</v>
      </c>
      <c r="J1234">
        <v>0</v>
      </c>
      <c r="K1234">
        <v>1</v>
      </c>
      <c r="L1234">
        <v>541</v>
      </c>
      <c r="M1234">
        <v>45</v>
      </c>
      <c r="N1234" s="1">
        <f t="shared" si="152"/>
        <v>44938</v>
      </c>
      <c r="O1234" s="1">
        <f t="shared" si="153"/>
        <v>43101</v>
      </c>
      <c r="P1234" s="1">
        <f t="shared" si="154"/>
        <v>43344</v>
      </c>
      <c r="Q1234" s="8">
        <f t="shared" si="155"/>
        <v>0</v>
      </c>
      <c r="R1234" s="8">
        <f t="shared" si="156"/>
        <v>9</v>
      </c>
      <c r="S1234" s="8">
        <f t="shared" ca="1" si="157"/>
        <v>9</v>
      </c>
      <c r="T1234">
        <f t="shared" ca="1" si="158"/>
        <v>8.4276121600000007</v>
      </c>
      <c r="U1234" s="8">
        <f t="shared" ca="1" si="159"/>
        <v>1</v>
      </c>
      <c r="V1234" s="8">
        <f ca="1">RawData[[#This Row],[Z (smoothed demand size)]]/RawData[[#This Row],[X (smoothed interval)]]</f>
        <v>8.4276121600000007</v>
      </c>
    </row>
    <row r="1235" spans="1:22">
      <c r="A1235" t="s">
        <v>35</v>
      </c>
      <c r="B1235" t="s">
        <v>14</v>
      </c>
      <c r="C1235">
        <v>27</v>
      </c>
      <c r="D1235" t="s">
        <v>15</v>
      </c>
      <c r="E1235" t="s">
        <v>16</v>
      </c>
      <c r="F1235" s="1">
        <v>43110</v>
      </c>
      <c r="G1235">
        <v>4</v>
      </c>
      <c r="H1235">
        <v>4</v>
      </c>
      <c r="I1235">
        <v>7</v>
      </c>
      <c r="J1235">
        <v>3</v>
      </c>
      <c r="K1235">
        <v>0</v>
      </c>
      <c r="L1235">
        <v>544</v>
      </c>
      <c r="M1235">
        <v>15</v>
      </c>
      <c r="N1235" s="1">
        <f t="shared" si="152"/>
        <v>44938</v>
      </c>
      <c r="O1235" s="1">
        <f t="shared" si="153"/>
        <v>43101</v>
      </c>
      <c r="P1235" s="1">
        <f t="shared" si="154"/>
        <v>43374</v>
      </c>
      <c r="Q1235" s="8">
        <f t="shared" si="155"/>
        <v>0</v>
      </c>
      <c r="R1235" s="8">
        <f t="shared" si="156"/>
        <v>10</v>
      </c>
      <c r="S1235" s="8">
        <f t="shared" ca="1" si="157"/>
        <v>10</v>
      </c>
      <c r="T1235">
        <f t="shared" ca="1" si="158"/>
        <v>7.5420897280000005</v>
      </c>
      <c r="U1235" s="8">
        <f t="shared" ca="1" si="159"/>
        <v>1</v>
      </c>
      <c r="V1235" s="8">
        <f ca="1">RawData[[#This Row],[Z (smoothed demand size)]]/RawData[[#This Row],[X (smoothed interval)]]</f>
        <v>7.5420897280000005</v>
      </c>
    </row>
    <row r="1236" spans="1:22">
      <c r="A1236" t="s">
        <v>35</v>
      </c>
      <c r="B1236" t="s">
        <v>14</v>
      </c>
      <c r="C1236">
        <v>27</v>
      </c>
      <c r="D1236" t="s">
        <v>15</v>
      </c>
      <c r="E1236" t="s">
        <v>16</v>
      </c>
      <c r="F1236" s="1">
        <v>43111</v>
      </c>
      <c r="G1236">
        <v>5</v>
      </c>
      <c r="H1236">
        <v>5</v>
      </c>
      <c r="I1236">
        <v>11</v>
      </c>
      <c r="J1236">
        <v>6</v>
      </c>
      <c r="K1236">
        <v>0</v>
      </c>
      <c r="L1236">
        <v>534</v>
      </c>
      <c r="M1236">
        <v>30</v>
      </c>
      <c r="N1236" s="1">
        <f t="shared" si="152"/>
        <v>44938</v>
      </c>
      <c r="O1236" s="1">
        <f t="shared" si="153"/>
        <v>43101</v>
      </c>
      <c r="P1236" s="1">
        <f t="shared" si="154"/>
        <v>43405</v>
      </c>
      <c r="Q1236" s="8">
        <f t="shared" si="155"/>
        <v>0</v>
      </c>
      <c r="R1236" s="8">
        <f t="shared" si="156"/>
        <v>11</v>
      </c>
      <c r="S1236" s="8">
        <f t="shared" ca="1" si="157"/>
        <v>11</v>
      </c>
      <c r="T1236">
        <f t="shared" ca="1" si="158"/>
        <v>7.0336717824000008</v>
      </c>
      <c r="U1236" s="8">
        <f t="shared" ca="1" si="159"/>
        <v>1</v>
      </c>
      <c r="V1236" s="8">
        <f ca="1">RawData[[#This Row],[Z (smoothed demand size)]]/RawData[[#This Row],[X (smoothed interval)]]</f>
        <v>7.0336717824000008</v>
      </c>
    </row>
    <row r="1237" spans="1:22">
      <c r="A1237" t="s">
        <v>35</v>
      </c>
      <c r="B1237" t="s">
        <v>14</v>
      </c>
      <c r="C1237">
        <v>27</v>
      </c>
      <c r="D1237" t="s">
        <v>15</v>
      </c>
      <c r="E1237" t="s">
        <v>16</v>
      </c>
      <c r="F1237" s="1">
        <v>43112</v>
      </c>
      <c r="G1237">
        <v>12</v>
      </c>
      <c r="H1237">
        <v>12</v>
      </c>
      <c r="I1237">
        <v>15</v>
      </c>
      <c r="J1237">
        <v>3</v>
      </c>
      <c r="K1237">
        <v>0</v>
      </c>
      <c r="L1237">
        <v>632</v>
      </c>
      <c r="M1237">
        <v>15</v>
      </c>
      <c r="N1237" s="1">
        <f t="shared" si="152"/>
        <v>44938</v>
      </c>
      <c r="O1237" s="1">
        <f t="shared" si="153"/>
        <v>43101</v>
      </c>
      <c r="P1237" s="1">
        <f t="shared" si="154"/>
        <v>43435</v>
      </c>
      <c r="Q1237" s="8">
        <f t="shared" si="155"/>
        <v>0</v>
      </c>
      <c r="R1237" s="8">
        <f t="shared" si="156"/>
        <v>12</v>
      </c>
      <c r="S1237" s="8">
        <f t="shared" ca="1" si="157"/>
        <v>12</v>
      </c>
      <c r="T1237">
        <f t="shared" ca="1" si="158"/>
        <v>8.0269374259200017</v>
      </c>
      <c r="U1237" s="8">
        <f t="shared" ca="1" si="159"/>
        <v>1</v>
      </c>
      <c r="V1237" s="8">
        <f ca="1">RawData[[#This Row],[Z (smoothed demand size)]]/RawData[[#This Row],[X (smoothed interval)]]</f>
        <v>8.0269374259200017</v>
      </c>
    </row>
    <row r="1238" spans="1:22">
      <c r="A1238" t="s">
        <v>35</v>
      </c>
      <c r="B1238" t="s">
        <v>14</v>
      </c>
      <c r="C1238">
        <v>27</v>
      </c>
      <c r="D1238" t="s">
        <v>15</v>
      </c>
      <c r="E1238" t="s">
        <v>16</v>
      </c>
      <c r="F1238" s="1">
        <v>43466</v>
      </c>
      <c r="G1238">
        <v>9</v>
      </c>
      <c r="H1238">
        <v>9</v>
      </c>
      <c r="I1238">
        <v>13</v>
      </c>
      <c r="J1238">
        <v>4</v>
      </c>
      <c r="K1238">
        <v>0</v>
      </c>
      <c r="L1238">
        <v>553</v>
      </c>
      <c r="M1238">
        <v>30</v>
      </c>
      <c r="N1238" s="1">
        <f t="shared" si="152"/>
        <v>44938</v>
      </c>
      <c r="O1238" s="1">
        <f t="shared" si="153"/>
        <v>43101</v>
      </c>
      <c r="P1238" s="1">
        <f t="shared" si="154"/>
        <v>43466</v>
      </c>
      <c r="Q1238" s="8">
        <f t="shared" si="155"/>
        <v>0</v>
      </c>
      <c r="R1238" s="8">
        <f t="shared" si="156"/>
        <v>13</v>
      </c>
      <c r="S1238" s="8">
        <f t="shared" ca="1" si="157"/>
        <v>13</v>
      </c>
      <c r="T1238">
        <f t="shared" ca="1" si="158"/>
        <v>8.2215499407360024</v>
      </c>
      <c r="U1238" s="8">
        <f t="shared" ca="1" si="159"/>
        <v>1</v>
      </c>
      <c r="V1238" s="8">
        <f ca="1">RawData[[#This Row],[Z (smoothed demand size)]]/RawData[[#This Row],[X (smoothed interval)]]</f>
        <v>8.2215499407360024</v>
      </c>
    </row>
    <row r="1239" spans="1:22">
      <c r="A1239" t="s">
        <v>35</v>
      </c>
      <c r="B1239" t="s">
        <v>14</v>
      </c>
      <c r="C1239">
        <v>27</v>
      </c>
      <c r="D1239" t="s">
        <v>15</v>
      </c>
      <c r="E1239" t="s">
        <v>16</v>
      </c>
      <c r="F1239" s="1">
        <v>43467</v>
      </c>
      <c r="G1239">
        <v>9</v>
      </c>
      <c r="H1239">
        <v>9</v>
      </c>
      <c r="I1239">
        <v>16</v>
      </c>
      <c r="J1239">
        <v>7</v>
      </c>
      <c r="K1239">
        <v>0</v>
      </c>
      <c r="L1239">
        <v>540</v>
      </c>
      <c r="M1239">
        <v>45</v>
      </c>
      <c r="N1239" s="1">
        <f t="shared" si="152"/>
        <v>44938</v>
      </c>
      <c r="O1239" s="1">
        <f t="shared" si="153"/>
        <v>43101</v>
      </c>
      <c r="P1239" s="1">
        <f t="shared" si="154"/>
        <v>43497</v>
      </c>
      <c r="Q1239" s="8">
        <f t="shared" si="155"/>
        <v>0</v>
      </c>
      <c r="R1239" s="8">
        <f t="shared" si="156"/>
        <v>14</v>
      </c>
      <c r="S1239" s="8">
        <f t="shared" ca="1" si="157"/>
        <v>14</v>
      </c>
      <c r="T1239">
        <f t="shared" ca="1" si="158"/>
        <v>8.3772399525888019</v>
      </c>
      <c r="U1239" s="8">
        <f t="shared" ca="1" si="159"/>
        <v>1</v>
      </c>
      <c r="V1239" s="8">
        <f ca="1">RawData[[#This Row],[Z (smoothed demand size)]]/RawData[[#This Row],[X (smoothed interval)]]</f>
        <v>8.3772399525888019</v>
      </c>
    </row>
    <row r="1240" spans="1:22">
      <c r="A1240" t="s">
        <v>35</v>
      </c>
      <c r="B1240" t="s">
        <v>14</v>
      </c>
      <c r="C1240">
        <v>27</v>
      </c>
      <c r="D1240" t="s">
        <v>15</v>
      </c>
      <c r="E1240" t="s">
        <v>16</v>
      </c>
      <c r="F1240" s="1">
        <v>43468</v>
      </c>
      <c r="G1240">
        <v>0</v>
      </c>
      <c r="H1240">
        <v>0</v>
      </c>
      <c r="I1240">
        <v>7</v>
      </c>
      <c r="J1240">
        <v>7</v>
      </c>
      <c r="K1240">
        <v>0</v>
      </c>
      <c r="L1240">
        <v>549</v>
      </c>
      <c r="M1240">
        <v>15</v>
      </c>
      <c r="N1240" s="1">
        <f t="shared" si="152"/>
        <v>44938</v>
      </c>
      <c r="O1240" s="1">
        <f t="shared" si="153"/>
        <v>43101</v>
      </c>
      <c r="P1240" s="1">
        <f t="shared" si="154"/>
        <v>43525</v>
      </c>
      <c r="Q1240" s="8">
        <f t="shared" si="155"/>
        <v>0</v>
      </c>
      <c r="R1240" s="8">
        <f t="shared" si="156"/>
        <v>15</v>
      </c>
      <c r="S1240" s="8">
        <f t="shared" ca="1" si="157"/>
        <v>14</v>
      </c>
      <c r="T1240">
        <f t="shared" ca="1" si="158"/>
        <v>8.3772399525888019</v>
      </c>
      <c r="U1240" s="8">
        <f t="shared" ca="1" si="159"/>
        <v>1</v>
      </c>
      <c r="V1240" s="8">
        <f ca="1">RawData[[#This Row],[Z (smoothed demand size)]]/RawData[[#This Row],[X (smoothed interval)]]</f>
        <v>8.3772399525888019</v>
      </c>
    </row>
    <row r="1241" spans="1:22">
      <c r="A1241" t="s">
        <v>35</v>
      </c>
      <c r="B1241" t="s">
        <v>14</v>
      </c>
      <c r="C1241">
        <v>27</v>
      </c>
      <c r="D1241" t="s">
        <v>15</v>
      </c>
      <c r="E1241" t="s">
        <v>16</v>
      </c>
      <c r="F1241" s="1">
        <v>43469</v>
      </c>
      <c r="G1241">
        <v>11</v>
      </c>
      <c r="H1241">
        <v>11</v>
      </c>
      <c r="I1241">
        <v>19</v>
      </c>
      <c r="J1241">
        <v>8</v>
      </c>
      <c r="K1241">
        <v>0</v>
      </c>
      <c r="L1241">
        <v>542</v>
      </c>
      <c r="M1241">
        <v>30</v>
      </c>
      <c r="N1241" s="1">
        <f t="shared" si="152"/>
        <v>44938</v>
      </c>
      <c r="O1241" s="1">
        <f t="shared" si="153"/>
        <v>43101</v>
      </c>
      <c r="P1241" s="1">
        <f t="shared" si="154"/>
        <v>43556</v>
      </c>
      <c r="Q1241" s="8">
        <f t="shared" si="155"/>
        <v>0</v>
      </c>
      <c r="R1241" s="8">
        <f t="shared" si="156"/>
        <v>16</v>
      </c>
      <c r="S1241" s="8">
        <f t="shared" ca="1" si="157"/>
        <v>16</v>
      </c>
      <c r="T1241">
        <f t="shared" ca="1" si="158"/>
        <v>8.9017919620710408</v>
      </c>
      <c r="U1241" s="8">
        <f t="shared" ca="1" si="159"/>
        <v>1.2000000000000002</v>
      </c>
      <c r="V1241" s="8">
        <f ca="1">RawData[[#This Row],[Z (smoothed demand size)]]/RawData[[#This Row],[X (smoothed interval)]]</f>
        <v>7.4181599683925326</v>
      </c>
    </row>
    <row r="1242" spans="1:22">
      <c r="A1242" t="s">
        <v>35</v>
      </c>
      <c r="B1242" t="s">
        <v>14</v>
      </c>
      <c r="C1242">
        <v>27</v>
      </c>
      <c r="D1242" t="s">
        <v>15</v>
      </c>
      <c r="E1242" t="s">
        <v>16</v>
      </c>
      <c r="F1242" s="1">
        <v>43470</v>
      </c>
      <c r="G1242">
        <v>4</v>
      </c>
      <c r="H1242">
        <v>4</v>
      </c>
      <c r="I1242">
        <v>20</v>
      </c>
      <c r="J1242">
        <v>16</v>
      </c>
      <c r="K1242">
        <v>0</v>
      </c>
      <c r="L1242">
        <v>539</v>
      </c>
      <c r="M1242">
        <v>15</v>
      </c>
      <c r="N1242" s="1">
        <f t="shared" si="152"/>
        <v>44938</v>
      </c>
      <c r="O1242" s="1">
        <f t="shared" si="153"/>
        <v>43101</v>
      </c>
      <c r="P1242" s="1">
        <f t="shared" si="154"/>
        <v>43586</v>
      </c>
      <c r="Q1242" s="8">
        <f t="shared" si="155"/>
        <v>0</v>
      </c>
      <c r="R1242" s="8">
        <f t="shared" si="156"/>
        <v>17</v>
      </c>
      <c r="S1242" s="8">
        <f t="shared" ca="1" si="157"/>
        <v>17</v>
      </c>
      <c r="T1242">
        <f t="shared" ca="1" si="158"/>
        <v>7.9214335696568332</v>
      </c>
      <c r="U1242" s="8">
        <f t="shared" ca="1" si="159"/>
        <v>1.1600000000000001</v>
      </c>
      <c r="V1242" s="8">
        <f ca="1">RawData[[#This Row],[Z (smoothed demand size)]]/RawData[[#This Row],[X (smoothed interval)]]</f>
        <v>6.8288220428076141</v>
      </c>
    </row>
    <row r="1243" spans="1:22">
      <c r="A1243" t="s">
        <v>35</v>
      </c>
      <c r="B1243" t="s">
        <v>14</v>
      </c>
      <c r="C1243">
        <v>27</v>
      </c>
      <c r="D1243" t="s">
        <v>15</v>
      </c>
      <c r="E1243" t="s">
        <v>16</v>
      </c>
      <c r="F1243" s="1">
        <v>43471</v>
      </c>
      <c r="G1243">
        <v>9</v>
      </c>
      <c r="H1243">
        <v>9</v>
      </c>
      <c r="I1243">
        <v>16</v>
      </c>
      <c r="J1243">
        <v>7</v>
      </c>
      <c r="K1243">
        <v>0</v>
      </c>
      <c r="L1243">
        <v>621</v>
      </c>
      <c r="M1243">
        <v>15</v>
      </c>
      <c r="N1243" s="1">
        <f t="shared" si="152"/>
        <v>44938</v>
      </c>
      <c r="O1243" s="1">
        <f t="shared" si="153"/>
        <v>43101</v>
      </c>
      <c r="P1243" s="1">
        <f t="shared" si="154"/>
        <v>43617</v>
      </c>
      <c r="Q1243" s="8">
        <f t="shared" si="155"/>
        <v>0</v>
      </c>
      <c r="R1243" s="8">
        <f t="shared" si="156"/>
        <v>18</v>
      </c>
      <c r="S1243" s="8">
        <f t="shared" ca="1" si="157"/>
        <v>18</v>
      </c>
      <c r="T1243">
        <f t="shared" ca="1" si="158"/>
        <v>8.1371468557254669</v>
      </c>
      <c r="U1243" s="8">
        <f t="shared" ca="1" si="159"/>
        <v>1.1280000000000001</v>
      </c>
      <c r="V1243" s="8">
        <f ca="1">RawData[[#This Row],[Z (smoothed demand size)]]/RawData[[#This Row],[X (smoothed interval)]]</f>
        <v>7.2137826735154844</v>
      </c>
    </row>
    <row r="1244" spans="1:22">
      <c r="A1244" t="s">
        <v>35</v>
      </c>
      <c r="B1244" t="s">
        <v>14</v>
      </c>
      <c r="C1244">
        <v>27</v>
      </c>
      <c r="D1244" t="s">
        <v>15</v>
      </c>
      <c r="E1244" t="s">
        <v>16</v>
      </c>
      <c r="F1244" s="1">
        <v>43472</v>
      </c>
      <c r="G1244">
        <v>5</v>
      </c>
      <c r="H1244">
        <v>5</v>
      </c>
      <c r="I1244">
        <v>18</v>
      </c>
      <c r="J1244">
        <v>13</v>
      </c>
      <c r="K1244">
        <v>0</v>
      </c>
      <c r="L1244">
        <v>624</v>
      </c>
      <c r="M1244">
        <v>15</v>
      </c>
      <c r="N1244" s="1">
        <f t="shared" si="152"/>
        <v>44938</v>
      </c>
      <c r="O1244" s="1">
        <f t="shared" si="153"/>
        <v>43101</v>
      </c>
      <c r="P1244" s="1">
        <f t="shared" si="154"/>
        <v>43647</v>
      </c>
      <c r="Q1244" s="8">
        <f t="shared" si="155"/>
        <v>0</v>
      </c>
      <c r="R1244" s="8">
        <f t="shared" si="156"/>
        <v>19</v>
      </c>
      <c r="S1244" s="8">
        <f t="shared" ca="1" si="157"/>
        <v>19</v>
      </c>
      <c r="T1244">
        <f t="shared" ca="1" si="158"/>
        <v>7.5097174845803742</v>
      </c>
      <c r="U1244" s="8">
        <f t="shared" ca="1" si="159"/>
        <v>1.1024</v>
      </c>
      <c r="V1244" s="8">
        <f ca="1">RawData[[#This Row],[Z (smoothed demand size)]]/RawData[[#This Row],[X (smoothed interval)]]</f>
        <v>6.8121530157659418</v>
      </c>
    </row>
    <row r="1245" spans="1:22">
      <c r="A1245" t="s">
        <v>35</v>
      </c>
      <c r="B1245" t="s">
        <v>14</v>
      </c>
      <c r="C1245">
        <v>27</v>
      </c>
      <c r="D1245" t="s">
        <v>15</v>
      </c>
      <c r="E1245" t="s">
        <v>16</v>
      </c>
      <c r="F1245" s="1">
        <v>43473</v>
      </c>
      <c r="G1245">
        <v>15</v>
      </c>
      <c r="H1245">
        <v>13</v>
      </c>
      <c r="I1245">
        <v>13</v>
      </c>
      <c r="J1245">
        <v>0</v>
      </c>
      <c r="K1245">
        <v>1</v>
      </c>
      <c r="L1245">
        <v>619</v>
      </c>
      <c r="M1245">
        <v>60</v>
      </c>
      <c r="N1245" s="1">
        <f t="shared" si="152"/>
        <v>44938</v>
      </c>
      <c r="O1245" s="1">
        <f t="shared" si="153"/>
        <v>43101</v>
      </c>
      <c r="P1245" s="1">
        <f t="shared" si="154"/>
        <v>43678</v>
      </c>
      <c r="Q1245" s="8">
        <f t="shared" si="155"/>
        <v>0</v>
      </c>
      <c r="R1245" s="8">
        <f t="shared" si="156"/>
        <v>20</v>
      </c>
      <c r="S1245" s="8">
        <f t="shared" ca="1" si="157"/>
        <v>20</v>
      </c>
      <c r="T1245">
        <f t="shared" ca="1" si="158"/>
        <v>9.0077739876643008</v>
      </c>
      <c r="U1245" s="8">
        <f t="shared" ca="1" si="159"/>
        <v>1.08192</v>
      </c>
      <c r="V1245" s="8">
        <f ca="1">RawData[[#This Row],[Z (smoothed demand size)]]/RawData[[#This Row],[X (smoothed interval)]]</f>
        <v>8.3257301719760246</v>
      </c>
    </row>
    <row r="1246" spans="1:22">
      <c r="A1246" t="s">
        <v>35</v>
      </c>
      <c r="B1246" t="s">
        <v>14</v>
      </c>
      <c r="C1246">
        <v>27</v>
      </c>
      <c r="D1246" t="s">
        <v>15</v>
      </c>
      <c r="E1246" t="s">
        <v>16</v>
      </c>
      <c r="F1246" s="1">
        <v>43474</v>
      </c>
      <c r="G1246">
        <v>13</v>
      </c>
      <c r="H1246">
        <v>0</v>
      </c>
      <c r="I1246">
        <v>0</v>
      </c>
      <c r="J1246">
        <v>0</v>
      </c>
      <c r="K1246">
        <v>1</v>
      </c>
      <c r="L1246">
        <v>546</v>
      </c>
      <c r="M1246">
        <v>60</v>
      </c>
      <c r="N1246" s="1">
        <f t="shared" si="152"/>
        <v>44938</v>
      </c>
      <c r="O1246" s="1">
        <f t="shared" si="153"/>
        <v>43101</v>
      </c>
      <c r="P1246" s="1">
        <f t="shared" si="154"/>
        <v>43709</v>
      </c>
      <c r="Q1246" s="8">
        <f t="shared" si="155"/>
        <v>0</v>
      </c>
      <c r="R1246" s="8">
        <f t="shared" si="156"/>
        <v>21</v>
      </c>
      <c r="S1246" s="8">
        <f t="shared" ca="1" si="157"/>
        <v>21</v>
      </c>
      <c r="T1246">
        <f t="shared" ca="1" si="158"/>
        <v>9.8062191901314417</v>
      </c>
      <c r="U1246" s="8">
        <f t="shared" ca="1" si="159"/>
        <v>1.065536</v>
      </c>
      <c r="V1246" s="8">
        <f ca="1">RawData[[#This Row],[Z (smoothed demand size)]]/RawData[[#This Row],[X (smoothed interval)]]</f>
        <v>9.203085761655581</v>
      </c>
    </row>
    <row r="1247" spans="1:22">
      <c r="A1247" t="s">
        <v>35</v>
      </c>
      <c r="B1247" t="s">
        <v>14</v>
      </c>
      <c r="C1247">
        <v>27</v>
      </c>
      <c r="D1247" t="s">
        <v>15</v>
      </c>
      <c r="E1247" t="s">
        <v>16</v>
      </c>
      <c r="F1247" s="1">
        <v>43475</v>
      </c>
      <c r="G1247">
        <v>3</v>
      </c>
      <c r="H1247">
        <v>3</v>
      </c>
      <c r="I1247">
        <v>12</v>
      </c>
      <c r="J1247">
        <v>9</v>
      </c>
      <c r="K1247">
        <v>0</v>
      </c>
      <c r="L1247">
        <v>540</v>
      </c>
      <c r="M1247">
        <v>60</v>
      </c>
      <c r="N1247" s="1">
        <f t="shared" si="152"/>
        <v>44938</v>
      </c>
      <c r="O1247" s="1">
        <f t="shared" si="153"/>
        <v>43101</v>
      </c>
      <c r="P1247" s="1">
        <f t="shared" si="154"/>
        <v>43739</v>
      </c>
      <c r="Q1247" s="8">
        <f t="shared" si="155"/>
        <v>0</v>
      </c>
      <c r="R1247" s="8">
        <f t="shared" si="156"/>
        <v>22</v>
      </c>
      <c r="S1247" s="8">
        <f t="shared" ca="1" si="157"/>
        <v>22</v>
      </c>
      <c r="T1247">
        <f t="shared" ca="1" si="158"/>
        <v>8.4449753521051534</v>
      </c>
      <c r="U1247" s="8">
        <f t="shared" ca="1" si="159"/>
        <v>1.0524288000000002</v>
      </c>
      <c r="V1247" s="8">
        <f ca="1">RawData[[#This Row],[Z (smoothed demand size)]]/RawData[[#This Row],[X (smoothed interval)]]</f>
        <v>8.0242723803312419</v>
      </c>
    </row>
    <row r="1248" spans="1:22">
      <c r="A1248" t="s">
        <v>35</v>
      </c>
      <c r="B1248" t="s">
        <v>14</v>
      </c>
      <c r="C1248">
        <v>27</v>
      </c>
      <c r="D1248" t="s">
        <v>15</v>
      </c>
      <c r="E1248" t="s">
        <v>16</v>
      </c>
      <c r="F1248" s="1">
        <v>43476</v>
      </c>
      <c r="G1248">
        <v>8</v>
      </c>
      <c r="H1248">
        <v>8</v>
      </c>
      <c r="I1248">
        <v>9</v>
      </c>
      <c r="J1248">
        <v>1</v>
      </c>
      <c r="K1248">
        <v>0</v>
      </c>
      <c r="L1248">
        <v>537</v>
      </c>
      <c r="M1248">
        <v>60</v>
      </c>
      <c r="N1248" s="1">
        <f t="shared" si="152"/>
        <v>44938</v>
      </c>
      <c r="O1248" s="1">
        <f t="shared" si="153"/>
        <v>43101</v>
      </c>
      <c r="P1248" s="1">
        <f t="shared" si="154"/>
        <v>43770</v>
      </c>
      <c r="Q1248" s="8">
        <f t="shared" si="155"/>
        <v>0</v>
      </c>
      <c r="R1248" s="8">
        <f t="shared" si="156"/>
        <v>23</v>
      </c>
      <c r="S1248" s="8">
        <f t="shared" ca="1" si="157"/>
        <v>23</v>
      </c>
      <c r="T1248">
        <f t="shared" ca="1" si="158"/>
        <v>8.3559802816841238</v>
      </c>
      <c r="U1248" s="8">
        <f t="shared" ca="1" si="159"/>
        <v>1.0419430400000003</v>
      </c>
      <c r="V1248" s="8">
        <f ca="1">RawData[[#This Row],[Z (smoothed demand size)]]/RawData[[#This Row],[X (smoothed interval)]]</f>
        <v>8.0196133194422234</v>
      </c>
    </row>
    <row r="1249" spans="1:22">
      <c r="A1249" t="s">
        <v>35</v>
      </c>
      <c r="B1249" t="s">
        <v>14</v>
      </c>
      <c r="C1249">
        <v>27</v>
      </c>
      <c r="D1249" t="s">
        <v>15</v>
      </c>
      <c r="E1249" t="s">
        <v>16</v>
      </c>
      <c r="F1249" s="1">
        <v>43477</v>
      </c>
      <c r="G1249">
        <v>11</v>
      </c>
      <c r="H1249">
        <v>1</v>
      </c>
      <c r="I1249">
        <v>1</v>
      </c>
      <c r="J1249">
        <v>0</v>
      </c>
      <c r="K1249">
        <v>1</v>
      </c>
      <c r="L1249">
        <v>624</v>
      </c>
      <c r="M1249">
        <v>30</v>
      </c>
      <c r="N1249" s="1">
        <f t="shared" si="152"/>
        <v>44938</v>
      </c>
      <c r="O1249" s="1">
        <f t="shared" si="153"/>
        <v>43101</v>
      </c>
      <c r="P1249" s="1">
        <f t="shared" si="154"/>
        <v>43800</v>
      </c>
      <c r="Q1249" s="8">
        <f t="shared" si="155"/>
        <v>0</v>
      </c>
      <c r="R1249" s="8">
        <f t="shared" si="156"/>
        <v>24</v>
      </c>
      <c r="S1249" s="8">
        <f t="shared" ca="1" si="157"/>
        <v>24</v>
      </c>
      <c r="T1249">
        <f t="shared" ca="1" si="158"/>
        <v>8.8847842253472997</v>
      </c>
      <c r="U1249" s="8">
        <f t="shared" ca="1" si="159"/>
        <v>1.0335544320000003</v>
      </c>
      <c r="V1249" s="8">
        <f ca="1">RawData[[#This Row],[Z (smoothed demand size)]]/RawData[[#This Row],[X (smoothed interval)]]</f>
        <v>8.5963389544512125</v>
      </c>
    </row>
    <row r="1250" spans="1:22">
      <c r="A1250" t="s">
        <v>35</v>
      </c>
      <c r="B1250" t="s">
        <v>14</v>
      </c>
      <c r="C1250">
        <v>27</v>
      </c>
      <c r="D1250" t="s">
        <v>15</v>
      </c>
      <c r="E1250" t="s">
        <v>16</v>
      </c>
      <c r="F1250" s="1">
        <v>43831</v>
      </c>
      <c r="G1250">
        <v>9</v>
      </c>
      <c r="H1250">
        <v>9</v>
      </c>
      <c r="I1250">
        <v>12</v>
      </c>
      <c r="J1250">
        <v>3</v>
      </c>
      <c r="K1250">
        <v>0</v>
      </c>
      <c r="L1250">
        <v>537</v>
      </c>
      <c r="M1250">
        <v>15</v>
      </c>
      <c r="N1250" s="1">
        <f t="shared" si="152"/>
        <v>44938</v>
      </c>
      <c r="O1250" s="1">
        <f t="shared" si="153"/>
        <v>43101</v>
      </c>
      <c r="P1250" s="1">
        <f t="shared" si="154"/>
        <v>43831</v>
      </c>
      <c r="Q1250" s="8">
        <f t="shared" si="155"/>
        <v>0</v>
      </c>
      <c r="R1250" s="8">
        <f t="shared" si="156"/>
        <v>25</v>
      </c>
      <c r="S1250" s="8">
        <f t="shared" ca="1" si="157"/>
        <v>25</v>
      </c>
      <c r="T1250">
        <f t="shared" ca="1" si="158"/>
        <v>8.9078273802778405</v>
      </c>
      <c r="U1250" s="8">
        <f t="shared" ca="1" si="159"/>
        <v>1.0268435456000002</v>
      </c>
      <c r="V1250" s="8">
        <f ca="1">RawData[[#This Row],[Z (smoothed demand size)]]/RawData[[#This Row],[X (smoothed interval)]]</f>
        <v>8.674960677746542</v>
      </c>
    </row>
    <row r="1251" spans="1:22">
      <c r="A1251" t="s">
        <v>35</v>
      </c>
      <c r="B1251" t="s">
        <v>14</v>
      </c>
      <c r="C1251">
        <v>27</v>
      </c>
      <c r="D1251" t="s">
        <v>15</v>
      </c>
      <c r="E1251" t="s">
        <v>16</v>
      </c>
      <c r="F1251" s="1">
        <v>43832</v>
      </c>
      <c r="G1251">
        <v>7</v>
      </c>
      <c r="H1251">
        <v>7</v>
      </c>
      <c r="I1251">
        <v>15</v>
      </c>
      <c r="J1251">
        <v>8</v>
      </c>
      <c r="K1251">
        <v>0</v>
      </c>
      <c r="L1251">
        <v>539</v>
      </c>
      <c r="M1251">
        <v>30</v>
      </c>
      <c r="N1251" s="1">
        <f t="shared" si="152"/>
        <v>44938</v>
      </c>
      <c r="O1251" s="1">
        <f t="shared" si="153"/>
        <v>43101</v>
      </c>
      <c r="P1251" s="1">
        <f t="shared" si="154"/>
        <v>43862</v>
      </c>
      <c r="Q1251" s="8">
        <f t="shared" si="155"/>
        <v>0</v>
      </c>
      <c r="R1251" s="8">
        <f t="shared" si="156"/>
        <v>26</v>
      </c>
      <c r="S1251" s="8">
        <f t="shared" ca="1" si="157"/>
        <v>26</v>
      </c>
      <c r="T1251">
        <f t="shared" ca="1" si="158"/>
        <v>8.526261904222272</v>
      </c>
      <c r="U1251" s="8">
        <f t="shared" ca="1" si="159"/>
        <v>1.0214748364800001</v>
      </c>
      <c r="V1251" s="8">
        <f ca="1">RawData[[#This Row],[Z (smoothed demand size)]]/RawData[[#This Row],[X (smoothed interval)]]</f>
        <v>8.3470112035297408</v>
      </c>
    </row>
    <row r="1252" spans="1:22">
      <c r="A1252" t="s">
        <v>35</v>
      </c>
      <c r="B1252" t="s">
        <v>14</v>
      </c>
      <c r="C1252">
        <v>27</v>
      </c>
      <c r="D1252" t="s">
        <v>15</v>
      </c>
      <c r="E1252" t="s">
        <v>16</v>
      </c>
      <c r="F1252" s="1">
        <v>43833</v>
      </c>
      <c r="G1252">
        <v>10</v>
      </c>
      <c r="H1252">
        <v>10</v>
      </c>
      <c r="I1252">
        <v>15</v>
      </c>
      <c r="J1252">
        <v>5</v>
      </c>
      <c r="K1252">
        <v>0</v>
      </c>
      <c r="L1252">
        <v>540</v>
      </c>
      <c r="M1252">
        <v>30</v>
      </c>
      <c r="N1252" s="1">
        <f t="shared" si="152"/>
        <v>44938</v>
      </c>
      <c r="O1252" s="1">
        <f t="shared" si="153"/>
        <v>43101</v>
      </c>
      <c r="P1252" s="1">
        <f t="shared" si="154"/>
        <v>43891</v>
      </c>
      <c r="Q1252" s="8">
        <f t="shared" si="155"/>
        <v>0</v>
      </c>
      <c r="R1252" s="8">
        <f t="shared" si="156"/>
        <v>27</v>
      </c>
      <c r="S1252" s="8">
        <f t="shared" ca="1" si="157"/>
        <v>27</v>
      </c>
      <c r="T1252">
        <f t="shared" ca="1" si="158"/>
        <v>8.8210095233778176</v>
      </c>
      <c r="U1252" s="8">
        <f t="shared" ca="1" si="159"/>
        <v>1.0171798691840002</v>
      </c>
      <c r="V1252" s="8">
        <f ca="1">RawData[[#This Row],[Z (smoothed demand size)]]/RawData[[#This Row],[X (smoothed interval)]]</f>
        <v>8.6720252637856365</v>
      </c>
    </row>
    <row r="1253" spans="1:22">
      <c r="A1253" t="s">
        <v>35</v>
      </c>
      <c r="B1253" t="s">
        <v>14</v>
      </c>
      <c r="C1253">
        <v>27</v>
      </c>
      <c r="D1253" t="s">
        <v>15</v>
      </c>
      <c r="E1253" t="s">
        <v>16</v>
      </c>
      <c r="F1253" s="1">
        <v>43834</v>
      </c>
      <c r="G1253">
        <v>0</v>
      </c>
      <c r="H1253">
        <v>0</v>
      </c>
      <c r="I1253">
        <v>12</v>
      </c>
      <c r="J1253">
        <v>12</v>
      </c>
      <c r="K1253">
        <v>0</v>
      </c>
      <c r="L1253">
        <v>533</v>
      </c>
      <c r="M1253">
        <v>45</v>
      </c>
      <c r="N1253" s="1">
        <f t="shared" si="152"/>
        <v>44938</v>
      </c>
      <c r="O1253" s="1">
        <f t="shared" si="153"/>
        <v>43101</v>
      </c>
      <c r="P1253" s="1">
        <f t="shared" si="154"/>
        <v>43922</v>
      </c>
      <c r="Q1253" s="8">
        <f t="shared" si="155"/>
        <v>0</v>
      </c>
      <c r="R1253" s="8">
        <f t="shared" si="156"/>
        <v>28</v>
      </c>
      <c r="S1253" s="8">
        <f t="shared" ca="1" si="157"/>
        <v>27</v>
      </c>
      <c r="T1253">
        <f t="shared" ca="1" si="158"/>
        <v>8.8210095233778176</v>
      </c>
      <c r="U1253" s="8">
        <f t="shared" ca="1" si="159"/>
        <v>1.0171798691840002</v>
      </c>
      <c r="V1253" s="8">
        <f ca="1">RawData[[#This Row],[Z (smoothed demand size)]]/RawData[[#This Row],[X (smoothed interval)]]</f>
        <v>8.6720252637856365</v>
      </c>
    </row>
    <row r="1254" spans="1:22">
      <c r="A1254" t="s">
        <v>35</v>
      </c>
      <c r="B1254" t="s">
        <v>14</v>
      </c>
      <c r="C1254">
        <v>27</v>
      </c>
      <c r="D1254" t="s">
        <v>15</v>
      </c>
      <c r="E1254" t="s">
        <v>16</v>
      </c>
      <c r="F1254" s="1">
        <v>43835</v>
      </c>
      <c r="G1254">
        <v>11</v>
      </c>
      <c r="H1254">
        <v>11</v>
      </c>
      <c r="I1254">
        <v>12</v>
      </c>
      <c r="J1254">
        <v>1</v>
      </c>
      <c r="K1254">
        <v>0</v>
      </c>
      <c r="L1254">
        <v>549</v>
      </c>
      <c r="M1254">
        <v>45</v>
      </c>
      <c r="N1254" s="1">
        <f t="shared" si="152"/>
        <v>44938</v>
      </c>
      <c r="O1254" s="1">
        <f t="shared" si="153"/>
        <v>43101</v>
      </c>
      <c r="P1254" s="1">
        <f t="shared" si="154"/>
        <v>43952</v>
      </c>
      <c r="Q1254" s="8">
        <f t="shared" si="155"/>
        <v>0</v>
      </c>
      <c r="R1254" s="8">
        <f t="shared" si="156"/>
        <v>29</v>
      </c>
      <c r="S1254" s="8">
        <f t="shared" ca="1" si="157"/>
        <v>29</v>
      </c>
      <c r="T1254">
        <f t="shared" ca="1" si="158"/>
        <v>9.2568076187022541</v>
      </c>
      <c r="U1254" s="8">
        <f t="shared" ca="1" si="159"/>
        <v>1.2137438953472002</v>
      </c>
      <c r="V1254" s="8">
        <f ca="1">RawData[[#This Row],[Z (smoothed demand size)]]/RawData[[#This Row],[X (smoothed interval)]]</f>
        <v>7.6266563763472339</v>
      </c>
    </row>
    <row r="1255" spans="1:22">
      <c r="A1255" t="s">
        <v>35</v>
      </c>
      <c r="B1255" t="s">
        <v>14</v>
      </c>
      <c r="C1255">
        <v>27</v>
      </c>
      <c r="D1255" t="s">
        <v>15</v>
      </c>
      <c r="E1255" t="s">
        <v>16</v>
      </c>
      <c r="F1255" s="1">
        <v>43836</v>
      </c>
      <c r="G1255">
        <v>6</v>
      </c>
      <c r="H1255">
        <v>1</v>
      </c>
      <c r="I1255">
        <v>1</v>
      </c>
      <c r="J1255">
        <v>0</v>
      </c>
      <c r="K1255">
        <v>1</v>
      </c>
      <c r="L1255">
        <v>627</v>
      </c>
      <c r="M1255">
        <v>15</v>
      </c>
      <c r="N1255" s="1">
        <f t="shared" si="152"/>
        <v>44938</v>
      </c>
      <c r="O1255" s="1">
        <f t="shared" si="153"/>
        <v>43101</v>
      </c>
      <c r="P1255" s="1">
        <f t="shared" si="154"/>
        <v>43983</v>
      </c>
      <c r="Q1255" s="8">
        <f t="shared" si="155"/>
        <v>0</v>
      </c>
      <c r="R1255" s="8">
        <f t="shared" si="156"/>
        <v>30</v>
      </c>
      <c r="S1255" s="8">
        <f t="shared" ca="1" si="157"/>
        <v>30</v>
      </c>
      <c r="T1255">
        <f t="shared" ca="1" si="158"/>
        <v>8.6054460949618026</v>
      </c>
      <c r="U1255" s="8">
        <f t="shared" ca="1" si="159"/>
        <v>1.1709951162777601</v>
      </c>
      <c r="V1255" s="8">
        <f ca="1">RawData[[#This Row],[Z (smoothed demand size)]]/RawData[[#This Row],[X (smoothed interval)]]</f>
        <v>7.3488317545814512</v>
      </c>
    </row>
    <row r="1256" spans="1:22">
      <c r="A1256" t="s">
        <v>35</v>
      </c>
      <c r="B1256" t="s">
        <v>14</v>
      </c>
      <c r="C1256">
        <v>27</v>
      </c>
      <c r="D1256" t="s">
        <v>15</v>
      </c>
      <c r="E1256" t="s">
        <v>16</v>
      </c>
      <c r="F1256" s="1">
        <v>43837</v>
      </c>
      <c r="G1256">
        <v>0</v>
      </c>
      <c r="H1256">
        <v>0</v>
      </c>
      <c r="I1256">
        <v>7</v>
      </c>
      <c r="J1256">
        <v>7</v>
      </c>
      <c r="K1256">
        <v>0</v>
      </c>
      <c r="L1256">
        <v>618</v>
      </c>
      <c r="M1256">
        <v>60</v>
      </c>
      <c r="N1256" s="1">
        <f t="shared" si="152"/>
        <v>44938</v>
      </c>
      <c r="O1256" s="1">
        <f t="shared" si="153"/>
        <v>43101</v>
      </c>
      <c r="P1256" s="1">
        <f t="shared" si="154"/>
        <v>44013</v>
      </c>
      <c r="Q1256" s="8">
        <f t="shared" si="155"/>
        <v>0</v>
      </c>
      <c r="R1256" s="8">
        <f t="shared" si="156"/>
        <v>31</v>
      </c>
      <c r="S1256" s="8">
        <f t="shared" ca="1" si="157"/>
        <v>30</v>
      </c>
      <c r="T1256">
        <f t="shared" ca="1" si="158"/>
        <v>8.6054460949618026</v>
      </c>
      <c r="U1256" s="8">
        <f t="shared" ca="1" si="159"/>
        <v>1.1709951162777601</v>
      </c>
      <c r="V1256" s="8">
        <f ca="1">RawData[[#This Row],[Z (smoothed demand size)]]/RawData[[#This Row],[X (smoothed interval)]]</f>
        <v>7.3488317545814512</v>
      </c>
    </row>
    <row r="1257" spans="1:22">
      <c r="A1257" t="s">
        <v>35</v>
      </c>
      <c r="B1257" t="s">
        <v>14</v>
      </c>
      <c r="C1257">
        <v>27</v>
      </c>
      <c r="D1257" t="s">
        <v>15</v>
      </c>
      <c r="E1257" t="s">
        <v>16</v>
      </c>
      <c r="F1257" s="1">
        <v>43838</v>
      </c>
      <c r="G1257">
        <v>9</v>
      </c>
      <c r="H1257">
        <v>7</v>
      </c>
      <c r="I1257">
        <v>7</v>
      </c>
      <c r="J1257">
        <v>0</v>
      </c>
      <c r="K1257">
        <v>1</v>
      </c>
      <c r="L1257">
        <v>622</v>
      </c>
      <c r="M1257">
        <v>15</v>
      </c>
      <c r="N1257" s="1">
        <f t="shared" si="152"/>
        <v>44938</v>
      </c>
      <c r="O1257" s="1">
        <f t="shared" si="153"/>
        <v>43101</v>
      </c>
      <c r="P1257" s="1">
        <f t="shared" si="154"/>
        <v>44044</v>
      </c>
      <c r="Q1257" s="8">
        <f t="shared" si="155"/>
        <v>0</v>
      </c>
      <c r="R1257" s="8">
        <f t="shared" si="156"/>
        <v>32</v>
      </c>
      <c r="S1257" s="8">
        <f t="shared" ca="1" si="157"/>
        <v>32</v>
      </c>
      <c r="T1257">
        <f t="shared" ca="1" si="158"/>
        <v>8.6843568759694421</v>
      </c>
      <c r="U1257" s="8">
        <f t="shared" ca="1" si="159"/>
        <v>1.3367960930222083</v>
      </c>
      <c r="V1257" s="8">
        <f ca="1">RawData[[#This Row],[Z (smoothed demand size)]]/RawData[[#This Row],[X (smoothed interval)]]</f>
        <v>6.4963960631692004</v>
      </c>
    </row>
    <row r="1258" spans="1:22">
      <c r="A1258" t="s">
        <v>35</v>
      </c>
      <c r="B1258" t="s">
        <v>14</v>
      </c>
      <c r="C1258">
        <v>27</v>
      </c>
      <c r="D1258" t="s">
        <v>15</v>
      </c>
      <c r="E1258" t="s">
        <v>16</v>
      </c>
      <c r="F1258" s="1">
        <v>43839</v>
      </c>
      <c r="G1258">
        <v>14</v>
      </c>
      <c r="H1258">
        <v>9</v>
      </c>
      <c r="I1258">
        <v>9</v>
      </c>
      <c r="J1258">
        <v>0</v>
      </c>
      <c r="K1258">
        <v>1</v>
      </c>
      <c r="L1258">
        <v>544</v>
      </c>
      <c r="M1258">
        <v>15</v>
      </c>
      <c r="N1258" s="1">
        <f t="shared" si="152"/>
        <v>44938</v>
      </c>
      <c r="O1258" s="1">
        <f t="shared" si="153"/>
        <v>43101</v>
      </c>
      <c r="P1258" s="1">
        <f t="shared" si="154"/>
        <v>44075</v>
      </c>
      <c r="Q1258" s="8">
        <f t="shared" si="155"/>
        <v>0</v>
      </c>
      <c r="R1258" s="8">
        <f t="shared" si="156"/>
        <v>33</v>
      </c>
      <c r="S1258" s="8">
        <f t="shared" ca="1" si="157"/>
        <v>33</v>
      </c>
      <c r="T1258">
        <f t="shared" ca="1" si="158"/>
        <v>9.7474855007755536</v>
      </c>
      <c r="U1258" s="8">
        <f t="shared" ca="1" si="159"/>
        <v>1.2694368744177666</v>
      </c>
      <c r="V1258" s="8">
        <f ca="1">RawData[[#This Row],[Z (smoothed demand size)]]/RawData[[#This Row],[X (smoothed interval)]]</f>
        <v>7.6785901664045211</v>
      </c>
    </row>
    <row r="1259" spans="1:22">
      <c r="A1259" t="s">
        <v>35</v>
      </c>
      <c r="B1259" t="s">
        <v>14</v>
      </c>
      <c r="C1259">
        <v>27</v>
      </c>
      <c r="D1259" t="s">
        <v>15</v>
      </c>
      <c r="E1259" t="s">
        <v>16</v>
      </c>
      <c r="F1259" s="1">
        <v>43840</v>
      </c>
      <c r="G1259">
        <v>8</v>
      </c>
      <c r="H1259">
        <v>8</v>
      </c>
      <c r="I1259">
        <v>9</v>
      </c>
      <c r="J1259">
        <v>1</v>
      </c>
      <c r="K1259">
        <v>0</v>
      </c>
      <c r="L1259">
        <v>542</v>
      </c>
      <c r="M1259">
        <v>15</v>
      </c>
      <c r="N1259" s="1">
        <f t="shared" si="152"/>
        <v>44938</v>
      </c>
      <c r="O1259" s="1">
        <f t="shared" si="153"/>
        <v>43101</v>
      </c>
      <c r="P1259" s="1">
        <f t="shared" si="154"/>
        <v>44105</v>
      </c>
      <c r="Q1259" s="8">
        <f t="shared" si="155"/>
        <v>0</v>
      </c>
      <c r="R1259" s="8">
        <f t="shared" si="156"/>
        <v>34</v>
      </c>
      <c r="S1259" s="8">
        <f t="shared" ca="1" si="157"/>
        <v>34</v>
      </c>
      <c r="T1259">
        <f t="shared" ca="1" si="158"/>
        <v>9.3979884006204433</v>
      </c>
      <c r="U1259" s="8">
        <f t="shared" ca="1" si="159"/>
        <v>1.2155494995342133</v>
      </c>
      <c r="V1259" s="8">
        <f ca="1">RawData[[#This Row],[Z (smoothed demand size)]]/RawData[[#This Row],[X (smoothed interval)]]</f>
        <v>7.7314732178505778</v>
      </c>
    </row>
    <row r="1260" spans="1:22">
      <c r="A1260" t="s">
        <v>35</v>
      </c>
      <c r="B1260" t="s">
        <v>14</v>
      </c>
      <c r="C1260">
        <v>27</v>
      </c>
      <c r="D1260" t="s">
        <v>15</v>
      </c>
      <c r="E1260" t="s">
        <v>16</v>
      </c>
      <c r="F1260" s="1">
        <v>43841</v>
      </c>
      <c r="G1260">
        <v>7</v>
      </c>
      <c r="H1260">
        <v>7</v>
      </c>
      <c r="I1260">
        <v>8</v>
      </c>
      <c r="J1260">
        <v>1</v>
      </c>
      <c r="K1260">
        <v>0</v>
      </c>
      <c r="L1260">
        <v>551</v>
      </c>
      <c r="M1260">
        <v>15</v>
      </c>
      <c r="N1260" s="1">
        <f t="shared" si="152"/>
        <v>44938</v>
      </c>
      <c r="O1260" s="1">
        <f t="shared" si="153"/>
        <v>43101</v>
      </c>
      <c r="P1260" s="1">
        <f t="shared" si="154"/>
        <v>44136</v>
      </c>
      <c r="Q1260" s="8">
        <f t="shared" si="155"/>
        <v>0</v>
      </c>
      <c r="R1260" s="8">
        <f t="shared" si="156"/>
        <v>35</v>
      </c>
      <c r="S1260" s="8">
        <f t="shared" ca="1" si="157"/>
        <v>35</v>
      </c>
      <c r="T1260">
        <f t="shared" ca="1" si="158"/>
        <v>8.9183907204963546</v>
      </c>
      <c r="U1260" s="8">
        <f t="shared" ca="1" si="159"/>
        <v>1.1724395996273707</v>
      </c>
      <c r="V1260" s="8">
        <f ca="1">RawData[[#This Row],[Z (smoothed demand size)]]/RawData[[#This Row],[X (smoothed interval)]]</f>
        <v>7.6066952389963909</v>
      </c>
    </row>
    <row r="1261" spans="1:22">
      <c r="A1261" t="s">
        <v>35</v>
      </c>
      <c r="B1261" t="s">
        <v>14</v>
      </c>
      <c r="C1261">
        <v>27</v>
      </c>
      <c r="D1261" t="s">
        <v>15</v>
      </c>
      <c r="E1261" t="s">
        <v>16</v>
      </c>
      <c r="F1261" s="1">
        <v>43842</v>
      </c>
      <c r="G1261">
        <v>11</v>
      </c>
      <c r="H1261">
        <v>11</v>
      </c>
      <c r="I1261">
        <v>12</v>
      </c>
      <c r="J1261">
        <v>1</v>
      </c>
      <c r="K1261">
        <v>0</v>
      </c>
      <c r="L1261">
        <v>620</v>
      </c>
      <c r="M1261">
        <v>45</v>
      </c>
      <c r="N1261" s="1">
        <f t="shared" si="152"/>
        <v>44938</v>
      </c>
      <c r="O1261" s="1">
        <f t="shared" si="153"/>
        <v>43101</v>
      </c>
      <c r="P1261" s="1">
        <f t="shared" si="154"/>
        <v>44166</v>
      </c>
      <c r="Q1261" s="8">
        <f t="shared" si="155"/>
        <v>0</v>
      </c>
      <c r="R1261" s="8">
        <f t="shared" si="156"/>
        <v>36</v>
      </c>
      <c r="S1261" s="8">
        <f t="shared" ca="1" si="157"/>
        <v>36</v>
      </c>
      <c r="T1261">
        <f t="shared" ca="1" si="158"/>
        <v>9.3347125763970844</v>
      </c>
      <c r="U1261" s="8">
        <f t="shared" ca="1" si="159"/>
        <v>1.1379516797018965</v>
      </c>
      <c r="V1261" s="8">
        <f ca="1">RawData[[#This Row],[Z (smoothed demand size)]]/RawData[[#This Row],[X (smoothed interval)]]</f>
        <v>8.2030834374641035</v>
      </c>
    </row>
    <row r="1262" spans="1:22">
      <c r="A1262" t="s">
        <v>35</v>
      </c>
      <c r="B1262" t="s">
        <v>14</v>
      </c>
      <c r="C1262">
        <v>27</v>
      </c>
      <c r="D1262" t="s">
        <v>15</v>
      </c>
      <c r="E1262" t="s">
        <v>16</v>
      </c>
      <c r="F1262" s="1">
        <v>44197</v>
      </c>
      <c r="G1262">
        <v>6</v>
      </c>
      <c r="H1262">
        <v>1</v>
      </c>
      <c r="I1262">
        <v>1</v>
      </c>
      <c r="J1262">
        <v>0</v>
      </c>
      <c r="K1262">
        <v>1</v>
      </c>
      <c r="L1262">
        <v>546</v>
      </c>
      <c r="M1262">
        <v>30</v>
      </c>
      <c r="N1262" s="1">
        <f t="shared" si="152"/>
        <v>44938</v>
      </c>
      <c r="O1262" s="1">
        <f t="shared" si="153"/>
        <v>43101</v>
      </c>
      <c r="P1262" s="1">
        <f t="shared" si="154"/>
        <v>44197</v>
      </c>
      <c r="Q1262" s="8">
        <f t="shared" si="155"/>
        <v>0</v>
      </c>
      <c r="R1262" s="8">
        <f t="shared" si="156"/>
        <v>37</v>
      </c>
      <c r="S1262" s="8">
        <f t="shared" ca="1" si="157"/>
        <v>37</v>
      </c>
      <c r="T1262">
        <f t="shared" ca="1" si="158"/>
        <v>8.6677700611176682</v>
      </c>
      <c r="U1262" s="8">
        <f t="shared" ca="1" si="159"/>
        <v>1.1103613437615172</v>
      </c>
      <c r="V1262" s="8">
        <f ca="1">RawData[[#This Row],[Z (smoothed demand size)]]/RawData[[#This Row],[X (smoothed interval)]]</f>
        <v>7.8062606464255007</v>
      </c>
    </row>
    <row r="1263" spans="1:22">
      <c r="A1263" t="s">
        <v>35</v>
      </c>
      <c r="B1263" t="s">
        <v>14</v>
      </c>
      <c r="C1263">
        <v>27</v>
      </c>
      <c r="D1263" t="s">
        <v>15</v>
      </c>
      <c r="E1263" t="s">
        <v>16</v>
      </c>
      <c r="F1263" s="1">
        <v>44198</v>
      </c>
      <c r="G1263">
        <v>9</v>
      </c>
      <c r="H1263">
        <v>9</v>
      </c>
      <c r="I1263">
        <v>11</v>
      </c>
      <c r="J1263">
        <v>2</v>
      </c>
      <c r="K1263">
        <v>0</v>
      </c>
      <c r="L1263">
        <v>532</v>
      </c>
      <c r="M1263">
        <v>15</v>
      </c>
      <c r="N1263" s="1">
        <f t="shared" si="152"/>
        <v>44938</v>
      </c>
      <c r="O1263" s="1">
        <f t="shared" si="153"/>
        <v>43101</v>
      </c>
      <c r="P1263" s="1">
        <f t="shared" si="154"/>
        <v>44228</v>
      </c>
      <c r="Q1263" s="8">
        <f t="shared" si="155"/>
        <v>0</v>
      </c>
      <c r="R1263" s="8">
        <f t="shared" si="156"/>
        <v>38</v>
      </c>
      <c r="S1263" s="8">
        <f t="shared" ca="1" si="157"/>
        <v>38</v>
      </c>
      <c r="T1263">
        <f t="shared" ca="1" si="158"/>
        <v>8.7342160488941349</v>
      </c>
      <c r="U1263" s="8">
        <f t="shared" ca="1" si="159"/>
        <v>1.0882890750092138</v>
      </c>
      <c r="V1263" s="8">
        <f ca="1">RawData[[#This Row],[Z (smoothed demand size)]]/RawData[[#This Row],[X (smoothed interval)]]</f>
        <v>8.0256397399010808</v>
      </c>
    </row>
    <row r="1264" spans="1:22">
      <c r="A1264" t="s">
        <v>35</v>
      </c>
      <c r="B1264" t="s">
        <v>14</v>
      </c>
      <c r="C1264">
        <v>27</v>
      </c>
      <c r="D1264" t="s">
        <v>15</v>
      </c>
      <c r="E1264" t="s">
        <v>16</v>
      </c>
      <c r="F1264" s="1">
        <v>44199</v>
      </c>
      <c r="G1264">
        <v>6</v>
      </c>
      <c r="H1264">
        <v>6</v>
      </c>
      <c r="I1264">
        <v>12</v>
      </c>
      <c r="J1264">
        <v>6</v>
      </c>
      <c r="K1264">
        <v>0</v>
      </c>
      <c r="L1264">
        <v>533</v>
      </c>
      <c r="M1264">
        <v>60</v>
      </c>
      <c r="N1264" s="1">
        <f t="shared" si="152"/>
        <v>44938</v>
      </c>
      <c r="O1264" s="1">
        <f t="shared" si="153"/>
        <v>43101</v>
      </c>
      <c r="P1264" s="1">
        <f t="shared" si="154"/>
        <v>44256</v>
      </c>
      <c r="Q1264" s="8">
        <f t="shared" si="155"/>
        <v>0</v>
      </c>
      <c r="R1264" s="8">
        <f t="shared" si="156"/>
        <v>39</v>
      </c>
      <c r="S1264" s="8">
        <f t="shared" ca="1" si="157"/>
        <v>39</v>
      </c>
      <c r="T1264">
        <f t="shared" ca="1" si="158"/>
        <v>8.1873728391153087</v>
      </c>
      <c r="U1264" s="8">
        <f t="shared" ca="1" si="159"/>
        <v>1.0706312600073711</v>
      </c>
      <c r="V1264" s="8">
        <f ca="1">RawData[[#This Row],[Z (smoothed demand size)]]/RawData[[#This Row],[X (smoothed interval)]]</f>
        <v>7.6472387319037747</v>
      </c>
    </row>
    <row r="1265" spans="1:22">
      <c r="A1265" t="s">
        <v>35</v>
      </c>
      <c r="B1265" t="s">
        <v>14</v>
      </c>
      <c r="C1265">
        <v>27</v>
      </c>
      <c r="D1265" t="s">
        <v>15</v>
      </c>
      <c r="E1265" t="s">
        <v>16</v>
      </c>
      <c r="F1265" s="1">
        <v>44200</v>
      </c>
      <c r="G1265">
        <v>5</v>
      </c>
      <c r="H1265">
        <v>5</v>
      </c>
      <c r="I1265">
        <v>6</v>
      </c>
      <c r="J1265">
        <v>1</v>
      </c>
      <c r="K1265">
        <v>0</v>
      </c>
      <c r="L1265">
        <v>548</v>
      </c>
      <c r="M1265">
        <v>15</v>
      </c>
      <c r="N1265" s="1">
        <f t="shared" si="152"/>
        <v>44938</v>
      </c>
      <c r="O1265" s="1">
        <f t="shared" si="153"/>
        <v>43101</v>
      </c>
      <c r="P1265" s="1">
        <f t="shared" si="154"/>
        <v>44287</v>
      </c>
      <c r="Q1265" s="8">
        <f t="shared" si="155"/>
        <v>0</v>
      </c>
      <c r="R1265" s="8">
        <f t="shared" si="156"/>
        <v>40</v>
      </c>
      <c r="S1265" s="8">
        <f t="shared" ca="1" si="157"/>
        <v>40</v>
      </c>
      <c r="T1265">
        <f t="shared" ca="1" si="158"/>
        <v>7.5498982712922471</v>
      </c>
      <c r="U1265" s="8">
        <f t="shared" ca="1" si="159"/>
        <v>1.0565050080058969</v>
      </c>
      <c r="V1265" s="8">
        <f ca="1">RawData[[#This Row],[Z (smoothed demand size)]]/RawData[[#This Row],[X (smoothed interval)]]</f>
        <v>7.1461074146182444</v>
      </c>
    </row>
    <row r="1266" spans="1:22">
      <c r="A1266" t="s">
        <v>35</v>
      </c>
      <c r="B1266" t="s">
        <v>14</v>
      </c>
      <c r="C1266">
        <v>27</v>
      </c>
      <c r="D1266" t="s">
        <v>15</v>
      </c>
      <c r="E1266" t="s">
        <v>16</v>
      </c>
      <c r="F1266" s="1">
        <v>44201</v>
      </c>
      <c r="G1266">
        <v>11</v>
      </c>
      <c r="H1266">
        <v>11</v>
      </c>
      <c r="I1266">
        <v>11</v>
      </c>
      <c r="J1266">
        <v>0</v>
      </c>
      <c r="K1266">
        <v>0</v>
      </c>
      <c r="L1266">
        <v>537</v>
      </c>
      <c r="M1266">
        <v>15</v>
      </c>
      <c r="N1266" s="1">
        <f t="shared" si="152"/>
        <v>44938</v>
      </c>
      <c r="O1266" s="1">
        <f t="shared" si="153"/>
        <v>43101</v>
      </c>
      <c r="P1266" s="1">
        <f t="shared" si="154"/>
        <v>44317</v>
      </c>
      <c r="Q1266" s="8">
        <f t="shared" si="155"/>
        <v>0</v>
      </c>
      <c r="R1266" s="8">
        <f t="shared" si="156"/>
        <v>41</v>
      </c>
      <c r="S1266" s="8">
        <f t="shared" ca="1" si="157"/>
        <v>41</v>
      </c>
      <c r="T1266">
        <f t="shared" ca="1" si="158"/>
        <v>8.2399186170337977</v>
      </c>
      <c r="U1266" s="8">
        <f t="shared" ca="1" si="159"/>
        <v>1.0452040064047174</v>
      </c>
      <c r="V1266" s="8">
        <f ca="1">RawData[[#This Row],[Z (smoothed demand size)]]/RawData[[#This Row],[X (smoothed interval)]]</f>
        <v>7.8835505475886851</v>
      </c>
    </row>
    <row r="1267" spans="1:22">
      <c r="A1267" t="s">
        <v>35</v>
      </c>
      <c r="B1267" t="s">
        <v>14</v>
      </c>
      <c r="C1267">
        <v>27</v>
      </c>
      <c r="D1267" t="s">
        <v>15</v>
      </c>
      <c r="E1267" t="s">
        <v>16</v>
      </c>
      <c r="F1267" s="1">
        <v>44202</v>
      </c>
      <c r="G1267">
        <v>7</v>
      </c>
      <c r="H1267">
        <v>7</v>
      </c>
      <c r="I1267">
        <v>7</v>
      </c>
      <c r="J1267">
        <v>0</v>
      </c>
      <c r="K1267">
        <v>0</v>
      </c>
      <c r="L1267">
        <v>613</v>
      </c>
      <c r="M1267">
        <v>60</v>
      </c>
      <c r="N1267" s="1">
        <f t="shared" si="152"/>
        <v>44938</v>
      </c>
      <c r="O1267" s="1">
        <f t="shared" si="153"/>
        <v>43101</v>
      </c>
      <c r="P1267" s="1">
        <f t="shared" si="154"/>
        <v>44348</v>
      </c>
      <c r="Q1267" s="8">
        <f t="shared" si="155"/>
        <v>0</v>
      </c>
      <c r="R1267" s="8">
        <f t="shared" si="156"/>
        <v>42</v>
      </c>
      <c r="S1267" s="8">
        <f t="shared" ca="1" si="157"/>
        <v>42</v>
      </c>
      <c r="T1267">
        <f t="shared" ca="1" si="158"/>
        <v>7.9919348936270387</v>
      </c>
      <c r="U1267" s="8">
        <f t="shared" ca="1" si="159"/>
        <v>1.0361632051237739</v>
      </c>
      <c r="V1267" s="8">
        <f ca="1">RawData[[#This Row],[Z (smoothed demand size)]]/RawData[[#This Row],[X (smoothed interval)]]</f>
        <v>7.7130078100701995</v>
      </c>
    </row>
    <row r="1268" spans="1:22">
      <c r="A1268" t="s">
        <v>35</v>
      </c>
      <c r="B1268" t="s">
        <v>14</v>
      </c>
      <c r="C1268">
        <v>27</v>
      </c>
      <c r="D1268" t="s">
        <v>15</v>
      </c>
      <c r="E1268" t="s">
        <v>16</v>
      </c>
      <c r="F1268" s="1">
        <v>44203</v>
      </c>
      <c r="G1268">
        <v>9</v>
      </c>
      <c r="H1268">
        <v>0</v>
      </c>
      <c r="I1268">
        <v>0</v>
      </c>
      <c r="J1268">
        <v>0</v>
      </c>
      <c r="K1268">
        <v>1</v>
      </c>
      <c r="L1268">
        <v>620</v>
      </c>
      <c r="M1268">
        <v>15</v>
      </c>
      <c r="N1268" s="1">
        <f t="shared" si="152"/>
        <v>44938</v>
      </c>
      <c r="O1268" s="1">
        <f t="shared" si="153"/>
        <v>43101</v>
      </c>
      <c r="P1268" s="1">
        <f t="shared" si="154"/>
        <v>44378</v>
      </c>
      <c r="Q1268" s="8">
        <f t="shared" si="155"/>
        <v>0</v>
      </c>
      <c r="R1268" s="8">
        <f t="shared" si="156"/>
        <v>43</v>
      </c>
      <c r="S1268" s="8">
        <f t="shared" ca="1" si="157"/>
        <v>43</v>
      </c>
      <c r="T1268">
        <f t="shared" ca="1" si="158"/>
        <v>8.1935479149016324</v>
      </c>
      <c r="U1268" s="8">
        <f t="shared" ca="1" si="159"/>
        <v>1.0289305640990192</v>
      </c>
      <c r="V1268" s="8">
        <f ca="1">RawData[[#This Row],[Z (smoothed demand size)]]/RawData[[#This Row],[X (smoothed interval)]]</f>
        <v>7.9631689452983592</v>
      </c>
    </row>
    <row r="1269" spans="1:22">
      <c r="A1269" t="s">
        <v>35</v>
      </c>
      <c r="B1269" t="s">
        <v>14</v>
      </c>
      <c r="C1269">
        <v>27</v>
      </c>
      <c r="D1269" t="s">
        <v>15</v>
      </c>
      <c r="E1269" t="s">
        <v>16</v>
      </c>
      <c r="F1269" s="1">
        <v>44204</v>
      </c>
      <c r="G1269">
        <v>8</v>
      </c>
      <c r="H1269">
        <v>8</v>
      </c>
      <c r="I1269">
        <v>8</v>
      </c>
      <c r="J1269">
        <v>0</v>
      </c>
      <c r="K1269">
        <v>0</v>
      </c>
      <c r="L1269">
        <v>628</v>
      </c>
      <c r="M1269">
        <v>30</v>
      </c>
      <c r="N1269" s="1">
        <f t="shared" si="152"/>
        <v>44938</v>
      </c>
      <c r="O1269" s="1">
        <f t="shared" si="153"/>
        <v>43101</v>
      </c>
      <c r="P1269" s="1">
        <f t="shared" si="154"/>
        <v>44409</v>
      </c>
      <c r="Q1269" s="8">
        <f t="shared" si="155"/>
        <v>0</v>
      </c>
      <c r="R1269" s="8">
        <f t="shared" si="156"/>
        <v>44</v>
      </c>
      <c r="S1269" s="8">
        <f t="shared" ca="1" si="157"/>
        <v>44</v>
      </c>
      <c r="T1269">
        <f t="shared" ca="1" si="158"/>
        <v>8.1548383319213062</v>
      </c>
      <c r="U1269" s="8">
        <f t="shared" ca="1" si="159"/>
        <v>1.0231444512792154</v>
      </c>
      <c r="V1269" s="8">
        <f ca="1">RawData[[#This Row],[Z (smoothed demand size)]]/RawData[[#This Row],[X (smoothed interval)]]</f>
        <v>7.9703685258963075</v>
      </c>
    </row>
    <row r="1270" spans="1:22">
      <c r="A1270" t="s">
        <v>35</v>
      </c>
      <c r="B1270" t="s">
        <v>14</v>
      </c>
      <c r="C1270">
        <v>27</v>
      </c>
      <c r="D1270" t="s">
        <v>15</v>
      </c>
      <c r="E1270" t="s">
        <v>16</v>
      </c>
      <c r="F1270" s="1">
        <v>44205</v>
      </c>
      <c r="G1270">
        <v>8</v>
      </c>
      <c r="H1270">
        <v>8</v>
      </c>
      <c r="I1270">
        <v>12</v>
      </c>
      <c r="J1270">
        <v>4</v>
      </c>
      <c r="K1270">
        <v>0</v>
      </c>
      <c r="L1270">
        <v>535</v>
      </c>
      <c r="M1270">
        <v>30</v>
      </c>
      <c r="N1270" s="1">
        <f t="shared" si="152"/>
        <v>44938</v>
      </c>
      <c r="O1270" s="1">
        <f t="shared" si="153"/>
        <v>43101</v>
      </c>
      <c r="P1270" s="1">
        <f t="shared" si="154"/>
        <v>44440</v>
      </c>
      <c r="Q1270" s="8">
        <f t="shared" si="155"/>
        <v>0</v>
      </c>
      <c r="R1270" s="8">
        <f t="shared" si="156"/>
        <v>45</v>
      </c>
      <c r="S1270" s="8">
        <f t="shared" ca="1" si="157"/>
        <v>45</v>
      </c>
      <c r="T1270">
        <f t="shared" ca="1" si="158"/>
        <v>8.1238706655370461</v>
      </c>
      <c r="U1270" s="8">
        <f t="shared" ca="1" si="159"/>
        <v>1.0185155610233723</v>
      </c>
      <c r="V1270" s="8">
        <f ca="1">RawData[[#This Row],[Z (smoothed demand size)]]/RawData[[#This Row],[X (smoothed interval)]]</f>
        <v>7.9761870867976112</v>
      </c>
    </row>
    <row r="1271" spans="1:22">
      <c r="A1271" t="s">
        <v>35</v>
      </c>
      <c r="B1271" t="s">
        <v>14</v>
      </c>
      <c r="C1271">
        <v>27</v>
      </c>
      <c r="D1271" t="s">
        <v>15</v>
      </c>
      <c r="E1271" t="s">
        <v>16</v>
      </c>
      <c r="F1271" s="1">
        <v>44206</v>
      </c>
      <c r="G1271">
        <v>6</v>
      </c>
      <c r="H1271">
        <v>6</v>
      </c>
      <c r="I1271">
        <v>16</v>
      </c>
      <c r="J1271">
        <v>10</v>
      </c>
      <c r="K1271">
        <v>0</v>
      </c>
      <c r="L1271">
        <v>539</v>
      </c>
      <c r="M1271">
        <v>45</v>
      </c>
      <c r="N1271" s="1">
        <f t="shared" si="152"/>
        <v>44938</v>
      </c>
      <c r="O1271" s="1">
        <f t="shared" si="153"/>
        <v>43101</v>
      </c>
      <c r="P1271" s="1">
        <f t="shared" si="154"/>
        <v>44470</v>
      </c>
      <c r="Q1271" s="8">
        <f t="shared" si="155"/>
        <v>0</v>
      </c>
      <c r="R1271" s="8">
        <f t="shared" si="156"/>
        <v>46</v>
      </c>
      <c r="S1271" s="8">
        <f t="shared" ca="1" si="157"/>
        <v>46</v>
      </c>
      <c r="T1271">
        <f t="shared" ca="1" si="158"/>
        <v>7.6990965324296372</v>
      </c>
      <c r="U1271" s="8">
        <f t="shared" ca="1" si="159"/>
        <v>1.0148124488186978</v>
      </c>
      <c r="V1271" s="8">
        <f ca="1">RawData[[#This Row],[Z (smoothed demand size)]]/RawData[[#This Row],[X (smoothed interval)]]</f>
        <v>7.5867186507140749</v>
      </c>
    </row>
    <row r="1272" spans="1:22">
      <c r="A1272" t="s">
        <v>35</v>
      </c>
      <c r="B1272" t="s">
        <v>14</v>
      </c>
      <c r="C1272">
        <v>27</v>
      </c>
      <c r="D1272" t="s">
        <v>15</v>
      </c>
      <c r="E1272" t="s">
        <v>16</v>
      </c>
      <c r="F1272" s="1">
        <v>44207</v>
      </c>
      <c r="G1272">
        <v>7</v>
      </c>
      <c r="H1272">
        <v>7</v>
      </c>
      <c r="I1272">
        <v>10</v>
      </c>
      <c r="J1272">
        <v>3</v>
      </c>
      <c r="K1272">
        <v>0</v>
      </c>
      <c r="L1272">
        <v>529</v>
      </c>
      <c r="M1272">
        <v>60</v>
      </c>
      <c r="N1272" s="1">
        <f t="shared" si="152"/>
        <v>44938</v>
      </c>
      <c r="O1272" s="1">
        <f t="shared" si="153"/>
        <v>43101</v>
      </c>
      <c r="P1272" s="1">
        <f t="shared" si="154"/>
        <v>44501</v>
      </c>
      <c r="Q1272" s="8">
        <f t="shared" si="155"/>
        <v>0</v>
      </c>
      <c r="R1272" s="8">
        <f t="shared" si="156"/>
        <v>47</v>
      </c>
      <c r="S1272" s="8">
        <f t="shared" ca="1" si="157"/>
        <v>47</v>
      </c>
      <c r="T1272">
        <f t="shared" ca="1" si="158"/>
        <v>7.5592772259437107</v>
      </c>
      <c r="U1272" s="8">
        <f t="shared" ca="1" si="159"/>
        <v>1.0118499590549583</v>
      </c>
      <c r="V1272" s="8">
        <f ca="1">RawData[[#This Row],[Z (smoothed demand size)]]/RawData[[#This Row],[X (smoothed interval)]]</f>
        <v>7.470749154354742</v>
      </c>
    </row>
    <row r="1273" spans="1:22">
      <c r="A1273" t="s">
        <v>35</v>
      </c>
      <c r="B1273" t="s">
        <v>14</v>
      </c>
      <c r="C1273">
        <v>27</v>
      </c>
      <c r="D1273" t="s">
        <v>15</v>
      </c>
      <c r="E1273" t="s">
        <v>16</v>
      </c>
      <c r="F1273" s="1">
        <v>44208</v>
      </c>
      <c r="G1273">
        <v>5</v>
      </c>
      <c r="H1273">
        <v>3</v>
      </c>
      <c r="I1273">
        <v>3</v>
      </c>
      <c r="J1273">
        <v>0</v>
      </c>
      <c r="K1273">
        <v>1</v>
      </c>
      <c r="L1273">
        <v>617</v>
      </c>
      <c r="M1273">
        <v>45</v>
      </c>
      <c r="N1273" s="1">
        <f t="shared" si="152"/>
        <v>44938</v>
      </c>
      <c r="O1273" s="1">
        <f t="shared" si="153"/>
        <v>43101</v>
      </c>
      <c r="P1273" s="1">
        <f t="shared" si="154"/>
        <v>44531</v>
      </c>
      <c r="Q1273" s="8">
        <f t="shared" si="155"/>
        <v>0</v>
      </c>
      <c r="R1273" s="8">
        <f t="shared" si="156"/>
        <v>48</v>
      </c>
      <c r="S1273" s="8">
        <f t="shared" ca="1" si="157"/>
        <v>48</v>
      </c>
      <c r="T1273">
        <f t="shared" ca="1" si="158"/>
        <v>7.0474217807549691</v>
      </c>
      <c r="U1273" s="8">
        <f t="shared" ca="1" si="159"/>
        <v>1.0094799672439667</v>
      </c>
      <c r="V1273" s="8">
        <f ca="1">RawData[[#This Row],[Z (smoothed demand size)]]/RawData[[#This Row],[X (smoothed interval)]]</f>
        <v>6.9812398556015909</v>
      </c>
    </row>
    <row r="1274" spans="1:22">
      <c r="A1274" t="s">
        <v>35</v>
      </c>
      <c r="B1274" t="s">
        <v>14</v>
      </c>
      <c r="C1274">
        <v>27</v>
      </c>
      <c r="D1274" t="s">
        <v>15</v>
      </c>
      <c r="E1274" t="s">
        <v>16</v>
      </c>
      <c r="F1274" s="1">
        <v>44562</v>
      </c>
      <c r="G1274">
        <v>10</v>
      </c>
      <c r="H1274">
        <v>8</v>
      </c>
      <c r="I1274">
        <v>8</v>
      </c>
      <c r="J1274">
        <v>0</v>
      </c>
      <c r="K1274">
        <v>1</v>
      </c>
      <c r="L1274">
        <v>543</v>
      </c>
      <c r="M1274">
        <v>30</v>
      </c>
      <c r="N1274" s="1">
        <f t="shared" si="152"/>
        <v>44938</v>
      </c>
      <c r="O1274" s="1">
        <f t="shared" si="153"/>
        <v>43101</v>
      </c>
      <c r="P1274" s="1">
        <f t="shared" si="154"/>
        <v>44562</v>
      </c>
      <c r="Q1274" s="8">
        <f t="shared" si="155"/>
        <v>0</v>
      </c>
      <c r="R1274" s="8">
        <f t="shared" si="156"/>
        <v>49</v>
      </c>
      <c r="S1274" s="8">
        <f t="shared" ca="1" si="157"/>
        <v>49</v>
      </c>
      <c r="T1274">
        <f t="shared" ca="1" si="158"/>
        <v>7.637937424603976</v>
      </c>
      <c r="U1274" s="8">
        <f t="shared" ca="1" si="159"/>
        <v>1.0075839737951735</v>
      </c>
      <c r="V1274" s="8">
        <f ca="1">RawData[[#This Row],[Z (smoothed demand size)]]/RawData[[#This Row],[X (smoothed interval)]]</f>
        <v>7.5804475093374721</v>
      </c>
    </row>
    <row r="1275" spans="1:22">
      <c r="A1275" t="s">
        <v>35</v>
      </c>
      <c r="B1275" t="s">
        <v>14</v>
      </c>
      <c r="C1275">
        <v>27</v>
      </c>
      <c r="D1275" t="s">
        <v>15</v>
      </c>
      <c r="E1275" t="s">
        <v>16</v>
      </c>
      <c r="F1275" s="1">
        <v>44563</v>
      </c>
      <c r="G1275">
        <v>10</v>
      </c>
      <c r="H1275">
        <v>10</v>
      </c>
      <c r="I1275">
        <v>11</v>
      </c>
      <c r="J1275">
        <v>1</v>
      </c>
      <c r="K1275">
        <v>0</v>
      </c>
      <c r="L1275">
        <v>533</v>
      </c>
      <c r="M1275">
        <v>15</v>
      </c>
      <c r="N1275" s="1">
        <f t="shared" si="152"/>
        <v>44938</v>
      </c>
      <c r="O1275" s="1">
        <f t="shared" si="153"/>
        <v>43101</v>
      </c>
      <c r="P1275" s="1">
        <f t="shared" si="154"/>
        <v>44593</v>
      </c>
      <c r="Q1275" s="8">
        <f t="shared" si="155"/>
        <v>0</v>
      </c>
      <c r="R1275" s="8">
        <f t="shared" si="156"/>
        <v>50</v>
      </c>
      <c r="S1275" s="8">
        <f t="shared" ca="1" si="157"/>
        <v>50</v>
      </c>
      <c r="T1275">
        <f t="shared" ca="1" si="158"/>
        <v>8.1103499396831822</v>
      </c>
      <c r="U1275" s="8">
        <f t="shared" ca="1" si="159"/>
        <v>1.0060671790361388</v>
      </c>
      <c r="V1275" s="8">
        <f ca="1">RawData[[#This Row],[Z (smoothed demand size)]]/RawData[[#This Row],[X (smoothed interval)]]</f>
        <v>8.0614397414825625</v>
      </c>
    </row>
    <row r="1276" spans="1:22">
      <c r="A1276" t="s">
        <v>35</v>
      </c>
      <c r="B1276" t="s">
        <v>14</v>
      </c>
      <c r="C1276">
        <v>27</v>
      </c>
      <c r="D1276" t="s">
        <v>15</v>
      </c>
      <c r="E1276" t="s">
        <v>16</v>
      </c>
      <c r="F1276" s="1">
        <v>44564</v>
      </c>
      <c r="G1276">
        <v>7</v>
      </c>
      <c r="H1276">
        <v>7</v>
      </c>
      <c r="I1276">
        <v>9</v>
      </c>
      <c r="J1276">
        <v>2</v>
      </c>
      <c r="K1276">
        <v>0</v>
      </c>
      <c r="L1276">
        <v>531</v>
      </c>
      <c r="M1276">
        <v>15</v>
      </c>
      <c r="N1276" s="1">
        <f t="shared" si="152"/>
        <v>44938</v>
      </c>
      <c r="O1276" s="1">
        <f t="shared" si="153"/>
        <v>43101</v>
      </c>
      <c r="P1276" s="1">
        <f t="shared" si="154"/>
        <v>44621</v>
      </c>
      <c r="Q1276" s="8">
        <f t="shared" si="155"/>
        <v>0</v>
      </c>
      <c r="R1276" s="8">
        <f t="shared" si="156"/>
        <v>51</v>
      </c>
      <c r="S1276" s="8">
        <f t="shared" ca="1" si="157"/>
        <v>51</v>
      </c>
      <c r="T1276">
        <f t="shared" ca="1" si="158"/>
        <v>7.8882799517465463</v>
      </c>
      <c r="U1276" s="8">
        <f t="shared" ca="1" si="159"/>
        <v>1.0048537432289111</v>
      </c>
      <c r="V1276" s="8">
        <f ca="1">RawData[[#This Row],[Z (smoothed demand size)]]/RawData[[#This Row],[X (smoothed interval)]]</f>
        <v>7.8501772072809546</v>
      </c>
    </row>
    <row r="1277" spans="1:22">
      <c r="A1277" t="s">
        <v>35</v>
      </c>
      <c r="B1277" t="s">
        <v>14</v>
      </c>
      <c r="C1277">
        <v>27</v>
      </c>
      <c r="D1277" t="s">
        <v>15</v>
      </c>
      <c r="E1277" t="s">
        <v>16</v>
      </c>
      <c r="F1277" s="1">
        <v>44565</v>
      </c>
      <c r="G1277">
        <v>7</v>
      </c>
      <c r="H1277">
        <v>7</v>
      </c>
      <c r="I1277">
        <v>14</v>
      </c>
      <c r="J1277">
        <v>7</v>
      </c>
      <c r="K1277">
        <v>0</v>
      </c>
      <c r="L1277">
        <v>533</v>
      </c>
      <c r="M1277">
        <v>60</v>
      </c>
      <c r="N1277" s="1">
        <f t="shared" si="152"/>
        <v>44938</v>
      </c>
      <c r="O1277" s="1">
        <f t="shared" si="153"/>
        <v>43101</v>
      </c>
      <c r="P1277" s="1">
        <f t="shared" si="154"/>
        <v>44652</v>
      </c>
      <c r="Q1277" s="8">
        <f t="shared" si="155"/>
        <v>0</v>
      </c>
      <c r="R1277" s="8">
        <f t="shared" si="156"/>
        <v>52</v>
      </c>
      <c r="S1277" s="8">
        <f t="shared" ca="1" si="157"/>
        <v>52</v>
      </c>
      <c r="T1277">
        <f t="shared" ca="1" si="158"/>
        <v>7.7106239613972374</v>
      </c>
      <c r="U1277" s="8">
        <f t="shared" ca="1" si="159"/>
        <v>1.0038829945831289</v>
      </c>
      <c r="V1277" s="8">
        <f ca="1">RawData[[#This Row],[Z (smoothed demand size)]]/RawData[[#This Row],[X (smoothed interval)]]</f>
        <v>7.6807994587049864</v>
      </c>
    </row>
    <row r="1278" spans="1:22">
      <c r="A1278" t="s">
        <v>35</v>
      </c>
      <c r="B1278" t="s">
        <v>14</v>
      </c>
      <c r="C1278">
        <v>27</v>
      </c>
      <c r="D1278" t="s">
        <v>15</v>
      </c>
      <c r="E1278" t="s">
        <v>16</v>
      </c>
      <c r="F1278" s="1">
        <v>44566</v>
      </c>
      <c r="G1278">
        <v>9</v>
      </c>
      <c r="H1278">
        <v>7</v>
      </c>
      <c r="I1278">
        <v>7</v>
      </c>
      <c r="J1278">
        <v>0</v>
      </c>
      <c r="K1278">
        <v>1</v>
      </c>
      <c r="L1278">
        <v>534</v>
      </c>
      <c r="M1278">
        <v>30</v>
      </c>
      <c r="N1278" s="1">
        <f t="shared" si="152"/>
        <v>44938</v>
      </c>
      <c r="O1278" s="1">
        <f t="shared" si="153"/>
        <v>43101</v>
      </c>
      <c r="P1278" s="1">
        <f t="shared" si="154"/>
        <v>44682</v>
      </c>
      <c r="Q1278" s="8">
        <f t="shared" si="155"/>
        <v>0</v>
      </c>
      <c r="R1278" s="8">
        <f t="shared" si="156"/>
        <v>53</v>
      </c>
      <c r="S1278" s="8">
        <f t="shared" ca="1" si="157"/>
        <v>53</v>
      </c>
      <c r="T1278">
        <f t="shared" ca="1" si="158"/>
        <v>7.9684991691177904</v>
      </c>
      <c r="U1278" s="8">
        <f t="shared" ca="1" si="159"/>
        <v>1.0031063956665032</v>
      </c>
      <c r="V1278" s="8">
        <f ca="1">RawData[[#This Row],[Z (smoothed demand size)]]/RawData[[#This Row],[X (smoothed interval)]]</f>
        <v>7.9438225132870448</v>
      </c>
    </row>
    <row r="1279" spans="1:22">
      <c r="A1279" t="s">
        <v>35</v>
      </c>
      <c r="B1279" t="s">
        <v>14</v>
      </c>
      <c r="C1279">
        <v>27</v>
      </c>
      <c r="D1279" t="s">
        <v>15</v>
      </c>
      <c r="E1279" t="s">
        <v>16</v>
      </c>
      <c r="F1279" s="1">
        <v>44567</v>
      </c>
      <c r="G1279">
        <v>6</v>
      </c>
      <c r="H1279">
        <v>6</v>
      </c>
      <c r="I1279">
        <v>7</v>
      </c>
      <c r="J1279">
        <v>1</v>
      </c>
      <c r="K1279">
        <v>0</v>
      </c>
      <c r="L1279">
        <v>623</v>
      </c>
      <c r="M1279">
        <v>45</v>
      </c>
      <c r="N1279" s="1">
        <f t="shared" si="152"/>
        <v>44938</v>
      </c>
      <c r="O1279" s="1">
        <f t="shared" si="153"/>
        <v>43101</v>
      </c>
      <c r="P1279" s="1">
        <f t="shared" si="154"/>
        <v>44713</v>
      </c>
      <c r="Q1279" s="8">
        <f t="shared" si="155"/>
        <v>0</v>
      </c>
      <c r="R1279" s="8">
        <f t="shared" si="156"/>
        <v>54</v>
      </c>
      <c r="S1279" s="8">
        <f t="shared" ca="1" si="157"/>
        <v>54</v>
      </c>
      <c r="T1279">
        <f t="shared" ca="1" si="158"/>
        <v>7.5747993352942329</v>
      </c>
      <c r="U1279" s="8">
        <f t="shared" ca="1" si="159"/>
        <v>1.0024851165332025</v>
      </c>
      <c r="V1279" s="8">
        <f ca="1">RawData[[#This Row],[Z (smoothed demand size)]]/RawData[[#This Row],[X (smoothed interval)]]</f>
        <v>7.5560217407410795</v>
      </c>
    </row>
    <row r="1280" spans="1:22">
      <c r="A1280" t="s">
        <v>35</v>
      </c>
      <c r="B1280" t="s">
        <v>14</v>
      </c>
      <c r="C1280">
        <v>27</v>
      </c>
      <c r="D1280" t="s">
        <v>15</v>
      </c>
      <c r="E1280" t="s">
        <v>16</v>
      </c>
      <c r="F1280" s="1">
        <v>44568</v>
      </c>
      <c r="G1280">
        <v>9</v>
      </c>
      <c r="H1280">
        <v>1</v>
      </c>
      <c r="I1280">
        <v>1</v>
      </c>
      <c r="J1280">
        <v>0</v>
      </c>
      <c r="K1280">
        <v>1</v>
      </c>
      <c r="L1280">
        <v>620</v>
      </c>
      <c r="M1280">
        <v>30</v>
      </c>
      <c r="N1280" s="1">
        <f t="shared" si="152"/>
        <v>44938</v>
      </c>
      <c r="O1280" s="1">
        <f t="shared" si="153"/>
        <v>43101</v>
      </c>
      <c r="P1280" s="1">
        <f t="shared" si="154"/>
        <v>44743</v>
      </c>
      <c r="Q1280" s="8">
        <f t="shared" si="155"/>
        <v>0</v>
      </c>
      <c r="R1280" s="8">
        <f t="shared" si="156"/>
        <v>55</v>
      </c>
      <c r="S1280" s="8">
        <f t="shared" ca="1" si="157"/>
        <v>55</v>
      </c>
      <c r="T1280">
        <f t="shared" ca="1" si="158"/>
        <v>7.8598394682353865</v>
      </c>
      <c r="U1280" s="8">
        <f t="shared" ca="1" si="159"/>
        <v>1.0019880932265621</v>
      </c>
      <c r="V1280" s="8">
        <f ca="1">RawData[[#This Row],[Z (smoothed demand size)]]/RawData[[#This Row],[X (smoothed interval)]]</f>
        <v>7.8442443791177645</v>
      </c>
    </row>
    <row r="1281" spans="1:22">
      <c r="A1281" t="s">
        <v>35</v>
      </c>
      <c r="B1281" t="s">
        <v>14</v>
      </c>
      <c r="C1281">
        <v>27</v>
      </c>
      <c r="D1281" t="s">
        <v>15</v>
      </c>
      <c r="E1281" t="s">
        <v>16</v>
      </c>
      <c r="F1281" s="1">
        <v>44569</v>
      </c>
      <c r="G1281">
        <v>6</v>
      </c>
      <c r="H1281">
        <v>6</v>
      </c>
      <c r="I1281">
        <v>12</v>
      </c>
      <c r="J1281">
        <v>6</v>
      </c>
      <c r="K1281">
        <v>0</v>
      </c>
      <c r="L1281">
        <v>622</v>
      </c>
      <c r="M1281">
        <v>60</v>
      </c>
      <c r="N1281" s="1">
        <f t="shared" si="152"/>
        <v>44938</v>
      </c>
      <c r="O1281" s="1">
        <f t="shared" si="153"/>
        <v>43101</v>
      </c>
      <c r="P1281" s="1">
        <f t="shared" si="154"/>
        <v>44774</v>
      </c>
      <c r="Q1281" s="8">
        <f t="shared" si="155"/>
        <v>0</v>
      </c>
      <c r="R1281" s="8">
        <f t="shared" si="156"/>
        <v>56</v>
      </c>
      <c r="S1281" s="8">
        <f t="shared" ca="1" si="157"/>
        <v>56</v>
      </c>
      <c r="T1281">
        <f t="shared" ca="1" si="158"/>
        <v>7.4878715745883095</v>
      </c>
      <c r="U1281" s="8">
        <f t="shared" ca="1" si="159"/>
        <v>1.0015904745812498</v>
      </c>
      <c r="V1281" s="8">
        <f ca="1">RawData[[#This Row],[Z (smoothed demand size)]]/RawData[[#This Row],[X (smoothed interval)]]</f>
        <v>7.4759812164935751</v>
      </c>
    </row>
    <row r="1282" spans="1:22">
      <c r="A1282" t="s">
        <v>35</v>
      </c>
      <c r="B1282" t="s">
        <v>14</v>
      </c>
      <c r="C1282">
        <v>27</v>
      </c>
      <c r="D1282" t="s">
        <v>15</v>
      </c>
      <c r="E1282" t="s">
        <v>16</v>
      </c>
      <c r="F1282" s="1">
        <v>44570</v>
      </c>
      <c r="G1282">
        <v>12</v>
      </c>
      <c r="H1282">
        <v>6</v>
      </c>
      <c r="I1282">
        <v>6</v>
      </c>
      <c r="J1282">
        <v>0</v>
      </c>
      <c r="K1282">
        <v>1</v>
      </c>
      <c r="L1282">
        <v>538</v>
      </c>
      <c r="M1282">
        <v>45</v>
      </c>
      <c r="N1282" s="1">
        <f t="shared" ref="N1282:N1345" si="160">MAX(F:F)</f>
        <v>44938</v>
      </c>
      <c r="O1282" s="1">
        <f t="shared" ref="O1282:O1345" si="161">MIN(F:F)</f>
        <v>43101</v>
      </c>
      <c r="P1282" s="1">
        <f t="shared" ref="P1282:P1345" si="162">DATE(YEAR(F1282), DAY(F1282), 1)</f>
        <v>44805</v>
      </c>
      <c r="Q1282" s="8">
        <f t="shared" ref="Q1282:Q1345" si="163" xml:space="preserve"> IF(A1282&lt;&gt;A1281, 1, 0)</f>
        <v>0</v>
      </c>
      <c r="R1282" s="8">
        <f t="shared" ref="R1282:R1345" si="164">IF(Q1282=1,1,R1281+1)</f>
        <v>57</v>
      </c>
      <c r="S1282" s="8">
        <f t="shared" ref="S1282:S1345" ca="1" si="165" xml:space="preserve"> IF(Q1282=1, IF(G1282&gt;0, R1282, 0), IF(G1282&gt;0, R1282, OFFSET(S1282,-1,0)))</f>
        <v>57</v>
      </c>
      <c r="T1282">
        <f t="shared" ref="T1282:T1345" ca="1" si="166" xml:space="preserve"> IF(Q1282=1, IF(G1282&gt;0, G1282, 0), IF(G1282&gt;0, $X$1*G1282+(1-$X$1)*OFFSET(T1282,-1,0), OFFSET(T1282,-1,0)))</f>
        <v>8.390297259670648</v>
      </c>
      <c r="U1282" s="8">
        <f t="shared" ref="U1282:U1345" ca="1" si="167" xml:space="preserve"> IF(Q1282=1, 1, IF(G1282&gt;0, $X$1*(R1282-OFFSET(S1282,-1,0))+(1-$X$1)*OFFSET(U1282,-1,0), OFFSET(U1282,-1,0)))</f>
        <v>1.0012723796649998</v>
      </c>
      <c r="V1282" s="8">
        <f ca="1">RawData[[#This Row],[Z (smoothed demand size)]]/RawData[[#This Row],[X (smoothed interval)]]</f>
        <v>8.379635182264618</v>
      </c>
    </row>
    <row r="1283" spans="1:22">
      <c r="A1283" t="s">
        <v>35</v>
      </c>
      <c r="B1283" t="s">
        <v>14</v>
      </c>
      <c r="C1283">
        <v>27</v>
      </c>
      <c r="D1283" t="s">
        <v>15</v>
      </c>
      <c r="E1283" t="s">
        <v>16</v>
      </c>
      <c r="F1283" s="1">
        <v>44571</v>
      </c>
      <c r="G1283">
        <v>10</v>
      </c>
      <c r="H1283">
        <v>10</v>
      </c>
      <c r="I1283">
        <v>11</v>
      </c>
      <c r="J1283">
        <v>1</v>
      </c>
      <c r="K1283">
        <v>0</v>
      </c>
      <c r="L1283">
        <v>534</v>
      </c>
      <c r="M1283">
        <v>45</v>
      </c>
      <c r="N1283" s="1">
        <f t="shared" si="160"/>
        <v>44938</v>
      </c>
      <c r="O1283" s="1">
        <f t="shared" si="161"/>
        <v>43101</v>
      </c>
      <c r="P1283" s="1">
        <f t="shared" si="162"/>
        <v>44835</v>
      </c>
      <c r="Q1283" s="8">
        <f t="shared" si="163"/>
        <v>0</v>
      </c>
      <c r="R1283" s="8">
        <f t="shared" si="164"/>
        <v>58</v>
      </c>
      <c r="S1283" s="8">
        <f t="shared" ca="1" si="165"/>
        <v>58</v>
      </c>
      <c r="T1283">
        <f t="shared" ca="1" si="166"/>
        <v>8.7122378077365177</v>
      </c>
      <c r="U1283" s="8">
        <f t="shared" ca="1" si="167"/>
        <v>1.0010179037319999</v>
      </c>
      <c r="V1283" s="8">
        <f ca="1">RawData[[#This Row],[Z (smoothed demand size)]]/RawData[[#This Row],[X (smoothed interval)]]</f>
        <v>8.7033786061722864</v>
      </c>
    </row>
    <row r="1284" spans="1:22">
      <c r="A1284" t="s">
        <v>35</v>
      </c>
      <c r="B1284" t="s">
        <v>14</v>
      </c>
      <c r="C1284">
        <v>27</v>
      </c>
      <c r="D1284" t="s">
        <v>15</v>
      </c>
      <c r="E1284" t="s">
        <v>16</v>
      </c>
      <c r="F1284" s="1">
        <v>44572</v>
      </c>
      <c r="G1284">
        <v>8</v>
      </c>
      <c r="H1284">
        <v>1</v>
      </c>
      <c r="I1284">
        <v>1</v>
      </c>
      <c r="J1284">
        <v>0</v>
      </c>
      <c r="K1284">
        <v>1</v>
      </c>
      <c r="L1284">
        <v>533</v>
      </c>
      <c r="M1284">
        <v>30</v>
      </c>
      <c r="N1284" s="1">
        <f t="shared" si="160"/>
        <v>44938</v>
      </c>
      <c r="O1284" s="1">
        <f t="shared" si="161"/>
        <v>43101</v>
      </c>
      <c r="P1284" s="1">
        <f t="shared" si="162"/>
        <v>44866</v>
      </c>
      <c r="Q1284" s="8">
        <f t="shared" si="163"/>
        <v>0</v>
      </c>
      <c r="R1284" s="8">
        <f t="shared" si="164"/>
        <v>59</v>
      </c>
      <c r="S1284" s="8">
        <f t="shared" ca="1" si="165"/>
        <v>59</v>
      </c>
      <c r="T1284">
        <f t="shared" ca="1" si="166"/>
        <v>8.5697902461892141</v>
      </c>
      <c r="U1284" s="8">
        <f t="shared" ca="1" si="167"/>
        <v>1.0008143229855999</v>
      </c>
      <c r="V1284" s="8">
        <f ca="1">RawData[[#This Row],[Z (smoothed demand size)]]/RawData[[#This Row],[X (smoothed interval)]]</f>
        <v>8.5628173472018947</v>
      </c>
    </row>
    <row r="1285" spans="1:22">
      <c r="A1285" t="s">
        <v>35</v>
      </c>
      <c r="B1285" t="s">
        <v>14</v>
      </c>
      <c r="C1285">
        <v>27</v>
      </c>
      <c r="D1285" t="s">
        <v>15</v>
      </c>
      <c r="E1285" t="s">
        <v>16</v>
      </c>
      <c r="F1285" s="1">
        <v>44573</v>
      </c>
      <c r="G1285">
        <v>6</v>
      </c>
      <c r="H1285">
        <v>6</v>
      </c>
      <c r="I1285">
        <v>7</v>
      </c>
      <c r="J1285">
        <v>1</v>
      </c>
      <c r="K1285">
        <v>0</v>
      </c>
      <c r="L1285">
        <v>621</v>
      </c>
      <c r="M1285">
        <v>60</v>
      </c>
      <c r="N1285" s="1">
        <f t="shared" si="160"/>
        <v>44938</v>
      </c>
      <c r="O1285" s="1">
        <f t="shared" si="161"/>
        <v>43101</v>
      </c>
      <c r="P1285" s="1">
        <f t="shared" si="162"/>
        <v>44896</v>
      </c>
      <c r="Q1285" s="8">
        <f t="shared" si="163"/>
        <v>0</v>
      </c>
      <c r="R1285" s="8">
        <f t="shared" si="164"/>
        <v>60</v>
      </c>
      <c r="S1285" s="8">
        <f t="shared" ca="1" si="165"/>
        <v>60</v>
      </c>
      <c r="T1285">
        <f t="shared" ca="1" si="166"/>
        <v>8.0558321969513713</v>
      </c>
      <c r="U1285" s="8">
        <f t="shared" ca="1" si="167"/>
        <v>1.00065145838848</v>
      </c>
      <c r="V1285" s="8">
        <f ca="1">RawData[[#This Row],[Z (smoothed demand size)]]/RawData[[#This Row],[X (smoothed interval)]]</f>
        <v>8.0505875741440018</v>
      </c>
    </row>
    <row r="1286" spans="1:22">
      <c r="A1286" t="s">
        <v>35</v>
      </c>
      <c r="B1286" t="s">
        <v>14</v>
      </c>
      <c r="C1286">
        <v>27</v>
      </c>
      <c r="D1286" t="s">
        <v>15</v>
      </c>
      <c r="E1286" t="s">
        <v>16</v>
      </c>
      <c r="F1286" s="1">
        <v>44927</v>
      </c>
      <c r="G1286">
        <v>6</v>
      </c>
      <c r="H1286">
        <v>1</v>
      </c>
      <c r="I1286">
        <v>1</v>
      </c>
      <c r="J1286">
        <v>0</v>
      </c>
      <c r="K1286">
        <v>1</v>
      </c>
      <c r="L1286">
        <v>544</v>
      </c>
      <c r="M1286">
        <v>45</v>
      </c>
      <c r="N1286" s="1">
        <f t="shared" si="160"/>
        <v>44938</v>
      </c>
      <c r="O1286" s="1">
        <f t="shared" si="161"/>
        <v>43101</v>
      </c>
      <c r="P1286" s="1">
        <f t="shared" si="162"/>
        <v>44927</v>
      </c>
      <c r="Q1286" s="8">
        <f t="shared" si="163"/>
        <v>0</v>
      </c>
      <c r="R1286" s="8">
        <f t="shared" si="164"/>
        <v>61</v>
      </c>
      <c r="S1286" s="8">
        <f t="shared" ca="1" si="165"/>
        <v>61</v>
      </c>
      <c r="T1286">
        <f t="shared" ca="1" si="166"/>
        <v>7.6446657575610972</v>
      </c>
      <c r="U1286" s="8">
        <f t="shared" ca="1" si="167"/>
        <v>1.0005211667107841</v>
      </c>
      <c r="V1286" s="8">
        <f ca="1">RawData[[#This Row],[Z (smoothed demand size)]]/RawData[[#This Row],[X (smoothed interval)]]</f>
        <v>7.6406836875755024</v>
      </c>
    </row>
    <row r="1287" spans="1:22">
      <c r="A1287" t="s">
        <v>35</v>
      </c>
      <c r="B1287" t="s">
        <v>14</v>
      </c>
      <c r="C1287">
        <v>27</v>
      </c>
      <c r="D1287" t="s">
        <v>15</v>
      </c>
      <c r="E1287" t="s">
        <v>16</v>
      </c>
      <c r="F1287" s="1">
        <v>44928</v>
      </c>
      <c r="G1287">
        <v>3</v>
      </c>
      <c r="H1287">
        <v>3</v>
      </c>
      <c r="I1287">
        <v>7</v>
      </c>
      <c r="J1287">
        <v>4</v>
      </c>
      <c r="K1287">
        <v>0</v>
      </c>
      <c r="L1287">
        <v>531</v>
      </c>
      <c r="M1287">
        <v>60</v>
      </c>
      <c r="N1287" s="1">
        <f t="shared" si="160"/>
        <v>44938</v>
      </c>
      <c r="O1287" s="1">
        <f t="shared" si="161"/>
        <v>43101</v>
      </c>
      <c r="P1287" s="1">
        <f t="shared" si="162"/>
        <v>44958</v>
      </c>
      <c r="Q1287" s="8">
        <f t="shared" si="163"/>
        <v>0</v>
      </c>
      <c r="R1287" s="8">
        <f t="shared" si="164"/>
        <v>62</v>
      </c>
      <c r="S1287" s="8">
        <f t="shared" ca="1" si="165"/>
        <v>62</v>
      </c>
      <c r="T1287">
        <f t="shared" ca="1" si="166"/>
        <v>6.7157326060488778</v>
      </c>
      <c r="U1287" s="8">
        <f t="shared" ca="1" si="167"/>
        <v>1.0004169333686272</v>
      </c>
      <c r="V1287" s="8">
        <f ca="1">RawData[[#This Row],[Z (smoothed demand size)]]/RawData[[#This Row],[X (smoothed interval)]]</f>
        <v>6.712933759962965</v>
      </c>
    </row>
    <row r="1288" spans="1:22">
      <c r="A1288" t="s">
        <v>35</v>
      </c>
      <c r="B1288" t="s">
        <v>14</v>
      </c>
      <c r="C1288">
        <v>27</v>
      </c>
      <c r="D1288" t="s">
        <v>15</v>
      </c>
      <c r="E1288" t="s">
        <v>16</v>
      </c>
      <c r="F1288" s="1">
        <v>44929</v>
      </c>
      <c r="G1288">
        <v>6</v>
      </c>
      <c r="H1288">
        <v>4</v>
      </c>
      <c r="I1288">
        <v>4</v>
      </c>
      <c r="J1288">
        <v>0</v>
      </c>
      <c r="K1288">
        <v>1</v>
      </c>
      <c r="L1288">
        <v>530</v>
      </c>
      <c r="M1288">
        <v>60</v>
      </c>
      <c r="N1288" s="1">
        <f t="shared" si="160"/>
        <v>44938</v>
      </c>
      <c r="O1288" s="1">
        <f t="shared" si="161"/>
        <v>43101</v>
      </c>
      <c r="P1288" s="1">
        <f t="shared" si="162"/>
        <v>44986</v>
      </c>
      <c r="Q1288" s="8">
        <f t="shared" si="163"/>
        <v>0</v>
      </c>
      <c r="R1288" s="8">
        <f t="shared" si="164"/>
        <v>63</v>
      </c>
      <c r="S1288" s="8">
        <f t="shared" ca="1" si="165"/>
        <v>63</v>
      </c>
      <c r="T1288">
        <f t="shared" ca="1" si="166"/>
        <v>6.5725860848391031</v>
      </c>
      <c r="U1288" s="8">
        <f t="shared" ca="1" si="167"/>
        <v>1.0003335466949019</v>
      </c>
      <c r="V1288" s="8">
        <f ca="1">RawData[[#This Row],[Z (smoothed demand size)]]/RawData[[#This Row],[X (smoothed interval)]]</f>
        <v>6.5703945514522646</v>
      </c>
    </row>
    <row r="1289" spans="1:22">
      <c r="A1289" t="s">
        <v>35</v>
      </c>
      <c r="B1289" t="s">
        <v>14</v>
      </c>
      <c r="C1289">
        <v>27</v>
      </c>
      <c r="D1289" t="s">
        <v>15</v>
      </c>
      <c r="E1289" t="s">
        <v>16</v>
      </c>
      <c r="F1289" s="1">
        <v>44930</v>
      </c>
      <c r="G1289">
        <v>5</v>
      </c>
      <c r="H1289">
        <v>5</v>
      </c>
      <c r="I1289">
        <v>10</v>
      </c>
      <c r="J1289">
        <v>5</v>
      </c>
      <c r="K1289">
        <v>0</v>
      </c>
      <c r="L1289">
        <v>530</v>
      </c>
      <c r="M1289">
        <v>60</v>
      </c>
      <c r="N1289" s="1">
        <f t="shared" si="160"/>
        <v>44938</v>
      </c>
      <c r="O1289" s="1">
        <f t="shared" si="161"/>
        <v>43101</v>
      </c>
      <c r="P1289" s="1">
        <f t="shared" si="162"/>
        <v>45017</v>
      </c>
      <c r="Q1289" s="8">
        <f t="shared" si="163"/>
        <v>0</v>
      </c>
      <c r="R1289" s="8">
        <f t="shared" si="164"/>
        <v>64</v>
      </c>
      <c r="S1289" s="8">
        <f t="shared" ca="1" si="165"/>
        <v>64</v>
      </c>
      <c r="T1289">
        <f t="shared" ca="1" si="166"/>
        <v>6.258068867871283</v>
      </c>
      <c r="U1289" s="8">
        <f t="shared" ca="1" si="167"/>
        <v>1.0002668373559216</v>
      </c>
      <c r="V1289" s="8">
        <f ca="1">RawData[[#This Row],[Z (smoothed demand size)]]/RawData[[#This Row],[X (smoothed interval)]]</f>
        <v>6.2563994267906491</v>
      </c>
    </row>
    <row r="1290" spans="1:22">
      <c r="A1290" t="s">
        <v>35</v>
      </c>
      <c r="B1290" t="s">
        <v>14</v>
      </c>
      <c r="C1290">
        <v>27</v>
      </c>
      <c r="D1290" t="s">
        <v>15</v>
      </c>
      <c r="E1290" t="s">
        <v>16</v>
      </c>
      <c r="F1290" s="1">
        <v>44931</v>
      </c>
      <c r="G1290">
        <v>3</v>
      </c>
      <c r="H1290">
        <v>3</v>
      </c>
      <c r="I1290">
        <v>5</v>
      </c>
      <c r="J1290">
        <v>2</v>
      </c>
      <c r="K1290">
        <v>0</v>
      </c>
      <c r="L1290">
        <v>540</v>
      </c>
      <c r="M1290">
        <v>45</v>
      </c>
      <c r="N1290" s="1">
        <f t="shared" si="160"/>
        <v>44938</v>
      </c>
      <c r="O1290" s="1">
        <f t="shared" si="161"/>
        <v>43101</v>
      </c>
      <c r="P1290" s="1">
        <f t="shared" si="162"/>
        <v>45047</v>
      </c>
      <c r="Q1290" s="8">
        <f t="shared" si="163"/>
        <v>0</v>
      </c>
      <c r="R1290" s="8">
        <f t="shared" si="164"/>
        <v>65</v>
      </c>
      <c r="S1290" s="8">
        <f t="shared" ca="1" si="165"/>
        <v>65</v>
      </c>
      <c r="T1290">
        <f t="shared" ca="1" si="166"/>
        <v>5.6064550942970275</v>
      </c>
      <c r="U1290" s="8">
        <f t="shared" ca="1" si="167"/>
        <v>1.0002134698847374</v>
      </c>
      <c r="V1290" s="8">
        <f ca="1">RawData[[#This Row],[Z (smoothed demand size)]]/RawData[[#This Row],[X (smoothed interval)]]</f>
        <v>5.6052585404024846</v>
      </c>
    </row>
    <row r="1291" spans="1:22">
      <c r="A1291" t="s">
        <v>35</v>
      </c>
      <c r="B1291" t="s">
        <v>14</v>
      </c>
      <c r="C1291">
        <v>27</v>
      </c>
      <c r="D1291" t="s">
        <v>15</v>
      </c>
      <c r="E1291" t="s">
        <v>16</v>
      </c>
      <c r="F1291" s="1">
        <v>44932</v>
      </c>
      <c r="G1291">
        <v>8</v>
      </c>
      <c r="H1291">
        <v>8</v>
      </c>
      <c r="I1291">
        <v>9</v>
      </c>
      <c r="J1291">
        <v>1</v>
      </c>
      <c r="K1291">
        <v>0</v>
      </c>
      <c r="L1291">
        <v>616</v>
      </c>
      <c r="M1291">
        <v>45</v>
      </c>
      <c r="N1291" s="1">
        <f t="shared" si="160"/>
        <v>44938</v>
      </c>
      <c r="O1291" s="1">
        <f t="shared" si="161"/>
        <v>43101</v>
      </c>
      <c r="P1291" s="1">
        <f t="shared" si="162"/>
        <v>45078</v>
      </c>
      <c r="Q1291" s="8">
        <f t="shared" si="163"/>
        <v>0</v>
      </c>
      <c r="R1291" s="8">
        <f t="shared" si="164"/>
        <v>66</v>
      </c>
      <c r="S1291" s="8">
        <f t="shared" ca="1" si="165"/>
        <v>66</v>
      </c>
      <c r="T1291">
        <f t="shared" ca="1" si="166"/>
        <v>6.0851640754376231</v>
      </c>
      <c r="U1291" s="8">
        <f t="shared" ca="1" si="167"/>
        <v>1.00017077590779</v>
      </c>
      <c r="V1291" s="8">
        <f ca="1">RawData[[#This Row],[Z (smoothed demand size)]]/RawData[[#This Row],[X (smoothed interval)]]</f>
        <v>6.0841250534585107</v>
      </c>
    </row>
    <row r="1292" spans="1:22">
      <c r="A1292" t="s">
        <v>35</v>
      </c>
      <c r="B1292" t="s">
        <v>14</v>
      </c>
      <c r="C1292">
        <v>27</v>
      </c>
      <c r="D1292" t="s">
        <v>15</v>
      </c>
      <c r="E1292" t="s">
        <v>16</v>
      </c>
      <c r="F1292" s="1">
        <v>44933</v>
      </c>
      <c r="G1292">
        <v>12</v>
      </c>
      <c r="H1292">
        <v>1</v>
      </c>
      <c r="I1292">
        <v>1</v>
      </c>
      <c r="J1292">
        <v>0</v>
      </c>
      <c r="K1292">
        <v>1</v>
      </c>
      <c r="L1292">
        <v>620</v>
      </c>
      <c r="M1292">
        <v>45</v>
      </c>
      <c r="N1292" s="1">
        <f t="shared" si="160"/>
        <v>44938</v>
      </c>
      <c r="O1292" s="1">
        <f t="shared" si="161"/>
        <v>43101</v>
      </c>
      <c r="P1292" s="1">
        <f t="shared" si="162"/>
        <v>45108</v>
      </c>
      <c r="Q1292" s="8">
        <f t="shared" si="163"/>
        <v>0</v>
      </c>
      <c r="R1292" s="8">
        <f t="shared" si="164"/>
        <v>67</v>
      </c>
      <c r="S1292" s="8">
        <f t="shared" ca="1" si="165"/>
        <v>67</v>
      </c>
      <c r="T1292">
        <f t="shared" ca="1" si="166"/>
        <v>7.2681312603500992</v>
      </c>
      <c r="U1292" s="8">
        <f t="shared" ca="1" si="167"/>
        <v>1.0001366207262321</v>
      </c>
      <c r="V1292" s="8">
        <f ca="1">RawData[[#This Row],[Z (smoothed demand size)]]/RawData[[#This Row],[X (smoothed interval)]]</f>
        <v>7.2671384186217178</v>
      </c>
    </row>
    <row r="1293" spans="1:22">
      <c r="A1293" t="s">
        <v>35</v>
      </c>
      <c r="B1293" t="s">
        <v>14</v>
      </c>
      <c r="C1293">
        <v>27</v>
      </c>
      <c r="D1293" t="s">
        <v>15</v>
      </c>
      <c r="E1293" t="s">
        <v>16</v>
      </c>
      <c r="F1293" s="1">
        <v>44934</v>
      </c>
      <c r="G1293">
        <v>4</v>
      </c>
      <c r="H1293">
        <v>4</v>
      </c>
      <c r="I1293">
        <v>11</v>
      </c>
      <c r="J1293">
        <v>7</v>
      </c>
      <c r="K1293">
        <v>0</v>
      </c>
      <c r="L1293">
        <v>613</v>
      </c>
      <c r="M1293">
        <v>30</v>
      </c>
      <c r="N1293" s="1">
        <f t="shared" si="160"/>
        <v>44938</v>
      </c>
      <c r="O1293" s="1">
        <f t="shared" si="161"/>
        <v>43101</v>
      </c>
      <c r="P1293" s="1">
        <f t="shared" si="162"/>
        <v>45139</v>
      </c>
      <c r="Q1293" s="8">
        <f t="shared" si="163"/>
        <v>0</v>
      </c>
      <c r="R1293" s="8">
        <f t="shared" si="164"/>
        <v>68</v>
      </c>
      <c r="S1293" s="8">
        <f t="shared" ca="1" si="165"/>
        <v>68</v>
      </c>
      <c r="T1293">
        <f t="shared" ca="1" si="166"/>
        <v>6.6145050082800791</v>
      </c>
      <c r="U1293" s="8">
        <f t="shared" ca="1" si="167"/>
        <v>1.0001092965809857</v>
      </c>
      <c r="V1293" s="8">
        <f ca="1">RawData[[#This Row],[Z (smoothed demand size)]]/RawData[[#This Row],[X (smoothed interval)]]</f>
        <v>6.6137821445043006</v>
      </c>
    </row>
    <row r="1294" spans="1:22">
      <c r="A1294" t="s">
        <v>35</v>
      </c>
      <c r="B1294" t="s">
        <v>14</v>
      </c>
      <c r="C1294">
        <v>27</v>
      </c>
      <c r="D1294" t="s">
        <v>15</v>
      </c>
      <c r="E1294" t="s">
        <v>16</v>
      </c>
      <c r="F1294" s="1">
        <v>44935</v>
      </c>
      <c r="G1294">
        <v>6</v>
      </c>
      <c r="H1294">
        <v>6</v>
      </c>
      <c r="I1294">
        <v>15</v>
      </c>
      <c r="J1294">
        <v>9</v>
      </c>
      <c r="K1294">
        <v>0</v>
      </c>
      <c r="L1294">
        <v>539</v>
      </c>
      <c r="M1294">
        <v>30</v>
      </c>
      <c r="N1294" s="1">
        <f t="shared" si="160"/>
        <v>44938</v>
      </c>
      <c r="O1294" s="1">
        <f t="shared" si="161"/>
        <v>43101</v>
      </c>
      <c r="P1294" s="1">
        <f t="shared" si="162"/>
        <v>45170</v>
      </c>
      <c r="Q1294" s="8">
        <f t="shared" si="163"/>
        <v>0</v>
      </c>
      <c r="R1294" s="8">
        <f t="shared" si="164"/>
        <v>69</v>
      </c>
      <c r="S1294" s="8">
        <f t="shared" ca="1" si="165"/>
        <v>69</v>
      </c>
      <c r="T1294">
        <f t="shared" ca="1" si="166"/>
        <v>6.4916040066240637</v>
      </c>
      <c r="U1294" s="8">
        <f t="shared" ca="1" si="167"/>
        <v>1.0000874372647885</v>
      </c>
      <c r="V1294" s="8">
        <f ca="1">RawData[[#This Row],[Z (smoothed demand size)]]/RawData[[#This Row],[X (smoothed interval)]]</f>
        <v>6.4910364481513945</v>
      </c>
    </row>
    <row r="1295" spans="1:22">
      <c r="A1295" t="s">
        <v>35</v>
      </c>
      <c r="B1295" t="s">
        <v>14</v>
      </c>
      <c r="C1295">
        <v>27</v>
      </c>
      <c r="D1295" t="s">
        <v>15</v>
      </c>
      <c r="E1295" t="s">
        <v>16</v>
      </c>
      <c r="F1295" s="1">
        <v>44936</v>
      </c>
      <c r="G1295">
        <v>13</v>
      </c>
      <c r="H1295">
        <v>9</v>
      </c>
      <c r="I1295">
        <v>9</v>
      </c>
      <c r="J1295">
        <v>0</v>
      </c>
      <c r="K1295">
        <v>1</v>
      </c>
      <c r="L1295">
        <v>534</v>
      </c>
      <c r="M1295">
        <v>15</v>
      </c>
      <c r="N1295" s="1">
        <f t="shared" si="160"/>
        <v>44938</v>
      </c>
      <c r="O1295" s="1">
        <f t="shared" si="161"/>
        <v>43101</v>
      </c>
      <c r="P1295" s="1">
        <f t="shared" si="162"/>
        <v>45200</v>
      </c>
      <c r="Q1295" s="8">
        <f t="shared" si="163"/>
        <v>0</v>
      </c>
      <c r="R1295" s="8">
        <f t="shared" si="164"/>
        <v>70</v>
      </c>
      <c r="S1295" s="8">
        <f t="shared" ca="1" si="165"/>
        <v>70</v>
      </c>
      <c r="T1295">
        <f t="shared" ca="1" si="166"/>
        <v>7.793283205299252</v>
      </c>
      <c r="U1295" s="8">
        <f t="shared" ca="1" si="167"/>
        <v>1.0000699498118308</v>
      </c>
      <c r="V1295" s="8">
        <f ca="1">RawData[[#This Row],[Z (smoothed demand size)]]/RawData[[#This Row],[X (smoothed interval)]]</f>
        <v>7.7927381047351787</v>
      </c>
    </row>
    <row r="1296" spans="1:22">
      <c r="A1296" t="s">
        <v>35</v>
      </c>
      <c r="B1296" t="s">
        <v>14</v>
      </c>
      <c r="C1296">
        <v>27</v>
      </c>
      <c r="D1296" t="s">
        <v>15</v>
      </c>
      <c r="E1296" t="s">
        <v>16</v>
      </c>
      <c r="F1296" s="1">
        <v>44937</v>
      </c>
      <c r="G1296">
        <v>12</v>
      </c>
      <c r="H1296">
        <v>12</v>
      </c>
      <c r="I1296">
        <v>12</v>
      </c>
      <c r="J1296">
        <v>0</v>
      </c>
      <c r="K1296">
        <v>0</v>
      </c>
      <c r="L1296">
        <v>528</v>
      </c>
      <c r="M1296">
        <v>45</v>
      </c>
      <c r="N1296" s="1">
        <f t="shared" si="160"/>
        <v>44938</v>
      </c>
      <c r="O1296" s="1">
        <f t="shared" si="161"/>
        <v>43101</v>
      </c>
      <c r="P1296" s="1">
        <f t="shared" si="162"/>
        <v>45231</v>
      </c>
      <c r="Q1296" s="8">
        <f t="shared" si="163"/>
        <v>0</v>
      </c>
      <c r="R1296" s="8">
        <f t="shared" si="164"/>
        <v>71</v>
      </c>
      <c r="S1296" s="8">
        <f t="shared" ca="1" si="165"/>
        <v>71</v>
      </c>
      <c r="T1296">
        <f t="shared" ca="1" si="166"/>
        <v>8.6346265642394027</v>
      </c>
      <c r="U1296" s="8">
        <f t="shared" ca="1" si="167"/>
        <v>1.0000559598494647</v>
      </c>
      <c r="V1296" s="8">
        <f ca="1">RawData[[#This Row],[Z (smoothed demand size)]]/RawData[[#This Row],[X (smoothed interval)]]</f>
        <v>8.6341433988745457</v>
      </c>
    </row>
    <row r="1297" spans="1:22">
      <c r="A1297" t="s">
        <v>35</v>
      </c>
      <c r="B1297" t="s">
        <v>14</v>
      </c>
      <c r="C1297">
        <v>27</v>
      </c>
      <c r="D1297" t="s">
        <v>15</v>
      </c>
      <c r="E1297" t="s">
        <v>16</v>
      </c>
      <c r="F1297" s="1">
        <v>44938</v>
      </c>
      <c r="G1297">
        <v>4</v>
      </c>
      <c r="H1297">
        <v>0</v>
      </c>
      <c r="I1297">
        <v>0</v>
      </c>
      <c r="J1297">
        <v>0</v>
      </c>
      <c r="K1297">
        <v>1</v>
      </c>
      <c r="L1297">
        <v>622</v>
      </c>
      <c r="M1297">
        <v>15</v>
      </c>
      <c r="N1297" s="1">
        <f t="shared" si="160"/>
        <v>44938</v>
      </c>
      <c r="O1297" s="1">
        <f t="shared" si="161"/>
        <v>43101</v>
      </c>
      <c r="P1297" s="1">
        <f t="shared" si="162"/>
        <v>45261</v>
      </c>
      <c r="Q1297" s="8">
        <f t="shared" si="163"/>
        <v>0</v>
      </c>
      <c r="R1297" s="8">
        <f t="shared" si="164"/>
        <v>72</v>
      </c>
      <c r="S1297" s="8">
        <f t="shared" ca="1" si="165"/>
        <v>72</v>
      </c>
      <c r="T1297">
        <f t="shared" ca="1" si="166"/>
        <v>7.707701251391522</v>
      </c>
      <c r="U1297" s="8">
        <f t="shared" ca="1" si="167"/>
        <v>1.0000447678795719</v>
      </c>
      <c r="V1297" s="8">
        <f ca="1">RawData[[#This Row],[Z (smoothed demand size)]]/RawData[[#This Row],[X (smoothed interval)]]</f>
        <v>7.7073562093969219</v>
      </c>
    </row>
    <row r="1298" spans="1:22">
      <c r="A1298" t="s">
        <v>36</v>
      </c>
      <c r="B1298" t="s">
        <v>14</v>
      </c>
      <c r="C1298">
        <v>21</v>
      </c>
      <c r="D1298" t="s">
        <v>18</v>
      </c>
      <c r="E1298" t="s">
        <v>16</v>
      </c>
      <c r="F1298" s="1">
        <v>43101</v>
      </c>
      <c r="G1298">
        <v>7</v>
      </c>
      <c r="H1298">
        <v>7</v>
      </c>
      <c r="I1298">
        <v>26</v>
      </c>
      <c r="J1298">
        <v>19</v>
      </c>
      <c r="K1298">
        <v>0</v>
      </c>
      <c r="L1298">
        <v>566</v>
      </c>
      <c r="M1298">
        <v>60</v>
      </c>
      <c r="N1298" s="1">
        <f t="shared" si="160"/>
        <v>44938</v>
      </c>
      <c r="O1298" s="1">
        <f t="shared" si="161"/>
        <v>43101</v>
      </c>
      <c r="P1298" s="1">
        <f t="shared" si="162"/>
        <v>43101</v>
      </c>
      <c r="Q1298" s="8">
        <f t="shared" si="163"/>
        <v>1</v>
      </c>
      <c r="R1298" s="8">
        <f t="shared" si="164"/>
        <v>1</v>
      </c>
      <c r="S1298" s="8">
        <f t="shared" ca="1" si="165"/>
        <v>1</v>
      </c>
      <c r="T1298">
        <f t="shared" ca="1" si="166"/>
        <v>7</v>
      </c>
      <c r="U1298" s="8">
        <f t="shared" ca="1" si="167"/>
        <v>1</v>
      </c>
      <c r="V1298" s="8">
        <f ca="1">RawData[[#This Row],[Z (smoothed demand size)]]/RawData[[#This Row],[X (smoothed interval)]]</f>
        <v>7</v>
      </c>
    </row>
    <row r="1299" spans="1:22">
      <c r="A1299" t="s">
        <v>36</v>
      </c>
      <c r="B1299" t="s">
        <v>14</v>
      </c>
      <c r="C1299">
        <v>21</v>
      </c>
      <c r="D1299" t="s">
        <v>18</v>
      </c>
      <c r="E1299" t="s">
        <v>16</v>
      </c>
      <c r="F1299" s="1">
        <v>43102</v>
      </c>
      <c r="G1299">
        <v>7</v>
      </c>
      <c r="H1299">
        <v>7</v>
      </c>
      <c r="I1299">
        <v>19</v>
      </c>
      <c r="J1299">
        <v>12</v>
      </c>
      <c r="K1299">
        <v>0</v>
      </c>
      <c r="L1299">
        <v>571</v>
      </c>
      <c r="M1299">
        <v>30</v>
      </c>
      <c r="N1299" s="1">
        <f t="shared" si="160"/>
        <v>44938</v>
      </c>
      <c r="O1299" s="1">
        <f t="shared" si="161"/>
        <v>43101</v>
      </c>
      <c r="P1299" s="1">
        <f t="shared" si="162"/>
        <v>43132</v>
      </c>
      <c r="Q1299" s="8">
        <f t="shared" si="163"/>
        <v>0</v>
      </c>
      <c r="R1299" s="8">
        <f t="shared" si="164"/>
        <v>2</v>
      </c>
      <c r="S1299" s="8">
        <f t="shared" ca="1" si="165"/>
        <v>2</v>
      </c>
      <c r="T1299">
        <f t="shared" ca="1" si="166"/>
        <v>7.0000000000000009</v>
      </c>
      <c r="U1299" s="8">
        <f t="shared" ca="1" si="167"/>
        <v>1</v>
      </c>
      <c r="V1299" s="8">
        <f ca="1">RawData[[#This Row],[Z (smoothed demand size)]]/RawData[[#This Row],[X (smoothed interval)]]</f>
        <v>7.0000000000000009</v>
      </c>
    </row>
    <row r="1300" spans="1:22">
      <c r="A1300" t="s">
        <v>36</v>
      </c>
      <c r="B1300" t="s">
        <v>14</v>
      </c>
      <c r="C1300">
        <v>21</v>
      </c>
      <c r="D1300" t="s">
        <v>18</v>
      </c>
      <c r="E1300" t="s">
        <v>16</v>
      </c>
      <c r="F1300" s="1">
        <v>43103</v>
      </c>
      <c r="G1300">
        <v>6</v>
      </c>
      <c r="H1300">
        <v>6</v>
      </c>
      <c r="I1300">
        <v>12</v>
      </c>
      <c r="J1300">
        <v>6</v>
      </c>
      <c r="K1300">
        <v>0</v>
      </c>
      <c r="L1300">
        <v>566</v>
      </c>
      <c r="M1300">
        <v>45</v>
      </c>
      <c r="N1300" s="1">
        <f t="shared" si="160"/>
        <v>44938</v>
      </c>
      <c r="O1300" s="1">
        <f t="shared" si="161"/>
        <v>43101</v>
      </c>
      <c r="P1300" s="1">
        <f t="shared" si="162"/>
        <v>43160</v>
      </c>
      <c r="Q1300" s="8">
        <f t="shared" si="163"/>
        <v>0</v>
      </c>
      <c r="R1300" s="8">
        <f t="shared" si="164"/>
        <v>3</v>
      </c>
      <c r="S1300" s="8">
        <f t="shared" ca="1" si="165"/>
        <v>3</v>
      </c>
      <c r="T1300">
        <f t="shared" ca="1" si="166"/>
        <v>6.8000000000000016</v>
      </c>
      <c r="U1300" s="8">
        <f t="shared" ca="1" si="167"/>
        <v>1</v>
      </c>
      <c r="V1300" s="8">
        <f ca="1">RawData[[#This Row],[Z (smoothed demand size)]]/RawData[[#This Row],[X (smoothed interval)]]</f>
        <v>6.8000000000000016</v>
      </c>
    </row>
    <row r="1301" spans="1:22">
      <c r="A1301" t="s">
        <v>36</v>
      </c>
      <c r="B1301" t="s">
        <v>14</v>
      </c>
      <c r="C1301">
        <v>21</v>
      </c>
      <c r="D1301" t="s">
        <v>18</v>
      </c>
      <c r="E1301" t="s">
        <v>16</v>
      </c>
      <c r="F1301" s="1">
        <v>43104</v>
      </c>
      <c r="G1301">
        <v>5</v>
      </c>
      <c r="H1301">
        <v>5</v>
      </c>
      <c r="I1301">
        <v>6</v>
      </c>
      <c r="J1301">
        <v>1</v>
      </c>
      <c r="K1301">
        <v>0</v>
      </c>
      <c r="L1301">
        <v>572</v>
      </c>
      <c r="M1301">
        <v>45</v>
      </c>
      <c r="N1301" s="1">
        <f t="shared" si="160"/>
        <v>44938</v>
      </c>
      <c r="O1301" s="1">
        <f t="shared" si="161"/>
        <v>43101</v>
      </c>
      <c r="P1301" s="1">
        <f t="shared" si="162"/>
        <v>43191</v>
      </c>
      <c r="Q1301" s="8">
        <f t="shared" si="163"/>
        <v>0</v>
      </c>
      <c r="R1301" s="8">
        <f t="shared" si="164"/>
        <v>4</v>
      </c>
      <c r="S1301" s="8">
        <f t="shared" ca="1" si="165"/>
        <v>4</v>
      </c>
      <c r="T1301">
        <f t="shared" ca="1" si="166"/>
        <v>6.4400000000000013</v>
      </c>
      <c r="U1301" s="8">
        <f t="shared" ca="1" si="167"/>
        <v>1</v>
      </c>
      <c r="V1301" s="8">
        <f ca="1">RawData[[#This Row],[Z (smoothed demand size)]]/RawData[[#This Row],[X (smoothed interval)]]</f>
        <v>6.4400000000000013</v>
      </c>
    </row>
    <row r="1302" spans="1:22">
      <c r="A1302" t="s">
        <v>36</v>
      </c>
      <c r="B1302" t="s">
        <v>14</v>
      </c>
      <c r="C1302">
        <v>21</v>
      </c>
      <c r="D1302" t="s">
        <v>18</v>
      </c>
      <c r="E1302" t="s">
        <v>16</v>
      </c>
      <c r="F1302" s="1">
        <v>43105</v>
      </c>
      <c r="G1302">
        <v>8</v>
      </c>
      <c r="H1302">
        <v>8</v>
      </c>
      <c r="I1302">
        <v>13</v>
      </c>
      <c r="J1302">
        <v>5</v>
      </c>
      <c r="K1302">
        <v>0</v>
      </c>
      <c r="L1302">
        <v>560</v>
      </c>
      <c r="M1302">
        <v>60</v>
      </c>
      <c r="N1302" s="1">
        <f t="shared" si="160"/>
        <v>44938</v>
      </c>
      <c r="O1302" s="1">
        <f t="shared" si="161"/>
        <v>43101</v>
      </c>
      <c r="P1302" s="1">
        <f t="shared" si="162"/>
        <v>43221</v>
      </c>
      <c r="Q1302" s="8">
        <f t="shared" si="163"/>
        <v>0</v>
      </c>
      <c r="R1302" s="8">
        <f t="shared" si="164"/>
        <v>5</v>
      </c>
      <c r="S1302" s="8">
        <f t="shared" ca="1" si="165"/>
        <v>5</v>
      </c>
      <c r="T1302">
        <f t="shared" ca="1" si="166"/>
        <v>6.7520000000000007</v>
      </c>
      <c r="U1302" s="8">
        <f t="shared" ca="1" si="167"/>
        <v>1</v>
      </c>
      <c r="V1302" s="8">
        <f ca="1">RawData[[#This Row],[Z (smoothed demand size)]]/RawData[[#This Row],[X (smoothed interval)]]</f>
        <v>6.7520000000000007</v>
      </c>
    </row>
    <row r="1303" spans="1:22">
      <c r="A1303" t="s">
        <v>36</v>
      </c>
      <c r="B1303" t="s">
        <v>14</v>
      </c>
      <c r="C1303">
        <v>21</v>
      </c>
      <c r="D1303" t="s">
        <v>18</v>
      </c>
      <c r="E1303" t="s">
        <v>16</v>
      </c>
      <c r="F1303" s="1">
        <v>43106</v>
      </c>
      <c r="G1303">
        <v>6</v>
      </c>
      <c r="H1303">
        <v>5</v>
      </c>
      <c r="I1303">
        <v>5</v>
      </c>
      <c r="J1303">
        <v>0</v>
      </c>
      <c r="K1303">
        <v>1</v>
      </c>
      <c r="L1303">
        <v>648</v>
      </c>
      <c r="M1303">
        <v>60</v>
      </c>
      <c r="N1303" s="1">
        <f t="shared" si="160"/>
        <v>44938</v>
      </c>
      <c r="O1303" s="1">
        <f t="shared" si="161"/>
        <v>43101</v>
      </c>
      <c r="P1303" s="1">
        <f t="shared" si="162"/>
        <v>43252</v>
      </c>
      <c r="Q1303" s="8">
        <f t="shared" si="163"/>
        <v>0</v>
      </c>
      <c r="R1303" s="8">
        <f t="shared" si="164"/>
        <v>6</v>
      </c>
      <c r="S1303" s="8">
        <f t="shared" ca="1" si="165"/>
        <v>6</v>
      </c>
      <c r="T1303">
        <f t="shared" ca="1" si="166"/>
        <v>6.6016000000000012</v>
      </c>
      <c r="U1303" s="8">
        <f t="shared" ca="1" si="167"/>
        <v>1</v>
      </c>
      <c r="V1303" s="8">
        <f ca="1">RawData[[#This Row],[Z (smoothed demand size)]]/RawData[[#This Row],[X (smoothed interval)]]</f>
        <v>6.6016000000000012</v>
      </c>
    </row>
    <row r="1304" spans="1:22">
      <c r="A1304" t="s">
        <v>36</v>
      </c>
      <c r="B1304" t="s">
        <v>14</v>
      </c>
      <c r="C1304">
        <v>21</v>
      </c>
      <c r="D1304" t="s">
        <v>18</v>
      </c>
      <c r="E1304" t="s">
        <v>16</v>
      </c>
      <c r="F1304" s="1">
        <v>43107</v>
      </c>
      <c r="G1304">
        <v>8</v>
      </c>
      <c r="H1304">
        <v>8</v>
      </c>
      <c r="I1304">
        <v>10</v>
      </c>
      <c r="J1304">
        <v>2</v>
      </c>
      <c r="K1304">
        <v>0</v>
      </c>
      <c r="L1304">
        <v>650</v>
      </c>
      <c r="M1304">
        <v>30</v>
      </c>
      <c r="N1304" s="1">
        <f t="shared" si="160"/>
        <v>44938</v>
      </c>
      <c r="O1304" s="1">
        <f t="shared" si="161"/>
        <v>43101</v>
      </c>
      <c r="P1304" s="1">
        <f t="shared" si="162"/>
        <v>43282</v>
      </c>
      <c r="Q1304" s="8">
        <f t="shared" si="163"/>
        <v>0</v>
      </c>
      <c r="R1304" s="8">
        <f t="shared" si="164"/>
        <v>7</v>
      </c>
      <c r="S1304" s="8">
        <f t="shared" ca="1" si="165"/>
        <v>7</v>
      </c>
      <c r="T1304">
        <f t="shared" ca="1" si="166"/>
        <v>6.8812800000000021</v>
      </c>
      <c r="U1304" s="8">
        <f t="shared" ca="1" si="167"/>
        <v>1</v>
      </c>
      <c r="V1304" s="8">
        <f ca="1">RawData[[#This Row],[Z (smoothed demand size)]]/RawData[[#This Row],[X (smoothed interval)]]</f>
        <v>6.8812800000000021</v>
      </c>
    </row>
    <row r="1305" spans="1:22">
      <c r="A1305" t="s">
        <v>36</v>
      </c>
      <c r="B1305" t="s">
        <v>14</v>
      </c>
      <c r="C1305">
        <v>21</v>
      </c>
      <c r="D1305" t="s">
        <v>18</v>
      </c>
      <c r="E1305" t="s">
        <v>16</v>
      </c>
      <c r="F1305" s="1">
        <v>43108</v>
      </c>
      <c r="G1305">
        <v>6</v>
      </c>
      <c r="H1305">
        <v>6</v>
      </c>
      <c r="I1305">
        <v>10</v>
      </c>
      <c r="J1305">
        <v>4</v>
      </c>
      <c r="K1305">
        <v>0</v>
      </c>
      <c r="L1305">
        <v>654</v>
      </c>
      <c r="M1305">
        <v>15</v>
      </c>
      <c r="N1305" s="1">
        <f t="shared" si="160"/>
        <v>44938</v>
      </c>
      <c r="O1305" s="1">
        <f t="shared" si="161"/>
        <v>43101</v>
      </c>
      <c r="P1305" s="1">
        <f t="shared" si="162"/>
        <v>43313</v>
      </c>
      <c r="Q1305" s="8">
        <f t="shared" si="163"/>
        <v>0</v>
      </c>
      <c r="R1305" s="8">
        <f t="shared" si="164"/>
        <v>8</v>
      </c>
      <c r="S1305" s="8">
        <f t="shared" ca="1" si="165"/>
        <v>8</v>
      </c>
      <c r="T1305">
        <f t="shared" ca="1" si="166"/>
        <v>6.7050240000000025</v>
      </c>
      <c r="U1305" s="8">
        <f t="shared" ca="1" si="167"/>
        <v>1</v>
      </c>
      <c r="V1305" s="8">
        <f ca="1">RawData[[#This Row],[Z (smoothed demand size)]]/RawData[[#This Row],[X (smoothed interval)]]</f>
        <v>6.7050240000000025</v>
      </c>
    </row>
    <row r="1306" spans="1:22">
      <c r="A1306" t="s">
        <v>36</v>
      </c>
      <c r="B1306" t="s">
        <v>14</v>
      </c>
      <c r="C1306">
        <v>21</v>
      </c>
      <c r="D1306" t="s">
        <v>18</v>
      </c>
      <c r="E1306" t="s">
        <v>16</v>
      </c>
      <c r="F1306" s="1">
        <v>43109</v>
      </c>
      <c r="G1306">
        <v>10</v>
      </c>
      <c r="H1306">
        <v>10</v>
      </c>
      <c r="I1306">
        <v>14</v>
      </c>
      <c r="J1306">
        <v>4</v>
      </c>
      <c r="K1306">
        <v>0</v>
      </c>
      <c r="L1306">
        <v>561</v>
      </c>
      <c r="M1306">
        <v>15</v>
      </c>
      <c r="N1306" s="1">
        <f t="shared" si="160"/>
        <v>44938</v>
      </c>
      <c r="O1306" s="1">
        <f t="shared" si="161"/>
        <v>43101</v>
      </c>
      <c r="P1306" s="1">
        <f t="shared" si="162"/>
        <v>43344</v>
      </c>
      <c r="Q1306" s="8">
        <f t="shared" si="163"/>
        <v>0</v>
      </c>
      <c r="R1306" s="8">
        <f t="shared" si="164"/>
        <v>9</v>
      </c>
      <c r="S1306" s="8">
        <f t="shared" ca="1" si="165"/>
        <v>9</v>
      </c>
      <c r="T1306">
        <f t="shared" ca="1" si="166"/>
        <v>7.3640192000000022</v>
      </c>
      <c r="U1306" s="8">
        <f t="shared" ca="1" si="167"/>
        <v>1</v>
      </c>
      <c r="V1306" s="8">
        <f ca="1">RawData[[#This Row],[Z (smoothed demand size)]]/RawData[[#This Row],[X (smoothed interval)]]</f>
        <v>7.3640192000000022</v>
      </c>
    </row>
    <row r="1307" spans="1:22">
      <c r="A1307" t="s">
        <v>36</v>
      </c>
      <c r="B1307" t="s">
        <v>14</v>
      </c>
      <c r="C1307">
        <v>21</v>
      </c>
      <c r="D1307" t="s">
        <v>18</v>
      </c>
      <c r="E1307" t="s">
        <v>16</v>
      </c>
      <c r="F1307" s="1">
        <v>43110</v>
      </c>
      <c r="G1307">
        <v>5</v>
      </c>
      <c r="H1307">
        <v>5</v>
      </c>
      <c r="I1307">
        <v>13</v>
      </c>
      <c r="J1307">
        <v>8</v>
      </c>
      <c r="K1307">
        <v>0</v>
      </c>
      <c r="L1307">
        <v>565</v>
      </c>
      <c r="M1307">
        <v>30</v>
      </c>
      <c r="N1307" s="1">
        <f t="shared" si="160"/>
        <v>44938</v>
      </c>
      <c r="O1307" s="1">
        <f t="shared" si="161"/>
        <v>43101</v>
      </c>
      <c r="P1307" s="1">
        <f t="shared" si="162"/>
        <v>43374</v>
      </c>
      <c r="Q1307" s="8">
        <f t="shared" si="163"/>
        <v>0</v>
      </c>
      <c r="R1307" s="8">
        <f t="shared" si="164"/>
        <v>10</v>
      </c>
      <c r="S1307" s="8">
        <f t="shared" ca="1" si="165"/>
        <v>10</v>
      </c>
      <c r="T1307">
        <f t="shared" ca="1" si="166"/>
        <v>6.8912153600000021</v>
      </c>
      <c r="U1307" s="8">
        <f t="shared" ca="1" si="167"/>
        <v>1</v>
      </c>
      <c r="V1307" s="8">
        <f ca="1">RawData[[#This Row],[Z (smoothed demand size)]]/RawData[[#This Row],[X (smoothed interval)]]</f>
        <v>6.8912153600000021</v>
      </c>
    </row>
    <row r="1308" spans="1:22">
      <c r="A1308" t="s">
        <v>36</v>
      </c>
      <c r="B1308" t="s">
        <v>14</v>
      </c>
      <c r="C1308">
        <v>21</v>
      </c>
      <c r="D1308" t="s">
        <v>18</v>
      </c>
      <c r="E1308" t="s">
        <v>16</v>
      </c>
      <c r="F1308" s="1">
        <v>43111</v>
      </c>
      <c r="G1308">
        <v>10</v>
      </c>
      <c r="H1308">
        <v>10</v>
      </c>
      <c r="I1308">
        <v>15</v>
      </c>
      <c r="J1308">
        <v>5</v>
      </c>
      <c r="K1308">
        <v>0</v>
      </c>
      <c r="L1308">
        <v>574</v>
      </c>
      <c r="M1308">
        <v>60</v>
      </c>
      <c r="N1308" s="1">
        <f t="shared" si="160"/>
        <v>44938</v>
      </c>
      <c r="O1308" s="1">
        <f t="shared" si="161"/>
        <v>43101</v>
      </c>
      <c r="P1308" s="1">
        <f t="shared" si="162"/>
        <v>43405</v>
      </c>
      <c r="Q1308" s="8">
        <f t="shared" si="163"/>
        <v>0</v>
      </c>
      <c r="R1308" s="8">
        <f t="shared" si="164"/>
        <v>11</v>
      </c>
      <c r="S1308" s="8">
        <f t="shared" ca="1" si="165"/>
        <v>11</v>
      </c>
      <c r="T1308">
        <f t="shared" ca="1" si="166"/>
        <v>7.5129722880000021</v>
      </c>
      <c r="U1308" s="8">
        <f t="shared" ca="1" si="167"/>
        <v>1</v>
      </c>
      <c r="V1308" s="8">
        <f ca="1">RawData[[#This Row],[Z (smoothed demand size)]]/RawData[[#This Row],[X (smoothed interval)]]</f>
        <v>7.5129722880000021</v>
      </c>
    </row>
    <row r="1309" spans="1:22">
      <c r="A1309" t="s">
        <v>36</v>
      </c>
      <c r="B1309" t="s">
        <v>14</v>
      </c>
      <c r="C1309">
        <v>21</v>
      </c>
      <c r="D1309" t="s">
        <v>18</v>
      </c>
      <c r="E1309" t="s">
        <v>16</v>
      </c>
      <c r="F1309" s="1">
        <v>43112</v>
      </c>
      <c r="G1309">
        <v>12</v>
      </c>
      <c r="H1309">
        <v>5</v>
      </c>
      <c r="I1309">
        <v>5</v>
      </c>
      <c r="J1309">
        <v>0</v>
      </c>
      <c r="K1309">
        <v>1</v>
      </c>
      <c r="L1309">
        <v>661</v>
      </c>
      <c r="M1309">
        <v>30</v>
      </c>
      <c r="N1309" s="1">
        <f t="shared" si="160"/>
        <v>44938</v>
      </c>
      <c r="O1309" s="1">
        <f t="shared" si="161"/>
        <v>43101</v>
      </c>
      <c r="P1309" s="1">
        <f t="shared" si="162"/>
        <v>43435</v>
      </c>
      <c r="Q1309" s="8">
        <f t="shared" si="163"/>
        <v>0</v>
      </c>
      <c r="R1309" s="8">
        <f t="shared" si="164"/>
        <v>12</v>
      </c>
      <c r="S1309" s="8">
        <f t="shared" ca="1" si="165"/>
        <v>12</v>
      </c>
      <c r="T1309">
        <f t="shared" ca="1" si="166"/>
        <v>8.4103778304000016</v>
      </c>
      <c r="U1309" s="8">
        <f t="shared" ca="1" si="167"/>
        <v>1</v>
      </c>
      <c r="V1309" s="8">
        <f ca="1">RawData[[#This Row],[Z (smoothed demand size)]]/RawData[[#This Row],[X (smoothed interval)]]</f>
        <v>8.4103778304000016</v>
      </c>
    </row>
    <row r="1310" spans="1:22">
      <c r="A1310" t="s">
        <v>36</v>
      </c>
      <c r="B1310" t="s">
        <v>14</v>
      </c>
      <c r="C1310">
        <v>21</v>
      </c>
      <c r="D1310" t="s">
        <v>18</v>
      </c>
      <c r="E1310" t="s">
        <v>16</v>
      </c>
      <c r="F1310" s="1">
        <v>43466</v>
      </c>
      <c r="G1310">
        <v>4</v>
      </c>
      <c r="H1310">
        <v>4</v>
      </c>
      <c r="I1310">
        <v>7</v>
      </c>
      <c r="J1310">
        <v>3</v>
      </c>
      <c r="K1310">
        <v>0</v>
      </c>
      <c r="L1310">
        <v>554</v>
      </c>
      <c r="M1310">
        <v>60</v>
      </c>
      <c r="N1310" s="1">
        <f t="shared" si="160"/>
        <v>44938</v>
      </c>
      <c r="O1310" s="1">
        <f t="shared" si="161"/>
        <v>43101</v>
      </c>
      <c r="P1310" s="1">
        <f t="shared" si="162"/>
        <v>43466</v>
      </c>
      <c r="Q1310" s="8">
        <f t="shared" si="163"/>
        <v>0</v>
      </c>
      <c r="R1310" s="8">
        <f t="shared" si="164"/>
        <v>13</v>
      </c>
      <c r="S1310" s="8">
        <f t="shared" ca="1" si="165"/>
        <v>13</v>
      </c>
      <c r="T1310">
        <f t="shared" ca="1" si="166"/>
        <v>7.5283022643200015</v>
      </c>
      <c r="U1310" s="8">
        <f t="shared" ca="1" si="167"/>
        <v>1</v>
      </c>
      <c r="V1310" s="8">
        <f ca="1">RawData[[#This Row],[Z (smoothed demand size)]]/RawData[[#This Row],[X (smoothed interval)]]</f>
        <v>7.5283022643200015</v>
      </c>
    </row>
    <row r="1311" spans="1:22">
      <c r="A1311" t="s">
        <v>36</v>
      </c>
      <c r="B1311" t="s">
        <v>14</v>
      </c>
      <c r="C1311">
        <v>21</v>
      </c>
      <c r="D1311" t="s">
        <v>18</v>
      </c>
      <c r="E1311" t="s">
        <v>16</v>
      </c>
      <c r="F1311" s="1">
        <v>43467</v>
      </c>
      <c r="G1311">
        <v>9</v>
      </c>
      <c r="H1311">
        <v>3</v>
      </c>
      <c r="I1311">
        <v>3</v>
      </c>
      <c r="J1311">
        <v>0</v>
      </c>
      <c r="K1311">
        <v>1</v>
      </c>
      <c r="L1311">
        <v>565</v>
      </c>
      <c r="M1311">
        <v>15</v>
      </c>
      <c r="N1311" s="1">
        <f t="shared" si="160"/>
        <v>44938</v>
      </c>
      <c r="O1311" s="1">
        <f t="shared" si="161"/>
        <v>43101</v>
      </c>
      <c r="P1311" s="1">
        <f t="shared" si="162"/>
        <v>43497</v>
      </c>
      <c r="Q1311" s="8">
        <f t="shared" si="163"/>
        <v>0</v>
      </c>
      <c r="R1311" s="8">
        <f t="shared" si="164"/>
        <v>14</v>
      </c>
      <c r="S1311" s="8">
        <f t="shared" ca="1" si="165"/>
        <v>14</v>
      </c>
      <c r="T1311">
        <f t="shared" ca="1" si="166"/>
        <v>7.822641811456001</v>
      </c>
      <c r="U1311" s="8">
        <f t="shared" ca="1" si="167"/>
        <v>1</v>
      </c>
      <c r="V1311" s="8">
        <f ca="1">RawData[[#This Row],[Z (smoothed demand size)]]/RawData[[#This Row],[X (smoothed interval)]]</f>
        <v>7.822641811456001</v>
      </c>
    </row>
    <row r="1312" spans="1:22">
      <c r="A1312" t="s">
        <v>36</v>
      </c>
      <c r="B1312" t="s">
        <v>14</v>
      </c>
      <c r="C1312">
        <v>21</v>
      </c>
      <c r="D1312" t="s">
        <v>18</v>
      </c>
      <c r="E1312" t="s">
        <v>16</v>
      </c>
      <c r="F1312" s="1">
        <v>43468</v>
      </c>
      <c r="G1312">
        <v>10</v>
      </c>
      <c r="H1312">
        <v>7</v>
      </c>
      <c r="I1312">
        <v>7</v>
      </c>
      <c r="J1312">
        <v>0</v>
      </c>
      <c r="K1312">
        <v>1</v>
      </c>
      <c r="L1312">
        <v>576</v>
      </c>
      <c r="M1312">
        <v>60</v>
      </c>
      <c r="N1312" s="1">
        <f t="shared" si="160"/>
        <v>44938</v>
      </c>
      <c r="O1312" s="1">
        <f t="shared" si="161"/>
        <v>43101</v>
      </c>
      <c r="P1312" s="1">
        <f t="shared" si="162"/>
        <v>43525</v>
      </c>
      <c r="Q1312" s="8">
        <f t="shared" si="163"/>
        <v>0</v>
      </c>
      <c r="R1312" s="8">
        <f t="shared" si="164"/>
        <v>15</v>
      </c>
      <c r="S1312" s="8">
        <f t="shared" ca="1" si="165"/>
        <v>15</v>
      </c>
      <c r="T1312">
        <f t="shared" ca="1" si="166"/>
        <v>8.2581134491648012</v>
      </c>
      <c r="U1312" s="8">
        <f t="shared" ca="1" si="167"/>
        <v>1</v>
      </c>
      <c r="V1312" s="8">
        <f ca="1">RawData[[#This Row],[Z (smoothed demand size)]]/RawData[[#This Row],[X (smoothed interval)]]</f>
        <v>8.2581134491648012</v>
      </c>
    </row>
    <row r="1313" spans="1:22">
      <c r="A1313" t="s">
        <v>36</v>
      </c>
      <c r="B1313" t="s">
        <v>14</v>
      </c>
      <c r="C1313">
        <v>21</v>
      </c>
      <c r="D1313" t="s">
        <v>18</v>
      </c>
      <c r="E1313" t="s">
        <v>16</v>
      </c>
      <c r="F1313" s="1">
        <v>43469</v>
      </c>
      <c r="G1313">
        <v>8</v>
      </c>
      <c r="H1313">
        <v>0</v>
      </c>
      <c r="I1313">
        <v>0</v>
      </c>
      <c r="J1313">
        <v>0</v>
      </c>
      <c r="K1313">
        <v>1</v>
      </c>
      <c r="L1313">
        <v>570</v>
      </c>
      <c r="M1313">
        <v>60</v>
      </c>
      <c r="N1313" s="1">
        <f t="shared" si="160"/>
        <v>44938</v>
      </c>
      <c r="O1313" s="1">
        <f t="shared" si="161"/>
        <v>43101</v>
      </c>
      <c r="P1313" s="1">
        <f t="shared" si="162"/>
        <v>43556</v>
      </c>
      <c r="Q1313" s="8">
        <f t="shared" si="163"/>
        <v>0</v>
      </c>
      <c r="R1313" s="8">
        <f t="shared" si="164"/>
        <v>16</v>
      </c>
      <c r="S1313" s="8">
        <f t="shared" ca="1" si="165"/>
        <v>16</v>
      </c>
      <c r="T1313">
        <f t="shared" ca="1" si="166"/>
        <v>8.2064907593318406</v>
      </c>
      <c r="U1313" s="8">
        <f t="shared" ca="1" si="167"/>
        <v>1</v>
      </c>
      <c r="V1313" s="8">
        <f ca="1">RawData[[#This Row],[Z (smoothed demand size)]]/RawData[[#This Row],[X (smoothed interval)]]</f>
        <v>8.2064907593318406</v>
      </c>
    </row>
    <row r="1314" spans="1:22">
      <c r="A1314" t="s">
        <v>36</v>
      </c>
      <c r="B1314" t="s">
        <v>14</v>
      </c>
      <c r="C1314">
        <v>21</v>
      </c>
      <c r="D1314" t="s">
        <v>18</v>
      </c>
      <c r="E1314" t="s">
        <v>16</v>
      </c>
      <c r="F1314" s="1">
        <v>43470</v>
      </c>
      <c r="G1314">
        <v>6</v>
      </c>
      <c r="H1314">
        <v>6</v>
      </c>
      <c r="I1314">
        <v>8</v>
      </c>
      <c r="J1314">
        <v>2</v>
      </c>
      <c r="K1314">
        <v>0</v>
      </c>
      <c r="L1314">
        <v>571</v>
      </c>
      <c r="M1314">
        <v>15</v>
      </c>
      <c r="N1314" s="1">
        <f t="shared" si="160"/>
        <v>44938</v>
      </c>
      <c r="O1314" s="1">
        <f t="shared" si="161"/>
        <v>43101</v>
      </c>
      <c r="P1314" s="1">
        <f t="shared" si="162"/>
        <v>43586</v>
      </c>
      <c r="Q1314" s="8">
        <f t="shared" si="163"/>
        <v>0</v>
      </c>
      <c r="R1314" s="8">
        <f t="shared" si="164"/>
        <v>17</v>
      </c>
      <c r="S1314" s="8">
        <f t="shared" ca="1" si="165"/>
        <v>17</v>
      </c>
      <c r="T1314">
        <f t="shared" ca="1" si="166"/>
        <v>7.7651926074654734</v>
      </c>
      <c r="U1314" s="8">
        <f t="shared" ca="1" si="167"/>
        <v>1</v>
      </c>
      <c r="V1314" s="8">
        <f ca="1">RawData[[#This Row],[Z (smoothed demand size)]]/RawData[[#This Row],[X (smoothed interval)]]</f>
        <v>7.7651926074654734</v>
      </c>
    </row>
    <row r="1315" spans="1:22">
      <c r="A1315" t="s">
        <v>36</v>
      </c>
      <c r="B1315" t="s">
        <v>14</v>
      </c>
      <c r="C1315">
        <v>21</v>
      </c>
      <c r="D1315" t="s">
        <v>18</v>
      </c>
      <c r="E1315" t="s">
        <v>16</v>
      </c>
      <c r="F1315" s="1">
        <v>43471</v>
      </c>
      <c r="G1315">
        <v>13</v>
      </c>
      <c r="H1315">
        <v>9</v>
      </c>
      <c r="I1315">
        <v>9</v>
      </c>
      <c r="J1315">
        <v>0</v>
      </c>
      <c r="K1315">
        <v>1</v>
      </c>
      <c r="L1315">
        <v>657</v>
      </c>
      <c r="M1315">
        <v>45</v>
      </c>
      <c r="N1315" s="1">
        <f t="shared" si="160"/>
        <v>44938</v>
      </c>
      <c r="O1315" s="1">
        <f t="shared" si="161"/>
        <v>43101</v>
      </c>
      <c r="P1315" s="1">
        <f t="shared" si="162"/>
        <v>43617</v>
      </c>
      <c r="Q1315" s="8">
        <f t="shared" si="163"/>
        <v>0</v>
      </c>
      <c r="R1315" s="8">
        <f t="shared" si="164"/>
        <v>18</v>
      </c>
      <c r="S1315" s="8">
        <f t="shared" ca="1" si="165"/>
        <v>18</v>
      </c>
      <c r="T1315">
        <f t="shared" ca="1" si="166"/>
        <v>8.812154085972379</v>
      </c>
      <c r="U1315" s="8">
        <f t="shared" ca="1" si="167"/>
        <v>1</v>
      </c>
      <c r="V1315" s="8">
        <f ca="1">RawData[[#This Row],[Z (smoothed demand size)]]/RawData[[#This Row],[X (smoothed interval)]]</f>
        <v>8.812154085972379</v>
      </c>
    </row>
    <row r="1316" spans="1:22">
      <c r="A1316" t="s">
        <v>36</v>
      </c>
      <c r="B1316" t="s">
        <v>14</v>
      </c>
      <c r="C1316">
        <v>21</v>
      </c>
      <c r="D1316" t="s">
        <v>18</v>
      </c>
      <c r="E1316" t="s">
        <v>16</v>
      </c>
      <c r="F1316" s="1">
        <v>43472</v>
      </c>
      <c r="G1316">
        <v>8</v>
      </c>
      <c r="H1316">
        <v>0</v>
      </c>
      <c r="I1316">
        <v>0</v>
      </c>
      <c r="J1316">
        <v>0</v>
      </c>
      <c r="K1316">
        <v>1</v>
      </c>
      <c r="L1316">
        <v>647</v>
      </c>
      <c r="M1316">
        <v>60</v>
      </c>
      <c r="N1316" s="1">
        <f t="shared" si="160"/>
        <v>44938</v>
      </c>
      <c r="O1316" s="1">
        <f t="shared" si="161"/>
        <v>43101</v>
      </c>
      <c r="P1316" s="1">
        <f t="shared" si="162"/>
        <v>43647</v>
      </c>
      <c r="Q1316" s="8">
        <f t="shared" si="163"/>
        <v>0</v>
      </c>
      <c r="R1316" s="8">
        <f t="shared" si="164"/>
        <v>19</v>
      </c>
      <c r="S1316" s="8">
        <f t="shared" ca="1" si="165"/>
        <v>19</v>
      </c>
      <c r="T1316">
        <f t="shared" ca="1" si="166"/>
        <v>8.6497232687779029</v>
      </c>
      <c r="U1316" s="8">
        <f t="shared" ca="1" si="167"/>
        <v>1</v>
      </c>
      <c r="V1316" s="8">
        <f ca="1">RawData[[#This Row],[Z (smoothed demand size)]]/RawData[[#This Row],[X (smoothed interval)]]</f>
        <v>8.6497232687779029</v>
      </c>
    </row>
    <row r="1317" spans="1:22">
      <c r="A1317" t="s">
        <v>36</v>
      </c>
      <c r="B1317" t="s">
        <v>14</v>
      </c>
      <c r="C1317">
        <v>21</v>
      </c>
      <c r="D1317" t="s">
        <v>18</v>
      </c>
      <c r="E1317" t="s">
        <v>16</v>
      </c>
      <c r="F1317" s="1">
        <v>43473</v>
      </c>
      <c r="G1317">
        <v>9</v>
      </c>
      <c r="H1317">
        <v>9</v>
      </c>
      <c r="I1317">
        <v>12</v>
      </c>
      <c r="J1317">
        <v>3</v>
      </c>
      <c r="K1317">
        <v>0</v>
      </c>
      <c r="L1317">
        <v>655</v>
      </c>
      <c r="M1317">
        <v>45</v>
      </c>
      <c r="N1317" s="1">
        <f t="shared" si="160"/>
        <v>44938</v>
      </c>
      <c r="O1317" s="1">
        <f t="shared" si="161"/>
        <v>43101</v>
      </c>
      <c r="P1317" s="1">
        <f t="shared" si="162"/>
        <v>43678</v>
      </c>
      <c r="Q1317" s="8">
        <f t="shared" si="163"/>
        <v>0</v>
      </c>
      <c r="R1317" s="8">
        <f t="shared" si="164"/>
        <v>20</v>
      </c>
      <c r="S1317" s="8">
        <f t="shared" ca="1" si="165"/>
        <v>20</v>
      </c>
      <c r="T1317">
        <f t="shared" ca="1" si="166"/>
        <v>8.7197786150223227</v>
      </c>
      <c r="U1317" s="8">
        <f t="shared" ca="1" si="167"/>
        <v>1</v>
      </c>
      <c r="V1317" s="8">
        <f ca="1">RawData[[#This Row],[Z (smoothed demand size)]]/RawData[[#This Row],[X (smoothed interval)]]</f>
        <v>8.7197786150223227</v>
      </c>
    </row>
    <row r="1318" spans="1:22">
      <c r="A1318" t="s">
        <v>36</v>
      </c>
      <c r="B1318" t="s">
        <v>14</v>
      </c>
      <c r="C1318">
        <v>21</v>
      </c>
      <c r="D1318" t="s">
        <v>18</v>
      </c>
      <c r="E1318" t="s">
        <v>16</v>
      </c>
      <c r="F1318" s="1">
        <v>43474</v>
      </c>
      <c r="G1318">
        <v>12</v>
      </c>
      <c r="H1318">
        <v>3</v>
      </c>
      <c r="I1318">
        <v>3</v>
      </c>
      <c r="J1318">
        <v>0</v>
      </c>
      <c r="K1318">
        <v>1</v>
      </c>
      <c r="L1318">
        <v>571</v>
      </c>
      <c r="M1318">
        <v>15</v>
      </c>
      <c r="N1318" s="1">
        <f t="shared" si="160"/>
        <v>44938</v>
      </c>
      <c r="O1318" s="1">
        <f t="shared" si="161"/>
        <v>43101</v>
      </c>
      <c r="P1318" s="1">
        <f t="shared" si="162"/>
        <v>43709</v>
      </c>
      <c r="Q1318" s="8">
        <f t="shared" si="163"/>
        <v>0</v>
      </c>
      <c r="R1318" s="8">
        <f t="shared" si="164"/>
        <v>21</v>
      </c>
      <c r="S1318" s="8">
        <f t="shared" ca="1" si="165"/>
        <v>21</v>
      </c>
      <c r="T1318">
        <f t="shared" ca="1" si="166"/>
        <v>9.3758228920178581</v>
      </c>
      <c r="U1318" s="8">
        <f t="shared" ca="1" si="167"/>
        <v>1</v>
      </c>
      <c r="V1318" s="8">
        <f ca="1">RawData[[#This Row],[Z (smoothed demand size)]]/RawData[[#This Row],[X (smoothed interval)]]</f>
        <v>9.3758228920178581</v>
      </c>
    </row>
    <row r="1319" spans="1:22">
      <c r="A1319" t="s">
        <v>36</v>
      </c>
      <c r="B1319" t="s">
        <v>14</v>
      </c>
      <c r="C1319">
        <v>21</v>
      </c>
      <c r="D1319" t="s">
        <v>18</v>
      </c>
      <c r="E1319" t="s">
        <v>16</v>
      </c>
      <c r="F1319" s="1">
        <v>43475</v>
      </c>
      <c r="G1319">
        <v>3</v>
      </c>
      <c r="H1319">
        <v>3</v>
      </c>
      <c r="I1319">
        <v>8</v>
      </c>
      <c r="J1319">
        <v>5</v>
      </c>
      <c r="K1319">
        <v>0</v>
      </c>
      <c r="L1319">
        <v>569</v>
      </c>
      <c r="M1319">
        <v>60</v>
      </c>
      <c r="N1319" s="1">
        <f t="shared" si="160"/>
        <v>44938</v>
      </c>
      <c r="O1319" s="1">
        <f t="shared" si="161"/>
        <v>43101</v>
      </c>
      <c r="P1319" s="1">
        <f t="shared" si="162"/>
        <v>43739</v>
      </c>
      <c r="Q1319" s="8">
        <f t="shared" si="163"/>
        <v>0</v>
      </c>
      <c r="R1319" s="8">
        <f t="shared" si="164"/>
        <v>22</v>
      </c>
      <c r="S1319" s="8">
        <f t="shared" ca="1" si="165"/>
        <v>22</v>
      </c>
      <c r="T1319">
        <f t="shared" ca="1" si="166"/>
        <v>8.1006583136142876</v>
      </c>
      <c r="U1319" s="8">
        <f t="shared" ca="1" si="167"/>
        <v>1</v>
      </c>
      <c r="V1319" s="8">
        <f ca="1">RawData[[#This Row],[Z (smoothed demand size)]]/RawData[[#This Row],[X (smoothed interval)]]</f>
        <v>8.1006583136142876</v>
      </c>
    </row>
    <row r="1320" spans="1:22">
      <c r="A1320" t="s">
        <v>36</v>
      </c>
      <c r="B1320" t="s">
        <v>14</v>
      </c>
      <c r="C1320">
        <v>21</v>
      </c>
      <c r="D1320" t="s">
        <v>18</v>
      </c>
      <c r="E1320" t="s">
        <v>16</v>
      </c>
      <c r="F1320" s="1">
        <v>43476</v>
      </c>
      <c r="G1320">
        <v>9</v>
      </c>
      <c r="H1320">
        <v>5</v>
      </c>
      <c r="I1320">
        <v>5</v>
      </c>
      <c r="J1320">
        <v>0</v>
      </c>
      <c r="K1320">
        <v>1</v>
      </c>
      <c r="L1320">
        <v>566</v>
      </c>
      <c r="M1320">
        <v>15</v>
      </c>
      <c r="N1320" s="1">
        <f t="shared" si="160"/>
        <v>44938</v>
      </c>
      <c r="O1320" s="1">
        <f t="shared" si="161"/>
        <v>43101</v>
      </c>
      <c r="P1320" s="1">
        <f t="shared" si="162"/>
        <v>43770</v>
      </c>
      <c r="Q1320" s="8">
        <f t="shared" si="163"/>
        <v>0</v>
      </c>
      <c r="R1320" s="8">
        <f t="shared" si="164"/>
        <v>23</v>
      </c>
      <c r="S1320" s="8">
        <f t="shared" ca="1" si="165"/>
        <v>23</v>
      </c>
      <c r="T1320">
        <f t="shared" ca="1" si="166"/>
        <v>8.2805266508914315</v>
      </c>
      <c r="U1320" s="8">
        <f t="shared" ca="1" si="167"/>
        <v>1</v>
      </c>
      <c r="V1320" s="8">
        <f ca="1">RawData[[#This Row],[Z (smoothed demand size)]]/RawData[[#This Row],[X (smoothed interval)]]</f>
        <v>8.2805266508914315</v>
      </c>
    </row>
    <row r="1321" spans="1:22">
      <c r="A1321" t="s">
        <v>36</v>
      </c>
      <c r="B1321" t="s">
        <v>14</v>
      </c>
      <c r="C1321">
        <v>21</v>
      </c>
      <c r="D1321" t="s">
        <v>18</v>
      </c>
      <c r="E1321" t="s">
        <v>16</v>
      </c>
      <c r="F1321" s="1">
        <v>43477</v>
      </c>
      <c r="G1321">
        <v>6</v>
      </c>
      <c r="H1321">
        <v>6</v>
      </c>
      <c r="I1321">
        <v>7</v>
      </c>
      <c r="J1321">
        <v>1</v>
      </c>
      <c r="K1321">
        <v>0</v>
      </c>
      <c r="L1321">
        <v>653</v>
      </c>
      <c r="M1321">
        <v>30</v>
      </c>
      <c r="N1321" s="1">
        <f t="shared" si="160"/>
        <v>44938</v>
      </c>
      <c r="O1321" s="1">
        <f t="shared" si="161"/>
        <v>43101</v>
      </c>
      <c r="P1321" s="1">
        <f t="shared" si="162"/>
        <v>43800</v>
      </c>
      <c r="Q1321" s="8">
        <f t="shared" si="163"/>
        <v>0</v>
      </c>
      <c r="R1321" s="8">
        <f t="shared" si="164"/>
        <v>24</v>
      </c>
      <c r="S1321" s="8">
        <f t="shared" ca="1" si="165"/>
        <v>24</v>
      </c>
      <c r="T1321">
        <f t="shared" ca="1" si="166"/>
        <v>7.8244213207131459</v>
      </c>
      <c r="U1321" s="8">
        <f t="shared" ca="1" si="167"/>
        <v>1</v>
      </c>
      <c r="V1321" s="8">
        <f ca="1">RawData[[#This Row],[Z (smoothed demand size)]]/RawData[[#This Row],[X (smoothed interval)]]</f>
        <v>7.8244213207131459</v>
      </c>
    </row>
    <row r="1322" spans="1:22">
      <c r="A1322" t="s">
        <v>36</v>
      </c>
      <c r="B1322" t="s">
        <v>14</v>
      </c>
      <c r="C1322">
        <v>21</v>
      </c>
      <c r="D1322" t="s">
        <v>18</v>
      </c>
      <c r="E1322" t="s">
        <v>16</v>
      </c>
      <c r="F1322" s="1">
        <v>43831</v>
      </c>
      <c r="G1322">
        <v>9</v>
      </c>
      <c r="H1322">
        <v>9</v>
      </c>
      <c r="I1322">
        <v>10</v>
      </c>
      <c r="J1322">
        <v>1</v>
      </c>
      <c r="K1322">
        <v>0</v>
      </c>
      <c r="L1322">
        <v>560</v>
      </c>
      <c r="M1322">
        <v>60</v>
      </c>
      <c r="N1322" s="1">
        <f t="shared" si="160"/>
        <v>44938</v>
      </c>
      <c r="O1322" s="1">
        <f t="shared" si="161"/>
        <v>43101</v>
      </c>
      <c r="P1322" s="1">
        <f t="shared" si="162"/>
        <v>43831</v>
      </c>
      <c r="Q1322" s="8">
        <f t="shared" si="163"/>
        <v>0</v>
      </c>
      <c r="R1322" s="8">
        <f t="shared" si="164"/>
        <v>25</v>
      </c>
      <c r="S1322" s="8">
        <f t="shared" ca="1" si="165"/>
        <v>25</v>
      </c>
      <c r="T1322">
        <f t="shared" ca="1" si="166"/>
        <v>8.0595370565705178</v>
      </c>
      <c r="U1322" s="8">
        <f t="shared" ca="1" si="167"/>
        <v>1</v>
      </c>
      <c r="V1322" s="8">
        <f ca="1">RawData[[#This Row],[Z (smoothed demand size)]]/RawData[[#This Row],[X (smoothed interval)]]</f>
        <v>8.0595370565705178</v>
      </c>
    </row>
    <row r="1323" spans="1:22">
      <c r="A1323" t="s">
        <v>36</v>
      </c>
      <c r="B1323" t="s">
        <v>14</v>
      </c>
      <c r="C1323">
        <v>21</v>
      </c>
      <c r="D1323" t="s">
        <v>18</v>
      </c>
      <c r="E1323" t="s">
        <v>16</v>
      </c>
      <c r="F1323" s="1">
        <v>43832</v>
      </c>
      <c r="G1323">
        <v>14</v>
      </c>
      <c r="H1323">
        <v>1</v>
      </c>
      <c r="I1323">
        <v>1</v>
      </c>
      <c r="J1323">
        <v>0</v>
      </c>
      <c r="K1323">
        <v>1</v>
      </c>
      <c r="L1323">
        <v>570</v>
      </c>
      <c r="M1323">
        <v>45</v>
      </c>
      <c r="N1323" s="1">
        <f t="shared" si="160"/>
        <v>44938</v>
      </c>
      <c r="O1323" s="1">
        <f t="shared" si="161"/>
        <v>43101</v>
      </c>
      <c r="P1323" s="1">
        <f t="shared" si="162"/>
        <v>43862</v>
      </c>
      <c r="Q1323" s="8">
        <f t="shared" si="163"/>
        <v>0</v>
      </c>
      <c r="R1323" s="8">
        <f t="shared" si="164"/>
        <v>26</v>
      </c>
      <c r="S1323" s="8">
        <f t="shared" ca="1" si="165"/>
        <v>26</v>
      </c>
      <c r="T1323">
        <f t="shared" ca="1" si="166"/>
        <v>9.2476296452564153</v>
      </c>
      <c r="U1323" s="8">
        <f t="shared" ca="1" si="167"/>
        <v>1</v>
      </c>
      <c r="V1323" s="8">
        <f ca="1">RawData[[#This Row],[Z (smoothed demand size)]]/RawData[[#This Row],[X (smoothed interval)]]</f>
        <v>9.2476296452564153</v>
      </c>
    </row>
    <row r="1324" spans="1:22">
      <c r="A1324" t="s">
        <v>36</v>
      </c>
      <c r="B1324" t="s">
        <v>14</v>
      </c>
      <c r="C1324">
        <v>21</v>
      </c>
      <c r="D1324" t="s">
        <v>18</v>
      </c>
      <c r="E1324" t="s">
        <v>16</v>
      </c>
      <c r="F1324" s="1">
        <v>43833</v>
      </c>
      <c r="G1324">
        <v>9</v>
      </c>
      <c r="H1324">
        <v>8</v>
      </c>
      <c r="I1324">
        <v>8</v>
      </c>
      <c r="J1324">
        <v>0</v>
      </c>
      <c r="K1324">
        <v>1</v>
      </c>
      <c r="L1324">
        <v>558</v>
      </c>
      <c r="M1324">
        <v>30</v>
      </c>
      <c r="N1324" s="1">
        <f t="shared" si="160"/>
        <v>44938</v>
      </c>
      <c r="O1324" s="1">
        <f t="shared" si="161"/>
        <v>43101</v>
      </c>
      <c r="P1324" s="1">
        <f t="shared" si="162"/>
        <v>43891</v>
      </c>
      <c r="Q1324" s="8">
        <f t="shared" si="163"/>
        <v>0</v>
      </c>
      <c r="R1324" s="8">
        <f t="shared" si="164"/>
        <v>27</v>
      </c>
      <c r="S1324" s="8">
        <f t="shared" ca="1" si="165"/>
        <v>27</v>
      </c>
      <c r="T1324">
        <f t="shared" ca="1" si="166"/>
        <v>9.1981037162051322</v>
      </c>
      <c r="U1324" s="8">
        <f t="shared" ca="1" si="167"/>
        <v>1</v>
      </c>
      <c r="V1324" s="8">
        <f ca="1">RawData[[#This Row],[Z (smoothed demand size)]]/RawData[[#This Row],[X (smoothed interval)]]</f>
        <v>9.1981037162051322</v>
      </c>
    </row>
    <row r="1325" spans="1:22">
      <c r="A1325" t="s">
        <v>36</v>
      </c>
      <c r="B1325" t="s">
        <v>14</v>
      </c>
      <c r="C1325">
        <v>21</v>
      </c>
      <c r="D1325" t="s">
        <v>18</v>
      </c>
      <c r="E1325" t="s">
        <v>16</v>
      </c>
      <c r="F1325" s="1">
        <v>43834</v>
      </c>
      <c r="G1325">
        <v>5</v>
      </c>
      <c r="H1325">
        <v>5</v>
      </c>
      <c r="I1325">
        <v>8</v>
      </c>
      <c r="J1325">
        <v>3</v>
      </c>
      <c r="K1325">
        <v>0</v>
      </c>
      <c r="L1325">
        <v>562</v>
      </c>
      <c r="M1325">
        <v>60</v>
      </c>
      <c r="N1325" s="1">
        <f t="shared" si="160"/>
        <v>44938</v>
      </c>
      <c r="O1325" s="1">
        <f t="shared" si="161"/>
        <v>43101</v>
      </c>
      <c r="P1325" s="1">
        <f t="shared" si="162"/>
        <v>43922</v>
      </c>
      <c r="Q1325" s="8">
        <f t="shared" si="163"/>
        <v>0</v>
      </c>
      <c r="R1325" s="8">
        <f t="shared" si="164"/>
        <v>28</v>
      </c>
      <c r="S1325" s="8">
        <f t="shared" ca="1" si="165"/>
        <v>28</v>
      </c>
      <c r="T1325">
        <f t="shared" ca="1" si="166"/>
        <v>8.3584829729641061</v>
      </c>
      <c r="U1325" s="8">
        <f t="shared" ca="1" si="167"/>
        <v>1</v>
      </c>
      <c r="V1325" s="8">
        <f ca="1">RawData[[#This Row],[Z (smoothed demand size)]]/RawData[[#This Row],[X (smoothed interval)]]</f>
        <v>8.3584829729641061</v>
      </c>
    </row>
    <row r="1326" spans="1:22">
      <c r="A1326" t="s">
        <v>36</v>
      </c>
      <c r="B1326" t="s">
        <v>14</v>
      </c>
      <c r="C1326">
        <v>21</v>
      </c>
      <c r="D1326" t="s">
        <v>18</v>
      </c>
      <c r="E1326" t="s">
        <v>16</v>
      </c>
      <c r="F1326" s="1">
        <v>43835</v>
      </c>
      <c r="G1326">
        <v>10</v>
      </c>
      <c r="H1326">
        <v>3</v>
      </c>
      <c r="I1326">
        <v>3</v>
      </c>
      <c r="J1326">
        <v>0</v>
      </c>
      <c r="K1326">
        <v>1</v>
      </c>
      <c r="L1326">
        <v>570</v>
      </c>
      <c r="M1326">
        <v>45</v>
      </c>
      <c r="N1326" s="1">
        <f t="shared" si="160"/>
        <v>44938</v>
      </c>
      <c r="O1326" s="1">
        <f t="shared" si="161"/>
        <v>43101</v>
      </c>
      <c r="P1326" s="1">
        <f t="shared" si="162"/>
        <v>43952</v>
      </c>
      <c r="Q1326" s="8">
        <f t="shared" si="163"/>
        <v>0</v>
      </c>
      <c r="R1326" s="8">
        <f t="shared" si="164"/>
        <v>29</v>
      </c>
      <c r="S1326" s="8">
        <f t="shared" ca="1" si="165"/>
        <v>29</v>
      </c>
      <c r="T1326">
        <f t="shared" ca="1" si="166"/>
        <v>8.6867863783712842</v>
      </c>
      <c r="U1326" s="8">
        <f t="shared" ca="1" si="167"/>
        <v>1</v>
      </c>
      <c r="V1326" s="8">
        <f ca="1">RawData[[#This Row],[Z (smoothed demand size)]]/RawData[[#This Row],[X (smoothed interval)]]</f>
        <v>8.6867863783712842</v>
      </c>
    </row>
    <row r="1327" spans="1:22">
      <c r="A1327" t="s">
        <v>36</v>
      </c>
      <c r="B1327" t="s">
        <v>14</v>
      </c>
      <c r="C1327">
        <v>21</v>
      </c>
      <c r="D1327" t="s">
        <v>18</v>
      </c>
      <c r="E1327" t="s">
        <v>16</v>
      </c>
      <c r="F1327" s="1">
        <v>43836</v>
      </c>
      <c r="G1327">
        <v>13</v>
      </c>
      <c r="H1327">
        <v>11</v>
      </c>
      <c r="I1327">
        <v>11</v>
      </c>
      <c r="J1327">
        <v>0</v>
      </c>
      <c r="K1327">
        <v>1</v>
      </c>
      <c r="L1327">
        <v>653</v>
      </c>
      <c r="M1327">
        <v>30</v>
      </c>
      <c r="N1327" s="1">
        <f t="shared" si="160"/>
        <v>44938</v>
      </c>
      <c r="O1327" s="1">
        <f t="shared" si="161"/>
        <v>43101</v>
      </c>
      <c r="P1327" s="1">
        <f t="shared" si="162"/>
        <v>43983</v>
      </c>
      <c r="Q1327" s="8">
        <f t="shared" si="163"/>
        <v>0</v>
      </c>
      <c r="R1327" s="8">
        <f t="shared" si="164"/>
        <v>30</v>
      </c>
      <c r="S1327" s="8">
        <f t="shared" ca="1" si="165"/>
        <v>30</v>
      </c>
      <c r="T1327">
        <f t="shared" ca="1" si="166"/>
        <v>9.5494291026970277</v>
      </c>
      <c r="U1327" s="8">
        <f t="shared" ca="1" si="167"/>
        <v>1</v>
      </c>
      <c r="V1327" s="8">
        <f ca="1">RawData[[#This Row],[Z (smoothed demand size)]]/RawData[[#This Row],[X (smoothed interval)]]</f>
        <v>9.5494291026970277</v>
      </c>
    </row>
    <row r="1328" spans="1:22">
      <c r="A1328" t="s">
        <v>36</v>
      </c>
      <c r="B1328" t="s">
        <v>14</v>
      </c>
      <c r="C1328">
        <v>21</v>
      </c>
      <c r="D1328" t="s">
        <v>18</v>
      </c>
      <c r="E1328" t="s">
        <v>16</v>
      </c>
      <c r="F1328" s="1">
        <v>43837</v>
      </c>
      <c r="G1328">
        <v>5</v>
      </c>
      <c r="H1328">
        <v>5</v>
      </c>
      <c r="I1328">
        <v>8</v>
      </c>
      <c r="J1328">
        <v>3</v>
      </c>
      <c r="K1328">
        <v>0</v>
      </c>
      <c r="L1328">
        <v>648</v>
      </c>
      <c r="M1328">
        <v>45</v>
      </c>
      <c r="N1328" s="1">
        <f t="shared" si="160"/>
        <v>44938</v>
      </c>
      <c r="O1328" s="1">
        <f t="shared" si="161"/>
        <v>43101</v>
      </c>
      <c r="P1328" s="1">
        <f t="shared" si="162"/>
        <v>44013</v>
      </c>
      <c r="Q1328" s="8">
        <f t="shared" si="163"/>
        <v>0</v>
      </c>
      <c r="R1328" s="8">
        <f t="shared" si="164"/>
        <v>31</v>
      </c>
      <c r="S1328" s="8">
        <f t="shared" ca="1" si="165"/>
        <v>31</v>
      </c>
      <c r="T1328">
        <f t="shared" ca="1" si="166"/>
        <v>8.6395432821576215</v>
      </c>
      <c r="U1328" s="8">
        <f t="shared" ca="1" si="167"/>
        <v>1</v>
      </c>
      <c r="V1328" s="8">
        <f ca="1">RawData[[#This Row],[Z (smoothed demand size)]]/RawData[[#This Row],[X (smoothed interval)]]</f>
        <v>8.6395432821576215</v>
      </c>
    </row>
    <row r="1329" spans="1:22">
      <c r="A1329" t="s">
        <v>36</v>
      </c>
      <c r="B1329" t="s">
        <v>14</v>
      </c>
      <c r="C1329">
        <v>21</v>
      </c>
      <c r="D1329" t="s">
        <v>18</v>
      </c>
      <c r="E1329" t="s">
        <v>16</v>
      </c>
      <c r="F1329" s="1">
        <v>43838</v>
      </c>
      <c r="G1329">
        <v>8</v>
      </c>
      <c r="H1329">
        <v>3</v>
      </c>
      <c r="I1329">
        <v>3</v>
      </c>
      <c r="J1329">
        <v>0</v>
      </c>
      <c r="K1329">
        <v>1</v>
      </c>
      <c r="L1329">
        <v>640</v>
      </c>
      <c r="M1329">
        <v>30</v>
      </c>
      <c r="N1329" s="1">
        <f t="shared" si="160"/>
        <v>44938</v>
      </c>
      <c r="O1329" s="1">
        <f t="shared" si="161"/>
        <v>43101</v>
      </c>
      <c r="P1329" s="1">
        <f t="shared" si="162"/>
        <v>44044</v>
      </c>
      <c r="Q1329" s="8">
        <f t="shared" si="163"/>
        <v>0</v>
      </c>
      <c r="R1329" s="8">
        <f t="shared" si="164"/>
        <v>32</v>
      </c>
      <c r="S1329" s="8">
        <f t="shared" ca="1" si="165"/>
        <v>32</v>
      </c>
      <c r="T1329">
        <f t="shared" ca="1" si="166"/>
        <v>8.5116346257260975</v>
      </c>
      <c r="U1329" s="8">
        <f t="shared" ca="1" si="167"/>
        <v>1</v>
      </c>
      <c r="V1329" s="8">
        <f ca="1">RawData[[#This Row],[Z (smoothed demand size)]]/RawData[[#This Row],[X (smoothed interval)]]</f>
        <v>8.5116346257260975</v>
      </c>
    </row>
    <row r="1330" spans="1:22">
      <c r="A1330" t="s">
        <v>36</v>
      </c>
      <c r="B1330" t="s">
        <v>14</v>
      </c>
      <c r="C1330">
        <v>21</v>
      </c>
      <c r="D1330" t="s">
        <v>18</v>
      </c>
      <c r="E1330" t="s">
        <v>16</v>
      </c>
      <c r="F1330" s="1">
        <v>43839</v>
      </c>
      <c r="G1330">
        <v>7</v>
      </c>
      <c r="H1330">
        <v>7</v>
      </c>
      <c r="I1330">
        <v>12</v>
      </c>
      <c r="J1330">
        <v>5</v>
      </c>
      <c r="K1330">
        <v>0</v>
      </c>
      <c r="L1330">
        <v>566</v>
      </c>
      <c r="M1330">
        <v>45</v>
      </c>
      <c r="N1330" s="1">
        <f t="shared" si="160"/>
        <v>44938</v>
      </c>
      <c r="O1330" s="1">
        <f t="shared" si="161"/>
        <v>43101</v>
      </c>
      <c r="P1330" s="1">
        <f t="shared" si="162"/>
        <v>44075</v>
      </c>
      <c r="Q1330" s="8">
        <f t="shared" si="163"/>
        <v>0</v>
      </c>
      <c r="R1330" s="8">
        <f t="shared" si="164"/>
        <v>33</v>
      </c>
      <c r="S1330" s="8">
        <f t="shared" ca="1" si="165"/>
        <v>33</v>
      </c>
      <c r="T1330">
        <f t="shared" ca="1" si="166"/>
        <v>8.2093077005808777</v>
      </c>
      <c r="U1330" s="8">
        <f t="shared" ca="1" si="167"/>
        <v>1</v>
      </c>
      <c r="V1330" s="8">
        <f ca="1">RawData[[#This Row],[Z (smoothed demand size)]]/RawData[[#This Row],[X (smoothed interval)]]</f>
        <v>8.2093077005808777</v>
      </c>
    </row>
    <row r="1331" spans="1:22">
      <c r="A1331" t="s">
        <v>36</v>
      </c>
      <c r="B1331" t="s">
        <v>14</v>
      </c>
      <c r="C1331">
        <v>21</v>
      </c>
      <c r="D1331" t="s">
        <v>18</v>
      </c>
      <c r="E1331" t="s">
        <v>16</v>
      </c>
      <c r="F1331" s="1">
        <v>43840</v>
      </c>
      <c r="G1331">
        <v>5</v>
      </c>
      <c r="H1331">
        <v>5</v>
      </c>
      <c r="I1331">
        <v>5</v>
      </c>
      <c r="J1331">
        <v>0</v>
      </c>
      <c r="K1331">
        <v>0</v>
      </c>
      <c r="L1331">
        <v>563</v>
      </c>
      <c r="M1331">
        <v>30</v>
      </c>
      <c r="N1331" s="1">
        <f t="shared" si="160"/>
        <v>44938</v>
      </c>
      <c r="O1331" s="1">
        <f t="shared" si="161"/>
        <v>43101</v>
      </c>
      <c r="P1331" s="1">
        <f t="shared" si="162"/>
        <v>44105</v>
      </c>
      <c r="Q1331" s="8">
        <f t="shared" si="163"/>
        <v>0</v>
      </c>
      <c r="R1331" s="8">
        <f t="shared" si="164"/>
        <v>34</v>
      </c>
      <c r="S1331" s="8">
        <f t="shared" ca="1" si="165"/>
        <v>34</v>
      </c>
      <c r="T1331">
        <f t="shared" ca="1" si="166"/>
        <v>7.5674461604647023</v>
      </c>
      <c r="U1331" s="8">
        <f t="shared" ca="1" si="167"/>
        <v>1</v>
      </c>
      <c r="V1331" s="8">
        <f ca="1">RawData[[#This Row],[Z (smoothed demand size)]]/RawData[[#This Row],[X (smoothed interval)]]</f>
        <v>7.5674461604647023</v>
      </c>
    </row>
    <row r="1332" spans="1:22">
      <c r="A1332" t="s">
        <v>36</v>
      </c>
      <c r="B1332" t="s">
        <v>14</v>
      </c>
      <c r="C1332">
        <v>21</v>
      </c>
      <c r="D1332" t="s">
        <v>18</v>
      </c>
      <c r="E1332" t="s">
        <v>16</v>
      </c>
      <c r="F1332" s="1">
        <v>43841</v>
      </c>
      <c r="G1332">
        <v>4</v>
      </c>
      <c r="H1332">
        <v>4</v>
      </c>
      <c r="I1332">
        <v>12</v>
      </c>
      <c r="J1332">
        <v>8</v>
      </c>
      <c r="K1332">
        <v>0</v>
      </c>
      <c r="L1332">
        <v>569</v>
      </c>
      <c r="M1332">
        <v>15</v>
      </c>
      <c r="N1332" s="1">
        <f t="shared" si="160"/>
        <v>44938</v>
      </c>
      <c r="O1332" s="1">
        <f t="shared" si="161"/>
        <v>43101</v>
      </c>
      <c r="P1332" s="1">
        <f t="shared" si="162"/>
        <v>44136</v>
      </c>
      <c r="Q1332" s="8">
        <f t="shared" si="163"/>
        <v>0</v>
      </c>
      <c r="R1332" s="8">
        <f t="shared" si="164"/>
        <v>35</v>
      </c>
      <c r="S1332" s="8">
        <f t="shared" ca="1" si="165"/>
        <v>35</v>
      </c>
      <c r="T1332">
        <f t="shared" ca="1" si="166"/>
        <v>6.8539569283717618</v>
      </c>
      <c r="U1332" s="8">
        <f t="shared" ca="1" si="167"/>
        <v>1</v>
      </c>
      <c r="V1332" s="8">
        <f ca="1">RawData[[#This Row],[Z (smoothed demand size)]]/RawData[[#This Row],[X (smoothed interval)]]</f>
        <v>6.8539569283717618</v>
      </c>
    </row>
    <row r="1333" spans="1:22">
      <c r="A1333" t="s">
        <v>36</v>
      </c>
      <c r="B1333" t="s">
        <v>14</v>
      </c>
      <c r="C1333">
        <v>21</v>
      </c>
      <c r="D1333" t="s">
        <v>18</v>
      </c>
      <c r="E1333" t="s">
        <v>16</v>
      </c>
      <c r="F1333" s="1">
        <v>43842</v>
      </c>
      <c r="G1333">
        <v>9</v>
      </c>
      <c r="H1333">
        <v>9</v>
      </c>
      <c r="I1333">
        <v>20</v>
      </c>
      <c r="J1333">
        <v>11</v>
      </c>
      <c r="K1333">
        <v>0</v>
      </c>
      <c r="L1333">
        <v>648</v>
      </c>
      <c r="M1333">
        <v>15</v>
      </c>
      <c r="N1333" s="1">
        <f t="shared" si="160"/>
        <v>44938</v>
      </c>
      <c r="O1333" s="1">
        <f t="shared" si="161"/>
        <v>43101</v>
      </c>
      <c r="P1333" s="1">
        <f t="shared" si="162"/>
        <v>44166</v>
      </c>
      <c r="Q1333" s="8">
        <f t="shared" si="163"/>
        <v>0</v>
      </c>
      <c r="R1333" s="8">
        <f t="shared" si="164"/>
        <v>36</v>
      </c>
      <c r="S1333" s="8">
        <f t="shared" ca="1" si="165"/>
        <v>36</v>
      </c>
      <c r="T1333">
        <f t="shared" ca="1" si="166"/>
        <v>7.28316554269741</v>
      </c>
      <c r="U1333" s="8">
        <f t="shared" ca="1" si="167"/>
        <v>1</v>
      </c>
      <c r="V1333" s="8">
        <f ca="1">RawData[[#This Row],[Z (smoothed demand size)]]/RawData[[#This Row],[X (smoothed interval)]]</f>
        <v>7.28316554269741</v>
      </c>
    </row>
    <row r="1334" spans="1:22">
      <c r="A1334" t="s">
        <v>36</v>
      </c>
      <c r="B1334" t="s">
        <v>14</v>
      </c>
      <c r="C1334">
        <v>21</v>
      </c>
      <c r="D1334" t="s">
        <v>18</v>
      </c>
      <c r="E1334" t="s">
        <v>16</v>
      </c>
      <c r="F1334" s="1">
        <v>44197</v>
      </c>
      <c r="G1334">
        <v>7</v>
      </c>
      <c r="H1334">
        <v>7</v>
      </c>
      <c r="I1334">
        <v>11</v>
      </c>
      <c r="J1334">
        <v>4</v>
      </c>
      <c r="K1334">
        <v>0</v>
      </c>
      <c r="L1334">
        <v>555</v>
      </c>
      <c r="M1334">
        <v>60</v>
      </c>
      <c r="N1334" s="1">
        <f t="shared" si="160"/>
        <v>44938</v>
      </c>
      <c r="O1334" s="1">
        <f t="shared" si="161"/>
        <v>43101</v>
      </c>
      <c r="P1334" s="1">
        <f t="shared" si="162"/>
        <v>44197</v>
      </c>
      <c r="Q1334" s="8">
        <f t="shared" si="163"/>
        <v>0</v>
      </c>
      <c r="R1334" s="8">
        <f t="shared" si="164"/>
        <v>37</v>
      </c>
      <c r="S1334" s="8">
        <f t="shared" ca="1" si="165"/>
        <v>37</v>
      </c>
      <c r="T1334">
        <f t="shared" ca="1" si="166"/>
        <v>7.2265324341579289</v>
      </c>
      <c r="U1334" s="8">
        <f t="shared" ca="1" si="167"/>
        <v>1</v>
      </c>
      <c r="V1334" s="8">
        <f ca="1">RawData[[#This Row],[Z (smoothed demand size)]]/RawData[[#This Row],[X (smoothed interval)]]</f>
        <v>7.2265324341579289</v>
      </c>
    </row>
    <row r="1335" spans="1:22">
      <c r="A1335" t="s">
        <v>36</v>
      </c>
      <c r="B1335" t="s">
        <v>14</v>
      </c>
      <c r="C1335">
        <v>21</v>
      </c>
      <c r="D1335" t="s">
        <v>18</v>
      </c>
      <c r="E1335" t="s">
        <v>16</v>
      </c>
      <c r="F1335" s="1">
        <v>44198</v>
      </c>
      <c r="G1335">
        <v>5</v>
      </c>
      <c r="H1335">
        <v>4</v>
      </c>
      <c r="I1335">
        <v>4</v>
      </c>
      <c r="J1335">
        <v>0</v>
      </c>
      <c r="K1335">
        <v>1</v>
      </c>
      <c r="L1335">
        <v>557</v>
      </c>
      <c r="M1335">
        <v>45</v>
      </c>
      <c r="N1335" s="1">
        <f t="shared" si="160"/>
        <v>44938</v>
      </c>
      <c r="O1335" s="1">
        <f t="shared" si="161"/>
        <v>43101</v>
      </c>
      <c r="P1335" s="1">
        <f t="shared" si="162"/>
        <v>44228</v>
      </c>
      <c r="Q1335" s="8">
        <f t="shared" si="163"/>
        <v>0</v>
      </c>
      <c r="R1335" s="8">
        <f t="shared" si="164"/>
        <v>38</v>
      </c>
      <c r="S1335" s="8">
        <f t="shared" ca="1" si="165"/>
        <v>38</v>
      </c>
      <c r="T1335">
        <f t="shared" ca="1" si="166"/>
        <v>6.7812259473263437</v>
      </c>
      <c r="U1335" s="8">
        <f t="shared" ca="1" si="167"/>
        <v>1</v>
      </c>
      <c r="V1335" s="8">
        <f ca="1">RawData[[#This Row],[Z (smoothed demand size)]]/RawData[[#This Row],[X (smoothed interval)]]</f>
        <v>6.7812259473263437</v>
      </c>
    </row>
    <row r="1336" spans="1:22">
      <c r="A1336" t="s">
        <v>36</v>
      </c>
      <c r="B1336" t="s">
        <v>14</v>
      </c>
      <c r="C1336">
        <v>21</v>
      </c>
      <c r="D1336" t="s">
        <v>18</v>
      </c>
      <c r="E1336" t="s">
        <v>16</v>
      </c>
      <c r="F1336" s="1">
        <v>44199</v>
      </c>
      <c r="G1336">
        <v>8</v>
      </c>
      <c r="H1336">
        <v>8</v>
      </c>
      <c r="I1336">
        <v>9</v>
      </c>
      <c r="J1336">
        <v>1</v>
      </c>
      <c r="K1336">
        <v>0</v>
      </c>
      <c r="L1336">
        <v>562</v>
      </c>
      <c r="M1336">
        <v>45</v>
      </c>
      <c r="N1336" s="1">
        <f t="shared" si="160"/>
        <v>44938</v>
      </c>
      <c r="O1336" s="1">
        <f t="shared" si="161"/>
        <v>43101</v>
      </c>
      <c r="P1336" s="1">
        <f t="shared" si="162"/>
        <v>44256</v>
      </c>
      <c r="Q1336" s="8">
        <f t="shared" si="163"/>
        <v>0</v>
      </c>
      <c r="R1336" s="8">
        <f t="shared" si="164"/>
        <v>39</v>
      </c>
      <c r="S1336" s="8">
        <f t="shared" ca="1" si="165"/>
        <v>39</v>
      </c>
      <c r="T1336">
        <f t="shared" ca="1" si="166"/>
        <v>7.0249807578610746</v>
      </c>
      <c r="U1336" s="8">
        <f t="shared" ca="1" si="167"/>
        <v>1</v>
      </c>
      <c r="V1336" s="8">
        <f ca="1">RawData[[#This Row],[Z (smoothed demand size)]]/RawData[[#This Row],[X (smoothed interval)]]</f>
        <v>7.0249807578610746</v>
      </c>
    </row>
    <row r="1337" spans="1:22">
      <c r="A1337" t="s">
        <v>36</v>
      </c>
      <c r="B1337" t="s">
        <v>14</v>
      </c>
      <c r="C1337">
        <v>21</v>
      </c>
      <c r="D1337" t="s">
        <v>18</v>
      </c>
      <c r="E1337" t="s">
        <v>16</v>
      </c>
      <c r="F1337" s="1">
        <v>44200</v>
      </c>
      <c r="G1337">
        <v>4</v>
      </c>
      <c r="H1337">
        <v>1</v>
      </c>
      <c r="I1337">
        <v>1</v>
      </c>
      <c r="J1337">
        <v>0</v>
      </c>
      <c r="K1337">
        <v>1</v>
      </c>
      <c r="L1337">
        <v>565</v>
      </c>
      <c r="M1337">
        <v>15</v>
      </c>
      <c r="N1337" s="1">
        <f t="shared" si="160"/>
        <v>44938</v>
      </c>
      <c r="O1337" s="1">
        <f t="shared" si="161"/>
        <v>43101</v>
      </c>
      <c r="P1337" s="1">
        <f t="shared" si="162"/>
        <v>44287</v>
      </c>
      <c r="Q1337" s="8">
        <f t="shared" si="163"/>
        <v>0</v>
      </c>
      <c r="R1337" s="8">
        <f t="shared" si="164"/>
        <v>40</v>
      </c>
      <c r="S1337" s="8">
        <f t="shared" ca="1" si="165"/>
        <v>40</v>
      </c>
      <c r="T1337">
        <f t="shared" ca="1" si="166"/>
        <v>6.4199846062888595</v>
      </c>
      <c r="U1337" s="8">
        <f t="shared" ca="1" si="167"/>
        <v>1</v>
      </c>
      <c r="V1337" s="8">
        <f ca="1">RawData[[#This Row],[Z (smoothed demand size)]]/RawData[[#This Row],[X (smoothed interval)]]</f>
        <v>6.4199846062888595</v>
      </c>
    </row>
    <row r="1338" spans="1:22">
      <c r="A1338" t="s">
        <v>36</v>
      </c>
      <c r="B1338" t="s">
        <v>14</v>
      </c>
      <c r="C1338">
        <v>21</v>
      </c>
      <c r="D1338" t="s">
        <v>18</v>
      </c>
      <c r="E1338" t="s">
        <v>16</v>
      </c>
      <c r="F1338" s="1">
        <v>44201</v>
      </c>
      <c r="G1338">
        <v>11</v>
      </c>
      <c r="H1338">
        <v>8</v>
      </c>
      <c r="I1338">
        <v>8</v>
      </c>
      <c r="J1338">
        <v>0</v>
      </c>
      <c r="K1338">
        <v>1</v>
      </c>
      <c r="L1338">
        <v>558</v>
      </c>
      <c r="M1338">
        <v>15</v>
      </c>
      <c r="N1338" s="1">
        <f t="shared" si="160"/>
        <v>44938</v>
      </c>
      <c r="O1338" s="1">
        <f t="shared" si="161"/>
        <v>43101</v>
      </c>
      <c r="P1338" s="1">
        <f t="shared" si="162"/>
        <v>44317</v>
      </c>
      <c r="Q1338" s="8">
        <f t="shared" si="163"/>
        <v>0</v>
      </c>
      <c r="R1338" s="8">
        <f t="shared" si="164"/>
        <v>41</v>
      </c>
      <c r="S1338" s="8">
        <f t="shared" ca="1" si="165"/>
        <v>41</v>
      </c>
      <c r="T1338">
        <f t="shared" ca="1" si="166"/>
        <v>7.3359876850310881</v>
      </c>
      <c r="U1338" s="8">
        <f t="shared" ca="1" si="167"/>
        <v>1</v>
      </c>
      <c r="V1338" s="8">
        <f ca="1">RawData[[#This Row],[Z (smoothed demand size)]]/RawData[[#This Row],[X (smoothed interval)]]</f>
        <v>7.3359876850310881</v>
      </c>
    </row>
    <row r="1339" spans="1:22">
      <c r="A1339" t="s">
        <v>36</v>
      </c>
      <c r="B1339" t="s">
        <v>14</v>
      </c>
      <c r="C1339">
        <v>21</v>
      </c>
      <c r="D1339" t="s">
        <v>18</v>
      </c>
      <c r="E1339" t="s">
        <v>16</v>
      </c>
      <c r="F1339" s="1">
        <v>44202</v>
      </c>
      <c r="G1339">
        <v>9</v>
      </c>
      <c r="H1339">
        <v>8</v>
      </c>
      <c r="I1339">
        <v>8</v>
      </c>
      <c r="J1339">
        <v>0</v>
      </c>
      <c r="K1339">
        <v>1</v>
      </c>
      <c r="L1339">
        <v>645</v>
      </c>
      <c r="M1339">
        <v>60</v>
      </c>
      <c r="N1339" s="1">
        <f t="shared" si="160"/>
        <v>44938</v>
      </c>
      <c r="O1339" s="1">
        <f t="shared" si="161"/>
        <v>43101</v>
      </c>
      <c r="P1339" s="1">
        <f t="shared" si="162"/>
        <v>44348</v>
      </c>
      <c r="Q1339" s="8">
        <f t="shared" si="163"/>
        <v>0</v>
      </c>
      <c r="R1339" s="8">
        <f t="shared" si="164"/>
        <v>42</v>
      </c>
      <c r="S1339" s="8">
        <f t="shared" ca="1" si="165"/>
        <v>42</v>
      </c>
      <c r="T1339">
        <f t="shared" ca="1" si="166"/>
        <v>7.668790148024871</v>
      </c>
      <c r="U1339" s="8">
        <f t="shared" ca="1" si="167"/>
        <v>1</v>
      </c>
      <c r="V1339" s="8">
        <f ca="1">RawData[[#This Row],[Z (smoothed demand size)]]/RawData[[#This Row],[X (smoothed interval)]]</f>
        <v>7.668790148024871</v>
      </c>
    </row>
    <row r="1340" spans="1:22">
      <c r="A1340" t="s">
        <v>36</v>
      </c>
      <c r="B1340" t="s">
        <v>14</v>
      </c>
      <c r="C1340">
        <v>21</v>
      </c>
      <c r="D1340" t="s">
        <v>18</v>
      </c>
      <c r="E1340" t="s">
        <v>16</v>
      </c>
      <c r="F1340" s="1">
        <v>44203</v>
      </c>
      <c r="G1340">
        <v>7</v>
      </c>
      <c r="H1340">
        <v>0</v>
      </c>
      <c r="I1340">
        <v>0</v>
      </c>
      <c r="J1340">
        <v>0</v>
      </c>
      <c r="K1340">
        <v>1</v>
      </c>
      <c r="L1340">
        <v>655</v>
      </c>
      <c r="M1340">
        <v>45</v>
      </c>
      <c r="N1340" s="1">
        <f t="shared" si="160"/>
        <v>44938</v>
      </c>
      <c r="O1340" s="1">
        <f t="shared" si="161"/>
        <v>43101</v>
      </c>
      <c r="P1340" s="1">
        <f t="shared" si="162"/>
        <v>44378</v>
      </c>
      <c r="Q1340" s="8">
        <f t="shared" si="163"/>
        <v>0</v>
      </c>
      <c r="R1340" s="8">
        <f t="shared" si="164"/>
        <v>43</v>
      </c>
      <c r="S1340" s="8">
        <f t="shared" ca="1" si="165"/>
        <v>43</v>
      </c>
      <c r="T1340">
        <f t="shared" ca="1" si="166"/>
        <v>7.5350321184198972</v>
      </c>
      <c r="U1340" s="8">
        <f t="shared" ca="1" si="167"/>
        <v>1</v>
      </c>
      <c r="V1340" s="8">
        <f ca="1">RawData[[#This Row],[Z (smoothed demand size)]]/RawData[[#This Row],[X (smoothed interval)]]</f>
        <v>7.5350321184198972</v>
      </c>
    </row>
    <row r="1341" spans="1:22">
      <c r="A1341" t="s">
        <v>36</v>
      </c>
      <c r="B1341" t="s">
        <v>14</v>
      </c>
      <c r="C1341">
        <v>21</v>
      </c>
      <c r="D1341" t="s">
        <v>18</v>
      </c>
      <c r="E1341" t="s">
        <v>16</v>
      </c>
      <c r="F1341" s="1">
        <v>44204</v>
      </c>
      <c r="G1341">
        <v>10</v>
      </c>
      <c r="H1341">
        <v>7</v>
      </c>
      <c r="I1341">
        <v>7</v>
      </c>
      <c r="J1341">
        <v>0</v>
      </c>
      <c r="K1341">
        <v>1</v>
      </c>
      <c r="L1341">
        <v>657</v>
      </c>
      <c r="M1341">
        <v>30</v>
      </c>
      <c r="N1341" s="1">
        <f t="shared" si="160"/>
        <v>44938</v>
      </c>
      <c r="O1341" s="1">
        <f t="shared" si="161"/>
        <v>43101</v>
      </c>
      <c r="P1341" s="1">
        <f t="shared" si="162"/>
        <v>44409</v>
      </c>
      <c r="Q1341" s="8">
        <f t="shared" si="163"/>
        <v>0</v>
      </c>
      <c r="R1341" s="8">
        <f t="shared" si="164"/>
        <v>44</v>
      </c>
      <c r="S1341" s="8">
        <f t="shared" ca="1" si="165"/>
        <v>44</v>
      </c>
      <c r="T1341">
        <f t="shared" ca="1" si="166"/>
        <v>8.0280256947359181</v>
      </c>
      <c r="U1341" s="8">
        <f t="shared" ca="1" si="167"/>
        <v>1</v>
      </c>
      <c r="V1341" s="8">
        <f ca="1">RawData[[#This Row],[Z (smoothed demand size)]]/RawData[[#This Row],[X (smoothed interval)]]</f>
        <v>8.0280256947359181</v>
      </c>
    </row>
    <row r="1342" spans="1:22">
      <c r="A1342" t="s">
        <v>36</v>
      </c>
      <c r="B1342" t="s">
        <v>14</v>
      </c>
      <c r="C1342">
        <v>21</v>
      </c>
      <c r="D1342" t="s">
        <v>18</v>
      </c>
      <c r="E1342" t="s">
        <v>16</v>
      </c>
      <c r="F1342" s="1">
        <v>44205</v>
      </c>
      <c r="G1342">
        <v>6</v>
      </c>
      <c r="H1342">
        <v>6</v>
      </c>
      <c r="I1342">
        <v>11</v>
      </c>
      <c r="J1342">
        <v>5</v>
      </c>
      <c r="K1342">
        <v>0</v>
      </c>
      <c r="L1342">
        <v>566</v>
      </c>
      <c r="M1342">
        <v>45</v>
      </c>
      <c r="N1342" s="1">
        <f t="shared" si="160"/>
        <v>44938</v>
      </c>
      <c r="O1342" s="1">
        <f t="shared" si="161"/>
        <v>43101</v>
      </c>
      <c r="P1342" s="1">
        <f t="shared" si="162"/>
        <v>44440</v>
      </c>
      <c r="Q1342" s="8">
        <f t="shared" si="163"/>
        <v>0</v>
      </c>
      <c r="R1342" s="8">
        <f t="shared" si="164"/>
        <v>45</v>
      </c>
      <c r="S1342" s="8">
        <f t="shared" ca="1" si="165"/>
        <v>45</v>
      </c>
      <c r="T1342">
        <f t="shared" ca="1" si="166"/>
        <v>7.622420555788735</v>
      </c>
      <c r="U1342" s="8">
        <f t="shared" ca="1" si="167"/>
        <v>1</v>
      </c>
      <c r="V1342" s="8">
        <f ca="1">RawData[[#This Row],[Z (smoothed demand size)]]/RawData[[#This Row],[X (smoothed interval)]]</f>
        <v>7.622420555788735</v>
      </c>
    </row>
    <row r="1343" spans="1:22">
      <c r="A1343" t="s">
        <v>36</v>
      </c>
      <c r="B1343" t="s">
        <v>14</v>
      </c>
      <c r="C1343">
        <v>21</v>
      </c>
      <c r="D1343" t="s">
        <v>18</v>
      </c>
      <c r="E1343" t="s">
        <v>16</v>
      </c>
      <c r="F1343" s="1">
        <v>44206</v>
      </c>
      <c r="G1343">
        <v>6</v>
      </c>
      <c r="H1343">
        <v>5</v>
      </c>
      <c r="I1343">
        <v>5</v>
      </c>
      <c r="J1343">
        <v>0</v>
      </c>
      <c r="K1343">
        <v>1</v>
      </c>
      <c r="L1343">
        <v>563</v>
      </c>
      <c r="M1343">
        <v>60</v>
      </c>
      <c r="N1343" s="1">
        <f t="shared" si="160"/>
        <v>44938</v>
      </c>
      <c r="O1343" s="1">
        <f t="shared" si="161"/>
        <v>43101</v>
      </c>
      <c r="P1343" s="1">
        <f t="shared" si="162"/>
        <v>44470</v>
      </c>
      <c r="Q1343" s="8">
        <f t="shared" si="163"/>
        <v>0</v>
      </c>
      <c r="R1343" s="8">
        <f t="shared" si="164"/>
        <v>46</v>
      </c>
      <c r="S1343" s="8">
        <f t="shared" ca="1" si="165"/>
        <v>46</v>
      </c>
      <c r="T1343">
        <f t="shared" ca="1" si="166"/>
        <v>7.2979364446309889</v>
      </c>
      <c r="U1343" s="8">
        <f t="shared" ca="1" si="167"/>
        <v>1</v>
      </c>
      <c r="V1343" s="8">
        <f ca="1">RawData[[#This Row],[Z (smoothed demand size)]]/RawData[[#This Row],[X (smoothed interval)]]</f>
        <v>7.2979364446309889</v>
      </c>
    </row>
    <row r="1344" spans="1:22">
      <c r="A1344" t="s">
        <v>36</v>
      </c>
      <c r="B1344" t="s">
        <v>14</v>
      </c>
      <c r="C1344">
        <v>21</v>
      </c>
      <c r="D1344" t="s">
        <v>18</v>
      </c>
      <c r="E1344" t="s">
        <v>16</v>
      </c>
      <c r="F1344" s="1">
        <v>44207</v>
      </c>
      <c r="G1344">
        <v>5</v>
      </c>
      <c r="H1344">
        <v>5</v>
      </c>
      <c r="I1344">
        <v>11</v>
      </c>
      <c r="J1344">
        <v>6</v>
      </c>
      <c r="K1344">
        <v>0</v>
      </c>
      <c r="L1344">
        <v>561</v>
      </c>
      <c r="M1344">
        <v>60</v>
      </c>
      <c r="N1344" s="1">
        <f t="shared" si="160"/>
        <v>44938</v>
      </c>
      <c r="O1344" s="1">
        <f t="shared" si="161"/>
        <v>43101</v>
      </c>
      <c r="P1344" s="1">
        <f t="shared" si="162"/>
        <v>44501</v>
      </c>
      <c r="Q1344" s="8">
        <f t="shared" si="163"/>
        <v>0</v>
      </c>
      <c r="R1344" s="8">
        <f t="shared" si="164"/>
        <v>47</v>
      </c>
      <c r="S1344" s="8">
        <f t="shared" ca="1" si="165"/>
        <v>47</v>
      </c>
      <c r="T1344">
        <f t="shared" ca="1" si="166"/>
        <v>6.8383491557047913</v>
      </c>
      <c r="U1344" s="8">
        <f t="shared" ca="1" si="167"/>
        <v>1</v>
      </c>
      <c r="V1344" s="8">
        <f ca="1">RawData[[#This Row],[Z (smoothed demand size)]]/RawData[[#This Row],[X (smoothed interval)]]</f>
        <v>6.8383491557047913</v>
      </c>
    </row>
    <row r="1345" spans="1:22">
      <c r="A1345" t="s">
        <v>36</v>
      </c>
      <c r="B1345" t="s">
        <v>14</v>
      </c>
      <c r="C1345">
        <v>21</v>
      </c>
      <c r="D1345" t="s">
        <v>18</v>
      </c>
      <c r="E1345" t="s">
        <v>16</v>
      </c>
      <c r="F1345" s="1">
        <v>44208</v>
      </c>
      <c r="G1345">
        <v>11</v>
      </c>
      <c r="H1345">
        <v>6</v>
      </c>
      <c r="I1345">
        <v>6</v>
      </c>
      <c r="J1345">
        <v>0</v>
      </c>
      <c r="K1345">
        <v>1</v>
      </c>
      <c r="L1345">
        <v>653</v>
      </c>
      <c r="M1345">
        <v>30</v>
      </c>
      <c r="N1345" s="1">
        <f t="shared" si="160"/>
        <v>44938</v>
      </c>
      <c r="O1345" s="1">
        <f t="shared" si="161"/>
        <v>43101</v>
      </c>
      <c r="P1345" s="1">
        <f t="shared" si="162"/>
        <v>44531</v>
      </c>
      <c r="Q1345" s="8">
        <f t="shared" si="163"/>
        <v>0</v>
      </c>
      <c r="R1345" s="8">
        <f t="shared" si="164"/>
        <v>48</v>
      </c>
      <c r="S1345" s="8">
        <f t="shared" ca="1" si="165"/>
        <v>48</v>
      </c>
      <c r="T1345">
        <f t="shared" ca="1" si="166"/>
        <v>7.6706793245638334</v>
      </c>
      <c r="U1345" s="8">
        <f t="shared" ca="1" si="167"/>
        <v>1</v>
      </c>
      <c r="V1345" s="8">
        <f ca="1">RawData[[#This Row],[Z (smoothed demand size)]]/RawData[[#This Row],[X (smoothed interval)]]</f>
        <v>7.6706793245638334</v>
      </c>
    </row>
    <row r="1346" spans="1:22">
      <c r="A1346" t="s">
        <v>36</v>
      </c>
      <c r="B1346" t="s">
        <v>14</v>
      </c>
      <c r="C1346">
        <v>21</v>
      </c>
      <c r="D1346" t="s">
        <v>18</v>
      </c>
      <c r="E1346" t="s">
        <v>16</v>
      </c>
      <c r="F1346" s="1">
        <v>44562</v>
      </c>
      <c r="G1346">
        <v>9</v>
      </c>
      <c r="H1346">
        <v>9</v>
      </c>
      <c r="I1346">
        <v>11</v>
      </c>
      <c r="J1346">
        <v>2</v>
      </c>
      <c r="K1346">
        <v>0</v>
      </c>
      <c r="L1346">
        <v>561</v>
      </c>
      <c r="M1346">
        <v>60</v>
      </c>
      <c r="N1346" s="1">
        <f t="shared" ref="N1346:N1409" si="168">MAX(F:F)</f>
        <v>44938</v>
      </c>
      <c r="O1346" s="1">
        <f t="shared" ref="O1346:O1409" si="169">MIN(F:F)</f>
        <v>43101</v>
      </c>
      <c r="P1346" s="1">
        <f t="shared" ref="P1346:P1409" si="170">DATE(YEAR(F1346), DAY(F1346), 1)</f>
        <v>44562</v>
      </c>
      <c r="Q1346" s="8">
        <f t="shared" ref="Q1346:Q1409" si="171" xml:space="preserve"> IF(A1346&lt;&gt;A1345, 1, 0)</f>
        <v>0</v>
      </c>
      <c r="R1346" s="8">
        <f t="shared" ref="R1346:R1409" si="172">IF(Q1346=1,1,R1345+1)</f>
        <v>49</v>
      </c>
      <c r="S1346" s="8">
        <f t="shared" ref="S1346:S1409" ca="1" si="173" xml:space="preserve"> IF(Q1346=1, IF(G1346&gt;0, R1346, 0), IF(G1346&gt;0, R1346, OFFSET(S1346,-1,0)))</f>
        <v>49</v>
      </c>
      <c r="T1346">
        <f t="shared" ref="T1346:T1409" ca="1" si="174" xml:space="preserve"> IF(Q1346=1, IF(G1346&gt;0, G1346, 0), IF(G1346&gt;0, $X$1*G1346+(1-$X$1)*OFFSET(T1346,-1,0), OFFSET(T1346,-1,0)))</f>
        <v>7.9365434596510669</v>
      </c>
      <c r="U1346" s="8">
        <f t="shared" ref="U1346:U1409" ca="1" si="175" xml:space="preserve"> IF(Q1346=1, 1, IF(G1346&gt;0, $X$1*(R1346-OFFSET(S1346,-1,0))+(1-$X$1)*OFFSET(U1346,-1,0), OFFSET(U1346,-1,0)))</f>
        <v>1</v>
      </c>
      <c r="V1346" s="8">
        <f ca="1">RawData[[#This Row],[Z (smoothed demand size)]]/RawData[[#This Row],[X (smoothed interval)]]</f>
        <v>7.9365434596510669</v>
      </c>
    </row>
    <row r="1347" spans="1:22">
      <c r="A1347" t="s">
        <v>36</v>
      </c>
      <c r="B1347" t="s">
        <v>14</v>
      </c>
      <c r="C1347">
        <v>21</v>
      </c>
      <c r="D1347" t="s">
        <v>18</v>
      </c>
      <c r="E1347" t="s">
        <v>16</v>
      </c>
      <c r="F1347" s="1">
        <v>44563</v>
      </c>
      <c r="G1347">
        <v>9</v>
      </c>
      <c r="H1347">
        <v>2</v>
      </c>
      <c r="I1347">
        <v>2</v>
      </c>
      <c r="J1347">
        <v>0</v>
      </c>
      <c r="K1347">
        <v>1</v>
      </c>
      <c r="L1347">
        <v>568</v>
      </c>
      <c r="M1347">
        <v>45</v>
      </c>
      <c r="N1347" s="1">
        <f t="shared" si="168"/>
        <v>44938</v>
      </c>
      <c r="O1347" s="1">
        <f t="shared" si="169"/>
        <v>43101</v>
      </c>
      <c r="P1347" s="1">
        <f t="shared" si="170"/>
        <v>44593</v>
      </c>
      <c r="Q1347" s="8">
        <f t="shared" si="171"/>
        <v>0</v>
      </c>
      <c r="R1347" s="8">
        <f t="shared" si="172"/>
        <v>50</v>
      </c>
      <c r="S1347" s="8">
        <f t="shared" ca="1" si="173"/>
        <v>50</v>
      </c>
      <c r="T1347">
        <f t="shared" ca="1" si="174"/>
        <v>8.1492347677208539</v>
      </c>
      <c r="U1347" s="8">
        <f t="shared" ca="1" si="175"/>
        <v>1</v>
      </c>
      <c r="V1347" s="8">
        <f ca="1">RawData[[#This Row],[Z (smoothed demand size)]]/RawData[[#This Row],[X (smoothed interval)]]</f>
        <v>8.1492347677208539</v>
      </c>
    </row>
    <row r="1348" spans="1:22">
      <c r="A1348" t="s">
        <v>36</v>
      </c>
      <c r="B1348" t="s">
        <v>14</v>
      </c>
      <c r="C1348">
        <v>21</v>
      </c>
      <c r="D1348" t="s">
        <v>18</v>
      </c>
      <c r="E1348" t="s">
        <v>16</v>
      </c>
      <c r="F1348" s="1">
        <v>44564</v>
      </c>
      <c r="G1348">
        <v>7</v>
      </c>
      <c r="H1348">
        <v>7</v>
      </c>
      <c r="I1348">
        <v>9</v>
      </c>
      <c r="J1348">
        <v>2</v>
      </c>
      <c r="K1348">
        <v>0</v>
      </c>
      <c r="L1348">
        <v>569</v>
      </c>
      <c r="M1348">
        <v>15</v>
      </c>
      <c r="N1348" s="1">
        <f t="shared" si="168"/>
        <v>44938</v>
      </c>
      <c r="O1348" s="1">
        <f t="shared" si="169"/>
        <v>43101</v>
      </c>
      <c r="P1348" s="1">
        <f t="shared" si="170"/>
        <v>44621</v>
      </c>
      <c r="Q1348" s="8">
        <f t="shared" si="171"/>
        <v>0</v>
      </c>
      <c r="R1348" s="8">
        <f t="shared" si="172"/>
        <v>51</v>
      </c>
      <c r="S1348" s="8">
        <f t="shared" ca="1" si="173"/>
        <v>51</v>
      </c>
      <c r="T1348">
        <f t="shared" ca="1" si="174"/>
        <v>7.9193878141766838</v>
      </c>
      <c r="U1348" s="8">
        <f t="shared" ca="1" si="175"/>
        <v>1</v>
      </c>
      <c r="V1348" s="8">
        <f ca="1">RawData[[#This Row],[Z (smoothed demand size)]]/RawData[[#This Row],[X (smoothed interval)]]</f>
        <v>7.9193878141766838</v>
      </c>
    </row>
    <row r="1349" spans="1:22">
      <c r="A1349" t="s">
        <v>36</v>
      </c>
      <c r="B1349" t="s">
        <v>14</v>
      </c>
      <c r="C1349">
        <v>21</v>
      </c>
      <c r="D1349" t="s">
        <v>18</v>
      </c>
      <c r="E1349" t="s">
        <v>16</v>
      </c>
      <c r="F1349" s="1">
        <v>44565</v>
      </c>
      <c r="G1349">
        <v>14</v>
      </c>
      <c r="H1349">
        <v>13</v>
      </c>
      <c r="I1349">
        <v>13</v>
      </c>
      <c r="J1349">
        <v>0</v>
      </c>
      <c r="K1349">
        <v>1</v>
      </c>
      <c r="L1349">
        <v>565</v>
      </c>
      <c r="M1349">
        <v>15</v>
      </c>
      <c r="N1349" s="1">
        <f t="shared" si="168"/>
        <v>44938</v>
      </c>
      <c r="O1349" s="1">
        <f t="shared" si="169"/>
        <v>43101</v>
      </c>
      <c r="P1349" s="1">
        <f t="shared" si="170"/>
        <v>44652</v>
      </c>
      <c r="Q1349" s="8">
        <f t="shared" si="171"/>
        <v>0</v>
      </c>
      <c r="R1349" s="8">
        <f t="shared" si="172"/>
        <v>52</v>
      </c>
      <c r="S1349" s="8">
        <f t="shared" ca="1" si="173"/>
        <v>52</v>
      </c>
      <c r="T1349">
        <f t="shared" ca="1" si="174"/>
        <v>9.1355102513413478</v>
      </c>
      <c r="U1349" s="8">
        <f t="shared" ca="1" si="175"/>
        <v>1</v>
      </c>
      <c r="V1349" s="8">
        <f ca="1">RawData[[#This Row],[Z (smoothed demand size)]]/RawData[[#This Row],[X (smoothed interval)]]</f>
        <v>9.1355102513413478</v>
      </c>
    </row>
    <row r="1350" spans="1:22">
      <c r="A1350" t="s">
        <v>36</v>
      </c>
      <c r="B1350" t="s">
        <v>14</v>
      </c>
      <c r="C1350">
        <v>21</v>
      </c>
      <c r="D1350" t="s">
        <v>18</v>
      </c>
      <c r="E1350" t="s">
        <v>16</v>
      </c>
      <c r="F1350" s="1">
        <v>44566</v>
      </c>
      <c r="G1350">
        <v>10</v>
      </c>
      <c r="H1350">
        <v>10</v>
      </c>
      <c r="I1350">
        <v>12</v>
      </c>
      <c r="J1350">
        <v>2</v>
      </c>
      <c r="K1350">
        <v>0</v>
      </c>
      <c r="L1350">
        <v>560</v>
      </c>
      <c r="M1350">
        <v>30</v>
      </c>
      <c r="N1350" s="1">
        <f t="shared" si="168"/>
        <v>44938</v>
      </c>
      <c r="O1350" s="1">
        <f t="shared" si="169"/>
        <v>43101</v>
      </c>
      <c r="P1350" s="1">
        <f t="shared" si="170"/>
        <v>44682</v>
      </c>
      <c r="Q1350" s="8">
        <f t="shared" si="171"/>
        <v>0</v>
      </c>
      <c r="R1350" s="8">
        <f t="shared" si="172"/>
        <v>53</v>
      </c>
      <c r="S1350" s="8">
        <f t="shared" ca="1" si="173"/>
        <v>53</v>
      </c>
      <c r="T1350">
        <f t="shared" ca="1" si="174"/>
        <v>9.3084082010730782</v>
      </c>
      <c r="U1350" s="8">
        <f t="shared" ca="1" si="175"/>
        <v>1</v>
      </c>
      <c r="V1350" s="8">
        <f ca="1">RawData[[#This Row],[Z (smoothed demand size)]]/RawData[[#This Row],[X (smoothed interval)]]</f>
        <v>9.3084082010730782</v>
      </c>
    </row>
    <row r="1351" spans="1:22">
      <c r="A1351" t="s">
        <v>36</v>
      </c>
      <c r="B1351" t="s">
        <v>14</v>
      </c>
      <c r="C1351">
        <v>21</v>
      </c>
      <c r="D1351" t="s">
        <v>18</v>
      </c>
      <c r="E1351" t="s">
        <v>16</v>
      </c>
      <c r="F1351" s="1">
        <v>44567</v>
      </c>
      <c r="G1351">
        <v>7</v>
      </c>
      <c r="H1351">
        <v>7</v>
      </c>
      <c r="I1351">
        <v>14</v>
      </c>
      <c r="J1351">
        <v>7</v>
      </c>
      <c r="K1351">
        <v>0</v>
      </c>
      <c r="L1351">
        <v>645</v>
      </c>
      <c r="M1351">
        <v>30</v>
      </c>
      <c r="N1351" s="1">
        <f t="shared" si="168"/>
        <v>44938</v>
      </c>
      <c r="O1351" s="1">
        <f t="shared" si="169"/>
        <v>43101</v>
      </c>
      <c r="P1351" s="1">
        <f t="shared" si="170"/>
        <v>44713</v>
      </c>
      <c r="Q1351" s="8">
        <f t="shared" si="171"/>
        <v>0</v>
      </c>
      <c r="R1351" s="8">
        <f t="shared" si="172"/>
        <v>54</v>
      </c>
      <c r="S1351" s="8">
        <f t="shared" ca="1" si="173"/>
        <v>54</v>
      </c>
      <c r="T1351">
        <f t="shared" ca="1" si="174"/>
        <v>8.8467265608584622</v>
      </c>
      <c r="U1351" s="8">
        <f t="shared" ca="1" si="175"/>
        <v>1</v>
      </c>
      <c r="V1351" s="8">
        <f ca="1">RawData[[#This Row],[Z (smoothed demand size)]]/RawData[[#This Row],[X (smoothed interval)]]</f>
        <v>8.8467265608584622</v>
      </c>
    </row>
    <row r="1352" spans="1:22">
      <c r="A1352" t="s">
        <v>36</v>
      </c>
      <c r="B1352" t="s">
        <v>14</v>
      </c>
      <c r="C1352">
        <v>21</v>
      </c>
      <c r="D1352" t="s">
        <v>18</v>
      </c>
      <c r="E1352" t="s">
        <v>16</v>
      </c>
      <c r="F1352" s="1">
        <v>44568</v>
      </c>
      <c r="G1352">
        <v>11</v>
      </c>
      <c r="H1352">
        <v>11</v>
      </c>
      <c r="I1352">
        <v>14</v>
      </c>
      <c r="J1352">
        <v>3</v>
      </c>
      <c r="K1352">
        <v>0</v>
      </c>
      <c r="L1352">
        <v>637</v>
      </c>
      <c r="M1352">
        <v>15</v>
      </c>
      <c r="N1352" s="1">
        <f t="shared" si="168"/>
        <v>44938</v>
      </c>
      <c r="O1352" s="1">
        <f t="shared" si="169"/>
        <v>43101</v>
      </c>
      <c r="P1352" s="1">
        <f t="shared" si="170"/>
        <v>44743</v>
      </c>
      <c r="Q1352" s="8">
        <f t="shared" si="171"/>
        <v>0</v>
      </c>
      <c r="R1352" s="8">
        <f t="shared" si="172"/>
        <v>55</v>
      </c>
      <c r="S1352" s="8">
        <f t="shared" ca="1" si="173"/>
        <v>55</v>
      </c>
      <c r="T1352">
        <f t="shared" ca="1" si="174"/>
        <v>9.2773812486867691</v>
      </c>
      <c r="U1352" s="8">
        <f t="shared" ca="1" si="175"/>
        <v>1</v>
      </c>
      <c r="V1352" s="8">
        <f ca="1">RawData[[#This Row],[Z (smoothed demand size)]]/RawData[[#This Row],[X (smoothed interval)]]</f>
        <v>9.2773812486867691</v>
      </c>
    </row>
    <row r="1353" spans="1:22">
      <c r="A1353" t="s">
        <v>36</v>
      </c>
      <c r="B1353" t="s">
        <v>14</v>
      </c>
      <c r="C1353">
        <v>21</v>
      </c>
      <c r="D1353" t="s">
        <v>18</v>
      </c>
      <c r="E1353" t="s">
        <v>16</v>
      </c>
      <c r="F1353" s="1">
        <v>44569</v>
      </c>
      <c r="G1353">
        <v>0</v>
      </c>
      <c r="H1353">
        <v>0</v>
      </c>
      <c r="I1353">
        <v>15</v>
      </c>
      <c r="J1353">
        <v>15</v>
      </c>
      <c r="K1353">
        <v>0</v>
      </c>
      <c r="L1353">
        <v>647</v>
      </c>
      <c r="M1353">
        <v>45</v>
      </c>
      <c r="N1353" s="1">
        <f t="shared" si="168"/>
        <v>44938</v>
      </c>
      <c r="O1353" s="1">
        <f t="shared" si="169"/>
        <v>43101</v>
      </c>
      <c r="P1353" s="1">
        <f t="shared" si="170"/>
        <v>44774</v>
      </c>
      <c r="Q1353" s="8">
        <f t="shared" si="171"/>
        <v>0</v>
      </c>
      <c r="R1353" s="8">
        <f t="shared" si="172"/>
        <v>56</v>
      </c>
      <c r="S1353" s="8">
        <f t="shared" ca="1" si="173"/>
        <v>55</v>
      </c>
      <c r="T1353">
        <f t="shared" ca="1" si="174"/>
        <v>9.2773812486867691</v>
      </c>
      <c r="U1353" s="8">
        <f t="shared" ca="1" si="175"/>
        <v>1</v>
      </c>
      <c r="V1353" s="8">
        <f ca="1">RawData[[#This Row],[Z (smoothed demand size)]]/RawData[[#This Row],[X (smoothed interval)]]</f>
        <v>9.2773812486867691</v>
      </c>
    </row>
    <row r="1354" spans="1:22">
      <c r="A1354" t="s">
        <v>36</v>
      </c>
      <c r="B1354" t="s">
        <v>14</v>
      </c>
      <c r="C1354">
        <v>21</v>
      </c>
      <c r="D1354" t="s">
        <v>18</v>
      </c>
      <c r="E1354" t="s">
        <v>16</v>
      </c>
      <c r="F1354" s="1">
        <v>44570</v>
      </c>
      <c r="G1354">
        <v>8</v>
      </c>
      <c r="H1354">
        <v>8</v>
      </c>
      <c r="I1354">
        <v>15</v>
      </c>
      <c r="J1354">
        <v>7</v>
      </c>
      <c r="K1354">
        <v>0</v>
      </c>
      <c r="L1354">
        <v>563</v>
      </c>
      <c r="M1354">
        <v>15</v>
      </c>
      <c r="N1354" s="1">
        <f t="shared" si="168"/>
        <v>44938</v>
      </c>
      <c r="O1354" s="1">
        <f t="shared" si="169"/>
        <v>43101</v>
      </c>
      <c r="P1354" s="1">
        <f t="shared" si="170"/>
        <v>44805</v>
      </c>
      <c r="Q1354" s="8">
        <f t="shared" si="171"/>
        <v>0</v>
      </c>
      <c r="R1354" s="8">
        <f t="shared" si="172"/>
        <v>57</v>
      </c>
      <c r="S1354" s="8">
        <f t="shared" ca="1" si="173"/>
        <v>57</v>
      </c>
      <c r="T1354">
        <f t="shared" ca="1" si="174"/>
        <v>9.0219049989494149</v>
      </c>
      <c r="U1354" s="8">
        <f t="shared" ca="1" si="175"/>
        <v>1.2000000000000002</v>
      </c>
      <c r="V1354" s="8">
        <f ca="1">RawData[[#This Row],[Z (smoothed demand size)]]/RawData[[#This Row],[X (smoothed interval)]]</f>
        <v>7.5182541657911779</v>
      </c>
    </row>
    <row r="1355" spans="1:22">
      <c r="A1355" t="s">
        <v>36</v>
      </c>
      <c r="B1355" t="s">
        <v>14</v>
      </c>
      <c r="C1355">
        <v>21</v>
      </c>
      <c r="D1355" t="s">
        <v>18</v>
      </c>
      <c r="E1355" t="s">
        <v>16</v>
      </c>
      <c r="F1355" s="1">
        <v>44571</v>
      </c>
      <c r="G1355">
        <v>10</v>
      </c>
      <c r="H1355">
        <v>10</v>
      </c>
      <c r="I1355">
        <v>16</v>
      </c>
      <c r="J1355">
        <v>6</v>
      </c>
      <c r="K1355">
        <v>0</v>
      </c>
      <c r="L1355">
        <v>555</v>
      </c>
      <c r="M1355">
        <v>45</v>
      </c>
      <c r="N1355" s="1">
        <f t="shared" si="168"/>
        <v>44938</v>
      </c>
      <c r="O1355" s="1">
        <f t="shared" si="169"/>
        <v>43101</v>
      </c>
      <c r="P1355" s="1">
        <f t="shared" si="170"/>
        <v>44835</v>
      </c>
      <c r="Q1355" s="8">
        <f t="shared" si="171"/>
        <v>0</v>
      </c>
      <c r="R1355" s="8">
        <f t="shared" si="172"/>
        <v>58</v>
      </c>
      <c r="S1355" s="8">
        <f t="shared" ca="1" si="173"/>
        <v>58</v>
      </c>
      <c r="T1355">
        <f t="shared" ca="1" si="174"/>
        <v>9.2175239991595319</v>
      </c>
      <c r="U1355" s="8">
        <f t="shared" ca="1" si="175"/>
        <v>1.1600000000000001</v>
      </c>
      <c r="V1355" s="8">
        <f ca="1">RawData[[#This Row],[Z (smoothed demand size)]]/RawData[[#This Row],[X (smoothed interval)]]</f>
        <v>7.9461413785858026</v>
      </c>
    </row>
    <row r="1356" spans="1:22">
      <c r="A1356" t="s">
        <v>36</v>
      </c>
      <c r="B1356" t="s">
        <v>14</v>
      </c>
      <c r="C1356">
        <v>21</v>
      </c>
      <c r="D1356" t="s">
        <v>18</v>
      </c>
      <c r="E1356" t="s">
        <v>16</v>
      </c>
      <c r="F1356" s="1">
        <v>44572</v>
      </c>
      <c r="G1356">
        <v>8</v>
      </c>
      <c r="H1356">
        <v>6</v>
      </c>
      <c r="I1356">
        <v>6</v>
      </c>
      <c r="J1356">
        <v>0</v>
      </c>
      <c r="K1356">
        <v>1</v>
      </c>
      <c r="L1356">
        <v>576</v>
      </c>
      <c r="M1356">
        <v>15</v>
      </c>
      <c r="N1356" s="1">
        <f t="shared" si="168"/>
        <v>44938</v>
      </c>
      <c r="O1356" s="1">
        <f t="shared" si="169"/>
        <v>43101</v>
      </c>
      <c r="P1356" s="1">
        <f t="shared" si="170"/>
        <v>44866</v>
      </c>
      <c r="Q1356" s="8">
        <f t="shared" si="171"/>
        <v>0</v>
      </c>
      <c r="R1356" s="8">
        <f t="shared" si="172"/>
        <v>59</v>
      </c>
      <c r="S1356" s="8">
        <f t="shared" ca="1" si="173"/>
        <v>59</v>
      </c>
      <c r="T1356">
        <f t="shared" ca="1" si="174"/>
        <v>8.9740191993276266</v>
      </c>
      <c r="U1356" s="8">
        <f t="shared" ca="1" si="175"/>
        <v>1.1280000000000001</v>
      </c>
      <c r="V1356" s="8">
        <f ca="1">RawData[[#This Row],[Z (smoothed demand size)]]/RawData[[#This Row],[X (smoothed interval)]]</f>
        <v>7.9556907795457672</v>
      </c>
    </row>
    <row r="1357" spans="1:22">
      <c r="A1357" t="s">
        <v>36</v>
      </c>
      <c r="B1357" t="s">
        <v>14</v>
      </c>
      <c r="C1357">
        <v>21</v>
      </c>
      <c r="D1357" t="s">
        <v>18</v>
      </c>
      <c r="E1357" t="s">
        <v>16</v>
      </c>
      <c r="F1357" s="1">
        <v>44573</v>
      </c>
      <c r="G1357">
        <v>13</v>
      </c>
      <c r="H1357">
        <v>9</v>
      </c>
      <c r="I1357">
        <v>9</v>
      </c>
      <c r="J1357">
        <v>0</v>
      </c>
      <c r="K1357">
        <v>1</v>
      </c>
      <c r="L1357">
        <v>651</v>
      </c>
      <c r="M1357">
        <v>45</v>
      </c>
      <c r="N1357" s="1">
        <f t="shared" si="168"/>
        <v>44938</v>
      </c>
      <c r="O1357" s="1">
        <f t="shared" si="169"/>
        <v>43101</v>
      </c>
      <c r="P1357" s="1">
        <f t="shared" si="170"/>
        <v>44896</v>
      </c>
      <c r="Q1357" s="8">
        <f t="shared" si="171"/>
        <v>0</v>
      </c>
      <c r="R1357" s="8">
        <f t="shared" si="172"/>
        <v>60</v>
      </c>
      <c r="S1357" s="8">
        <f t="shared" ca="1" si="173"/>
        <v>60</v>
      </c>
      <c r="T1357">
        <f t="shared" ca="1" si="174"/>
        <v>9.7792153594621016</v>
      </c>
      <c r="U1357" s="8">
        <f t="shared" ca="1" si="175"/>
        <v>1.1024</v>
      </c>
      <c r="V1357" s="8">
        <f ca="1">RawData[[#This Row],[Z (smoothed demand size)]]/RawData[[#This Row],[X (smoothed interval)]]</f>
        <v>8.8708412186702663</v>
      </c>
    </row>
    <row r="1358" spans="1:22">
      <c r="A1358" t="s">
        <v>36</v>
      </c>
      <c r="B1358" t="s">
        <v>14</v>
      </c>
      <c r="C1358">
        <v>21</v>
      </c>
      <c r="D1358" t="s">
        <v>18</v>
      </c>
      <c r="E1358" t="s">
        <v>16</v>
      </c>
      <c r="F1358" s="1">
        <v>44927</v>
      </c>
      <c r="G1358">
        <v>7</v>
      </c>
      <c r="H1358">
        <v>0</v>
      </c>
      <c r="I1358">
        <v>0</v>
      </c>
      <c r="J1358">
        <v>0</v>
      </c>
      <c r="K1358">
        <v>1</v>
      </c>
      <c r="L1358">
        <v>557</v>
      </c>
      <c r="M1358">
        <v>30</v>
      </c>
      <c r="N1358" s="1">
        <f t="shared" si="168"/>
        <v>44938</v>
      </c>
      <c r="O1358" s="1">
        <f t="shared" si="169"/>
        <v>43101</v>
      </c>
      <c r="P1358" s="1">
        <f t="shared" si="170"/>
        <v>44927</v>
      </c>
      <c r="Q1358" s="8">
        <f t="shared" si="171"/>
        <v>0</v>
      </c>
      <c r="R1358" s="8">
        <f t="shared" si="172"/>
        <v>61</v>
      </c>
      <c r="S1358" s="8">
        <f t="shared" ca="1" si="173"/>
        <v>61</v>
      </c>
      <c r="T1358">
        <f t="shared" ca="1" si="174"/>
        <v>9.2233722875696813</v>
      </c>
      <c r="U1358" s="8">
        <f t="shared" ca="1" si="175"/>
        <v>1.08192</v>
      </c>
      <c r="V1358" s="8">
        <f ca="1">RawData[[#This Row],[Z (smoothed demand size)]]/RawData[[#This Row],[X (smoothed interval)]]</f>
        <v>8.5250039629267249</v>
      </c>
    </row>
    <row r="1359" spans="1:22">
      <c r="A1359" t="s">
        <v>36</v>
      </c>
      <c r="B1359" t="s">
        <v>14</v>
      </c>
      <c r="C1359">
        <v>21</v>
      </c>
      <c r="D1359" t="s">
        <v>18</v>
      </c>
      <c r="E1359" t="s">
        <v>16</v>
      </c>
      <c r="F1359" s="1">
        <v>44928</v>
      </c>
      <c r="G1359">
        <v>8</v>
      </c>
      <c r="H1359">
        <v>8</v>
      </c>
      <c r="I1359">
        <v>8</v>
      </c>
      <c r="J1359">
        <v>0</v>
      </c>
      <c r="K1359">
        <v>0</v>
      </c>
      <c r="L1359">
        <v>573</v>
      </c>
      <c r="M1359">
        <v>45</v>
      </c>
      <c r="N1359" s="1">
        <f t="shared" si="168"/>
        <v>44938</v>
      </c>
      <c r="O1359" s="1">
        <f t="shared" si="169"/>
        <v>43101</v>
      </c>
      <c r="P1359" s="1">
        <f t="shared" si="170"/>
        <v>44958</v>
      </c>
      <c r="Q1359" s="8">
        <f t="shared" si="171"/>
        <v>0</v>
      </c>
      <c r="R1359" s="8">
        <f t="shared" si="172"/>
        <v>62</v>
      </c>
      <c r="S1359" s="8">
        <f t="shared" ca="1" si="173"/>
        <v>62</v>
      </c>
      <c r="T1359">
        <f t="shared" ca="1" si="174"/>
        <v>8.9786978300557454</v>
      </c>
      <c r="U1359" s="8">
        <f t="shared" ca="1" si="175"/>
        <v>1.065536</v>
      </c>
      <c r="V1359" s="8">
        <f ca="1">RawData[[#This Row],[Z (smoothed demand size)]]/RawData[[#This Row],[X (smoothed interval)]]</f>
        <v>8.426461264617755</v>
      </c>
    </row>
    <row r="1360" spans="1:22">
      <c r="A1360" t="s">
        <v>36</v>
      </c>
      <c r="B1360" t="s">
        <v>14</v>
      </c>
      <c r="C1360">
        <v>21</v>
      </c>
      <c r="D1360" t="s">
        <v>18</v>
      </c>
      <c r="E1360" t="s">
        <v>16</v>
      </c>
      <c r="F1360" s="1">
        <v>44929</v>
      </c>
      <c r="G1360">
        <v>5</v>
      </c>
      <c r="H1360">
        <v>0</v>
      </c>
      <c r="I1360">
        <v>0</v>
      </c>
      <c r="J1360">
        <v>0</v>
      </c>
      <c r="K1360">
        <v>1</v>
      </c>
      <c r="L1360">
        <v>559</v>
      </c>
      <c r="M1360">
        <v>15</v>
      </c>
      <c r="N1360" s="1">
        <f t="shared" si="168"/>
        <v>44938</v>
      </c>
      <c r="O1360" s="1">
        <f t="shared" si="169"/>
        <v>43101</v>
      </c>
      <c r="P1360" s="1">
        <f t="shared" si="170"/>
        <v>44986</v>
      </c>
      <c r="Q1360" s="8">
        <f t="shared" si="171"/>
        <v>0</v>
      </c>
      <c r="R1360" s="8">
        <f t="shared" si="172"/>
        <v>63</v>
      </c>
      <c r="S1360" s="8">
        <f t="shared" ca="1" si="173"/>
        <v>63</v>
      </c>
      <c r="T1360">
        <f t="shared" ca="1" si="174"/>
        <v>8.182958264044597</v>
      </c>
      <c r="U1360" s="8">
        <f t="shared" ca="1" si="175"/>
        <v>1.0524288000000002</v>
      </c>
      <c r="V1360" s="8">
        <f ca="1">RawData[[#This Row],[Z (smoothed demand size)]]/RawData[[#This Row],[X (smoothed interval)]]</f>
        <v>7.7753081862113573</v>
      </c>
    </row>
    <row r="1361" spans="1:22">
      <c r="A1361" t="s">
        <v>36</v>
      </c>
      <c r="B1361" t="s">
        <v>14</v>
      </c>
      <c r="C1361">
        <v>21</v>
      </c>
      <c r="D1361" t="s">
        <v>18</v>
      </c>
      <c r="E1361" t="s">
        <v>16</v>
      </c>
      <c r="F1361" s="1">
        <v>44930</v>
      </c>
      <c r="G1361">
        <v>7</v>
      </c>
      <c r="H1361">
        <v>7</v>
      </c>
      <c r="I1361">
        <v>11</v>
      </c>
      <c r="J1361">
        <v>4</v>
      </c>
      <c r="K1361">
        <v>0</v>
      </c>
      <c r="L1361">
        <v>566</v>
      </c>
      <c r="M1361">
        <v>45</v>
      </c>
      <c r="N1361" s="1">
        <f t="shared" si="168"/>
        <v>44938</v>
      </c>
      <c r="O1361" s="1">
        <f t="shared" si="169"/>
        <v>43101</v>
      </c>
      <c r="P1361" s="1">
        <f t="shared" si="170"/>
        <v>45017</v>
      </c>
      <c r="Q1361" s="8">
        <f t="shared" si="171"/>
        <v>0</v>
      </c>
      <c r="R1361" s="8">
        <f t="shared" si="172"/>
        <v>64</v>
      </c>
      <c r="S1361" s="8">
        <f t="shared" ca="1" si="173"/>
        <v>64</v>
      </c>
      <c r="T1361">
        <f t="shared" ca="1" si="174"/>
        <v>7.9463666112356783</v>
      </c>
      <c r="U1361" s="8">
        <f t="shared" ca="1" si="175"/>
        <v>1.0419430400000003</v>
      </c>
      <c r="V1361" s="8">
        <f ca="1">RawData[[#This Row],[Z (smoothed demand size)]]/RawData[[#This Row],[X (smoothed interval)]]</f>
        <v>7.6264884990600601</v>
      </c>
    </row>
    <row r="1362" spans="1:22">
      <c r="A1362" t="s">
        <v>36</v>
      </c>
      <c r="B1362" t="s">
        <v>14</v>
      </c>
      <c r="C1362">
        <v>21</v>
      </c>
      <c r="D1362" t="s">
        <v>18</v>
      </c>
      <c r="E1362" t="s">
        <v>16</v>
      </c>
      <c r="F1362" s="1">
        <v>44931</v>
      </c>
      <c r="G1362">
        <v>11</v>
      </c>
      <c r="H1362">
        <v>4</v>
      </c>
      <c r="I1362">
        <v>4</v>
      </c>
      <c r="J1362">
        <v>0</v>
      </c>
      <c r="K1362">
        <v>1</v>
      </c>
      <c r="L1362">
        <v>562</v>
      </c>
      <c r="M1362">
        <v>30</v>
      </c>
      <c r="N1362" s="1">
        <f t="shared" si="168"/>
        <v>44938</v>
      </c>
      <c r="O1362" s="1">
        <f t="shared" si="169"/>
        <v>43101</v>
      </c>
      <c r="P1362" s="1">
        <f t="shared" si="170"/>
        <v>45047</v>
      </c>
      <c r="Q1362" s="8">
        <f t="shared" si="171"/>
        <v>0</v>
      </c>
      <c r="R1362" s="8">
        <f t="shared" si="172"/>
        <v>65</v>
      </c>
      <c r="S1362" s="8">
        <f t="shared" ca="1" si="173"/>
        <v>65</v>
      </c>
      <c r="T1362">
        <f t="shared" ca="1" si="174"/>
        <v>8.5570932889885434</v>
      </c>
      <c r="U1362" s="8">
        <f t="shared" ca="1" si="175"/>
        <v>1.0335544320000003</v>
      </c>
      <c r="V1362" s="8">
        <f ca="1">RawData[[#This Row],[Z (smoothed demand size)]]/RawData[[#This Row],[X (smoothed interval)]]</f>
        <v>8.2792865320406666</v>
      </c>
    </row>
    <row r="1363" spans="1:22">
      <c r="A1363" t="s">
        <v>36</v>
      </c>
      <c r="B1363" t="s">
        <v>14</v>
      </c>
      <c r="C1363">
        <v>21</v>
      </c>
      <c r="D1363" t="s">
        <v>18</v>
      </c>
      <c r="E1363" t="s">
        <v>16</v>
      </c>
      <c r="F1363" s="1">
        <v>44932</v>
      </c>
      <c r="G1363">
        <v>10</v>
      </c>
      <c r="H1363">
        <v>8</v>
      </c>
      <c r="I1363">
        <v>8</v>
      </c>
      <c r="J1363">
        <v>0</v>
      </c>
      <c r="K1363">
        <v>1</v>
      </c>
      <c r="L1363">
        <v>643</v>
      </c>
      <c r="M1363">
        <v>60</v>
      </c>
      <c r="N1363" s="1">
        <f t="shared" si="168"/>
        <v>44938</v>
      </c>
      <c r="O1363" s="1">
        <f t="shared" si="169"/>
        <v>43101</v>
      </c>
      <c r="P1363" s="1">
        <f t="shared" si="170"/>
        <v>45078</v>
      </c>
      <c r="Q1363" s="8">
        <f t="shared" si="171"/>
        <v>0</v>
      </c>
      <c r="R1363" s="8">
        <f t="shared" si="172"/>
        <v>66</v>
      </c>
      <c r="S1363" s="8">
        <f t="shared" ca="1" si="173"/>
        <v>66</v>
      </c>
      <c r="T1363">
        <f t="shared" ca="1" si="174"/>
        <v>8.8456746311908354</v>
      </c>
      <c r="U1363" s="8">
        <f t="shared" ca="1" si="175"/>
        <v>1.0268435456000002</v>
      </c>
      <c r="V1363" s="8">
        <f ca="1">RawData[[#This Row],[Z (smoothed demand size)]]/RawData[[#This Row],[X (smoothed interval)]]</f>
        <v>8.6144327138192942</v>
      </c>
    </row>
    <row r="1364" spans="1:22">
      <c r="A1364" t="s">
        <v>36</v>
      </c>
      <c r="B1364" t="s">
        <v>14</v>
      </c>
      <c r="C1364">
        <v>21</v>
      </c>
      <c r="D1364" t="s">
        <v>18</v>
      </c>
      <c r="E1364" t="s">
        <v>16</v>
      </c>
      <c r="F1364" s="1">
        <v>44933</v>
      </c>
      <c r="G1364">
        <v>9</v>
      </c>
      <c r="H1364">
        <v>0</v>
      </c>
      <c r="I1364">
        <v>0</v>
      </c>
      <c r="J1364">
        <v>0</v>
      </c>
      <c r="K1364">
        <v>1</v>
      </c>
      <c r="L1364">
        <v>643</v>
      </c>
      <c r="M1364">
        <v>45</v>
      </c>
      <c r="N1364" s="1">
        <f t="shared" si="168"/>
        <v>44938</v>
      </c>
      <c r="O1364" s="1">
        <f t="shared" si="169"/>
        <v>43101</v>
      </c>
      <c r="P1364" s="1">
        <f t="shared" si="170"/>
        <v>45108</v>
      </c>
      <c r="Q1364" s="8">
        <f t="shared" si="171"/>
        <v>0</v>
      </c>
      <c r="R1364" s="8">
        <f t="shared" si="172"/>
        <v>67</v>
      </c>
      <c r="S1364" s="8">
        <f t="shared" ca="1" si="173"/>
        <v>67</v>
      </c>
      <c r="T1364">
        <f t="shared" ca="1" si="174"/>
        <v>8.8765397049526698</v>
      </c>
      <c r="U1364" s="8">
        <f t="shared" ca="1" si="175"/>
        <v>1.0214748364800001</v>
      </c>
      <c r="V1364" s="8">
        <f ca="1">RawData[[#This Row],[Z (smoothed demand size)]]/RawData[[#This Row],[X (smoothed interval)]]</f>
        <v>8.6899249868368802</v>
      </c>
    </row>
    <row r="1365" spans="1:22">
      <c r="A1365" t="s">
        <v>36</v>
      </c>
      <c r="B1365" t="s">
        <v>14</v>
      </c>
      <c r="C1365">
        <v>21</v>
      </c>
      <c r="D1365" t="s">
        <v>18</v>
      </c>
      <c r="E1365" t="s">
        <v>16</v>
      </c>
      <c r="F1365" s="1">
        <v>44934</v>
      </c>
      <c r="G1365">
        <v>14</v>
      </c>
      <c r="H1365">
        <v>9</v>
      </c>
      <c r="I1365">
        <v>9</v>
      </c>
      <c r="J1365">
        <v>0</v>
      </c>
      <c r="K1365">
        <v>1</v>
      </c>
      <c r="L1365">
        <v>655</v>
      </c>
      <c r="M1365">
        <v>15</v>
      </c>
      <c r="N1365" s="1">
        <f t="shared" si="168"/>
        <v>44938</v>
      </c>
      <c r="O1365" s="1">
        <f t="shared" si="169"/>
        <v>43101</v>
      </c>
      <c r="P1365" s="1">
        <f t="shared" si="170"/>
        <v>45139</v>
      </c>
      <c r="Q1365" s="8">
        <f t="shared" si="171"/>
        <v>0</v>
      </c>
      <c r="R1365" s="8">
        <f t="shared" si="172"/>
        <v>68</v>
      </c>
      <c r="S1365" s="8">
        <f t="shared" ca="1" si="173"/>
        <v>68</v>
      </c>
      <c r="T1365">
        <f t="shared" ca="1" si="174"/>
        <v>9.9012317639621372</v>
      </c>
      <c r="U1365" s="8">
        <f t="shared" ca="1" si="175"/>
        <v>1.0171798691840002</v>
      </c>
      <c r="V1365" s="8">
        <f ca="1">RawData[[#This Row],[Z (smoothed demand size)]]/RawData[[#This Row],[X (smoothed interval)]]</f>
        <v>9.7340028680523165</v>
      </c>
    </row>
    <row r="1366" spans="1:22">
      <c r="A1366" t="s">
        <v>36</v>
      </c>
      <c r="B1366" t="s">
        <v>14</v>
      </c>
      <c r="C1366">
        <v>21</v>
      </c>
      <c r="D1366" t="s">
        <v>18</v>
      </c>
      <c r="E1366" t="s">
        <v>16</v>
      </c>
      <c r="F1366" s="1">
        <v>44935</v>
      </c>
      <c r="G1366">
        <v>5</v>
      </c>
      <c r="H1366">
        <v>5</v>
      </c>
      <c r="I1366">
        <v>9</v>
      </c>
      <c r="J1366">
        <v>4</v>
      </c>
      <c r="K1366">
        <v>0</v>
      </c>
      <c r="L1366">
        <v>566</v>
      </c>
      <c r="M1366">
        <v>60</v>
      </c>
      <c r="N1366" s="1">
        <f t="shared" si="168"/>
        <v>44938</v>
      </c>
      <c r="O1366" s="1">
        <f t="shared" si="169"/>
        <v>43101</v>
      </c>
      <c r="P1366" s="1">
        <f t="shared" si="170"/>
        <v>45170</v>
      </c>
      <c r="Q1366" s="8">
        <f t="shared" si="171"/>
        <v>0</v>
      </c>
      <c r="R1366" s="8">
        <f t="shared" si="172"/>
        <v>69</v>
      </c>
      <c r="S1366" s="8">
        <f t="shared" ca="1" si="173"/>
        <v>69</v>
      </c>
      <c r="T1366">
        <f t="shared" ca="1" si="174"/>
        <v>8.9209854111697098</v>
      </c>
      <c r="U1366" s="8">
        <f t="shared" ca="1" si="175"/>
        <v>1.0137438953472002</v>
      </c>
      <c r="V1366" s="8">
        <f ca="1">RawData[[#This Row],[Z (smoothed demand size)]]/RawData[[#This Row],[X (smoothed interval)]]</f>
        <v>8.8000386015782954</v>
      </c>
    </row>
    <row r="1367" spans="1:22">
      <c r="A1367" t="s">
        <v>36</v>
      </c>
      <c r="B1367" t="s">
        <v>14</v>
      </c>
      <c r="C1367">
        <v>21</v>
      </c>
      <c r="D1367" t="s">
        <v>18</v>
      </c>
      <c r="E1367" t="s">
        <v>16</v>
      </c>
      <c r="F1367" s="1">
        <v>44936</v>
      </c>
      <c r="G1367">
        <v>3</v>
      </c>
      <c r="H1367">
        <v>3</v>
      </c>
      <c r="I1367">
        <v>4</v>
      </c>
      <c r="J1367">
        <v>1</v>
      </c>
      <c r="K1367">
        <v>0</v>
      </c>
      <c r="L1367">
        <v>561</v>
      </c>
      <c r="M1367">
        <v>60</v>
      </c>
      <c r="N1367" s="1">
        <f t="shared" si="168"/>
        <v>44938</v>
      </c>
      <c r="O1367" s="1">
        <f t="shared" si="169"/>
        <v>43101</v>
      </c>
      <c r="P1367" s="1">
        <f t="shared" si="170"/>
        <v>45200</v>
      </c>
      <c r="Q1367" s="8">
        <f t="shared" si="171"/>
        <v>0</v>
      </c>
      <c r="R1367" s="8">
        <f t="shared" si="172"/>
        <v>70</v>
      </c>
      <c r="S1367" s="8">
        <f t="shared" ca="1" si="173"/>
        <v>70</v>
      </c>
      <c r="T1367">
        <f t="shared" ca="1" si="174"/>
        <v>7.7367883289357682</v>
      </c>
      <c r="U1367" s="8">
        <f t="shared" ca="1" si="175"/>
        <v>1.0109951162777602</v>
      </c>
      <c r="V1367" s="8">
        <f ca="1">RawData[[#This Row],[Z (smoothed demand size)]]/RawData[[#This Row],[X (smoothed interval)]]</f>
        <v>7.6526465898477865</v>
      </c>
    </row>
    <row r="1368" spans="1:22">
      <c r="A1368" t="s">
        <v>36</v>
      </c>
      <c r="B1368" t="s">
        <v>14</v>
      </c>
      <c r="C1368">
        <v>21</v>
      </c>
      <c r="D1368" t="s">
        <v>18</v>
      </c>
      <c r="E1368" t="s">
        <v>16</v>
      </c>
      <c r="F1368" s="1">
        <v>44937</v>
      </c>
      <c r="G1368">
        <v>7</v>
      </c>
      <c r="H1368">
        <v>7</v>
      </c>
      <c r="I1368">
        <v>11</v>
      </c>
      <c r="J1368">
        <v>4</v>
      </c>
      <c r="K1368">
        <v>0</v>
      </c>
      <c r="L1368">
        <v>550</v>
      </c>
      <c r="M1368">
        <v>60</v>
      </c>
      <c r="N1368" s="1">
        <f t="shared" si="168"/>
        <v>44938</v>
      </c>
      <c r="O1368" s="1">
        <f t="shared" si="169"/>
        <v>43101</v>
      </c>
      <c r="P1368" s="1">
        <f t="shared" si="170"/>
        <v>45231</v>
      </c>
      <c r="Q1368" s="8">
        <f t="shared" si="171"/>
        <v>0</v>
      </c>
      <c r="R1368" s="8">
        <f t="shared" si="172"/>
        <v>71</v>
      </c>
      <c r="S1368" s="8">
        <f t="shared" ca="1" si="173"/>
        <v>71</v>
      </c>
      <c r="T1368">
        <f t="shared" ca="1" si="174"/>
        <v>7.5894306631486153</v>
      </c>
      <c r="U1368" s="8">
        <f t="shared" ca="1" si="175"/>
        <v>1.0087960930222082</v>
      </c>
      <c r="V1368" s="8">
        <f ca="1">RawData[[#This Row],[Z (smoothed demand size)]]/RawData[[#This Row],[X (smoothed interval)]]</f>
        <v>7.5232554087434771</v>
      </c>
    </row>
    <row r="1369" spans="1:22">
      <c r="A1369" t="s">
        <v>36</v>
      </c>
      <c r="B1369" t="s">
        <v>14</v>
      </c>
      <c r="C1369">
        <v>21</v>
      </c>
      <c r="D1369" t="s">
        <v>18</v>
      </c>
      <c r="E1369" t="s">
        <v>16</v>
      </c>
      <c r="F1369" s="1">
        <v>44938</v>
      </c>
      <c r="G1369">
        <v>12</v>
      </c>
      <c r="H1369">
        <v>4</v>
      </c>
      <c r="I1369">
        <v>4</v>
      </c>
      <c r="J1369">
        <v>0</v>
      </c>
      <c r="K1369">
        <v>1</v>
      </c>
      <c r="L1369">
        <v>648</v>
      </c>
      <c r="M1369">
        <v>15</v>
      </c>
      <c r="N1369" s="1">
        <f t="shared" si="168"/>
        <v>44938</v>
      </c>
      <c r="O1369" s="1">
        <f t="shared" si="169"/>
        <v>43101</v>
      </c>
      <c r="P1369" s="1">
        <f t="shared" si="170"/>
        <v>45261</v>
      </c>
      <c r="Q1369" s="8">
        <f t="shared" si="171"/>
        <v>0</v>
      </c>
      <c r="R1369" s="8">
        <f t="shared" si="172"/>
        <v>72</v>
      </c>
      <c r="S1369" s="8">
        <f t="shared" ca="1" si="173"/>
        <v>72</v>
      </c>
      <c r="T1369">
        <f t="shared" ca="1" si="174"/>
        <v>8.4715445305188926</v>
      </c>
      <c r="U1369" s="8">
        <f t="shared" ca="1" si="175"/>
        <v>1.0070368744177667</v>
      </c>
      <c r="V1369" s="8">
        <f ca="1">RawData[[#This Row],[Z (smoothed demand size)]]/RawData[[#This Row],[X (smoothed interval)]]</f>
        <v>8.4123478948244497</v>
      </c>
    </row>
    <row r="1370" spans="1:22">
      <c r="A1370" t="s">
        <v>37</v>
      </c>
      <c r="B1370" t="s">
        <v>14</v>
      </c>
      <c r="C1370">
        <v>32</v>
      </c>
      <c r="D1370" t="s">
        <v>15</v>
      </c>
      <c r="E1370" t="s">
        <v>16</v>
      </c>
      <c r="F1370" s="1">
        <v>43101</v>
      </c>
      <c r="G1370">
        <v>8</v>
      </c>
      <c r="H1370">
        <v>8</v>
      </c>
      <c r="I1370">
        <v>16</v>
      </c>
      <c r="J1370">
        <v>8</v>
      </c>
      <c r="K1370">
        <v>0</v>
      </c>
      <c r="L1370">
        <v>614</v>
      </c>
      <c r="M1370">
        <v>45</v>
      </c>
      <c r="N1370" s="1">
        <f t="shared" si="168"/>
        <v>44938</v>
      </c>
      <c r="O1370" s="1">
        <f t="shared" si="169"/>
        <v>43101</v>
      </c>
      <c r="P1370" s="1">
        <f t="shared" si="170"/>
        <v>43101</v>
      </c>
      <c r="Q1370" s="8">
        <f t="shared" si="171"/>
        <v>1</v>
      </c>
      <c r="R1370" s="8">
        <f t="shared" si="172"/>
        <v>1</v>
      </c>
      <c r="S1370" s="8">
        <f t="shared" ca="1" si="173"/>
        <v>1</v>
      </c>
      <c r="T1370">
        <f t="shared" ca="1" si="174"/>
        <v>8</v>
      </c>
      <c r="U1370" s="8">
        <f t="shared" ca="1" si="175"/>
        <v>1</v>
      </c>
      <c r="V1370" s="8">
        <f ca="1">RawData[[#This Row],[Z (smoothed demand size)]]/RawData[[#This Row],[X (smoothed interval)]]</f>
        <v>8</v>
      </c>
    </row>
    <row r="1371" spans="1:22">
      <c r="A1371" t="s">
        <v>37</v>
      </c>
      <c r="B1371" t="s">
        <v>14</v>
      </c>
      <c r="C1371">
        <v>32</v>
      </c>
      <c r="D1371" t="s">
        <v>15</v>
      </c>
      <c r="E1371" t="s">
        <v>16</v>
      </c>
      <c r="F1371" s="1">
        <v>43102</v>
      </c>
      <c r="G1371">
        <v>6</v>
      </c>
      <c r="H1371">
        <v>6</v>
      </c>
      <c r="I1371">
        <v>8</v>
      </c>
      <c r="J1371">
        <v>2</v>
      </c>
      <c r="K1371">
        <v>0</v>
      </c>
      <c r="L1371">
        <v>611</v>
      </c>
      <c r="M1371">
        <v>45</v>
      </c>
      <c r="N1371" s="1">
        <f t="shared" si="168"/>
        <v>44938</v>
      </c>
      <c r="O1371" s="1">
        <f t="shared" si="169"/>
        <v>43101</v>
      </c>
      <c r="P1371" s="1">
        <f t="shared" si="170"/>
        <v>43132</v>
      </c>
      <c r="Q1371" s="8">
        <f t="shared" si="171"/>
        <v>0</v>
      </c>
      <c r="R1371" s="8">
        <f t="shared" si="172"/>
        <v>2</v>
      </c>
      <c r="S1371" s="8">
        <f t="shared" ca="1" si="173"/>
        <v>2</v>
      </c>
      <c r="T1371">
        <f t="shared" ca="1" si="174"/>
        <v>7.6000000000000005</v>
      </c>
      <c r="U1371" s="8">
        <f t="shared" ca="1" si="175"/>
        <v>1</v>
      </c>
      <c r="V1371" s="8">
        <f ca="1">RawData[[#This Row],[Z (smoothed demand size)]]/RawData[[#This Row],[X (smoothed interval)]]</f>
        <v>7.6000000000000005</v>
      </c>
    </row>
    <row r="1372" spans="1:22">
      <c r="A1372" t="s">
        <v>37</v>
      </c>
      <c r="B1372" t="s">
        <v>14</v>
      </c>
      <c r="C1372">
        <v>32</v>
      </c>
      <c r="D1372" t="s">
        <v>15</v>
      </c>
      <c r="E1372" t="s">
        <v>16</v>
      </c>
      <c r="F1372" s="1">
        <v>43103</v>
      </c>
      <c r="G1372">
        <v>5</v>
      </c>
      <c r="H1372">
        <v>5</v>
      </c>
      <c r="I1372">
        <v>9</v>
      </c>
      <c r="J1372">
        <v>4</v>
      </c>
      <c r="K1372">
        <v>0</v>
      </c>
      <c r="L1372">
        <v>611</v>
      </c>
      <c r="M1372">
        <v>15</v>
      </c>
      <c r="N1372" s="1">
        <f t="shared" si="168"/>
        <v>44938</v>
      </c>
      <c r="O1372" s="1">
        <f t="shared" si="169"/>
        <v>43101</v>
      </c>
      <c r="P1372" s="1">
        <f t="shared" si="170"/>
        <v>43160</v>
      </c>
      <c r="Q1372" s="8">
        <f t="shared" si="171"/>
        <v>0</v>
      </c>
      <c r="R1372" s="8">
        <f t="shared" si="172"/>
        <v>3</v>
      </c>
      <c r="S1372" s="8">
        <f t="shared" ca="1" si="173"/>
        <v>3</v>
      </c>
      <c r="T1372">
        <f t="shared" ca="1" si="174"/>
        <v>7.080000000000001</v>
      </c>
      <c r="U1372" s="8">
        <f t="shared" ca="1" si="175"/>
        <v>1</v>
      </c>
      <c r="V1372" s="8">
        <f ca="1">RawData[[#This Row],[Z (smoothed demand size)]]/RawData[[#This Row],[X (smoothed interval)]]</f>
        <v>7.080000000000001</v>
      </c>
    </row>
    <row r="1373" spans="1:22">
      <c r="A1373" t="s">
        <v>37</v>
      </c>
      <c r="B1373" t="s">
        <v>14</v>
      </c>
      <c r="C1373">
        <v>32</v>
      </c>
      <c r="D1373" t="s">
        <v>15</v>
      </c>
      <c r="E1373" t="s">
        <v>16</v>
      </c>
      <c r="F1373" s="1">
        <v>43104</v>
      </c>
      <c r="G1373">
        <v>8</v>
      </c>
      <c r="H1373">
        <v>8</v>
      </c>
      <c r="I1373">
        <v>16</v>
      </c>
      <c r="J1373">
        <v>8</v>
      </c>
      <c r="K1373">
        <v>0</v>
      </c>
      <c r="L1373">
        <v>614</v>
      </c>
      <c r="M1373">
        <v>15</v>
      </c>
      <c r="N1373" s="1">
        <f t="shared" si="168"/>
        <v>44938</v>
      </c>
      <c r="O1373" s="1">
        <f t="shared" si="169"/>
        <v>43101</v>
      </c>
      <c r="P1373" s="1">
        <f t="shared" si="170"/>
        <v>43191</v>
      </c>
      <c r="Q1373" s="8">
        <f t="shared" si="171"/>
        <v>0</v>
      </c>
      <c r="R1373" s="8">
        <f t="shared" si="172"/>
        <v>4</v>
      </c>
      <c r="S1373" s="8">
        <f t="shared" ca="1" si="173"/>
        <v>4</v>
      </c>
      <c r="T1373">
        <f t="shared" ca="1" si="174"/>
        <v>7.2640000000000011</v>
      </c>
      <c r="U1373" s="8">
        <f t="shared" ca="1" si="175"/>
        <v>1</v>
      </c>
      <c r="V1373" s="8">
        <f ca="1">RawData[[#This Row],[Z (smoothed demand size)]]/RawData[[#This Row],[X (smoothed interval)]]</f>
        <v>7.2640000000000011</v>
      </c>
    </row>
    <row r="1374" spans="1:22">
      <c r="A1374" t="s">
        <v>37</v>
      </c>
      <c r="B1374" t="s">
        <v>14</v>
      </c>
      <c r="C1374">
        <v>32</v>
      </c>
      <c r="D1374" t="s">
        <v>15</v>
      </c>
      <c r="E1374" t="s">
        <v>16</v>
      </c>
      <c r="F1374" s="1">
        <v>43105</v>
      </c>
      <c r="G1374">
        <v>7</v>
      </c>
      <c r="H1374">
        <v>7</v>
      </c>
      <c r="I1374">
        <v>17</v>
      </c>
      <c r="J1374">
        <v>10</v>
      </c>
      <c r="K1374">
        <v>0</v>
      </c>
      <c r="L1374">
        <v>622</v>
      </c>
      <c r="M1374">
        <v>45</v>
      </c>
      <c r="N1374" s="1">
        <f t="shared" si="168"/>
        <v>44938</v>
      </c>
      <c r="O1374" s="1">
        <f t="shared" si="169"/>
        <v>43101</v>
      </c>
      <c r="P1374" s="1">
        <f t="shared" si="170"/>
        <v>43221</v>
      </c>
      <c r="Q1374" s="8">
        <f t="shared" si="171"/>
        <v>0</v>
      </c>
      <c r="R1374" s="8">
        <f t="shared" si="172"/>
        <v>5</v>
      </c>
      <c r="S1374" s="8">
        <f t="shared" ca="1" si="173"/>
        <v>5</v>
      </c>
      <c r="T1374">
        <f t="shared" ca="1" si="174"/>
        <v>7.2112000000000016</v>
      </c>
      <c r="U1374" s="8">
        <f t="shared" ca="1" si="175"/>
        <v>1</v>
      </c>
      <c r="V1374" s="8">
        <f ca="1">RawData[[#This Row],[Z (smoothed demand size)]]/RawData[[#This Row],[X (smoothed interval)]]</f>
        <v>7.2112000000000016</v>
      </c>
    </row>
    <row r="1375" spans="1:22">
      <c r="A1375" t="s">
        <v>37</v>
      </c>
      <c r="B1375" t="s">
        <v>14</v>
      </c>
      <c r="C1375">
        <v>32</v>
      </c>
      <c r="D1375" t="s">
        <v>15</v>
      </c>
      <c r="E1375" t="s">
        <v>16</v>
      </c>
      <c r="F1375" s="1">
        <v>43106</v>
      </c>
      <c r="G1375">
        <v>11</v>
      </c>
      <c r="H1375">
        <v>10</v>
      </c>
      <c r="I1375">
        <v>10</v>
      </c>
      <c r="J1375">
        <v>0</v>
      </c>
      <c r="K1375">
        <v>1</v>
      </c>
      <c r="L1375">
        <v>719</v>
      </c>
      <c r="M1375">
        <v>15</v>
      </c>
      <c r="N1375" s="1">
        <f t="shared" si="168"/>
        <v>44938</v>
      </c>
      <c r="O1375" s="1">
        <f t="shared" si="169"/>
        <v>43101</v>
      </c>
      <c r="P1375" s="1">
        <f t="shared" si="170"/>
        <v>43252</v>
      </c>
      <c r="Q1375" s="8">
        <f t="shared" si="171"/>
        <v>0</v>
      </c>
      <c r="R1375" s="8">
        <f t="shared" si="172"/>
        <v>6</v>
      </c>
      <c r="S1375" s="8">
        <f t="shared" ca="1" si="173"/>
        <v>6</v>
      </c>
      <c r="T1375">
        <f t="shared" ca="1" si="174"/>
        <v>7.9689600000000018</v>
      </c>
      <c r="U1375" s="8">
        <f t="shared" ca="1" si="175"/>
        <v>1</v>
      </c>
      <c r="V1375" s="8">
        <f ca="1">RawData[[#This Row],[Z (smoothed demand size)]]/RawData[[#This Row],[X (smoothed interval)]]</f>
        <v>7.9689600000000018</v>
      </c>
    </row>
    <row r="1376" spans="1:22">
      <c r="A1376" t="s">
        <v>37</v>
      </c>
      <c r="B1376" t="s">
        <v>14</v>
      </c>
      <c r="C1376">
        <v>32</v>
      </c>
      <c r="D1376" t="s">
        <v>15</v>
      </c>
      <c r="E1376" t="s">
        <v>16</v>
      </c>
      <c r="F1376" s="1">
        <v>43107</v>
      </c>
      <c r="G1376">
        <v>10</v>
      </c>
      <c r="H1376">
        <v>8</v>
      </c>
      <c r="I1376">
        <v>8</v>
      </c>
      <c r="J1376">
        <v>0</v>
      </c>
      <c r="K1376">
        <v>1</v>
      </c>
      <c r="L1376">
        <v>718</v>
      </c>
      <c r="M1376">
        <v>60</v>
      </c>
      <c r="N1376" s="1">
        <f t="shared" si="168"/>
        <v>44938</v>
      </c>
      <c r="O1376" s="1">
        <f t="shared" si="169"/>
        <v>43101</v>
      </c>
      <c r="P1376" s="1">
        <f t="shared" si="170"/>
        <v>43282</v>
      </c>
      <c r="Q1376" s="8">
        <f t="shared" si="171"/>
        <v>0</v>
      </c>
      <c r="R1376" s="8">
        <f t="shared" si="172"/>
        <v>7</v>
      </c>
      <c r="S1376" s="8">
        <f t="shared" ca="1" si="173"/>
        <v>7</v>
      </c>
      <c r="T1376">
        <f t="shared" ca="1" si="174"/>
        <v>8.3751680000000022</v>
      </c>
      <c r="U1376" s="8">
        <f t="shared" ca="1" si="175"/>
        <v>1</v>
      </c>
      <c r="V1376" s="8">
        <f ca="1">RawData[[#This Row],[Z (smoothed demand size)]]/RawData[[#This Row],[X (smoothed interval)]]</f>
        <v>8.3751680000000022</v>
      </c>
    </row>
    <row r="1377" spans="1:22">
      <c r="A1377" t="s">
        <v>37</v>
      </c>
      <c r="B1377" t="s">
        <v>14</v>
      </c>
      <c r="C1377">
        <v>32</v>
      </c>
      <c r="D1377" t="s">
        <v>15</v>
      </c>
      <c r="E1377" t="s">
        <v>16</v>
      </c>
      <c r="F1377" s="1">
        <v>43108</v>
      </c>
      <c r="G1377">
        <v>5</v>
      </c>
      <c r="H1377">
        <v>0</v>
      </c>
      <c r="I1377">
        <v>0</v>
      </c>
      <c r="J1377">
        <v>0</v>
      </c>
      <c r="K1377">
        <v>1</v>
      </c>
      <c r="L1377">
        <v>697</v>
      </c>
      <c r="M1377">
        <v>60</v>
      </c>
      <c r="N1377" s="1">
        <f t="shared" si="168"/>
        <v>44938</v>
      </c>
      <c r="O1377" s="1">
        <f t="shared" si="169"/>
        <v>43101</v>
      </c>
      <c r="P1377" s="1">
        <f t="shared" si="170"/>
        <v>43313</v>
      </c>
      <c r="Q1377" s="8">
        <f t="shared" si="171"/>
        <v>0</v>
      </c>
      <c r="R1377" s="8">
        <f t="shared" si="172"/>
        <v>8</v>
      </c>
      <c r="S1377" s="8">
        <f t="shared" ca="1" si="173"/>
        <v>8</v>
      </c>
      <c r="T1377">
        <f t="shared" ca="1" si="174"/>
        <v>7.7001344000000023</v>
      </c>
      <c r="U1377" s="8">
        <f t="shared" ca="1" si="175"/>
        <v>1</v>
      </c>
      <c r="V1377" s="8">
        <f ca="1">RawData[[#This Row],[Z (smoothed demand size)]]/RawData[[#This Row],[X (smoothed interval)]]</f>
        <v>7.7001344000000023</v>
      </c>
    </row>
    <row r="1378" spans="1:22">
      <c r="A1378" t="s">
        <v>37</v>
      </c>
      <c r="B1378" t="s">
        <v>14</v>
      </c>
      <c r="C1378">
        <v>32</v>
      </c>
      <c r="D1378" t="s">
        <v>15</v>
      </c>
      <c r="E1378" t="s">
        <v>16</v>
      </c>
      <c r="F1378" s="1">
        <v>43109</v>
      </c>
      <c r="G1378">
        <v>12</v>
      </c>
      <c r="H1378">
        <v>9</v>
      </c>
      <c r="I1378">
        <v>9</v>
      </c>
      <c r="J1378">
        <v>0</v>
      </c>
      <c r="K1378">
        <v>1</v>
      </c>
      <c r="L1378">
        <v>610</v>
      </c>
      <c r="M1378">
        <v>30</v>
      </c>
      <c r="N1378" s="1">
        <f t="shared" si="168"/>
        <v>44938</v>
      </c>
      <c r="O1378" s="1">
        <f t="shared" si="169"/>
        <v>43101</v>
      </c>
      <c r="P1378" s="1">
        <f t="shared" si="170"/>
        <v>43344</v>
      </c>
      <c r="Q1378" s="8">
        <f t="shared" si="171"/>
        <v>0</v>
      </c>
      <c r="R1378" s="8">
        <f t="shared" si="172"/>
        <v>9</v>
      </c>
      <c r="S1378" s="8">
        <f t="shared" ca="1" si="173"/>
        <v>9</v>
      </c>
      <c r="T1378">
        <f t="shared" ca="1" si="174"/>
        <v>8.5601075200000025</v>
      </c>
      <c r="U1378" s="8">
        <f t="shared" ca="1" si="175"/>
        <v>1</v>
      </c>
      <c r="V1378" s="8">
        <f ca="1">RawData[[#This Row],[Z (smoothed demand size)]]/RawData[[#This Row],[X (smoothed interval)]]</f>
        <v>8.5601075200000025</v>
      </c>
    </row>
    <row r="1379" spans="1:22">
      <c r="A1379" t="s">
        <v>37</v>
      </c>
      <c r="B1379" t="s">
        <v>14</v>
      </c>
      <c r="C1379">
        <v>32</v>
      </c>
      <c r="D1379" t="s">
        <v>15</v>
      </c>
      <c r="E1379" t="s">
        <v>16</v>
      </c>
      <c r="F1379" s="1">
        <v>43110</v>
      </c>
      <c r="G1379">
        <v>5</v>
      </c>
      <c r="H1379">
        <v>5</v>
      </c>
      <c r="I1379">
        <v>8</v>
      </c>
      <c r="J1379">
        <v>3</v>
      </c>
      <c r="K1379">
        <v>0</v>
      </c>
      <c r="L1379">
        <v>620</v>
      </c>
      <c r="M1379">
        <v>45</v>
      </c>
      <c r="N1379" s="1">
        <f t="shared" si="168"/>
        <v>44938</v>
      </c>
      <c r="O1379" s="1">
        <f t="shared" si="169"/>
        <v>43101</v>
      </c>
      <c r="P1379" s="1">
        <f t="shared" si="170"/>
        <v>43374</v>
      </c>
      <c r="Q1379" s="8">
        <f t="shared" si="171"/>
        <v>0</v>
      </c>
      <c r="R1379" s="8">
        <f t="shared" si="172"/>
        <v>10</v>
      </c>
      <c r="S1379" s="8">
        <f t="shared" ca="1" si="173"/>
        <v>10</v>
      </c>
      <c r="T1379">
        <f t="shared" ca="1" si="174"/>
        <v>7.8480860160000026</v>
      </c>
      <c r="U1379" s="8">
        <f t="shared" ca="1" si="175"/>
        <v>1</v>
      </c>
      <c r="V1379" s="8">
        <f ca="1">RawData[[#This Row],[Z (smoothed demand size)]]/RawData[[#This Row],[X (smoothed interval)]]</f>
        <v>7.8480860160000026</v>
      </c>
    </row>
    <row r="1380" spans="1:22">
      <c r="A1380" t="s">
        <v>37</v>
      </c>
      <c r="B1380" t="s">
        <v>14</v>
      </c>
      <c r="C1380">
        <v>32</v>
      </c>
      <c r="D1380" t="s">
        <v>15</v>
      </c>
      <c r="E1380" t="s">
        <v>16</v>
      </c>
      <c r="F1380" s="1">
        <v>43111</v>
      </c>
      <c r="G1380">
        <v>4</v>
      </c>
      <c r="H1380">
        <v>3</v>
      </c>
      <c r="I1380">
        <v>3</v>
      </c>
      <c r="J1380">
        <v>0</v>
      </c>
      <c r="K1380">
        <v>1</v>
      </c>
      <c r="L1380">
        <v>624</v>
      </c>
      <c r="M1380">
        <v>60</v>
      </c>
      <c r="N1380" s="1">
        <f t="shared" si="168"/>
        <v>44938</v>
      </c>
      <c r="O1380" s="1">
        <f t="shared" si="169"/>
        <v>43101</v>
      </c>
      <c r="P1380" s="1">
        <f t="shared" si="170"/>
        <v>43405</v>
      </c>
      <c r="Q1380" s="8">
        <f t="shared" si="171"/>
        <v>0</v>
      </c>
      <c r="R1380" s="8">
        <f t="shared" si="172"/>
        <v>11</v>
      </c>
      <c r="S1380" s="8">
        <f t="shared" ca="1" si="173"/>
        <v>11</v>
      </c>
      <c r="T1380">
        <f t="shared" ca="1" si="174"/>
        <v>7.0784688128000024</v>
      </c>
      <c r="U1380" s="8">
        <f t="shared" ca="1" si="175"/>
        <v>1</v>
      </c>
      <c r="V1380" s="8">
        <f ca="1">RawData[[#This Row],[Z (smoothed demand size)]]/RawData[[#This Row],[X (smoothed interval)]]</f>
        <v>7.0784688128000024</v>
      </c>
    </row>
    <row r="1381" spans="1:22">
      <c r="A1381" t="s">
        <v>37</v>
      </c>
      <c r="B1381" t="s">
        <v>14</v>
      </c>
      <c r="C1381">
        <v>32</v>
      </c>
      <c r="D1381" t="s">
        <v>15</v>
      </c>
      <c r="E1381" t="s">
        <v>16</v>
      </c>
      <c r="F1381" s="1">
        <v>43112</v>
      </c>
      <c r="G1381">
        <v>5</v>
      </c>
      <c r="H1381">
        <v>5</v>
      </c>
      <c r="I1381">
        <v>7</v>
      </c>
      <c r="J1381">
        <v>2</v>
      </c>
      <c r="K1381">
        <v>0</v>
      </c>
      <c r="L1381">
        <v>702</v>
      </c>
      <c r="M1381">
        <v>45</v>
      </c>
      <c r="N1381" s="1">
        <f t="shared" si="168"/>
        <v>44938</v>
      </c>
      <c r="O1381" s="1">
        <f t="shared" si="169"/>
        <v>43101</v>
      </c>
      <c r="P1381" s="1">
        <f t="shared" si="170"/>
        <v>43435</v>
      </c>
      <c r="Q1381" s="8">
        <f t="shared" si="171"/>
        <v>0</v>
      </c>
      <c r="R1381" s="8">
        <f t="shared" si="172"/>
        <v>12</v>
      </c>
      <c r="S1381" s="8">
        <f t="shared" ca="1" si="173"/>
        <v>12</v>
      </c>
      <c r="T1381">
        <f t="shared" ca="1" si="174"/>
        <v>6.6627750502400023</v>
      </c>
      <c r="U1381" s="8">
        <f t="shared" ca="1" si="175"/>
        <v>1</v>
      </c>
      <c r="V1381" s="8">
        <f ca="1">RawData[[#This Row],[Z (smoothed demand size)]]/RawData[[#This Row],[X (smoothed interval)]]</f>
        <v>6.6627750502400023</v>
      </c>
    </row>
    <row r="1382" spans="1:22">
      <c r="A1382" t="s">
        <v>37</v>
      </c>
      <c r="B1382" t="s">
        <v>14</v>
      </c>
      <c r="C1382">
        <v>32</v>
      </c>
      <c r="D1382" t="s">
        <v>15</v>
      </c>
      <c r="E1382" t="s">
        <v>16</v>
      </c>
      <c r="F1382" s="1">
        <v>43466</v>
      </c>
      <c r="G1382">
        <v>11</v>
      </c>
      <c r="H1382">
        <v>2</v>
      </c>
      <c r="I1382">
        <v>2</v>
      </c>
      <c r="J1382">
        <v>0</v>
      </c>
      <c r="K1382">
        <v>1</v>
      </c>
      <c r="L1382">
        <v>615</v>
      </c>
      <c r="M1382">
        <v>15</v>
      </c>
      <c r="N1382" s="1">
        <f t="shared" si="168"/>
        <v>44938</v>
      </c>
      <c r="O1382" s="1">
        <f t="shared" si="169"/>
        <v>43101</v>
      </c>
      <c r="P1382" s="1">
        <f t="shared" si="170"/>
        <v>43466</v>
      </c>
      <c r="Q1382" s="8">
        <f t="shared" si="171"/>
        <v>0</v>
      </c>
      <c r="R1382" s="8">
        <f t="shared" si="172"/>
        <v>13</v>
      </c>
      <c r="S1382" s="8">
        <f t="shared" ca="1" si="173"/>
        <v>13</v>
      </c>
      <c r="T1382">
        <f t="shared" ca="1" si="174"/>
        <v>7.5302200401920025</v>
      </c>
      <c r="U1382" s="8">
        <f t="shared" ca="1" si="175"/>
        <v>1</v>
      </c>
      <c r="V1382" s="8">
        <f ca="1">RawData[[#This Row],[Z (smoothed demand size)]]/RawData[[#This Row],[X (smoothed interval)]]</f>
        <v>7.5302200401920025</v>
      </c>
    </row>
    <row r="1383" spans="1:22">
      <c r="A1383" t="s">
        <v>37</v>
      </c>
      <c r="B1383" t="s">
        <v>14</v>
      </c>
      <c r="C1383">
        <v>32</v>
      </c>
      <c r="D1383" t="s">
        <v>15</v>
      </c>
      <c r="E1383" t="s">
        <v>16</v>
      </c>
      <c r="F1383" s="1">
        <v>43467</v>
      </c>
      <c r="G1383">
        <v>8</v>
      </c>
      <c r="H1383">
        <v>8</v>
      </c>
      <c r="I1383">
        <v>11</v>
      </c>
      <c r="J1383">
        <v>3</v>
      </c>
      <c r="K1383">
        <v>0</v>
      </c>
      <c r="L1383">
        <v>607</v>
      </c>
      <c r="M1383">
        <v>30</v>
      </c>
      <c r="N1383" s="1">
        <f t="shared" si="168"/>
        <v>44938</v>
      </c>
      <c r="O1383" s="1">
        <f t="shared" si="169"/>
        <v>43101</v>
      </c>
      <c r="P1383" s="1">
        <f t="shared" si="170"/>
        <v>43497</v>
      </c>
      <c r="Q1383" s="8">
        <f t="shared" si="171"/>
        <v>0</v>
      </c>
      <c r="R1383" s="8">
        <f t="shared" si="172"/>
        <v>14</v>
      </c>
      <c r="S1383" s="8">
        <f t="shared" ca="1" si="173"/>
        <v>14</v>
      </c>
      <c r="T1383">
        <f t="shared" ca="1" si="174"/>
        <v>7.6241760321536027</v>
      </c>
      <c r="U1383" s="8">
        <f t="shared" ca="1" si="175"/>
        <v>1</v>
      </c>
      <c r="V1383" s="8">
        <f ca="1">RawData[[#This Row],[Z (smoothed demand size)]]/RawData[[#This Row],[X (smoothed interval)]]</f>
        <v>7.6241760321536027</v>
      </c>
    </row>
    <row r="1384" spans="1:22">
      <c r="A1384" t="s">
        <v>37</v>
      </c>
      <c r="B1384" t="s">
        <v>14</v>
      </c>
      <c r="C1384">
        <v>32</v>
      </c>
      <c r="D1384" t="s">
        <v>15</v>
      </c>
      <c r="E1384" t="s">
        <v>16</v>
      </c>
      <c r="F1384" s="1">
        <v>43468</v>
      </c>
      <c r="G1384">
        <v>10</v>
      </c>
      <c r="H1384">
        <v>10</v>
      </c>
      <c r="I1384">
        <v>12</v>
      </c>
      <c r="J1384">
        <v>2</v>
      </c>
      <c r="K1384">
        <v>0</v>
      </c>
      <c r="L1384">
        <v>616</v>
      </c>
      <c r="M1384">
        <v>30</v>
      </c>
      <c r="N1384" s="1">
        <f t="shared" si="168"/>
        <v>44938</v>
      </c>
      <c r="O1384" s="1">
        <f t="shared" si="169"/>
        <v>43101</v>
      </c>
      <c r="P1384" s="1">
        <f t="shared" si="170"/>
        <v>43525</v>
      </c>
      <c r="Q1384" s="8">
        <f t="shared" si="171"/>
        <v>0</v>
      </c>
      <c r="R1384" s="8">
        <f t="shared" si="172"/>
        <v>15</v>
      </c>
      <c r="S1384" s="8">
        <f t="shared" ca="1" si="173"/>
        <v>15</v>
      </c>
      <c r="T1384">
        <f t="shared" ca="1" si="174"/>
        <v>8.0993408257228836</v>
      </c>
      <c r="U1384" s="8">
        <f t="shared" ca="1" si="175"/>
        <v>1</v>
      </c>
      <c r="V1384" s="8">
        <f ca="1">RawData[[#This Row],[Z (smoothed demand size)]]/RawData[[#This Row],[X (smoothed interval)]]</f>
        <v>8.0993408257228836</v>
      </c>
    </row>
    <row r="1385" spans="1:22">
      <c r="A1385" t="s">
        <v>37</v>
      </c>
      <c r="B1385" t="s">
        <v>14</v>
      </c>
      <c r="C1385">
        <v>32</v>
      </c>
      <c r="D1385" t="s">
        <v>15</v>
      </c>
      <c r="E1385" t="s">
        <v>16</v>
      </c>
      <c r="F1385" s="1">
        <v>43469</v>
      </c>
      <c r="G1385">
        <v>6</v>
      </c>
      <c r="H1385">
        <v>6</v>
      </c>
      <c r="I1385">
        <v>9</v>
      </c>
      <c r="J1385">
        <v>3</v>
      </c>
      <c r="K1385">
        <v>0</v>
      </c>
      <c r="L1385">
        <v>610</v>
      </c>
      <c r="M1385">
        <v>15</v>
      </c>
      <c r="N1385" s="1">
        <f t="shared" si="168"/>
        <v>44938</v>
      </c>
      <c r="O1385" s="1">
        <f t="shared" si="169"/>
        <v>43101</v>
      </c>
      <c r="P1385" s="1">
        <f t="shared" si="170"/>
        <v>43556</v>
      </c>
      <c r="Q1385" s="8">
        <f t="shared" si="171"/>
        <v>0</v>
      </c>
      <c r="R1385" s="8">
        <f t="shared" si="172"/>
        <v>16</v>
      </c>
      <c r="S1385" s="8">
        <f t="shared" ca="1" si="173"/>
        <v>16</v>
      </c>
      <c r="T1385">
        <f t="shared" ca="1" si="174"/>
        <v>7.6794726605783072</v>
      </c>
      <c r="U1385" s="8">
        <f t="shared" ca="1" si="175"/>
        <v>1</v>
      </c>
      <c r="V1385" s="8">
        <f ca="1">RawData[[#This Row],[Z (smoothed demand size)]]/RawData[[#This Row],[X (smoothed interval)]]</f>
        <v>7.6794726605783072</v>
      </c>
    </row>
    <row r="1386" spans="1:22">
      <c r="A1386" t="s">
        <v>37</v>
      </c>
      <c r="B1386" t="s">
        <v>14</v>
      </c>
      <c r="C1386">
        <v>32</v>
      </c>
      <c r="D1386" t="s">
        <v>15</v>
      </c>
      <c r="E1386" t="s">
        <v>16</v>
      </c>
      <c r="F1386" s="1">
        <v>43470</v>
      </c>
      <c r="G1386">
        <v>7</v>
      </c>
      <c r="H1386">
        <v>7</v>
      </c>
      <c r="I1386">
        <v>13</v>
      </c>
      <c r="J1386">
        <v>6</v>
      </c>
      <c r="K1386">
        <v>0</v>
      </c>
      <c r="L1386">
        <v>615</v>
      </c>
      <c r="M1386">
        <v>30</v>
      </c>
      <c r="N1386" s="1">
        <f t="shared" si="168"/>
        <v>44938</v>
      </c>
      <c r="O1386" s="1">
        <f t="shared" si="169"/>
        <v>43101</v>
      </c>
      <c r="P1386" s="1">
        <f t="shared" si="170"/>
        <v>43586</v>
      </c>
      <c r="Q1386" s="8">
        <f t="shared" si="171"/>
        <v>0</v>
      </c>
      <c r="R1386" s="8">
        <f t="shared" si="172"/>
        <v>17</v>
      </c>
      <c r="S1386" s="8">
        <f t="shared" ca="1" si="173"/>
        <v>17</v>
      </c>
      <c r="T1386">
        <f t="shared" ca="1" si="174"/>
        <v>7.5435781284626469</v>
      </c>
      <c r="U1386" s="8">
        <f t="shared" ca="1" si="175"/>
        <v>1</v>
      </c>
      <c r="V1386" s="8">
        <f ca="1">RawData[[#This Row],[Z (smoothed demand size)]]/RawData[[#This Row],[X (smoothed interval)]]</f>
        <v>7.5435781284626469</v>
      </c>
    </row>
    <row r="1387" spans="1:22">
      <c r="A1387" t="s">
        <v>37</v>
      </c>
      <c r="B1387" t="s">
        <v>14</v>
      </c>
      <c r="C1387">
        <v>32</v>
      </c>
      <c r="D1387" t="s">
        <v>15</v>
      </c>
      <c r="E1387" t="s">
        <v>16</v>
      </c>
      <c r="F1387" s="1">
        <v>43471</v>
      </c>
      <c r="G1387">
        <v>10</v>
      </c>
      <c r="H1387">
        <v>10</v>
      </c>
      <c r="I1387">
        <v>14</v>
      </c>
      <c r="J1387">
        <v>4</v>
      </c>
      <c r="K1387">
        <v>0</v>
      </c>
      <c r="L1387">
        <v>698</v>
      </c>
      <c r="M1387">
        <v>45</v>
      </c>
      <c r="N1387" s="1">
        <f t="shared" si="168"/>
        <v>44938</v>
      </c>
      <c r="O1387" s="1">
        <f t="shared" si="169"/>
        <v>43101</v>
      </c>
      <c r="P1387" s="1">
        <f t="shared" si="170"/>
        <v>43617</v>
      </c>
      <c r="Q1387" s="8">
        <f t="shared" si="171"/>
        <v>0</v>
      </c>
      <c r="R1387" s="8">
        <f t="shared" si="172"/>
        <v>18</v>
      </c>
      <c r="S1387" s="8">
        <f t="shared" ca="1" si="173"/>
        <v>18</v>
      </c>
      <c r="T1387">
        <f t="shared" ca="1" si="174"/>
        <v>8.0348625027701175</v>
      </c>
      <c r="U1387" s="8">
        <f t="shared" ca="1" si="175"/>
        <v>1</v>
      </c>
      <c r="V1387" s="8">
        <f ca="1">RawData[[#This Row],[Z (smoothed demand size)]]/RawData[[#This Row],[X (smoothed interval)]]</f>
        <v>8.0348625027701175</v>
      </c>
    </row>
    <row r="1388" spans="1:22">
      <c r="A1388" t="s">
        <v>37</v>
      </c>
      <c r="B1388" t="s">
        <v>14</v>
      </c>
      <c r="C1388">
        <v>32</v>
      </c>
      <c r="D1388" t="s">
        <v>15</v>
      </c>
      <c r="E1388" t="s">
        <v>16</v>
      </c>
      <c r="F1388" s="1">
        <v>43472</v>
      </c>
      <c r="G1388">
        <v>13</v>
      </c>
      <c r="H1388">
        <v>4</v>
      </c>
      <c r="I1388">
        <v>4</v>
      </c>
      <c r="J1388">
        <v>0</v>
      </c>
      <c r="K1388">
        <v>1</v>
      </c>
      <c r="L1388">
        <v>695</v>
      </c>
      <c r="M1388">
        <v>60</v>
      </c>
      <c r="N1388" s="1">
        <f t="shared" si="168"/>
        <v>44938</v>
      </c>
      <c r="O1388" s="1">
        <f t="shared" si="169"/>
        <v>43101</v>
      </c>
      <c r="P1388" s="1">
        <f t="shared" si="170"/>
        <v>43647</v>
      </c>
      <c r="Q1388" s="8">
        <f t="shared" si="171"/>
        <v>0</v>
      </c>
      <c r="R1388" s="8">
        <f t="shared" si="172"/>
        <v>19</v>
      </c>
      <c r="S1388" s="8">
        <f t="shared" ca="1" si="173"/>
        <v>19</v>
      </c>
      <c r="T1388">
        <f t="shared" ca="1" si="174"/>
        <v>9.0278900022160951</v>
      </c>
      <c r="U1388" s="8">
        <f t="shared" ca="1" si="175"/>
        <v>1</v>
      </c>
      <c r="V1388" s="8">
        <f ca="1">RawData[[#This Row],[Z (smoothed demand size)]]/RawData[[#This Row],[X (smoothed interval)]]</f>
        <v>9.0278900022160951</v>
      </c>
    </row>
    <row r="1389" spans="1:22">
      <c r="A1389" t="s">
        <v>37</v>
      </c>
      <c r="B1389" t="s">
        <v>14</v>
      </c>
      <c r="C1389">
        <v>32</v>
      </c>
      <c r="D1389" t="s">
        <v>15</v>
      </c>
      <c r="E1389" t="s">
        <v>16</v>
      </c>
      <c r="F1389" s="1">
        <v>43473</v>
      </c>
      <c r="G1389">
        <v>5</v>
      </c>
      <c r="H1389">
        <v>5</v>
      </c>
      <c r="I1389">
        <v>12</v>
      </c>
      <c r="J1389">
        <v>7</v>
      </c>
      <c r="K1389">
        <v>0</v>
      </c>
      <c r="L1389">
        <v>728</v>
      </c>
      <c r="M1389">
        <v>60</v>
      </c>
      <c r="N1389" s="1">
        <f t="shared" si="168"/>
        <v>44938</v>
      </c>
      <c r="O1389" s="1">
        <f t="shared" si="169"/>
        <v>43101</v>
      </c>
      <c r="P1389" s="1">
        <f t="shared" si="170"/>
        <v>43678</v>
      </c>
      <c r="Q1389" s="8">
        <f t="shared" si="171"/>
        <v>0</v>
      </c>
      <c r="R1389" s="8">
        <f t="shared" si="172"/>
        <v>20</v>
      </c>
      <c r="S1389" s="8">
        <f t="shared" ca="1" si="173"/>
        <v>20</v>
      </c>
      <c r="T1389">
        <f t="shared" ca="1" si="174"/>
        <v>8.2223120017728775</v>
      </c>
      <c r="U1389" s="8">
        <f t="shared" ca="1" si="175"/>
        <v>1</v>
      </c>
      <c r="V1389" s="8">
        <f ca="1">RawData[[#This Row],[Z (smoothed demand size)]]/RawData[[#This Row],[X (smoothed interval)]]</f>
        <v>8.2223120017728775</v>
      </c>
    </row>
    <row r="1390" spans="1:22">
      <c r="A1390" t="s">
        <v>37</v>
      </c>
      <c r="B1390" t="s">
        <v>14</v>
      </c>
      <c r="C1390">
        <v>32</v>
      </c>
      <c r="D1390" t="s">
        <v>15</v>
      </c>
      <c r="E1390" t="s">
        <v>16</v>
      </c>
      <c r="F1390" s="1">
        <v>43474</v>
      </c>
      <c r="G1390">
        <v>11</v>
      </c>
      <c r="H1390">
        <v>7</v>
      </c>
      <c r="I1390">
        <v>7</v>
      </c>
      <c r="J1390">
        <v>0</v>
      </c>
      <c r="K1390">
        <v>1</v>
      </c>
      <c r="L1390">
        <v>615</v>
      </c>
      <c r="M1390">
        <v>15</v>
      </c>
      <c r="N1390" s="1">
        <f t="shared" si="168"/>
        <v>44938</v>
      </c>
      <c r="O1390" s="1">
        <f t="shared" si="169"/>
        <v>43101</v>
      </c>
      <c r="P1390" s="1">
        <f t="shared" si="170"/>
        <v>43709</v>
      </c>
      <c r="Q1390" s="8">
        <f t="shared" si="171"/>
        <v>0</v>
      </c>
      <c r="R1390" s="8">
        <f t="shared" si="172"/>
        <v>21</v>
      </c>
      <c r="S1390" s="8">
        <f t="shared" ca="1" si="173"/>
        <v>21</v>
      </c>
      <c r="T1390">
        <f t="shared" ca="1" si="174"/>
        <v>8.7778496014183034</v>
      </c>
      <c r="U1390" s="8">
        <f t="shared" ca="1" si="175"/>
        <v>1</v>
      </c>
      <c r="V1390" s="8">
        <f ca="1">RawData[[#This Row],[Z (smoothed demand size)]]/RawData[[#This Row],[X (smoothed interval)]]</f>
        <v>8.7778496014183034</v>
      </c>
    </row>
    <row r="1391" spans="1:22">
      <c r="A1391" t="s">
        <v>37</v>
      </c>
      <c r="B1391" t="s">
        <v>14</v>
      </c>
      <c r="C1391">
        <v>32</v>
      </c>
      <c r="D1391" t="s">
        <v>15</v>
      </c>
      <c r="E1391" t="s">
        <v>16</v>
      </c>
      <c r="F1391" s="1">
        <v>43475</v>
      </c>
      <c r="G1391">
        <v>9</v>
      </c>
      <c r="H1391">
        <v>8</v>
      </c>
      <c r="I1391">
        <v>8</v>
      </c>
      <c r="J1391">
        <v>0</v>
      </c>
      <c r="K1391">
        <v>1</v>
      </c>
      <c r="L1391">
        <v>627</v>
      </c>
      <c r="M1391">
        <v>15</v>
      </c>
      <c r="N1391" s="1">
        <f t="shared" si="168"/>
        <v>44938</v>
      </c>
      <c r="O1391" s="1">
        <f t="shared" si="169"/>
        <v>43101</v>
      </c>
      <c r="P1391" s="1">
        <f t="shared" si="170"/>
        <v>43739</v>
      </c>
      <c r="Q1391" s="8">
        <f t="shared" si="171"/>
        <v>0</v>
      </c>
      <c r="R1391" s="8">
        <f t="shared" si="172"/>
        <v>22</v>
      </c>
      <c r="S1391" s="8">
        <f t="shared" ca="1" si="173"/>
        <v>22</v>
      </c>
      <c r="T1391">
        <f t="shared" ca="1" si="174"/>
        <v>8.8222796811346438</v>
      </c>
      <c r="U1391" s="8">
        <f t="shared" ca="1" si="175"/>
        <v>1</v>
      </c>
      <c r="V1391" s="8">
        <f ca="1">RawData[[#This Row],[Z (smoothed demand size)]]/RawData[[#This Row],[X (smoothed interval)]]</f>
        <v>8.8222796811346438</v>
      </c>
    </row>
    <row r="1392" spans="1:22">
      <c r="A1392" t="s">
        <v>37</v>
      </c>
      <c r="B1392" t="s">
        <v>14</v>
      </c>
      <c r="C1392">
        <v>32</v>
      </c>
      <c r="D1392" t="s">
        <v>15</v>
      </c>
      <c r="E1392" t="s">
        <v>16</v>
      </c>
      <c r="F1392" s="1">
        <v>43476</v>
      </c>
      <c r="G1392">
        <v>6</v>
      </c>
      <c r="H1392">
        <v>6</v>
      </c>
      <c r="I1392">
        <v>8</v>
      </c>
      <c r="J1392">
        <v>2</v>
      </c>
      <c r="K1392">
        <v>0</v>
      </c>
      <c r="L1392">
        <v>623</v>
      </c>
      <c r="M1392">
        <v>15</v>
      </c>
      <c r="N1392" s="1">
        <f t="shared" si="168"/>
        <v>44938</v>
      </c>
      <c r="O1392" s="1">
        <f t="shared" si="169"/>
        <v>43101</v>
      </c>
      <c r="P1392" s="1">
        <f t="shared" si="170"/>
        <v>43770</v>
      </c>
      <c r="Q1392" s="8">
        <f t="shared" si="171"/>
        <v>0</v>
      </c>
      <c r="R1392" s="8">
        <f t="shared" si="172"/>
        <v>23</v>
      </c>
      <c r="S1392" s="8">
        <f t="shared" ca="1" si="173"/>
        <v>23</v>
      </c>
      <c r="T1392">
        <f t="shared" ca="1" si="174"/>
        <v>8.2578237449077143</v>
      </c>
      <c r="U1392" s="8">
        <f t="shared" ca="1" si="175"/>
        <v>1</v>
      </c>
      <c r="V1392" s="8">
        <f ca="1">RawData[[#This Row],[Z (smoothed demand size)]]/RawData[[#This Row],[X (smoothed interval)]]</f>
        <v>8.2578237449077143</v>
      </c>
    </row>
    <row r="1393" spans="1:22">
      <c r="A1393" t="s">
        <v>37</v>
      </c>
      <c r="B1393" t="s">
        <v>14</v>
      </c>
      <c r="C1393">
        <v>32</v>
      </c>
      <c r="D1393" t="s">
        <v>15</v>
      </c>
      <c r="E1393" t="s">
        <v>16</v>
      </c>
      <c r="F1393" s="1">
        <v>43477</v>
      </c>
      <c r="G1393">
        <v>6</v>
      </c>
      <c r="H1393">
        <v>6</v>
      </c>
      <c r="I1393">
        <v>10</v>
      </c>
      <c r="J1393">
        <v>4</v>
      </c>
      <c r="K1393">
        <v>0</v>
      </c>
      <c r="L1393">
        <v>695</v>
      </c>
      <c r="M1393">
        <v>45</v>
      </c>
      <c r="N1393" s="1">
        <f t="shared" si="168"/>
        <v>44938</v>
      </c>
      <c r="O1393" s="1">
        <f t="shared" si="169"/>
        <v>43101</v>
      </c>
      <c r="P1393" s="1">
        <f t="shared" si="170"/>
        <v>43800</v>
      </c>
      <c r="Q1393" s="8">
        <f t="shared" si="171"/>
        <v>0</v>
      </c>
      <c r="R1393" s="8">
        <f t="shared" si="172"/>
        <v>24</v>
      </c>
      <c r="S1393" s="8">
        <f t="shared" ca="1" si="173"/>
        <v>24</v>
      </c>
      <c r="T1393">
        <f t="shared" ca="1" si="174"/>
        <v>7.8062589959261723</v>
      </c>
      <c r="U1393" s="8">
        <f t="shared" ca="1" si="175"/>
        <v>1</v>
      </c>
      <c r="V1393" s="8">
        <f ca="1">RawData[[#This Row],[Z (smoothed demand size)]]/RawData[[#This Row],[X (smoothed interval)]]</f>
        <v>7.8062589959261723</v>
      </c>
    </row>
    <row r="1394" spans="1:22">
      <c r="A1394" t="s">
        <v>37</v>
      </c>
      <c r="B1394" t="s">
        <v>14</v>
      </c>
      <c r="C1394">
        <v>32</v>
      </c>
      <c r="D1394" t="s">
        <v>15</v>
      </c>
      <c r="E1394" t="s">
        <v>16</v>
      </c>
      <c r="F1394" s="1">
        <v>43831</v>
      </c>
      <c r="G1394">
        <v>9</v>
      </c>
      <c r="H1394">
        <v>4</v>
      </c>
      <c r="I1394">
        <v>4</v>
      </c>
      <c r="J1394">
        <v>0</v>
      </c>
      <c r="K1394">
        <v>1</v>
      </c>
      <c r="L1394">
        <v>615</v>
      </c>
      <c r="M1394">
        <v>60</v>
      </c>
      <c r="N1394" s="1">
        <f t="shared" si="168"/>
        <v>44938</v>
      </c>
      <c r="O1394" s="1">
        <f t="shared" si="169"/>
        <v>43101</v>
      </c>
      <c r="P1394" s="1">
        <f t="shared" si="170"/>
        <v>43831</v>
      </c>
      <c r="Q1394" s="8">
        <f t="shared" si="171"/>
        <v>0</v>
      </c>
      <c r="R1394" s="8">
        <f t="shared" si="172"/>
        <v>25</v>
      </c>
      <c r="S1394" s="8">
        <f t="shared" ca="1" si="173"/>
        <v>25</v>
      </c>
      <c r="T1394">
        <f t="shared" ca="1" si="174"/>
        <v>8.0450071967409382</v>
      </c>
      <c r="U1394" s="8">
        <f t="shared" ca="1" si="175"/>
        <v>1</v>
      </c>
      <c r="V1394" s="8">
        <f ca="1">RawData[[#This Row],[Z (smoothed demand size)]]/RawData[[#This Row],[X (smoothed interval)]]</f>
        <v>8.0450071967409382</v>
      </c>
    </row>
    <row r="1395" spans="1:22">
      <c r="A1395" t="s">
        <v>37</v>
      </c>
      <c r="B1395" t="s">
        <v>14</v>
      </c>
      <c r="C1395">
        <v>32</v>
      </c>
      <c r="D1395" t="s">
        <v>15</v>
      </c>
      <c r="E1395" t="s">
        <v>16</v>
      </c>
      <c r="F1395" s="1">
        <v>43832</v>
      </c>
      <c r="G1395">
        <v>6</v>
      </c>
      <c r="H1395">
        <v>6</v>
      </c>
      <c r="I1395">
        <v>8</v>
      </c>
      <c r="J1395">
        <v>2</v>
      </c>
      <c r="K1395">
        <v>0</v>
      </c>
      <c r="L1395">
        <v>604</v>
      </c>
      <c r="M1395">
        <v>60</v>
      </c>
      <c r="N1395" s="1">
        <f t="shared" si="168"/>
        <v>44938</v>
      </c>
      <c r="O1395" s="1">
        <f t="shared" si="169"/>
        <v>43101</v>
      </c>
      <c r="P1395" s="1">
        <f t="shared" si="170"/>
        <v>43862</v>
      </c>
      <c r="Q1395" s="8">
        <f t="shared" si="171"/>
        <v>0</v>
      </c>
      <c r="R1395" s="8">
        <f t="shared" si="172"/>
        <v>26</v>
      </c>
      <c r="S1395" s="8">
        <f t="shared" ca="1" si="173"/>
        <v>26</v>
      </c>
      <c r="T1395">
        <f t="shared" ca="1" si="174"/>
        <v>7.6360057573927511</v>
      </c>
      <c r="U1395" s="8">
        <f t="shared" ca="1" si="175"/>
        <v>1</v>
      </c>
      <c r="V1395" s="8">
        <f ca="1">RawData[[#This Row],[Z (smoothed demand size)]]/RawData[[#This Row],[X (smoothed interval)]]</f>
        <v>7.6360057573927511</v>
      </c>
    </row>
    <row r="1396" spans="1:22">
      <c r="A1396" t="s">
        <v>37</v>
      </c>
      <c r="B1396" t="s">
        <v>14</v>
      </c>
      <c r="C1396">
        <v>32</v>
      </c>
      <c r="D1396" t="s">
        <v>15</v>
      </c>
      <c r="E1396" t="s">
        <v>16</v>
      </c>
      <c r="F1396" s="1">
        <v>43833</v>
      </c>
      <c r="G1396">
        <v>4</v>
      </c>
      <c r="H1396">
        <v>2</v>
      </c>
      <c r="I1396">
        <v>2</v>
      </c>
      <c r="J1396">
        <v>0</v>
      </c>
      <c r="K1396">
        <v>1</v>
      </c>
      <c r="L1396">
        <v>610</v>
      </c>
      <c r="M1396">
        <v>30</v>
      </c>
      <c r="N1396" s="1">
        <f t="shared" si="168"/>
        <v>44938</v>
      </c>
      <c r="O1396" s="1">
        <f t="shared" si="169"/>
        <v>43101</v>
      </c>
      <c r="P1396" s="1">
        <f t="shared" si="170"/>
        <v>43891</v>
      </c>
      <c r="Q1396" s="8">
        <f t="shared" si="171"/>
        <v>0</v>
      </c>
      <c r="R1396" s="8">
        <f t="shared" si="172"/>
        <v>27</v>
      </c>
      <c r="S1396" s="8">
        <f t="shared" ca="1" si="173"/>
        <v>27</v>
      </c>
      <c r="T1396">
        <f t="shared" ca="1" si="174"/>
        <v>6.9088046059142014</v>
      </c>
      <c r="U1396" s="8">
        <f t="shared" ca="1" si="175"/>
        <v>1</v>
      </c>
      <c r="V1396" s="8">
        <f ca="1">RawData[[#This Row],[Z (smoothed demand size)]]/RawData[[#This Row],[X (smoothed interval)]]</f>
        <v>6.9088046059142014</v>
      </c>
    </row>
    <row r="1397" spans="1:22">
      <c r="A1397" t="s">
        <v>37</v>
      </c>
      <c r="B1397" t="s">
        <v>14</v>
      </c>
      <c r="C1397">
        <v>32</v>
      </c>
      <c r="D1397" t="s">
        <v>15</v>
      </c>
      <c r="E1397" t="s">
        <v>16</v>
      </c>
      <c r="F1397" s="1">
        <v>43834</v>
      </c>
      <c r="G1397">
        <v>5</v>
      </c>
      <c r="H1397">
        <v>5</v>
      </c>
      <c r="I1397">
        <v>9</v>
      </c>
      <c r="J1397">
        <v>4</v>
      </c>
      <c r="K1397">
        <v>0</v>
      </c>
      <c r="L1397">
        <v>601</v>
      </c>
      <c r="M1397">
        <v>30</v>
      </c>
      <c r="N1397" s="1">
        <f t="shared" si="168"/>
        <v>44938</v>
      </c>
      <c r="O1397" s="1">
        <f t="shared" si="169"/>
        <v>43101</v>
      </c>
      <c r="P1397" s="1">
        <f t="shared" si="170"/>
        <v>43922</v>
      </c>
      <c r="Q1397" s="8">
        <f t="shared" si="171"/>
        <v>0</v>
      </c>
      <c r="R1397" s="8">
        <f t="shared" si="172"/>
        <v>28</v>
      </c>
      <c r="S1397" s="8">
        <f t="shared" ca="1" si="173"/>
        <v>28</v>
      </c>
      <c r="T1397">
        <f t="shared" ca="1" si="174"/>
        <v>6.5270436847313613</v>
      </c>
      <c r="U1397" s="8">
        <f t="shared" ca="1" si="175"/>
        <v>1</v>
      </c>
      <c r="V1397" s="8">
        <f ca="1">RawData[[#This Row],[Z (smoothed demand size)]]/RawData[[#This Row],[X (smoothed interval)]]</f>
        <v>6.5270436847313613</v>
      </c>
    </row>
    <row r="1398" spans="1:22">
      <c r="A1398" t="s">
        <v>37</v>
      </c>
      <c r="B1398" t="s">
        <v>14</v>
      </c>
      <c r="C1398">
        <v>32</v>
      </c>
      <c r="D1398" t="s">
        <v>15</v>
      </c>
      <c r="E1398" t="s">
        <v>16</v>
      </c>
      <c r="F1398" s="1">
        <v>43835</v>
      </c>
      <c r="G1398">
        <v>12</v>
      </c>
      <c r="H1398">
        <v>12</v>
      </c>
      <c r="I1398">
        <v>12</v>
      </c>
      <c r="J1398">
        <v>0</v>
      </c>
      <c r="K1398">
        <v>0</v>
      </c>
      <c r="L1398">
        <v>603</v>
      </c>
      <c r="M1398">
        <v>15</v>
      </c>
      <c r="N1398" s="1">
        <f t="shared" si="168"/>
        <v>44938</v>
      </c>
      <c r="O1398" s="1">
        <f t="shared" si="169"/>
        <v>43101</v>
      </c>
      <c r="P1398" s="1">
        <f t="shared" si="170"/>
        <v>43952</v>
      </c>
      <c r="Q1398" s="8">
        <f t="shared" si="171"/>
        <v>0</v>
      </c>
      <c r="R1398" s="8">
        <f t="shared" si="172"/>
        <v>29</v>
      </c>
      <c r="S1398" s="8">
        <f t="shared" ca="1" si="173"/>
        <v>29</v>
      </c>
      <c r="T1398">
        <f t="shared" ca="1" si="174"/>
        <v>7.6216349477850898</v>
      </c>
      <c r="U1398" s="8">
        <f t="shared" ca="1" si="175"/>
        <v>1</v>
      </c>
      <c r="V1398" s="8">
        <f ca="1">RawData[[#This Row],[Z (smoothed demand size)]]/RawData[[#This Row],[X (smoothed interval)]]</f>
        <v>7.6216349477850898</v>
      </c>
    </row>
    <row r="1399" spans="1:22">
      <c r="A1399" t="s">
        <v>37</v>
      </c>
      <c r="B1399" t="s">
        <v>14</v>
      </c>
      <c r="C1399">
        <v>32</v>
      </c>
      <c r="D1399" t="s">
        <v>15</v>
      </c>
      <c r="E1399" t="s">
        <v>16</v>
      </c>
      <c r="F1399" s="1">
        <v>43836</v>
      </c>
      <c r="G1399">
        <v>8</v>
      </c>
      <c r="H1399">
        <v>8</v>
      </c>
      <c r="I1399">
        <v>9</v>
      </c>
      <c r="J1399">
        <v>1</v>
      </c>
      <c r="K1399">
        <v>0</v>
      </c>
      <c r="L1399">
        <v>698</v>
      </c>
      <c r="M1399">
        <v>45</v>
      </c>
      <c r="N1399" s="1">
        <f t="shared" si="168"/>
        <v>44938</v>
      </c>
      <c r="O1399" s="1">
        <f t="shared" si="169"/>
        <v>43101</v>
      </c>
      <c r="P1399" s="1">
        <f t="shared" si="170"/>
        <v>43983</v>
      </c>
      <c r="Q1399" s="8">
        <f t="shared" si="171"/>
        <v>0</v>
      </c>
      <c r="R1399" s="8">
        <f t="shared" si="172"/>
        <v>30</v>
      </c>
      <c r="S1399" s="8">
        <f t="shared" ca="1" si="173"/>
        <v>30</v>
      </c>
      <c r="T1399">
        <f t="shared" ca="1" si="174"/>
        <v>7.6973079582280715</v>
      </c>
      <c r="U1399" s="8">
        <f t="shared" ca="1" si="175"/>
        <v>1</v>
      </c>
      <c r="V1399" s="8">
        <f ca="1">RawData[[#This Row],[Z (smoothed demand size)]]/RawData[[#This Row],[X (smoothed interval)]]</f>
        <v>7.6973079582280715</v>
      </c>
    </row>
    <row r="1400" spans="1:22">
      <c r="A1400" t="s">
        <v>37</v>
      </c>
      <c r="B1400" t="s">
        <v>14</v>
      </c>
      <c r="C1400">
        <v>32</v>
      </c>
      <c r="D1400" t="s">
        <v>15</v>
      </c>
      <c r="E1400" t="s">
        <v>16</v>
      </c>
      <c r="F1400" s="1">
        <v>43837</v>
      </c>
      <c r="G1400">
        <v>9</v>
      </c>
      <c r="H1400">
        <v>1</v>
      </c>
      <c r="I1400">
        <v>1</v>
      </c>
      <c r="J1400">
        <v>0</v>
      </c>
      <c r="K1400">
        <v>1</v>
      </c>
      <c r="L1400">
        <v>700</v>
      </c>
      <c r="M1400">
        <v>15</v>
      </c>
      <c r="N1400" s="1">
        <f t="shared" si="168"/>
        <v>44938</v>
      </c>
      <c r="O1400" s="1">
        <f t="shared" si="169"/>
        <v>43101</v>
      </c>
      <c r="P1400" s="1">
        <f t="shared" si="170"/>
        <v>44013</v>
      </c>
      <c r="Q1400" s="8">
        <f t="shared" si="171"/>
        <v>0</v>
      </c>
      <c r="R1400" s="8">
        <f t="shared" si="172"/>
        <v>31</v>
      </c>
      <c r="S1400" s="8">
        <f t="shared" ca="1" si="173"/>
        <v>31</v>
      </c>
      <c r="T1400">
        <f t="shared" ca="1" si="174"/>
        <v>7.9578463665824577</v>
      </c>
      <c r="U1400" s="8">
        <f t="shared" ca="1" si="175"/>
        <v>1</v>
      </c>
      <c r="V1400" s="8">
        <f ca="1">RawData[[#This Row],[Z (smoothed demand size)]]/RawData[[#This Row],[X (smoothed interval)]]</f>
        <v>7.9578463665824577</v>
      </c>
    </row>
    <row r="1401" spans="1:22">
      <c r="A1401" t="s">
        <v>37</v>
      </c>
      <c r="B1401" t="s">
        <v>14</v>
      </c>
      <c r="C1401">
        <v>32</v>
      </c>
      <c r="D1401" t="s">
        <v>15</v>
      </c>
      <c r="E1401" t="s">
        <v>16</v>
      </c>
      <c r="F1401" s="1">
        <v>43838</v>
      </c>
      <c r="G1401">
        <v>19</v>
      </c>
      <c r="H1401">
        <v>8</v>
      </c>
      <c r="I1401">
        <v>8</v>
      </c>
      <c r="J1401">
        <v>0</v>
      </c>
      <c r="K1401">
        <v>1</v>
      </c>
      <c r="L1401">
        <v>704</v>
      </c>
      <c r="M1401">
        <v>45</v>
      </c>
      <c r="N1401" s="1">
        <f t="shared" si="168"/>
        <v>44938</v>
      </c>
      <c r="O1401" s="1">
        <f t="shared" si="169"/>
        <v>43101</v>
      </c>
      <c r="P1401" s="1">
        <f t="shared" si="170"/>
        <v>44044</v>
      </c>
      <c r="Q1401" s="8">
        <f t="shared" si="171"/>
        <v>0</v>
      </c>
      <c r="R1401" s="8">
        <f t="shared" si="172"/>
        <v>32</v>
      </c>
      <c r="S1401" s="8">
        <f t="shared" ca="1" si="173"/>
        <v>32</v>
      </c>
      <c r="T1401">
        <f t="shared" ca="1" si="174"/>
        <v>10.166277093265967</v>
      </c>
      <c r="U1401" s="8">
        <f t="shared" ca="1" si="175"/>
        <v>1</v>
      </c>
      <c r="V1401" s="8">
        <f ca="1">RawData[[#This Row],[Z (smoothed demand size)]]/RawData[[#This Row],[X (smoothed interval)]]</f>
        <v>10.166277093265967</v>
      </c>
    </row>
    <row r="1402" spans="1:22">
      <c r="A1402" t="s">
        <v>37</v>
      </c>
      <c r="B1402" t="s">
        <v>14</v>
      </c>
      <c r="C1402">
        <v>32</v>
      </c>
      <c r="D1402" t="s">
        <v>15</v>
      </c>
      <c r="E1402" t="s">
        <v>16</v>
      </c>
      <c r="F1402" s="1">
        <v>43839</v>
      </c>
      <c r="G1402">
        <v>5</v>
      </c>
      <c r="H1402">
        <v>0</v>
      </c>
      <c r="I1402">
        <v>0</v>
      </c>
      <c r="J1402">
        <v>0</v>
      </c>
      <c r="K1402">
        <v>1</v>
      </c>
      <c r="L1402">
        <v>606</v>
      </c>
      <c r="M1402">
        <v>45</v>
      </c>
      <c r="N1402" s="1">
        <f t="shared" si="168"/>
        <v>44938</v>
      </c>
      <c r="O1402" s="1">
        <f t="shared" si="169"/>
        <v>43101</v>
      </c>
      <c r="P1402" s="1">
        <f t="shared" si="170"/>
        <v>44075</v>
      </c>
      <c r="Q1402" s="8">
        <f t="shared" si="171"/>
        <v>0</v>
      </c>
      <c r="R1402" s="8">
        <f t="shared" si="172"/>
        <v>33</v>
      </c>
      <c r="S1402" s="8">
        <f t="shared" ca="1" si="173"/>
        <v>33</v>
      </c>
      <c r="T1402">
        <f t="shared" ca="1" si="174"/>
        <v>9.1330216746127739</v>
      </c>
      <c r="U1402" s="8">
        <f t="shared" ca="1" si="175"/>
        <v>1</v>
      </c>
      <c r="V1402" s="8">
        <f ca="1">RawData[[#This Row],[Z (smoothed demand size)]]/RawData[[#This Row],[X (smoothed interval)]]</f>
        <v>9.1330216746127739</v>
      </c>
    </row>
    <row r="1403" spans="1:22">
      <c r="A1403" t="s">
        <v>37</v>
      </c>
      <c r="B1403" t="s">
        <v>14</v>
      </c>
      <c r="C1403">
        <v>32</v>
      </c>
      <c r="D1403" t="s">
        <v>15</v>
      </c>
      <c r="E1403" t="s">
        <v>16</v>
      </c>
      <c r="F1403" s="1">
        <v>43840</v>
      </c>
      <c r="G1403">
        <v>8</v>
      </c>
      <c r="H1403">
        <v>7</v>
      </c>
      <c r="I1403">
        <v>7</v>
      </c>
      <c r="J1403">
        <v>0</v>
      </c>
      <c r="K1403">
        <v>1</v>
      </c>
      <c r="L1403">
        <v>613</v>
      </c>
      <c r="M1403">
        <v>45</v>
      </c>
      <c r="N1403" s="1">
        <f t="shared" si="168"/>
        <v>44938</v>
      </c>
      <c r="O1403" s="1">
        <f t="shared" si="169"/>
        <v>43101</v>
      </c>
      <c r="P1403" s="1">
        <f t="shared" si="170"/>
        <v>44105</v>
      </c>
      <c r="Q1403" s="8">
        <f t="shared" si="171"/>
        <v>0</v>
      </c>
      <c r="R1403" s="8">
        <f t="shared" si="172"/>
        <v>34</v>
      </c>
      <c r="S1403" s="8">
        <f t="shared" ca="1" si="173"/>
        <v>34</v>
      </c>
      <c r="T1403">
        <f t="shared" ca="1" si="174"/>
        <v>8.9064173396902202</v>
      </c>
      <c r="U1403" s="8">
        <f t="shared" ca="1" si="175"/>
        <v>1</v>
      </c>
      <c r="V1403" s="8">
        <f ca="1">RawData[[#This Row],[Z (smoothed demand size)]]/RawData[[#This Row],[X (smoothed interval)]]</f>
        <v>8.9064173396902202</v>
      </c>
    </row>
    <row r="1404" spans="1:22">
      <c r="A1404" t="s">
        <v>37</v>
      </c>
      <c r="B1404" t="s">
        <v>14</v>
      </c>
      <c r="C1404">
        <v>32</v>
      </c>
      <c r="D1404" t="s">
        <v>15</v>
      </c>
      <c r="E1404" t="s">
        <v>16</v>
      </c>
      <c r="F1404" s="1">
        <v>43841</v>
      </c>
      <c r="G1404">
        <v>10</v>
      </c>
      <c r="H1404">
        <v>0</v>
      </c>
      <c r="I1404">
        <v>0</v>
      </c>
      <c r="J1404">
        <v>0</v>
      </c>
      <c r="K1404">
        <v>1</v>
      </c>
      <c r="L1404">
        <v>619</v>
      </c>
      <c r="M1404">
        <v>15</v>
      </c>
      <c r="N1404" s="1">
        <f t="shared" si="168"/>
        <v>44938</v>
      </c>
      <c r="O1404" s="1">
        <f t="shared" si="169"/>
        <v>43101</v>
      </c>
      <c r="P1404" s="1">
        <f t="shared" si="170"/>
        <v>44136</v>
      </c>
      <c r="Q1404" s="8">
        <f t="shared" si="171"/>
        <v>0</v>
      </c>
      <c r="R1404" s="8">
        <f t="shared" si="172"/>
        <v>35</v>
      </c>
      <c r="S1404" s="8">
        <f t="shared" ca="1" si="173"/>
        <v>35</v>
      </c>
      <c r="T1404">
        <f t="shared" ca="1" si="174"/>
        <v>9.1251338717521762</v>
      </c>
      <c r="U1404" s="8">
        <f t="shared" ca="1" si="175"/>
        <v>1</v>
      </c>
      <c r="V1404" s="8">
        <f ca="1">RawData[[#This Row],[Z (smoothed demand size)]]/RawData[[#This Row],[X (smoothed interval)]]</f>
        <v>9.1251338717521762</v>
      </c>
    </row>
    <row r="1405" spans="1:22">
      <c r="A1405" t="s">
        <v>37</v>
      </c>
      <c r="B1405" t="s">
        <v>14</v>
      </c>
      <c r="C1405">
        <v>32</v>
      </c>
      <c r="D1405" t="s">
        <v>15</v>
      </c>
      <c r="E1405" t="s">
        <v>16</v>
      </c>
      <c r="F1405" s="1">
        <v>43842</v>
      </c>
      <c r="G1405">
        <v>6</v>
      </c>
      <c r="H1405">
        <v>6</v>
      </c>
      <c r="I1405">
        <v>12</v>
      </c>
      <c r="J1405">
        <v>6</v>
      </c>
      <c r="K1405">
        <v>0</v>
      </c>
      <c r="L1405">
        <v>706</v>
      </c>
      <c r="M1405">
        <v>60</v>
      </c>
      <c r="N1405" s="1">
        <f t="shared" si="168"/>
        <v>44938</v>
      </c>
      <c r="O1405" s="1">
        <f t="shared" si="169"/>
        <v>43101</v>
      </c>
      <c r="P1405" s="1">
        <f t="shared" si="170"/>
        <v>44166</v>
      </c>
      <c r="Q1405" s="8">
        <f t="shared" si="171"/>
        <v>0</v>
      </c>
      <c r="R1405" s="8">
        <f t="shared" si="172"/>
        <v>36</v>
      </c>
      <c r="S1405" s="8">
        <f t="shared" ca="1" si="173"/>
        <v>36</v>
      </c>
      <c r="T1405">
        <f t="shared" ca="1" si="174"/>
        <v>8.5001070974017416</v>
      </c>
      <c r="U1405" s="8">
        <f t="shared" ca="1" si="175"/>
        <v>1</v>
      </c>
      <c r="V1405" s="8">
        <f ca="1">RawData[[#This Row],[Z (smoothed demand size)]]/RawData[[#This Row],[X (smoothed interval)]]</f>
        <v>8.5001070974017416</v>
      </c>
    </row>
    <row r="1406" spans="1:22">
      <c r="A1406" t="s">
        <v>37</v>
      </c>
      <c r="B1406" t="s">
        <v>14</v>
      </c>
      <c r="C1406">
        <v>32</v>
      </c>
      <c r="D1406" t="s">
        <v>15</v>
      </c>
      <c r="E1406" t="s">
        <v>16</v>
      </c>
      <c r="F1406" s="1">
        <v>44197</v>
      </c>
      <c r="G1406">
        <v>7</v>
      </c>
      <c r="H1406">
        <v>6</v>
      </c>
      <c r="I1406">
        <v>6</v>
      </c>
      <c r="J1406">
        <v>0</v>
      </c>
      <c r="K1406">
        <v>1</v>
      </c>
      <c r="L1406">
        <v>610</v>
      </c>
      <c r="M1406">
        <v>60</v>
      </c>
      <c r="N1406" s="1">
        <f t="shared" si="168"/>
        <v>44938</v>
      </c>
      <c r="O1406" s="1">
        <f t="shared" si="169"/>
        <v>43101</v>
      </c>
      <c r="P1406" s="1">
        <f t="shared" si="170"/>
        <v>44197</v>
      </c>
      <c r="Q1406" s="8">
        <f t="shared" si="171"/>
        <v>0</v>
      </c>
      <c r="R1406" s="8">
        <f t="shared" si="172"/>
        <v>37</v>
      </c>
      <c r="S1406" s="8">
        <f t="shared" ca="1" si="173"/>
        <v>37</v>
      </c>
      <c r="T1406">
        <f t="shared" ca="1" si="174"/>
        <v>8.2000856779213933</v>
      </c>
      <c r="U1406" s="8">
        <f t="shared" ca="1" si="175"/>
        <v>1</v>
      </c>
      <c r="V1406" s="8">
        <f ca="1">RawData[[#This Row],[Z (smoothed demand size)]]/RawData[[#This Row],[X (smoothed interval)]]</f>
        <v>8.2000856779213933</v>
      </c>
    </row>
    <row r="1407" spans="1:22">
      <c r="A1407" t="s">
        <v>37</v>
      </c>
      <c r="B1407" t="s">
        <v>14</v>
      </c>
      <c r="C1407">
        <v>32</v>
      </c>
      <c r="D1407" t="s">
        <v>15</v>
      </c>
      <c r="E1407" t="s">
        <v>16</v>
      </c>
      <c r="F1407" s="1">
        <v>44198</v>
      </c>
      <c r="G1407">
        <v>12</v>
      </c>
      <c r="H1407">
        <v>7</v>
      </c>
      <c r="I1407">
        <v>7</v>
      </c>
      <c r="J1407">
        <v>0</v>
      </c>
      <c r="K1407">
        <v>1</v>
      </c>
      <c r="L1407">
        <v>613</v>
      </c>
      <c r="M1407">
        <v>15</v>
      </c>
      <c r="N1407" s="1">
        <f t="shared" si="168"/>
        <v>44938</v>
      </c>
      <c r="O1407" s="1">
        <f t="shared" si="169"/>
        <v>43101</v>
      </c>
      <c r="P1407" s="1">
        <f t="shared" si="170"/>
        <v>44228</v>
      </c>
      <c r="Q1407" s="8">
        <f t="shared" si="171"/>
        <v>0</v>
      </c>
      <c r="R1407" s="8">
        <f t="shared" si="172"/>
        <v>38</v>
      </c>
      <c r="S1407" s="8">
        <f t="shared" ca="1" si="173"/>
        <v>38</v>
      </c>
      <c r="T1407">
        <f t="shared" ca="1" si="174"/>
        <v>8.9600685423371154</v>
      </c>
      <c r="U1407" s="8">
        <f t="shared" ca="1" si="175"/>
        <v>1</v>
      </c>
      <c r="V1407" s="8">
        <f ca="1">RawData[[#This Row],[Z (smoothed demand size)]]/RawData[[#This Row],[X (smoothed interval)]]</f>
        <v>8.9600685423371154</v>
      </c>
    </row>
    <row r="1408" spans="1:22">
      <c r="A1408" t="s">
        <v>37</v>
      </c>
      <c r="B1408" t="s">
        <v>14</v>
      </c>
      <c r="C1408">
        <v>32</v>
      </c>
      <c r="D1408" t="s">
        <v>15</v>
      </c>
      <c r="E1408" t="s">
        <v>16</v>
      </c>
      <c r="F1408" s="1">
        <v>44199</v>
      </c>
      <c r="G1408">
        <v>8</v>
      </c>
      <c r="H1408">
        <v>8</v>
      </c>
      <c r="I1408">
        <v>11</v>
      </c>
      <c r="J1408">
        <v>3</v>
      </c>
      <c r="K1408">
        <v>0</v>
      </c>
      <c r="L1408">
        <v>602</v>
      </c>
      <c r="M1408">
        <v>15</v>
      </c>
      <c r="N1408" s="1">
        <f t="shared" si="168"/>
        <v>44938</v>
      </c>
      <c r="O1408" s="1">
        <f t="shared" si="169"/>
        <v>43101</v>
      </c>
      <c r="P1408" s="1">
        <f t="shared" si="170"/>
        <v>44256</v>
      </c>
      <c r="Q1408" s="8">
        <f t="shared" si="171"/>
        <v>0</v>
      </c>
      <c r="R1408" s="8">
        <f t="shared" si="172"/>
        <v>39</v>
      </c>
      <c r="S1408" s="8">
        <f t="shared" ca="1" si="173"/>
        <v>39</v>
      </c>
      <c r="T1408">
        <f t="shared" ca="1" si="174"/>
        <v>8.7680548338696926</v>
      </c>
      <c r="U1408" s="8">
        <f t="shared" ca="1" si="175"/>
        <v>1</v>
      </c>
      <c r="V1408" s="8">
        <f ca="1">RawData[[#This Row],[Z (smoothed demand size)]]/RawData[[#This Row],[X (smoothed interval)]]</f>
        <v>8.7680548338696926</v>
      </c>
    </row>
    <row r="1409" spans="1:22">
      <c r="A1409" t="s">
        <v>37</v>
      </c>
      <c r="B1409" t="s">
        <v>14</v>
      </c>
      <c r="C1409">
        <v>32</v>
      </c>
      <c r="D1409" t="s">
        <v>15</v>
      </c>
      <c r="E1409" t="s">
        <v>16</v>
      </c>
      <c r="F1409" s="1">
        <v>44200</v>
      </c>
      <c r="G1409">
        <v>5</v>
      </c>
      <c r="H1409">
        <v>5</v>
      </c>
      <c r="I1409">
        <v>14</v>
      </c>
      <c r="J1409">
        <v>9</v>
      </c>
      <c r="K1409">
        <v>0</v>
      </c>
      <c r="L1409">
        <v>616</v>
      </c>
      <c r="M1409">
        <v>45</v>
      </c>
      <c r="N1409" s="1">
        <f t="shared" si="168"/>
        <v>44938</v>
      </c>
      <c r="O1409" s="1">
        <f t="shared" si="169"/>
        <v>43101</v>
      </c>
      <c r="P1409" s="1">
        <f t="shared" si="170"/>
        <v>44287</v>
      </c>
      <c r="Q1409" s="8">
        <f t="shared" si="171"/>
        <v>0</v>
      </c>
      <c r="R1409" s="8">
        <f t="shared" si="172"/>
        <v>40</v>
      </c>
      <c r="S1409" s="8">
        <f t="shared" ca="1" si="173"/>
        <v>40</v>
      </c>
      <c r="T1409">
        <f t="shared" ca="1" si="174"/>
        <v>8.0144438670957534</v>
      </c>
      <c r="U1409" s="8">
        <f t="shared" ca="1" si="175"/>
        <v>1</v>
      </c>
      <c r="V1409" s="8">
        <f ca="1">RawData[[#This Row],[Z (smoothed demand size)]]/RawData[[#This Row],[X (smoothed interval)]]</f>
        <v>8.0144438670957534</v>
      </c>
    </row>
    <row r="1410" spans="1:22">
      <c r="A1410" t="s">
        <v>37</v>
      </c>
      <c r="B1410" t="s">
        <v>14</v>
      </c>
      <c r="C1410">
        <v>32</v>
      </c>
      <c r="D1410" t="s">
        <v>15</v>
      </c>
      <c r="E1410" t="s">
        <v>16</v>
      </c>
      <c r="F1410" s="1">
        <v>44201</v>
      </c>
      <c r="G1410">
        <v>12</v>
      </c>
      <c r="H1410">
        <v>9</v>
      </c>
      <c r="I1410">
        <v>9</v>
      </c>
      <c r="J1410">
        <v>0</v>
      </c>
      <c r="K1410">
        <v>1</v>
      </c>
      <c r="L1410">
        <v>603</v>
      </c>
      <c r="M1410">
        <v>15</v>
      </c>
      <c r="N1410" s="1">
        <f t="shared" ref="N1410:N1473" si="176">MAX(F:F)</f>
        <v>44938</v>
      </c>
      <c r="O1410" s="1">
        <f t="shared" ref="O1410:O1473" si="177">MIN(F:F)</f>
        <v>43101</v>
      </c>
      <c r="P1410" s="1">
        <f t="shared" ref="P1410:P1473" si="178">DATE(YEAR(F1410), DAY(F1410), 1)</f>
        <v>44317</v>
      </c>
      <c r="Q1410" s="8">
        <f t="shared" ref="Q1410:Q1473" si="179" xml:space="preserve"> IF(A1410&lt;&gt;A1409, 1, 0)</f>
        <v>0</v>
      </c>
      <c r="R1410" s="8">
        <f t="shared" ref="R1410:R1473" si="180">IF(Q1410=1,1,R1409+1)</f>
        <v>41</v>
      </c>
      <c r="S1410" s="8">
        <f t="shared" ref="S1410:S1473" ca="1" si="181" xml:space="preserve"> IF(Q1410=1, IF(G1410&gt;0, R1410, 0), IF(G1410&gt;0, R1410, OFFSET(S1410,-1,0)))</f>
        <v>41</v>
      </c>
      <c r="T1410">
        <f t="shared" ref="T1410:T1473" ca="1" si="182" xml:space="preserve"> IF(Q1410=1, IF(G1410&gt;0, G1410, 0), IF(G1410&gt;0, $X$1*G1410+(1-$X$1)*OFFSET(T1410,-1,0), OFFSET(T1410,-1,0)))</f>
        <v>8.8115550936766027</v>
      </c>
      <c r="U1410" s="8">
        <f t="shared" ref="U1410:U1473" ca="1" si="183" xml:space="preserve"> IF(Q1410=1, 1, IF(G1410&gt;0, $X$1*(R1410-OFFSET(S1410,-1,0))+(1-$X$1)*OFFSET(U1410,-1,0), OFFSET(U1410,-1,0)))</f>
        <v>1</v>
      </c>
      <c r="V1410" s="8">
        <f ca="1">RawData[[#This Row],[Z (smoothed demand size)]]/RawData[[#This Row],[X (smoothed interval)]]</f>
        <v>8.8115550936766027</v>
      </c>
    </row>
    <row r="1411" spans="1:22">
      <c r="A1411" t="s">
        <v>37</v>
      </c>
      <c r="B1411" t="s">
        <v>14</v>
      </c>
      <c r="C1411">
        <v>32</v>
      </c>
      <c r="D1411" t="s">
        <v>15</v>
      </c>
      <c r="E1411" t="s">
        <v>16</v>
      </c>
      <c r="F1411" s="1">
        <v>44202</v>
      </c>
      <c r="G1411">
        <v>13</v>
      </c>
      <c r="H1411">
        <v>8</v>
      </c>
      <c r="I1411">
        <v>8</v>
      </c>
      <c r="J1411">
        <v>0</v>
      </c>
      <c r="K1411">
        <v>1</v>
      </c>
      <c r="L1411">
        <v>713</v>
      </c>
      <c r="M1411">
        <v>30</v>
      </c>
      <c r="N1411" s="1">
        <f t="shared" si="176"/>
        <v>44938</v>
      </c>
      <c r="O1411" s="1">
        <f t="shared" si="177"/>
        <v>43101</v>
      </c>
      <c r="P1411" s="1">
        <f t="shared" si="178"/>
        <v>44348</v>
      </c>
      <c r="Q1411" s="8">
        <f t="shared" si="179"/>
        <v>0</v>
      </c>
      <c r="R1411" s="8">
        <f t="shared" si="180"/>
        <v>42</v>
      </c>
      <c r="S1411" s="8">
        <f t="shared" ca="1" si="181"/>
        <v>42</v>
      </c>
      <c r="T1411">
        <f t="shared" ca="1" si="182"/>
        <v>9.6492440749412829</v>
      </c>
      <c r="U1411" s="8">
        <f t="shared" ca="1" si="183"/>
        <v>1</v>
      </c>
      <c r="V1411" s="8">
        <f ca="1">RawData[[#This Row],[Z (smoothed demand size)]]/RawData[[#This Row],[X (smoothed interval)]]</f>
        <v>9.6492440749412829</v>
      </c>
    </row>
    <row r="1412" spans="1:22">
      <c r="A1412" t="s">
        <v>37</v>
      </c>
      <c r="B1412" t="s">
        <v>14</v>
      </c>
      <c r="C1412">
        <v>32</v>
      </c>
      <c r="D1412" t="s">
        <v>15</v>
      </c>
      <c r="E1412" t="s">
        <v>16</v>
      </c>
      <c r="F1412" s="1">
        <v>44203</v>
      </c>
      <c r="G1412">
        <v>8</v>
      </c>
      <c r="H1412">
        <v>8</v>
      </c>
      <c r="I1412">
        <v>11</v>
      </c>
      <c r="J1412">
        <v>3</v>
      </c>
      <c r="K1412">
        <v>0</v>
      </c>
      <c r="L1412">
        <v>707</v>
      </c>
      <c r="M1412">
        <v>45</v>
      </c>
      <c r="N1412" s="1">
        <f t="shared" si="176"/>
        <v>44938</v>
      </c>
      <c r="O1412" s="1">
        <f t="shared" si="177"/>
        <v>43101</v>
      </c>
      <c r="P1412" s="1">
        <f t="shared" si="178"/>
        <v>44378</v>
      </c>
      <c r="Q1412" s="8">
        <f t="shared" si="179"/>
        <v>0</v>
      </c>
      <c r="R1412" s="8">
        <f t="shared" si="180"/>
        <v>43</v>
      </c>
      <c r="S1412" s="8">
        <f t="shared" ca="1" si="181"/>
        <v>43</v>
      </c>
      <c r="T1412">
        <f t="shared" ca="1" si="182"/>
        <v>9.3193952599530263</v>
      </c>
      <c r="U1412" s="8">
        <f t="shared" ca="1" si="183"/>
        <v>1</v>
      </c>
      <c r="V1412" s="8">
        <f ca="1">RawData[[#This Row],[Z (smoothed demand size)]]/RawData[[#This Row],[X (smoothed interval)]]</f>
        <v>9.3193952599530263</v>
      </c>
    </row>
    <row r="1413" spans="1:22">
      <c r="A1413" t="s">
        <v>37</v>
      </c>
      <c r="B1413" t="s">
        <v>14</v>
      </c>
      <c r="C1413">
        <v>32</v>
      </c>
      <c r="D1413" t="s">
        <v>15</v>
      </c>
      <c r="E1413" t="s">
        <v>16</v>
      </c>
      <c r="F1413" s="1">
        <v>44204</v>
      </c>
      <c r="G1413">
        <v>6</v>
      </c>
      <c r="H1413">
        <v>3</v>
      </c>
      <c r="I1413">
        <v>3</v>
      </c>
      <c r="J1413">
        <v>0</v>
      </c>
      <c r="K1413">
        <v>1</v>
      </c>
      <c r="L1413">
        <v>706</v>
      </c>
      <c r="M1413">
        <v>45</v>
      </c>
      <c r="N1413" s="1">
        <f t="shared" si="176"/>
        <v>44938</v>
      </c>
      <c r="O1413" s="1">
        <f t="shared" si="177"/>
        <v>43101</v>
      </c>
      <c r="P1413" s="1">
        <f t="shared" si="178"/>
        <v>44409</v>
      </c>
      <c r="Q1413" s="8">
        <f t="shared" si="179"/>
        <v>0</v>
      </c>
      <c r="R1413" s="8">
        <f t="shared" si="180"/>
        <v>44</v>
      </c>
      <c r="S1413" s="8">
        <f t="shared" ca="1" si="181"/>
        <v>44</v>
      </c>
      <c r="T1413">
        <f t="shared" ca="1" si="182"/>
        <v>8.655516207962421</v>
      </c>
      <c r="U1413" s="8">
        <f t="shared" ca="1" si="183"/>
        <v>1</v>
      </c>
      <c r="V1413" s="8">
        <f ca="1">RawData[[#This Row],[Z (smoothed demand size)]]/RawData[[#This Row],[X (smoothed interval)]]</f>
        <v>8.655516207962421</v>
      </c>
    </row>
    <row r="1414" spans="1:22">
      <c r="A1414" t="s">
        <v>37</v>
      </c>
      <c r="B1414" t="s">
        <v>14</v>
      </c>
      <c r="C1414">
        <v>32</v>
      </c>
      <c r="D1414" t="s">
        <v>15</v>
      </c>
      <c r="E1414" t="s">
        <v>16</v>
      </c>
      <c r="F1414" s="1">
        <v>44205</v>
      </c>
      <c r="G1414">
        <v>5</v>
      </c>
      <c r="H1414">
        <v>5</v>
      </c>
      <c r="I1414">
        <v>10</v>
      </c>
      <c r="J1414">
        <v>5</v>
      </c>
      <c r="K1414">
        <v>0</v>
      </c>
      <c r="L1414">
        <v>614</v>
      </c>
      <c r="M1414">
        <v>30</v>
      </c>
      <c r="N1414" s="1">
        <f t="shared" si="176"/>
        <v>44938</v>
      </c>
      <c r="O1414" s="1">
        <f t="shared" si="177"/>
        <v>43101</v>
      </c>
      <c r="P1414" s="1">
        <f t="shared" si="178"/>
        <v>44440</v>
      </c>
      <c r="Q1414" s="8">
        <f t="shared" si="179"/>
        <v>0</v>
      </c>
      <c r="R1414" s="8">
        <f t="shared" si="180"/>
        <v>45</v>
      </c>
      <c r="S1414" s="8">
        <f t="shared" ca="1" si="181"/>
        <v>45</v>
      </c>
      <c r="T1414">
        <f t="shared" ca="1" si="182"/>
        <v>7.9244129663699372</v>
      </c>
      <c r="U1414" s="8">
        <f t="shared" ca="1" si="183"/>
        <v>1</v>
      </c>
      <c r="V1414" s="8">
        <f ca="1">RawData[[#This Row],[Z (smoothed demand size)]]/RawData[[#This Row],[X (smoothed interval)]]</f>
        <v>7.9244129663699372</v>
      </c>
    </row>
    <row r="1415" spans="1:22">
      <c r="A1415" t="s">
        <v>37</v>
      </c>
      <c r="B1415" t="s">
        <v>14</v>
      </c>
      <c r="C1415">
        <v>32</v>
      </c>
      <c r="D1415" t="s">
        <v>15</v>
      </c>
      <c r="E1415" t="s">
        <v>16</v>
      </c>
      <c r="F1415" s="1">
        <v>44206</v>
      </c>
      <c r="G1415">
        <v>10</v>
      </c>
      <c r="H1415">
        <v>10</v>
      </c>
      <c r="I1415">
        <v>13</v>
      </c>
      <c r="J1415">
        <v>3</v>
      </c>
      <c r="K1415">
        <v>0</v>
      </c>
      <c r="L1415">
        <v>610</v>
      </c>
      <c r="M1415">
        <v>15</v>
      </c>
      <c r="N1415" s="1">
        <f t="shared" si="176"/>
        <v>44938</v>
      </c>
      <c r="O1415" s="1">
        <f t="shared" si="177"/>
        <v>43101</v>
      </c>
      <c r="P1415" s="1">
        <f t="shared" si="178"/>
        <v>44470</v>
      </c>
      <c r="Q1415" s="8">
        <f t="shared" si="179"/>
        <v>0</v>
      </c>
      <c r="R1415" s="8">
        <f t="shared" si="180"/>
        <v>46</v>
      </c>
      <c r="S1415" s="8">
        <f t="shared" ca="1" si="181"/>
        <v>46</v>
      </c>
      <c r="T1415">
        <f t="shared" ca="1" si="182"/>
        <v>8.3395303730959505</v>
      </c>
      <c r="U1415" s="8">
        <f t="shared" ca="1" si="183"/>
        <v>1</v>
      </c>
      <c r="V1415" s="8">
        <f ca="1">RawData[[#This Row],[Z (smoothed demand size)]]/RawData[[#This Row],[X (smoothed interval)]]</f>
        <v>8.3395303730959505</v>
      </c>
    </row>
    <row r="1416" spans="1:22">
      <c r="A1416" t="s">
        <v>37</v>
      </c>
      <c r="B1416" t="s">
        <v>14</v>
      </c>
      <c r="C1416">
        <v>32</v>
      </c>
      <c r="D1416" t="s">
        <v>15</v>
      </c>
      <c r="E1416" t="s">
        <v>16</v>
      </c>
      <c r="F1416" s="1">
        <v>44207</v>
      </c>
      <c r="G1416">
        <v>13</v>
      </c>
      <c r="H1416">
        <v>13</v>
      </c>
      <c r="I1416">
        <v>14</v>
      </c>
      <c r="J1416">
        <v>1</v>
      </c>
      <c r="K1416">
        <v>0</v>
      </c>
      <c r="L1416">
        <v>606</v>
      </c>
      <c r="M1416">
        <v>45</v>
      </c>
      <c r="N1416" s="1">
        <f t="shared" si="176"/>
        <v>44938</v>
      </c>
      <c r="O1416" s="1">
        <f t="shared" si="177"/>
        <v>43101</v>
      </c>
      <c r="P1416" s="1">
        <f t="shared" si="178"/>
        <v>44501</v>
      </c>
      <c r="Q1416" s="8">
        <f t="shared" si="179"/>
        <v>0</v>
      </c>
      <c r="R1416" s="8">
        <f t="shared" si="180"/>
        <v>47</v>
      </c>
      <c r="S1416" s="8">
        <f t="shared" ca="1" si="181"/>
        <v>47</v>
      </c>
      <c r="T1416">
        <f t="shared" ca="1" si="182"/>
        <v>9.2716242984767607</v>
      </c>
      <c r="U1416" s="8">
        <f t="shared" ca="1" si="183"/>
        <v>1</v>
      </c>
      <c r="V1416" s="8">
        <f ca="1">RawData[[#This Row],[Z (smoothed demand size)]]/RawData[[#This Row],[X (smoothed interval)]]</f>
        <v>9.2716242984767607</v>
      </c>
    </row>
    <row r="1417" spans="1:22">
      <c r="A1417" t="s">
        <v>37</v>
      </c>
      <c r="B1417" t="s">
        <v>14</v>
      </c>
      <c r="C1417">
        <v>32</v>
      </c>
      <c r="D1417" t="s">
        <v>15</v>
      </c>
      <c r="E1417" t="s">
        <v>16</v>
      </c>
      <c r="F1417" s="1">
        <v>44208</v>
      </c>
      <c r="G1417">
        <v>8</v>
      </c>
      <c r="H1417">
        <v>1</v>
      </c>
      <c r="I1417">
        <v>1</v>
      </c>
      <c r="J1417">
        <v>0</v>
      </c>
      <c r="K1417">
        <v>1</v>
      </c>
      <c r="L1417">
        <v>695</v>
      </c>
      <c r="M1417">
        <v>45</v>
      </c>
      <c r="N1417" s="1">
        <f t="shared" si="176"/>
        <v>44938</v>
      </c>
      <c r="O1417" s="1">
        <f t="shared" si="177"/>
        <v>43101</v>
      </c>
      <c r="P1417" s="1">
        <f t="shared" si="178"/>
        <v>44531</v>
      </c>
      <c r="Q1417" s="8">
        <f t="shared" si="179"/>
        <v>0</v>
      </c>
      <c r="R1417" s="8">
        <f t="shared" si="180"/>
        <v>48</v>
      </c>
      <c r="S1417" s="8">
        <f t="shared" ca="1" si="181"/>
        <v>48</v>
      </c>
      <c r="T1417">
        <f t="shared" ca="1" si="182"/>
        <v>9.0172994387814089</v>
      </c>
      <c r="U1417" s="8">
        <f t="shared" ca="1" si="183"/>
        <v>1</v>
      </c>
      <c r="V1417" s="8">
        <f ca="1">RawData[[#This Row],[Z (smoothed demand size)]]/RawData[[#This Row],[X (smoothed interval)]]</f>
        <v>9.0172994387814089</v>
      </c>
    </row>
    <row r="1418" spans="1:22">
      <c r="A1418" t="s">
        <v>37</v>
      </c>
      <c r="B1418" t="s">
        <v>14</v>
      </c>
      <c r="C1418">
        <v>32</v>
      </c>
      <c r="D1418" t="s">
        <v>15</v>
      </c>
      <c r="E1418" t="s">
        <v>16</v>
      </c>
      <c r="F1418" s="1">
        <v>44562</v>
      </c>
      <c r="G1418">
        <v>7</v>
      </c>
      <c r="H1418">
        <v>7</v>
      </c>
      <c r="I1418">
        <v>12</v>
      </c>
      <c r="J1418">
        <v>5</v>
      </c>
      <c r="K1418">
        <v>0</v>
      </c>
      <c r="L1418">
        <v>619</v>
      </c>
      <c r="M1418">
        <v>45</v>
      </c>
      <c r="N1418" s="1">
        <f t="shared" si="176"/>
        <v>44938</v>
      </c>
      <c r="O1418" s="1">
        <f t="shared" si="177"/>
        <v>43101</v>
      </c>
      <c r="P1418" s="1">
        <f t="shared" si="178"/>
        <v>44562</v>
      </c>
      <c r="Q1418" s="8">
        <f t="shared" si="179"/>
        <v>0</v>
      </c>
      <c r="R1418" s="8">
        <f t="shared" si="180"/>
        <v>49</v>
      </c>
      <c r="S1418" s="8">
        <f t="shared" ca="1" si="181"/>
        <v>49</v>
      </c>
      <c r="T1418">
        <f t="shared" ca="1" si="182"/>
        <v>8.6138395510251282</v>
      </c>
      <c r="U1418" s="8">
        <f t="shared" ca="1" si="183"/>
        <v>1</v>
      </c>
      <c r="V1418" s="8">
        <f ca="1">RawData[[#This Row],[Z (smoothed demand size)]]/RawData[[#This Row],[X (smoothed interval)]]</f>
        <v>8.6138395510251282</v>
      </c>
    </row>
    <row r="1419" spans="1:22">
      <c r="A1419" t="s">
        <v>37</v>
      </c>
      <c r="B1419" t="s">
        <v>14</v>
      </c>
      <c r="C1419">
        <v>32</v>
      </c>
      <c r="D1419" t="s">
        <v>15</v>
      </c>
      <c r="E1419" t="s">
        <v>16</v>
      </c>
      <c r="F1419" s="1">
        <v>44563</v>
      </c>
      <c r="G1419">
        <v>6</v>
      </c>
      <c r="H1419">
        <v>5</v>
      </c>
      <c r="I1419">
        <v>5</v>
      </c>
      <c r="J1419">
        <v>0</v>
      </c>
      <c r="K1419">
        <v>1</v>
      </c>
      <c r="L1419">
        <v>609</v>
      </c>
      <c r="M1419">
        <v>60</v>
      </c>
      <c r="N1419" s="1">
        <f t="shared" si="176"/>
        <v>44938</v>
      </c>
      <c r="O1419" s="1">
        <f t="shared" si="177"/>
        <v>43101</v>
      </c>
      <c r="P1419" s="1">
        <f t="shared" si="178"/>
        <v>44593</v>
      </c>
      <c r="Q1419" s="8">
        <f t="shared" si="179"/>
        <v>0</v>
      </c>
      <c r="R1419" s="8">
        <f t="shared" si="180"/>
        <v>50</v>
      </c>
      <c r="S1419" s="8">
        <f t="shared" ca="1" si="181"/>
        <v>50</v>
      </c>
      <c r="T1419">
        <f t="shared" ca="1" si="182"/>
        <v>8.091071640820104</v>
      </c>
      <c r="U1419" s="8">
        <f t="shared" ca="1" si="183"/>
        <v>1</v>
      </c>
      <c r="V1419" s="8">
        <f ca="1">RawData[[#This Row],[Z (smoothed demand size)]]/RawData[[#This Row],[X (smoothed interval)]]</f>
        <v>8.091071640820104</v>
      </c>
    </row>
    <row r="1420" spans="1:22">
      <c r="A1420" t="s">
        <v>37</v>
      </c>
      <c r="B1420" t="s">
        <v>14</v>
      </c>
      <c r="C1420">
        <v>32</v>
      </c>
      <c r="D1420" t="s">
        <v>15</v>
      </c>
      <c r="E1420" t="s">
        <v>16</v>
      </c>
      <c r="F1420" s="1">
        <v>44564</v>
      </c>
      <c r="G1420">
        <v>7</v>
      </c>
      <c r="H1420">
        <v>7</v>
      </c>
      <c r="I1420">
        <v>11</v>
      </c>
      <c r="J1420">
        <v>4</v>
      </c>
      <c r="K1420">
        <v>0</v>
      </c>
      <c r="L1420">
        <v>602</v>
      </c>
      <c r="M1420">
        <v>45</v>
      </c>
      <c r="N1420" s="1">
        <f t="shared" si="176"/>
        <v>44938</v>
      </c>
      <c r="O1420" s="1">
        <f t="shared" si="177"/>
        <v>43101</v>
      </c>
      <c r="P1420" s="1">
        <f t="shared" si="178"/>
        <v>44621</v>
      </c>
      <c r="Q1420" s="8">
        <f t="shared" si="179"/>
        <v>0</v>
      </c>
      <c r="R1420" s="8">
        <f t="shared" si="180"/>
        <v>51</v>
      </c>
      <c r="S1420" s="8">
        <f t="shared" ca="1" si="181"/>
        <v>51</v>
      </c>
      <c r="T1420">
        <f t="shared" ca="1" si="182"/>
        <v>7.8728573126560839</v>
      </c>
      <c r="U1420" s="8">
        <f t="shared" ca="1" si="183"/>
        <v>1</v>
      </c>
      <c r="V1420" s="8">
        <f ca="1">RawData[[#This Row],[Z (smoothed demand size)]]/RawData[[#This Row],[X (smoothed interval)]]</f>
        <v>7.8728573126560839</v>
      </c>
    </row>
    <row r="1421" spans="1:22">
      <c r="A1421" t="s">
        <v>37</v>
      </c>
      <c r="B1421" t="s">
        <v>14</v>
      </c>
      <c r="C1421">
        <v>32</v>
      </c>
      <c r="D1421" t="s">
        <v>15</v>
      </c>
      <c r="E1421" t="s">
        <v>16</v>
      </c>
      <c r="F1421" s="1">
        <v>44565</v>
      </c>
      <c r="G1421">
        <v>7</v>
      </c>
      <c r="H1421">
        <v>4</v>
      </c>
      <c r="I1421">
        <v>4</v>
      </c>
      <c r="J1421">
        <v>0</v>
      </c>
      <c r="K1421">
        <v>1</v>
      </c>
      <c r="L1421">
        <v>612</v>
      </c>
      <c r="M1421">
        <v>60</v>
      </c>
      <c r="N1421" s="1">
        <f t="shared" si="176"/>
        <v>44938</v>
      </c>
      <c r="O1421" s="1">
        <f t="shared" si="177"/>
        <v>43101</v>
      </c>
      <c r="P1421" s="1">
        <f t="shared" si="178"/>
        <v>44652</v>
      </c>
      <c r="Q1421" s="8">
        <f t="shared" si="179"/>
        <v>0</v>
      </c>
      <c r="R1421" s="8">
        <f t="shared" si="180"/>
        <v>52</v>
      </c>
      <c r="S1421" s="8">
        <f t="shared" ca="1" si="181"/>
        <v>52</v>
      </c>
      <c r="T1421">
        <f t="shared" ca="1" si="182"/>
        <v>7.6982858501248677</v>
      </c>
      <c r="U1421" s="8">
        <f t="shared" ca="1" si="183"/>
        <v>1</v>
      </c>
      <c r="V1421" s="8">
        <f ca="1">RawData[[#This Row],[Z (smoothed demand size)]]/RawData[[#This Row],[X (smoothed interval)]]</f>
        <v>7.6982858501248677</v>
      </c>
    </row>
    <row r="1422" spans="1:22">
      <c r="A1422" t="s">
        <v>37</v>
      </c>
      <c r="B1422" t="s">
        <v>14</v>
      </c>
      <c r="C1422">
        <v>32</v>
      </c>
      <c r="D1422" t="s">
        <v>15</v>
      </c>
      <c r="E1422" t="s">
        <v>16</v>
      </c>
      <c r="F1422" s="1">
        <v>44566</v>
      </c>
      <c r="G1422">
        <v>9</v>
      </c>
      <c r="H1422">
        <v>9</v>
      </c>
      <c r="I1422">
        <v>11</v>
      </c>
      <c r="J1422">
        <v>2</v>
      </c>
      <c r="K1422">
        <v>0</v>
      </c>
      <c r="L1422">
        <v>611</v>
      </c>
      <c r="M1422">
        <v>45</v>
      </c>
      <c r="N1422" s="1">
        <f t="shared" si="176"/>
        <v>44938</v>
      </c>
      <c r="O1422" s="1">
        <f t="shared" si="177"/>
        <v>43101</v>
      </c>
      <c r="P1422" s="1">
        <f t="shared" si="178"/>
        <v>44682</v>
      </c>
      <c r="Q1422" s="8">
        <f t="shared" si="179"/>
        <v>0</v>
      </c>
      <c r="R1422" s="8">
        <f t="shared" si="180"/>
        <v>53</v>
      </c>
      <c r="S1422" s="8">
        <f t="shared" ca="1" si="181"/>
        <v>53</v>
      </c>
      <c r="T1422">
        <f t="shared" ca="1" si="182"/>
        <v>7.9586286800998947</v>
      </c>
      <c r="U1422" s="8">
        <f t="shared" ca="1" si="183"/>
        <v>1</v>
      </c>
      <c r="V1422" s="8">
        <f ca="1">RawData[[#This Row],[Z (smoothed demand size)]]/RawData[[#This Row],[X (smoothed interval)]]</f>
        <v>7.9586286800998947</v>
      </c>
    </row>
    <row r="1423" spans="1:22">
      <c r="A1423" t="s">
        <v>37</v>
      </c>
      <c r="B1423" t="s">
        <v>14</v>
      </c>
      <c r="C1423">
        <v>32</v>
      </c>
      <c r="D1423" t="s">
        <v>15</v>
      </c>
      <c r="E1423" t="s">
        <v>16</v>
      </c>
      <c r="F1423" s="1">
        <v>44567</v>
      </c>
      <c r="G1423">
        <v>5</v>
      </c>
      <c r="H1423">
        <v>2</v>
      </c>
      <c r="I1423">
        <v>2</v>
      </c>
      <c r="J1423">
        <v>0</v>
      </c>
      <c r="K1423">
        <v>1</v>
      </c>
      <c r="L1423">
        <v>698</v>
      </c>
      <c r="M1423">
        <v>45</v>
      </c>
      <c r="N1423" s="1">
        <f t="shared" si="176"/>
        <v>44938</v>
      </c>
      <c r="O1423" s="1">
        <f t="shared" si="177"/>
        <v>43101</v>
      </c>
      <c r="P1423" s="1">
        <f t="shared" si="178"/>
        <v>44713</v>
      </c>
      <c r="Q1423" s="8">
        <f t="shared" si="179"/>
        <v>0</v>
      </c>
      <c r="R1423" s="8">
        <f t="shared" si="180"/>
        <v>54</v>
      </c>
      <c r="S1423" s="8">
        <f t="shared" ca="1" si="181"/>
        <v>54</v>
      </c>
      <c r="T1423">
        <f t="shared" ca="1" si="182"/>
        <v>7.3669029440799161</v>
      </c>
      <c r="U1423" s="8">
        <f t="shared" ca="1" si="183"/>
        <v>1</v>
      </c>
      <c r="V1423" s="8">
        <f ca="1">RawData[[#This Row],[Z (smoothed demand size)]]/RawData[[#This Row],[X (smoothed interval)]]</f>
        <v>7.3669029440799161</v>
      </c>
    </row>
    <row r="1424" spans="1:22">
      <c r="A1424" t="s">
        <v>37</v>
      </c>
      <c r="B1424" t="s">
        <v>14</v>
      </c>
      <c r="C1424">
        <v>32</v>
      </c>
      <c r="D1424" t="s">
        <v>15</v>
      </c>
      <c r="E1424" t="s">
        <v>16</v>
      </c>
      <c r="F1424" s="1">
        <v>44568</v>
      </c>
      <c r="G1424">
        <v>10</v>
      </c>
      <c r="H1424">
        <v>10</v>
      </c>
      <c r="I1424">
        <v>10</v>
      </c>
      <c r="J1424">
        <v>0</v>
      </c>
      <c r="K1424">
        <v>0</v>
      </c>
      <c r="L1424">
        <v>694</v>
      </c>
      <c r="M1424">
        <v>60</v>
      </c>
      <c r="N1424" s="1">
        <f t="shared" si="176"/>
        <v>44938</v>
      </c>
      <c r="O1424" s="1">
        <f t="shared" si="177"/>
        <v>43101</v>
      </c>
      <c r="P1424" s="1">
        <f t="shared" si="178"/>
        <v>44743</v>
      </c>
      <c r="Q1424" s="8">
        <f t="shared" si="179"/>
        <v>0</v>
      </c>
      <c r="R1424" s="8">
        <f t="shared" si="180"/>
        <v>55</v>
      </c>
      <c r="S1424" s="8">
        <f t="shared" ca="1" si="181"/>
        <v>55</v>
      </c>
      <c r="T1424">
        <f t="shared" ca="1" si="182"/>
        <v>7.8935223552639329</v>
      </c>
      <c r="U1424" s="8">
        <f t="shared" ca="1" si="183"/>
        <v>1</v>
      </c>
      <c r="V1424" s="8">
        <f ca="1">RawData[[#This Row],[Z (smoothed demand size)]]/RawData[[#This Row],[X (smoothed interval)]]</f>
        <v>7.8935223552639329</v>
      </c>
    </row>
    <row r="1425" spans="1:22">
      <c r="A1425" t="s">
        <v>37</v>
      </c>
      <c r="B1425" t="s">
        <v>14</v>
      </c>
      <c r="C1425">
        <v>32</v>
      </c>
      <c r="D1425" t="s">
        <v>15</v>
      </c>
      <c r="E1425" t="s">
        <v>16</v>
      </c>
      <c r="F1425" s="1">
        <v>44569</v>
      </c>
      <c r="G1425">
        <v>3</v>
      </c>
      <c r="H1425">
        <v>0</v>
      </c>
      <c r="I1425">
        <v>0</v>
      </c>
      <c r="J1425">
        <v>0</v>
      </c>
      <c r="K1425">
        <v>1</v>
      </c>
      <c r="L1425">
        <v>705</v>
      </c>
      <c r="M1425">
        <v>45</v>
      </c>
      <c r="N1425" s="1">
        <f t="shared" si="176"/>
        <v>44938</v>
      </c>
      <c r="O1425" s="1">
        <f t="shared" si="177"/>
        <v>43101</v>
      </c>
      <c r="P1425" s="1">
        <f t="shared" si="178"/>
        <v>44774</v>
      </c>
      <c r="Q1425" s="8">
        <f t="shared" si="179"/>
        <v>0</v>
      </c>
      <c r="R1425" s="8">
        <f t="shared" si="180"/>
        <v>56</v>
      </c>
      <c r="S1425" s="8">
        <f t="shared" ca="1" si="181"/>
        <v>56</v>
      </c>
      <c r="T1425">
        <f t="shared" ca="1" si="182"/>
        <v>6.9148178842111463</v>
      </c>
      <c r="U1425" s="8">
        <f t="shared" ca="1" si="183"/>
        <v>1</v>
      </c>
      <c r="V1425" s="8">
        <f ca="1">RawData[[#This Row],[Z (smoothed demand size)]]/RawData[[#This Row],[X (smoothed interval)]]</f>
        <v>6.9148178842111463</v>
      </c>
    </row>
    <row r="1426" spans="1:22">
      <c r="A1426" t="s">
        <v>37</v>
      </c>
      <c r="B1426" t="s">
        <v>14</v>
      </c>
      <c r="C1426">
        <v>32</v>
      </c>
      <c r="D1426" t="s">
        <v>15</v>
      </c>
      <c r="E1426" t="s">
        <v>16</v>
      </c>
      <c r="F1426" s="1">
        <v>44570</v>
      </c>
      <c r="G1426">
        <v>11</v>
      </c>
      <c r="H1426">
        <v>10</v>
      </c>
      <c r="I1426">
        <v>10</v>
      </c>
      <c r="J1426">
        <v>0</v>
      </c>
      <c r="K1426">
        <v>1</v>
      </c>
      <c r="L1426">
        <v>614</v>
      </c>
      <c r="M1426">
        <v>15</v>
      </c>
      <c r="N1426" s="1">
        <f t="shared" si="176"/>
        <v>44938</v>
      </c>
      <c r="O1426" s="1">
        <f t="shared" si="177"/>
        <v>43101</v>
      </c>
      <c r="P1426" s="1">
        <f t="shared" si="178"/>
        <v>44805</v>
      </c>
      <c r="Q1426" s="8">
        <f t="shared" si="179"/>
        <v>0</v>
      </c>
      <c r="R1426" s="8">
        <f t="shared" si="180"/>
        <v>57</v>
      </c>
      <c r="S1426" s="8">
        <f t="shared" ca="1" si="181"/>
        <v>57</v>
      </c>
      <c r="T1426">
        <f t="shared" ca="1" si="182"/>
        <v>7.7318543073689172</v>
      </c>
      <c r="U1426" s="8">
        <f t="shared" ca="1" si="183"/>
        <v>1</v>
      </c>
      <c r="V1426" s="8">
        <f ca="1">RawData[[#This Row],[Z (smoothed demand size)]]/RawData[[#This Row],[X (smoothed interval)]]</f>
        <v>7.7318543073689172</v>
      </c>
    </row>
    <row r="1427" spans="1:22">
      <c r="A1427" t="s">
        <v>37</v>
      </c>
      <c r="B1427" t="s">
        <v>14</v>
      </c>
      <c r="C1427">
        <v>32</v>
      </c>
      <c r="D1427" t="s">
        <v>15</v>
      </c>
      <c r="E1427" t="s">
        <v>16</v>
      </c>
      <c r="F1427" s="1">
        <v>44571</v>
      </c>
      <c r="G1427">
        <v>4</v>
      </c>
      <c r="H1427">
        <v>4</v>
      </c>
      <c r="I1427">
        <v>12</v>
      </c>
      <c r="J1427">
        <v>8</v>
      </c>
      <c r="K1427">
        <v>0</v>
      </c>
      <c r="L1427">
        <v>611</v>
      </c>
      <c r="M1427">
        <v>15</v>
      </c>
      <c r="N1427" s="1">
        <f t="shared" si="176"/>
        <v>44938</v>
      </c>
      <c r="O1427" s="1">
        <f t="shared" si="177"/>
        <v>43101</v>
      </c>
      <c r="P1427" s="1">
        <f t="shared" si="178"/>
        <v>44835</v>
      </c>
      <c r="Q1427" s="8">
        <f t="shared" si="179"/>
        <v>0</v>
      </c>
      <c r="R1427" s="8">
        <f t="shared" si="180"/>
        <v>58</v>
      </c>
      <c r="S1427" s="8">
        <f t="shared" ca="1" si="181"/>
        <v>58</v>
      </c>
      <c r="T1427">
        <f t="shared" ca="1" si="182"/>
        <v>6.9854834458951336</v>
      </c>
      <c r="U1427" s="8">
        <f t="shared" ca="1" si="183"/>
        <v>1</v>
      </c>
      <c r="V1427" s="8">
        <f ca="1">RawData[[#This Row],[Z (smoothed demand size)]]/RawData[[#This Row],[X (smoothed interval)]]</f>
        <v>6.9854834458951336</v>
      </c>
    </row>
    <row r="1428" spans="1:22">
      <c r="A1428" t="s">
        <v>37</v>
      </c>
      <c r="B1428" t="s">
        <v>14</v>
      </c>
      <c r="C1428">
        <v>32</v>
      </c>
      <c r="D1428" t="s">
        <v>15</v>
      </c>
      <c r="E1428" t="s">
        <v>16</v>
      </c>
      <c r="F1428" s="1">
        <v>44572</v>
      </c>
      <c r="G1428">
        <v>7</v>
      </c>
      <c r="H1428">
        <v>7</v>
      </c>
      <c r="I1428">
        <v>20</v>
      </c>
      <c r="J1428">
        <v>13</v>
      </c>
      <c r="K1428">
        <v>0</v>
      </c>
      <c r="L1428">
        <v>609</v>
      </c>
      <c r="M1428">
        <v>30</v>
      </c>
      <c r="N1428" s="1">
        <f t="shared" si="176"/>
        <v>44938</v>
      </c>
      <c r="O1428" s="1">
        <f t="shared" si="177"/>
        <v>43101</v>
      </c>
      <c r="P1428" s="1">
        <f t="shared" si="178"/>
        <v>44866</v>
      </c>
      <c r="Q1428" s="8">
        <f t="shared" si="179"/>
        <v>0</v>
      </c>
      <c r="R1428" s="8">
        <f t="shared" si="180"/>
        <v>59</v>
      </c>
      <c r="S1428" s="8">
        <f t="shared" ca="1" si="181"/>
        <v>59</v>
      </c>
      <c r="T1428">
        <f t="shared" ca="1" si="182"/>
        <v>6.9883867567161078</v>
      </c>
      <c r="U1428" s="8">
        <f t="shared" ca="1" si="183"/>
        <v>1</v>
      </c>
      <c r="V1428" s="8">
        <f ca="1">RawData[[#This Row],[Z (smoothed demand size)]]/RawData[[#This Row],[X (smoothed interval)]]</f>
        <v>6.9883867567161078</v>
      </c>
    </row>
    <row r="1429" spans="1:22">
      <c r="A1429" t="s">
        <v>37</v>
      </c>
      <c r="B1429" t="s">
        <v>14</v>
      </c>
      <c r="C1429">
        <v>32</v>
      </c>
      <c r="D1429" t="s">
        <v>15</v>
      </c>
      <c r="E1429" t="s">
        <v>16</v>
      </c>
      <c r="F1429" s="1">
        <v>44573</v>
      </c>
      <c r="G1429">
        <v>2</v>
      </c>
      <c r="H1429">
        <v>2</v>
      </c>
      <c r="I1429">
        <v>13</v>
      </c>
      <c r="J1429">
        <v>11</v>
      </c>
      <c r="K1429">
        <v>0</v>
      </c>
      <c r="L1429">
        <v>694</v>
      </c>
      <c r="M1429">
        <v>30</v>
      </c>
      <c r="N1429" s="1">
        <f t="shared" si="176"/>
        <v>44938</v>
      </c>
      <c r="O1429" s="1">
        <f t="shared" si="177"/>
        <v>43101</v>
      </c>
      <c r="P1429" s="1">
        <f t="shared" si="178"/>
        <v>44896</v>
      </c>
      <c r="Q1429" s="8">
        <f t="shared" si="179"/>
        <v>0</v>
      </c>
      <c r="R1429" s="8">
        <f t="shared" si="180"/>
        <v>60</v>
      </c>
      <c r="S1429" s="8">
        <f t="shared" ca="1" si="181"/>
        <v>60</v>
      </c>
      <c r="T1429">
        <f t="shared" ca="1" si="182"/>
        <v>5.9907094053728871</v>
      </c>
      <c r="U1429" s="8">
        <f t="shared" ca="1" si="183"/>
        <v>1</v>
      </c>
      <c r="V1429" s="8">
        <f ca="1">RawData[[#This Row],[Z (smoothed demand size)]]/RawData[[#This Row],[X (smoothed interval)]]</f>
        <v>5.9907094053728871</v>
      </c>
    </row>
    <row r="1430" spans="1:22">
      <c r="A1430" t="s">
        <v>37</v>
      </c>
      <c r="B1430" t="s">
        <v>14</v>
      </c>
      <c r="C1430">
        <v>32</v>
      </c>
      <c r="D1430" t="s">
        <v>15</v>
      </c>
      <c r="E1430" t="s">
        <v>16</v>
      </c>
      <c r="F1430" s="1">
        <v>44927</v>
      </c>
      <c r="G1430">
        <v>7</v>
      </c>
      <c r="H1430">
        <v>7</v>
      </c>
      <c r="I1430">
        <v>11</v>
      </c>
      <c r="J1430">
        <v>4</v>
      </c>
      <c r="K1430">
        <v>0</v>
      </c>
      <c r="L1430">
        <v>610</v>
      </c>
      <c r="M1430">
        <v>15</v>
      </c>
      <c r="N1430" s="1">
        <f t="shared" si="176"/>
        <v>44938</v>
      </c>
      <c r="O1430" s="1">
        <f t="shared" si="177"/>
        <v>43101</v>
      </c>
      <c r="P1430" s="1">
        <f t="shared" si="178"/>
        <v>44927</v>
      </c>
      <c r="Q1430" s="8">
        <f t="shared" si="179"/>
        <v>0</v>
      </c>
      <c r="R1430" s="8">
        <f t="shared" si="180"/>
        <v>61</v>
      </c>
      <c r="S1430" s="8">
        <f t="shared" ca="1" si="181"/>
        <v>61</v>
      </c>
      <c r="T1430">
        <f t="shared" ca="1" si="182"/>
        <v>6.19256752429831</v>
      </c>
      <c r="U1430" s="8">
        <f t="shared" ca="1" si="183"/>
        <v>1</v>
      </c>
      <c r="V1430" s="8">
        <f ca="1">RawData[[#This Row],[Z (smoothed demand size)]]/RawData[[#This Row],[X (smoothed interval)]]</f>
        <v>6.19256752429831</v>
      </c>
    </row>
    <row r="1431" spans="1:22">
      <c r="A1431" t="s">
        <v>37</v>
      </c>
      <c r="B1431" t="s">
        <v>14</v>
      </c>
      <c r="C1431">
        <v>32</v>
      </c>
      <c r="D1431" t="s">
        <v>15</v>
      </c>
      <c r="E1431" t="s">
        <v>16</v>
      </c>
      <c r="F1431" s="1">
        <v>44928</v>
      </c>
      <c r="G1431">
        <v>8</v>
      </c>
      <c r="H1431">
        <v>8</v>
      </c>
      <c r="I1431">
        <v>15</v>
      </c>
      <c r="J1431">
        <v>7</v>
      </c>
      <c r="K1431">
        <v>0</v>
      </c>
      <c r="L1431">
        <v>603</v>
      </c>
      <c r="M1431">
        <v>30</v>
      </c>
      <c r="N1431" s="1">
        <f t="shared" si="176"/>
        <v>44938</v>
      </c>
      <c r="O1431" s="1">
        <f t="shared" si="177"/>
        <v>43101</v>
      </c>
      <c r="P1431" s="1">
        <f t="shared" si="178"/>
        <v>44958</v>
      </c>
      <c r="Q1431" s="8">
        <f t="shared" si="179"/>
        <v>0</v>
      </c>
      <c r="R1431" s="8">
        <f t="shared" si="180"/>
        <v>62</v>
      </c>
      <c r="S1431" s="8">
        <f t="shared" ca="1" si="181"/>
        <v>62</v>
      </c>
      <c r="T1431">
        <f t="shared" ca="1" si="182"/>
        <v>6.5540540194386487</v>
      </c>
      <c r="U1431" s="8">
        <f t="shared" ca="1" si="183"/>
        <v>1</v>
      </c>
      <c r="V1431" s="8">
        <f ca="1">RawData[[#This Row],[Z (smoothed demand size)]]/RawData[[#This Row],[X (smoothed interval)]]</f>
        <v>6.5540540194386487</v>
      </c>
    </row>
    <row r="1432" spans="1:22">
      <c r="A1432" t="s">
        <v>37</v>
      </c>
      <c r="B1432" t="s">
        <v>14</v>
      </c>
      <c r="C1432">
        <v>32</v>
      </c>
      <c r="D1432" t="s">
        <v>15</v>
      </c>
      <c r="E1432" t="s">
        <v>16</v>
      </c>
      <c r="F1432" s="1">
        <v>44929</v>
      </c>
      <c r="G1432">
        <v>6</v>
      </c>
      <c r="H1432">
        <v>6</v>
      </c>
      <c r="I1432">
        <v>14</v>
      </c>
      <c r="J1432">
        <v>8</v>
      </c>
      <c r="K1432">
        <v>0</v>
      </c>
      <c r="L1432">
        <v>599</v>
      </c>
      <c r="M1432">
        <v>30</v>
      </c>
      <c r="N1432" s="1">
        <f t="shared" si="176"/>
        <v>44938</v>
      </c>
      <c r="O1432" s="1">
        <f t="shared" si="177"/>
        <v>43101</v>
      </c>
      <c r="P1432" s="1">
        <f t="shared" si="178"/>
        <v>44986</v>
      </c>
      <c r="Q1432" s="8">
        <f t="shared" si="179"/>
        <v>0</v>
      </c>
      <c r="R1432" s="8">
        <f t="shared" si="180"/>
        <v>63</v>
      </c>
      <c r="S1432" s="8">
        <f t="shared" ca="1" si="181"/>
        <v>63</v>
      </c>
      <c r="T1432">
        <f t="shared" ca="1" si="182"/>
        <v>6.4432432155509192</v>
      </c>
      <c r="U1432" s="8">
        <f t="shared" ca="1" si="183"/>
        <v>1</v>
      </c>
      <c r="V1432" s="8">
        <f ca="1">RawData[[#This Row],[Z (smoothed demand size)]]/RawData[[#This Row],[X (smoothed interval)]]</f>
        <v>6.4432432155509192</v>
      </c>
    </row>
    <row r="1433" spans="1:22">
      <c r="A1433" t="s">
        <v>37</v>
      </c>
      <c r="B1433" t="s">
        <v>14</v>
      </c>
      <c r="C1433">
        <v>32</v>
      </c>
      <c r="D1433" t="s">
        <v>15</v>
      </c>
      <c r="E1433" t="s">
        <v>16</v>
      </c>
      <c r="F1433" s="1">
        <v>44930</v>
      </c>
      <c r="G1433">
        <v>9</v>
      </c>
      <c r="H1433">
        <v>9</v>
      </c>
      <c r="I1433">
        <v>20</v>
      </c>
      <c r="J1433">
        <v>11</v>
      </c>
      <c r="K1433">
        <v>0</v>
      </c>
      <c r="L1433">
        <v>614</v>
      </c>
      <c r="M1433">
        <v>60</v>
      </c>
      <c r="N1433" s="1">
        <f t="shared" si="176"/>
        <v>44938</v>
      </c>
      <c r="O1433" s="1">
        <f t="shared" si="177"/>
        <v>43101</v>
      </c>
      <c r="P1433" s="1">
        <f t="shared" si="178"/>
        <v>45017</v>
      </c>
      <c r="Q1433" s="8">
        <f t="shared" si="179"/>
        <v>0</v>
      </c>
      <c r="R1433" s="8">
        <f t="shared" si="180"/>
        <v>64</v>
      </c>
      <c r="S1433" s="8">
        <f t="shared" ca="1" si="181"/>
        <v>64</v>
      </c>
      <c r="T1433">
        <f t="shared" ca="1" si="182"/>
        <v>6.9545945724407359</v>
      </c>
      <c r="U1433" s="8">
        <f t="shared" ca="1" si="183"/>
        <v>1</v>
      </c>
      <c r="V1433" s="8">
        <f ca="1">RawData[[#This Row],[Z (smoothed demand size)]]/RawData[[#This Row],[X (smoothed interval)]]</f>
        <v>6.9545945724407359</v>
      </c>
    </row>
    <row r="1434" spans="1:22">
      <c r="A1434" t="s">
        <v>37</v>
      </c>
      <c r="B1434" t="s">
        <v>14</v>
      </c>
      <c r="C1434">
        <v>32</v>
      </c>
      <c r="D1434" t="s">
        <v>15</v>
      </c>
      <c r="E1434" t="s">
        <v>16</v>
      </c>
      <c r="F1434" s="1">
        <v>44931</v>
      </c>
      <c r="G1434">
        <v>6</v>
      </c>
      <c r="H1434">
        <v>6</v>
      </c>
      <c r="I1434">
        <v>11</v>
      </c>
      <c r="J1434">
        <v>5</v>
      </c>
      <c r="K1434">
        <v>0</v>
      </c>
      <c r="L1434">
        <v>601</v>
      </c>
      <c r="M1434">
        <v>30</v>
      </c>
      <c r="N1434" s="1">
        <f t="shared" si="176"/>
        <v>44938</v>
      </c>
      <c r="O1434" s="1">
        <f t="shared" si="177"/>
        <v>43101</v>
      </c>
      <c r="P1434" s="1">
        <f t="shared" si="178"/>
        <v>45047</v>
      </c>
      <c r="Q1434" s="8">
        <f t="shared" si="179"/>
        <v>0</v>
      </c>
      <c r="R1434" s="8">
        <f t="shared" si="180"/>
        <v>65</v>
      </c>
      <c r="S1434" s="8">
        <f t="shared" ca="1" si="181"/>
        <v>65</v>
      </c>
      <c r="T1434">
        <f t="shared" ca="1" si="182"/>
        <v>6.7636756579525894</v>
      </c>
      <c r="U1434" s="8">
        <f t="shared" ca="1" si="183"/>
        <v>1</v>
      </c>
      <c r="V1434" s="8">
        <f ca="1">RawData[[#This Row],[Z (smoothed demand size)]]/RawData[[#This Row],[X (smoothed interval)]]</f>
        <v>6.7636756579525894</v>
      </c>
    </row>
    <row r="1435" spans="1:22">
      <c r="A1435" t="s">
        <v>37</v>
      </c>
      <c r="B1435" t="s">
        <v>14</v>
      </c>
      <c r="C1435">
        <v>32</v>
      </c>
      <c r="D1435" t="s">
        <v>15</v>
      </c>
      <c r="E1435" t="s">
        <v>16</v>
      </c>
      <c r="F1435" s="1">
        <v>44932</v>
      </c>
      <c r="G1435">
        <v>11</v>
      </c>
      <c r="H1435">
        <v>11</v>
      </c>
      <c r="I1435">
        <v>15</v>
      </c>
      <c r="J1435">
        <v>4</v>
      </c>
      <c r="K1435">
        <v>0</v>
      </c>
      <c r="L1435">
        <v>685</v>
      </c>
      <c r="M1435">
        <v>30</v>
      </c>
      <c r="N1435" s="1">
        <f t="shared" si="176"/>
        <v>44938</v>
      </c>
      <c r="O1435" s="1">
        <f t="shared" si="177"/>
        <v>43101</v>
      </c>
      <c r="P1435" s="1">
        <f t="shared" si="178"/>
        <v>45078</v>
      </c>
      <c r="Q1435" s="8">
        <f t="shared" si="179"/>
        <v>0</v>
      </c>
      <c r="R1435" s="8">
        <f t="shared" si="180"/>
        <v>66</v>
      </c>
      <c r="S1435" s="8">
        <f t="shared" ca="1" si="181"/>
        <v>66</v>
      </c>
      <c r="T1435">
        <f t="shared" ca="1" si="182"/>
        <v>7.6109405263620724</v>
      </c>
      <c r="U1435" s="8">
        <f t="shared" ca="1" si="183"/>
        <v>1</v>
      </c>
      <c r="V1435" s="8">
        <f ca="1">RawData[[#This Row],[Z (smoothed demand size)]]/RawData[[#This Row],[X (smoothed interval)]]</f>
        <v>7.6109405263620724</v>
      </c>
    </row>
    <row r="1436" spans="1:22">
      <c r="A1436" t="s">
        <v>37</v>
      </c>
      <c r="B1436" t="s">
        <v>14</v>
      </c>
      <c r="C1436">
        <v>32</v>
      </c>
      <c r="D1436" t="s">
        <v>15</v>
      </c>
      <c r="E1436" t="s">
        <v>16</v>
      </c>
      <c r="F1436" s="1">
        <v>44933</v>
      </c>
      <c r="G1436">
        <v>6</v>
      </c>
      <c r="H1436">
        <v>6</v>
      </c>
      <c r="I1436">
        <v>13</v>
      </c>
      <c r="J1436">
        <v>7</v>
      </c>
      <c r="K1436">
        <v>0</v>
      </c>
      <c r="L1436">
        <v>707</v>
      </c>
      <c r="M1436">
        <v>15</v>
      </c>
      <c r="N1436" s="1">
        <f t="shared" si="176"/>
        <v>44938</v>
      </c>
      <c r="O1436" s="1">
        <f t="shared" si="177"/>
        <v>43101</v>
      </c>
      <c r="P1436" s="1">
        <f t="shared" si="178"/>
        <v>45108</v>
      </c>
      <c r="Q1436" s="8">
        <f t="shared" si="179"/>
        <v>0</v>
      </c>
      <c r="R1436" s="8">
        <f t="shared" si="180"/>
        <v>67</v>
      </c>
      <c r="S1436" s="8">
        <f t="shared" ca="1" si="181"/>
        <v>67</v>
      </c>
      <c r="T1436">
        <f t="shared" ca="1" si="182"/>
        <v>7.2887524210896588</v>
      </c>
      <c r="U1436" s="8">
        <f t="shared" ca="1" si="183"/>
        <v>1</v>
      </c>
      <c r="V1436" s="8">
        <f ca="1">RawData[[#This Row],[Z (smoothed demand size)]]/RawData[[#This Row],[X (smoothed interval)]]</f>
        <v>7.2887524210896588</v>
      </c>
    </row>
    <row r="1437" spans="1:22">
      <c r="A1437" t="s">
        <v>37</v>
      </c>
      <c r="B1437" t="s">
        <v>14</v>
      </c>
      <c r="C1437">
        <v>32</v>
      </c>
      <c r="D1437" t="s">
        <v>15</v>
      </c>
      <c r="E1437" t="s">
        <v>16</v>
      </c>
      <c r="F1437" s="1">
        <v>44934</v>
      </c>
      <c r="G1437">
        <v>7</v>
      </c>
      <c r="H1437">
        <v>7</v>
      </c>
      <c r="I1437">
        <v>14</v>
      </c>
      <c r="J1437">
        <v>7</v>
      </c>
      <c r="K1437">
        <v>0</v>
      </c>
      <c r="L1437">
        <v>686</v>
      </c>
      <c r="M1437">
        <v>60</v>
      </c>
      <c r="N1437" s="1">
        <f t="shared" si="176"/>
        <v>44938</v>
      </c>
      <c r="O1437" s="1">
        <f t="shared" si="177"/>
        <v>43101</v>
      </c>
      <c r="P1437" s="1">
        <f t="shared" si="178"/>
        <v>45139</v>
      </c>
      <c r="Q1437" s="8">
        <f t="shared" si="179"/>
        <v>0</v>
      </c>
      <c r="R1437" s="8">
        <f t="shared" si="180"/>
        <v>68</v>
      </c>
      <c r="S1437" s="8">
        <f t="shared" ca="1" si="181"/>
        <v>68</v>
      </c>
      <c r="T1437">
        <f t="shared" ca="1" si="182"/>
        <v>7.2310019368717278</v>
      </c>
      <c r="U1437" s="8">
        <f t="shared" ca="1" si="183"/>
        <v>1</v>
      </c>
      <c r="V1437" s="8">
        <f ca="1">RawData[[#This Row],[Z (smoothed demand size)]]/RawData[[#This Row],[X (smoothed interval)]]</f>
        <v>7.2310019368717278</v>
      </c>
    </row>
    <row r="1438" spans="1:22">
      <c r="A1438" t="s">
        <v>37</v>
      </c>
      <c r="B1438" t="s">
        <v>14</v>
      </c>
      <c r="C1438">
        <v>32</v>
      </c>
      <c r="D1438" t="s">
        <v>15</v>
      </c>
      <c r="E1438" t="s">
        <v>16</v>
      </c>
      <c r="F1438" s="1">
        <v>44935</v>
      </c>
      <c r="G1438">
        <v>7</v>
      </c>
      <c r="H1438">
        <v>7</v>
      </c>
      <c r="I1438">
        <v>7</v>
      </c>
      <c r="J1438">
        <v>0</v>
      </c>
      <c r="K1438">
        <v>0</v>
      </c>
      <c r="L1438">
        <v>604</v>
      </c>
      <c r="M1438">
        <v>60</v>
      </c>
      <c r="N1438" s="1">
        <f t="shared" si="176"/>
        <v>44938</v>
      </c>
      <c r="O1438" s="1">
        <f t="shared" si="177"/>
        <v>43101</v>
      </c>
      <c r="P1438" s="1">
        <f t="shared" si="178"/>
        <v>45170</v>
      </c>
      <c r="Q1438" s="8">
        <f t="shared" si="179"/>
        <v>0</v>
      </c>
      <c r="R1438" s="8">
        <f t="shared" si="180"/>
        <v>69</v>
      </c>
      <c r="S1438" s="8">
        <f t="shared" ca="1" si="181"/>
        <v>69</v>
      </c>
      <c r="T1438">
        <f t="shared" ca="1" si="182"/>
        <v>7.1848015494973829</v>
      </c>
      <c r="U1438" s="8">
        <f t="shared" ca="1" si="183"/>
        <v>1</v>
      </c>
      <c r="V1438" s="8">
        <f ca="1">RawData[[#This Row],[Z (smoothed demand size)]]/RawData[[#This Row],[X (smoothed interval)]]</f>
        <v>7.1848015494973829</v>
      </c>
    </row>
    <row r="1439" spans="1:22">
      <c r="A1439" t="s">
        <v>37</v>
      </c>
      <c r="B1439" t="s">
        <v>14</v>
      </c>
      <c r="C1439">
        <v>32</v>
      </c>
      <c r="D1439" t="s">
        <v>15</v>
      </c>
      <c r="E1439" t="s">
        <v>16</v>
      </c>
      <c r="F1439" s="1">
        <v>44936</v>
      </c>
      <c r="G1439">
        <v>10</v>
      </c>
      <c r="H1439">
        <v>10</v>
      </c>
      <c r="I1439">
        <v>12</v>
      </c>
      <c r="J1439">
        <v>2</v>
      </c>
      <c r="K1439">
        <v>0</v>
      </c>
      <c r="L1439">
        <v>600</v>
      </c>
      <c r="M1439">
        <v>60</v>
      </c>
      <c r="N1439" s="1">
        <f t="shared" si="176"/>
        <v>44938</v>
      </c>
      <c r="O1439" s="1">
        <f t="shared" si="177"/>
        <v>43101</v>
      </c>
      <c r="P1439" s="1">
        <f t="shared" si="178"/>
        <v>45200</v>
      </c>
      <c r="Q1439" s="8">
        <f t="shared" si="179"/>
        <v>0</v>
      </c>
      <c r="R1439" s="8">
        <f t="shared" si="180"/>
        <v>70</v>
      </c>
      <c r="S1439" s="8">
        <f t="shared" ca="1" si="181"/>
        <v>70</v>
      </c>
      <c r="T1439">
        <f t="shared" ca="1" si="182"/>
        <v>7.747841239597907</v>
      </c>
      <c r="U1439" s="8">
        <f t="shared" ca="1" si="183"/>
        <v>1</v>
      </c>
      <c r="V1439" s="8">
        <f ca="1">RawData[[#This Row],[Z (smoothed demand size)]]/RawData[[#This Row],[X (smoothed interval)]]</f>
        <v>7.747841239597907</v>
      </c>
    </row>
    <row r="1440" spans="1:22">
      <c r="A1440" t="s">
        <v>37</v>
      </c>
      <c r="B1440" t="s">
        <v>14</v>
      </c>
      <c r="C1440">
        <v>32</v>
      </c>
      <c r="D1440" t="s">
        <v>15</v>
      </c>
      <c r="E1440" t="s">
        <v>16</v>
      </c>
      <c r="F1440" s="1">
        <v>44937</v>
      </c>
      <c r="G1440">
        <v>12</v>
      </c>
      <c r="H1440">
        <v>2</v>
      </c>
      <c r="I1440">
        <v>2</v>
      </c>
      <c r="J1440">
        <v>0</v>
      </c>
      <c r="K1440">
        <v>1</v>
      </c>
      <c r="L1440">
        <v>602</v>
      </c>
      <c r="M1440">
        <v>15</v>
      </c>
      <c r="N1440" s="1">
        <f t="shared" si="176"/>
        <v>44938</v>
      </c>
      <c r="O1440" s="1">
        <f t="shared" si="177"/>
        <v>43101</v>
      </c>
      <c r="P1440" s="1">
        <f t="shared" si="178"/>
        <v>45231</v>
      </c>
      <c r="Q1440" s="8">
        <f t="shared" si="179"/>
        <v>0</v>
      </c>
      <c r="R1440" s="8">
        <f t="shared" si="180"/>
        <v>71</v>
      </c>
      <c r="S1440" s="8">
        <f t="shared" ca="1" si="181"/>
        <v>71</v>
      </c>
      <c r="T1440">
        <f t="shared" ca="1" si="182"/>
        <v>8.5982729916783267</v>
      </c>
      <c r="U1440" s="8">
        <f t="shared" ca="1" si="183"/>
        <v>1</v>
      </c>
      <c r="V1440" s="8">
        <f ca="1">RawData[[#This Row],[Z (smoothed demand size)]]/RawData[[#This Row],[X (smoothed interval)]]</f>
        <v>8.5982729916783267</v>
      </c>
    </row>
    <row r="1441" spans="1:22">
      <c r="A1441" t="s">
        <v>37</v>
      </c>
      <c r="B1441" t="s">
        <v>14</v>
      </c>
      <c r="C1441">
        <v>32</v>
      </c>
      <c r="D1441" t="s">
        <v>15</v>
      </c>
      <c r="E1441" t="s">
        <v>16</v>
      </c>
      <c r="F1441" s="1">
        <v>44938</v>
      </c>
      <c r="G1441">
        <v>9</v>
      </c>
      <c r="H1441">
        <v>9</v>
      </c>
      <c r="I1441">
        <v>9</v>
      </c>
      <c r="J1441">
        <v>0</v>
      </c>
      <c r="K1441">
        <v>0</v>
      </c>
      <c r="L1441">
        <v>713</v>
      </c>
      <c r="M1441">
        <v>15</v>
      </c>
      <c r="N1441" s="1">
        <f t="shared" si="176"/>
        <v>44938</v>
      </c>
      <c r="O1441" s="1">
        <f t="shared" si="177"/>
        <v>43101</v>
      </c>
      <c r="P1441" s="1">
        <f t="shared" si="178"/>
        <v>45261</v>
      </c>
      <c r="Q1441" s="8">
        <f t="shared" si="179"/>
        <v>0</v>
      </c>
      <c r="R1441" s="8">
        <f t="shared" si="180"/>
        <v>72</v>
      </c>
      <c r="S1441" s="8">
        <f t="shared" ca="1" si="181"/>
        <v>72</v>
      </c>
      <c r="T1441">
        <f t="shared" ca="1" si="182"/>
        <v>8.6786183933426617</v>
      </c>
      <c r="U1441" s="8">
        <f t="shared" ca="1" si="183"/>
        <v>1</v>
      </c>
      <c r="V1441" s="8">
        <f ca="1">RawData[[#This Row],[Z (smoothed demand size)]]/RawData[[#This Row],[X (smoothed interval)]]</f>
        <v>8.6786183933426617</v>
      </c>
    </row>
    <row r="1442" spans="1:22">
      <c r="A1442" t="s">
        <v>38</v>
      </c>
      <c r="B1442" t="s">
        <v>39</v>
      </c>
      <c r="C1442">
        <v>32</v>
      </c>
      <c r="D1442" t="s">
        <v>22</v>
      </c>
      <c r="E1442" t="s">
        <v>16</v>
      </c>
      <c r="F1442" s="1">
        <v>43101</v>
      </c>
      <c r="G1442">
        <v>0</v>
      </c>
      <c r="H1442">
        <v>0</v>
      </c>
      <c r="I1442">
        <v>27</v>
      </c>
      <c r="J1442">
        <v>27</v>
      </c>
      <c r="K1442">
        <v>0</v>
      </c>
      <c r="L1442">
        <v>507</v>
      </c>
      <c r="M1442">
        <v>60</v>
      </c>
      <c r="N1442" s="1">
        <f t="shared" si="176"/>
        <v>44938</v>
      </c>
      <c r="O1442" s="1">
        <f t="shared" si="177"/>
        <v>43101</v>
      </c>
      <c r="P1442" s="1">
        <f t="shared" si="178"/>
        <v>43101</v>
      </c>
      <c r="Q1442" s="8">
        <f t="shared" si="179"/>
        <v>1</v>
      </c>
      <c r="R1442" s="8">
        <f t="shared" si="180"/>
        <v>1</v>
      </c>
      <c r="S1442" s="8">
        <f t="shared" ca="1" si="181"/>
        <v>0</v>
      </c>
      <c r="T1442">
        <f t="shared" ca="1" si="182"/>
        <v>0</v>
      </c>
      <c r="U1442" s="8">
        <f t="shared" ca="1" si="183"/>
        <v>1</v>
      </c>
      <c r="V1442" s="8">
        <f ca="1">RawData[[#This Row],[Z (smoothed demand size)]]/RawData[[#This Row],[X (smoothed interval)]]</f>
        <v>0</v>
      </c>
    </row>
    <row r="1443" spans="1:22">
      <c r="A1443" t="s">
        <v>38</v>
      </c>
      <c r="B1443" t="s">
        <v>39</v>
      </c>
      <c r="C1443">
        <v>32</v>
      </c>
      <c r="D1443" t="s">
        <v>22</v>
      </c>
      <c r="E1443" t="s">
        <v>16</v>
      </c>
      <c r="F1443" s="1">
        <v>43102</v>
      </c>
      <c r="G1443">
        <v>0</v>
      </c>
      <c r="H1443">
        <v>0</v>
      </c>
      <c r="I1443">
        <v>27</v>
      </c>
      <c r="J1443">
        <v>27</v>
      </c>
      <c r="K1443">
        <v>0</v>
      </c>
      <c r="L1443">
        <v>516</v>
      </c>
      <c r="M1443">
        <v>60</v>
      </c>
      <c r="N1443" s="1">
        <f t="shared" si="176"/>
        <v>44938</v>
      </c>
      <c r="O1443" s="1">
        <f t="shared" si="177"/>
        <v>43101</v>
      </c>
      <c r="P1443" s="1">
        <f t="shared" si="178"/>
        <v>43132</v>
      </c>
      <c r="Q1443" s="8">
        <f t="shared" si="179"/>
        <v>0</v>
      </c>
      <c r="R1443" s="8">
        <f t="shared" si="180"/>
        <v>2</v>
      </c>
      <c r="S1443" s="8">
        <f t="shared" ca="1" si="181"/>
        <v>0</v>
      </c>
      <c r="T1443">
        <f t="shared" ca="1" si="182"/>
        <v>0</v>
      </c>
      <c r="U1443" s="8">
        <f t="shared" ca="1" si="183"/>
        <v>1</v>
      </c>
      <c r="V1443" s="8">
        <f ca="1">RawData[[#This Row],[Z (smoothed demand size)]]/RawData[[#This Row],[X (smoothed interval)]]</f>
        <v>0</v>
      </c>
    </row>
    <row r="1444" spans="1:22">
      <c r="A1444" t="s">
        <v>38</v>
      </c>
      <c r="B1444" t="s">
        <v>39</v>
      </c>
      <c r="C1444">
        <v>32</v>
      </c>
      <c r="D1444" t="s">
        <v>22</v>
      </c>
      <c r="E1444" t="s">
        <v>16</v>
      </c>
      <c r="F1444" s="1">
        <v>43103</v>
      </c>
      <c r="G1444">
        <v>2</v>
      </c>
      <c r="H1444">
        <v>2</v>
      </c>
      <c r="I1444">
        <v>27</v>
      </c>
      <c r="J1444">
        <v>25</v>
      </c>
      <c r="K1444">
        <v>0</v>
      </c>
      <c r="L1444">
        <v>506</v>
      </c>
      <c r="M1444">
        <v>60</v>
      </c>
      <c r="N1444" s="1">
        <f t="shared" si="176"/>
        <v>44938</v>
      </c>
      <c r="O1444" s="1">
        <f t="shared" si="177"/>
        <v>43101</v>
      </c>
      <c r="P1444" s="1">
        <f t="shared" si="178"/>
        <v>43160</v>
      </c>
      <c r="Q1444" s="8">
        <f t="shared" si="179"/>
        <v>0</v>
      </c>
      <c r="R1444" s="8">
        <f t="shared" si="180"/>
        <v>3</v>
      </c>
      <c r="S1444" s="8">
        <f t="shared" ca="1" si="181"/>
        <v>3</v>
      </c>
      <c r="T1444">
        <f t="shared" ca="1" si="182"/>
        <v>0.4</v>
      </c>
      <c r="U1444" s="8">
        <f t="shared" ca="1" si="183"/>
        <v>1.4000000000000001</v>
      </c>
      <c r="V1444" s="8">
        <f ca="1">RawData[[#This Row],[Z (smoothed demand size)]]/RawData[[#This Row],[X (smoothed interval)]]</f>
        <v>0.2857142857142857</v>
      </c>
    </row>
    <row r="1445" spans="1:22">
      <c r="A1445" t="s">
        <v>38</v>
      </c>
      <c r="B1445" t="s">
        <v>39</v>
      </c>
      <c r="C1445">
        <v>32</v>
      </c>
      <c r="D1445" t="s">
        <v>22</v>
      </c>
      <c r="E1445" t="s">
        <v>16</v>
      </c>
      <c r="F1445" s="1">
        <v>43104</v>
      </c>
      <c r="G1445">
        <v>2</v>
      </c>
      <c r="H1445">
        <v>2</v>
      </c>
      <c r="I1445">
        <v>25</v>
      </c>
      <c r="J1445">
        <v>23</v>
      </c>
      <c r="K1445">
        <v>0</v>
      </c>
      <c r="L1445">
        <v>516</v>
      </c>
      <c r="M1445">
        <v>45</v>
      </c>
      <c r="N1445" s="1">
        <f t="shared" si="176"/>
        <v>44938</v>
      </c>
      <c r="O1445" s="1">
        <f t="shared" si="177"/>
        <v>43101</v>
      </c>
      <c r="P1445" s="1">
        <f t="shared" si="178"/>
        <v>43191</v>
      </c>
      <c r="Q1445" s="8">
        <f t="shared" si="179"/>
        <v>0</v>
      </c>
      <c r="R1445" s="8">
        <f t="shared" si="180"/>
        <v>4</v>
      </c>
      <c r="S1445" s="8">
        <f t="shared" ca="1" si="181"/>
        <v>4</v>
      </c>
      <c r="T1445">
        <f t="shared" ca="1" si="182"/>
        <v>0.72000000000000008</v>
      </c>
      <c r="U1445" s="8">
        <f t="shared" ca="1" si="183"/>
        <v>1.32</v>
      </c>
      <c r="V1445" s="8">
        <f ca="1">RawData[[#This Row],[Z (smoothed demand size)]]/RawData[[#This Row],[X (smoothed interval)]]</f>
        <v>0.54545454545454553</v>
      </c>
    </row>
    <row r="1446" spans="1:22">
      <c r="A1446" t="s">
        <v>38</v>
      </c>
      <c r="B1446" t="s">
        <v>39</v>
      </c>
      <c r="C1446">
        <v>32</v>
      </c>
      <c r="D1446" t="s">
        <v>22</v>
      </c>
      <c r="E1446" t="s">
        <v>16</v>
      </c>
      <c r="F1446" s="1">
        <v>43105</v>
      </c>
      <c r="G1446">
        <v>3</v>
      </c>
      <c r="H1446">
        <v>3</v>
      </c>
      <c r="I1446">
        <v>23</v>
      </c>
      <c r="J1446">
        <v>20</v>
      </c>
      <c r="K1446">
        <v>0</v>
      </c>
      <c r="L1446">
        <v>507</v>
      </c>
      <c r="M1446">
        <v>30</v>
      </c>
      <c r="N1446" s="1">
        <f t="shared" si="176"/>
        <v>44938</v>
      </c>
      <c r="O1446" s="1">
        <f t="shared" si="177"/>
        <v>43101</v>
      </c>
      <c r="P1446" s="1">
        <f t="shared" si="178"/>
        <v>43221</v>
      </c>
      <c r="Q1446" s="8">
        <f t="shared" si="179"/>
        <v>0</v>
      </c>
      <c r="R1446" s="8">
        <f t="shared" si="180"/>
        <v>5</v>
      </c>
      <c r="S1446" s="8">
        <f t="shared" ca="1" si="181"/>
        <v>5</v>
      </c>
      <c r="T1446">
        <f t="shared" ca="1" si="182"/>
        <v>1.1760000000000002</v>
      </c>
      <c r="U1446" s="8">
        <f t="shared" ca="1" si="183"/>
        <v>1.256</v>
      </c>
      <c r="V1446" s="8">
        <f ca="1">RawData[[#This Row],[Z (smoothed demand size)]]/RawData[[#This Row],[X (smoothed interval)]]</f>
        <v>0.93630573248407656</v>
      </c>
    </row>
    <row r="1447" spans="1:22">
      <c r="A1447" t="s">
        <v>38</v>
      </c>
      <c r="B1447" t="s">
        <v>39</v>
      </c>
      <c r="C1447">
        <v>32</v>
      </c>
      <c r="D1447" t="s">
        <v>22</v>
      </c>
      <c r="E1447" t="s">
        <v>16</v>
      </c>
      <c r="F1447" s="1">
        <v>43106</v>
      </c>
      <c r="G1447">
        <v>0</v>
      </c>
      <c r="H1447">
        <v>0</v>
      </c>
      <c r="I1447">
        <v>20</v>
      </c>
      <c r="J1447">
        <v>20</v>
      </c>
      <c r="K1447">
        <v>0</v>
      </c>
      <c r="L1447">
        <v>592</v>
      </c>
      <c r="M1447">
        <v>15</v>
      </c>
      <c r="N1447" s="1">
        <f t="shared" si="176"/>
        <v>44938</v>
      </c>
      <c r="O1447" s="1">
        <f t="shared" si="177"/>
        <v>43101</v>
      </c>
      <c r="P1447" s="1">
        <f t="shared" si="178"/>
        <v>43252</v>
      </c>
      <c r="Q1447" s="8">
        <f t="shared" si="179"/>
        <v>0</v>
      </c>
      <c r="R1447" s="8">
        <f t="shared" si="180"/>
        <v>6</v>
      </c>
      <c r="S1447" s="8">
        <f t="shared" ca="1" si="181"/>
        <v>5</v>
      </c>
      <c r="T1447">
        <f t="shared" ca="1" si="182"/>
        <v>1.1760000000000002</v>
      </c>
      <c r="U1447" s="8">
        <f t="shared" ca="1" si="183"/>
        <v>1.256</v>
      </c>
      <c r="V1447" s="8">
        <f ca="1">RawData[[#This Row],[Z (smoothed demand size)]]/RawData[[#This Row],[X (smoothed interval)]]</f>
        <v>0.93630573248407656</v>
      </c>
    </row>
    <row r="1448" spans="1:22">
      <c r="A1448" t="s">
        <v>38</v>
      </c>
      <c r="B1448" t="s">
        <v>39</v>
      </c>
      <c r="C1448">
        <v>32</v>
      </c>
      <c r="D1448" t="s">
        <v>22</v>
      </c>
      <c r="E1448" t="s">
        <v>16</v>
      </c>
      <c r="F1448" s="1">
        <v>43107</v>
      </c>
      <c r="G1448">
        <v>0</v>
      </c>
      <c r="H1448">
        <v>0</v>
      </c>
      <c r="I1448">
        <v>20</v>
      </c>
      <c r="J1448">
        <v>20</v>
      </c>
      <c r="K1448">
        <v>0</v>
      </c>
      <c r="L1448">
        <v>595</v>
      </c>
      <c r="M1448">
        <v>45</v>
      </c>
      <c r="N1448" s="1">
        <f t="shared" si="176"/>
        <v>44938</v>
      </c>
      <c r="O1448" s="1">
        <f t="shared" si="177"/>
        <v>43101</v>
      </c>
      <c r="P1448" s="1">
        <f t="shared" si="178"/>
        <v>43282</v>
      </c>
      <c r="Q1448" s="8">
        <f t="shared" si="179"/>
        <v>0</v>
      </c>
      <c r="R1448" s="8">
        <f t="shared" si="180"/>
        <v>7</v>
      </c>
      <c r="S1448" s="8">
        <f t="shared" ca="1" si="181"/>
        <v>5</v>
      </c>
      <c r="T1448">
        <f t="shared" ca="1" si="182"/>
        <v>1.1760000000000002</v>
      </c>
      <c r="U1448" s="8">
        <f t="shared" ca="1" si="183"/>
        <v>1.256</v>
      </c>
      <c r="V1448" s="8">
        <f ca="1">RawData[[#This Row],[Z (smoothed demand size)]]/RawData[[#This Row],[X (smoothed interval)]]</f>
        <v>0.93630573248407656</v>
      </c>
    </row>
    <row r="1449" spans="1:22">
      <c r="A1449" t="s">
        <v>38</v>
      </c>
      <c r="B1449" t="s">
        <v>39</v>
      </c>
      <c r="C1449">
        <v>32</v>
      </c>
      <c r="D1449" t="s">
        <v>22</v>
      </c>
      <c r="E1449" t="s">
        <v>16</v>
      </c>
      <c r="F1449" s="1">
        <v>43108</v>
      </c>
      <c r="G1449">
        <v>8</v>
      </c>
      <c r="H1449">
        <v>8</v>
      </c>
      <c r="I1449">
        <v>20</v>
      </c>
      <c r="J1449">
        <v>12</v>
      </c>
      <c r="K1449">
        <v>0</v>
      </c>
      <c r="L1449">
        <v>579</v>
      </c>
      <c r="M1449">
        <v>30</v>
      </c>
      <c r="N1449" s="1">
        <f t="shared" si="176"/>
        <v>44938</v>
      </c>
      <c r="O1449" s="1">
        <f t="shared" si="177"/>
        <v>43101</v>
      </c>
      <c r="P1449" s="1">
        <f t="shared" si="178"/>
        <v>43313</v>
      </c>
      <c r="Q1449" s="8">
        <f t="shared" si="179"/>
        <v>0</v>
      </c>
      <c r="R1449" s="8">
        <f t="shared" si="180"/>
        <v>8</v>
      </c>
      <c r="S1449" s="8">
        <f t="shared" ca="1" si="181"/>
        <v>8</v>
      </c>
      <c r="T1449">
        <f t="shared" ca="1" si="182"/>
        <v>2.5408000000000004</v>
      </c>
      <c r="U1449" s="8">
        <f t="shared" ca="1" si="183"/>
        <v>1.6048000000000002</v>
      </c>
      <c r="V1449" s="8">
        <f ca="1">RawData[[#This Row],[Z (smoothed demand size)]]/RawData[[#This Row],[X (smoothed interval)]]</f>
        <v>1.5832502492522433</v>
      </c>
    </row>
    <row r="1450" spans="1:22">
      <c r="A1450" t="s">
        <v>38</v>
      </c>
      <c r="B1450" t="s">
        <v>39</v>
      </c>
      <c r="C1450">
        <v>32</v>
      </c>
      <c r="D1450" t="s">
        <v>22</v>
      </c>
      <c r="E1450" t="s">
        <v>16</v>
      </c>
      <c r="F1450" s="1">
        <v>43109</v>
      </c>
      <c r="G1450">
        <v>0</v>
      </c>
      <c r="H1450">
        <v>0</v>
      </c>
      <c r="I1450">
        <v>12</v>
      </c>
      <c r="J1450">
        <v>12</v>
      </c>
      <c r="K1450">
        <v>0</v>
      </c>
      <c r="L1450">
        <v>504</v>
      </c>
      <c r="M1450">
        <v>15</v>
      </c>
      <c r="N1450" s="1">
        <f t="shared" si="176"/>
        <v>44938</v>
      </c>
      <c r="O1450" s="1">
        <f t="shared" si="177"/>
        <v>43101</v>
      </c>
      <c r="P1450" s="1">
        <f t="shared" si="178"/>
        <v>43344</v>
      </c>
      <c r="Q1450" s="8">
        <f t="shared" si="179"/>
        <v>0</v>
      </c>
      <c r="R1450" s="8">
        <f t="shared" si="180"/>
        <v>9</v>
      </c>
      <c r="S1450" s="8">
        <f t="shared" ca="1" si="181"/>
        <v>8</v>
      </c>
      <c r="T1450">
        <f t="shared" ca="1" si="182"/>
        <v>2.5408000000000004</v>
      </c>
      <c r="U1450" s="8">
        <f t="shared" ca="1" si="183"/>
        <v>1.6048000000000002</v>
      </c>
      <c r="V1450" s="8">
        <f ca="1">RawData[[#This Row],[Z (smoothed demand size)]]/RawData[[#This Row],[X (smoothed interval)]]</f>
        <v>1.5832502492522433</v>
      </c>
    </row>
    <row r="1451" spans="1:22">
      <c r="A1451" t="s">
        <v>38</v>
      </c>
      <c r="B1451" t="s">
        <v>39</v>
      </c>
      <c r="C1451">
        <v>32</v>
      </c>
      <c r="D1451" t="s">
        <v>22</v>
      </c>
      <c r="E1451" t="s">
        <v>16</v>
      </c>
      <c r="F1451" s="1">
        <v>43110</v>
      </c>
      <c r="G1451">
        <v>3</v>
      </c>
      <c r="H1451">
        <v>3</v>
      </c>
      <c r="I1451">
        <v>12</v>
      </c>
      <c r="J1451">
        <v>9</v>
      </c>
      <c r="K1451">
        <v>0</v>
      </c>
      <c r="L1451">
        <v>512</v>
      </c>
      <c r="M1451">
        <v>30</v>
      </c>
      <c r="N1451" s="1">
        <f t="shared" si="176"/>
        <v>44938</v>
      </c>
      <c r="O1451" s="1">
        <f t="shared" si="177"/>
        <v>43101</v>
      </c>
      <c r="P1451" s="1">
        <f t="shared" si="178"/>
        <v>43374</v>
      </c>
      <c r="Q1451" s="8">
        <f t="shared" si="179"/>
        <v>0</v>
      </c>
      <c r="R1451" s="8">
        <f t="shared" si="180"/>
        <v>10</v>
      </c>
      <c r="S1451" s="8">
        <f t="shared" ca="1" si="181"/>
        <v>10</v>
      </c>
      <c r="T1451">
        <f t="shared" ca="1" si="182"/>
        <v>2.6326400000000003</v>
      </c>
      <c r="U1451" s="8">
        <f t="shared" ca="1" si="183"/>
        <v>1.6838400000000004</v>
      </c>
      <c r="V1451" s="8">
        <f ca="1">RawData[[#This Row],[Z (smoothed demand size)]]/RawData[[#This Row],[X (smoothed interval)]]</f>
        <v>1.5634739642721396</v>
      </c>
    </row>
    <row r="1452" spans="1:22">
      <c r="A1452" t="s">
        <v>38</v>
      </c>
      <c r="B1452" t="s">
        <v>39</v>
      </c>
      <c r="C1452">
        <v>32</v>
      </c>
      <c r="D1452" t="s">
        <v>22</v>
      </c>
      <c r="E1452" t="s">
        <v>16</v>
      </c>
      <c r="F1452" s="1">
        <v>43111</v>
      </c>
      <c r="G1452">
        <v>3</v>
      </c>
      <c r="H1452">
        <v>3</v>
      </c>
      <c r="I1452">
        <v>9</v>
      </c>
      <c r="J1452">
        <v>6</v>
      </c>
      <c r="K1452">
        <v>0</v>
      </c>
      <c r="L1452">
        <v>512</v>
      </c>
      <c r="M1452">
        <v>60</v>
      </c>
      <c r="N1452" s="1">
        <f t="shared" si="176"/>
        <v>44938</v>
      </c>
      <c r="O1452" s="1">
        <f t="shared" si="177"/>
        <v>43101</v>
      </c>
      <c r="P1452" s="1">
        <f t="shared" si="178"/>
        <v>43405</v>
      </c>
      <c r="Q1452" s="8">
        <f t="shared" si="179"/>
        <v>0</v>
      </c>
      <c r="R1452" s="8">
        <f t="shared" si="180"/>
        <v>11</v>
      </c>
      <c r="S1452" s="8">
        <f t="shared" ca="1" si="181"/>
        <v>11</v>
      </c>
      <c r="T1452">
        <f t="shared" ca="1" si="182"/>
        <v>2.7061120000000005</v>
      </c>
      <c r="U1452" s="8">
        <f t="shared" ca="1" si="183"/>
        <v>1.5470720000000004</v>
      </c>
      <c r="V1452" s="8">
        <f ca="1">RawData[[#This Row],[Z (smoothed demand size)]]/RawData[[#This Row],[X (smoothed interval)]]</f>
        <v>1.7491829727381787</v>
      </c>
    </row>
    <row r="1453" spans="1:22">
      <c r="A1453" t="s">
        <v>38</v>
      </c>
      <c r="B1453" t="s">
        <v>39</v>
      </c>
      <c r="C1453">
        <v>32</v>
      </c>
      <c r="D1453" t="s">
        <v>22</v>
      </c>
      <c r="E1453" t="s">
        <v>16</v>
      </c>
      <c r="F1453" s="1">
        <v>43112</v>
      </c>
      <c r="G1453">
        <v>2</v>
      </c>
      <c r="H1453">
        <v>2</v>
      </c>
      <c r="I1453">
        <v>6</v>
      </c>
      <c r="J1453">
        <v>4</v>
      </c>
      <c r="K1453">
        <v>0</v>
      </c>
      <c r="L1453">
        <v>586</v>
      </c>
      <c r="M1453">
        <v>30</v>
      </c>
      <c r="N1453" s="1">
        <f t="shared" si="176"/>
        <v>44938</v>
      </c>
      <c r="O1453" s="1">
        <f t="shared" si="177"/>
        <v>43101</v>
      </c>
      <c r="P1453" s="1">
        <f t="shared" si="178"/>
        <v>43435</v>
      </c>
      <c r="Q1453" s="8">
        <f t="shared" si="179"/>
        <v>0</v>
      </c>
      <c r="R1453" s="8">
        <f t="shared" si="180"/>
        <v>12</v>
      </c>
      <c r="S1453" s="8">
        <f t="shared" ca="1" si="181"/>
        <v>12</v>
      </c>
      <c r="T1453">
        <f t="shared" ca="1" si="182"/>
        <v>2.5648896000000003</v>
      </c>
      <c r="U1453" s="8">
        <f t="shared" ca="1" si="183"/>
        <v>1.4376576000000003</v>
      </c>
      <c r="V1453" s="8">
        <f ca="1">RawData[[#This Row],[Z (smoothed demand size)]]/RawData[[#This Row],[X (smoothed interval)]]</f>
        <v>1.7840754293651004</v>
      </c>
    </row>
    <row r="1454" spans="1:22">
      <c r="A1454" t="s">
        <v>38</v>
      </c>
      <c r="B1454" t="s">
        <v>39</v>
      </c>
      <c r="C1454">
        <v>32</v>
      </c>
      <c r="D1454" t="s">
        <v>22</v>
      </c>
      <c r="E1454" t="s">
        <v>16</v>
      </c>
      <c r="F1454" s="1">
        <v>43466</v>
      </c>
      <c r="G1454">
        <v>2</v>
      </c>
      <c r="H1454">
        <v>2</v>
      </c>
      <c r="I1454">
        <v>4</v>
      </c>
      <c r="J1454">
        <v>2</v>
      </c>
      <c r="K1454">
        <v>0</v>
      </c>
      <c r="L1454">
        <v>507</v>
      </c>
      <c r="M1454">
        <v>15</v>
      </c>
      <c r="N1454" s="1">
        <f t="shared" si="176"/>
        <v>44938</v>
      </c>
      <c r="O1454" s="1">
        <f t="shared" si="177"/>
        <v>43101</v>
      </c>
      <c r="P1454" s="1">
        <f t="shared" si="178"/>
        <v>43466</v>
      </c>
      <c r="Q1454" s="8">
        <f t="shared" si="179"/>
        <v>0</v>
      </c>
      <c r="R1454" s="8">
        <f t="shared" si="180"/>
        <v>13</v>
      </c>
      <c r="S1454" s="8">
        <f t="shared" ca="1" si="181"/>
        <v>13</v>
      </c>
      <c r="T1454">
        <f t="shared" ca="1" si="182"/>
        <v>2.4519116800000003</v>
      </c>
      <c r="U1454" s="8">
        <f t="shared" ca="1" si="183"/>
        <v>1.3501260800000003</v>
      </c>
      <c r="V1454" s="8">
        <f ca="1">RawData[[#This Row],[Z (smoothed demand size)]]/RawData[[#This Row],[X (smoothed interval)]]</f>
        <v>1.816061267404004</v>
      </c>
    </row>
    <row r="1455" spans="1:22">
      <c r="A1455" t="s">
        <v>38</v>
      </c>
      <c r="B1455" t="s">
        <v>39</v>
      </c>
      <c r="C1455">
        <v>32</v>
      </c>
      <c r="D1455" t="s">
        <v>22</v>
      </c>
      <c r="E1455" t="s">
        <v>16</v>
      </c>
      <c r="F1455" s="1">
        <v>43467</v>
      </c>
      <c r="G1455">
        <v>0</v>
      </c>
      <c r="H1455">
        <v>0</v>
      </c>
      <c r="I1455">
        <v>10</v>
      </c>
      <c r="J1455">
        <v>10</v>
      </c>
      <c r="K1455">
        <v>0</v>
      </c>
      <c r="L1455">
        <v>505</v>
      </c>
      <c r="M1455">
        <v>15</v>
      </c>
      <c r="N1455" s="1">
        <f t="shared" si="176"/>
        <v>44938</v>
      </c>
      <c r="O1455" s="1">
        <f t="shared" si="177"/>
        <v>43101</v>
      </c>
      <c r="P1455" s="1">
        <f t="shared" si="178"/>
        <v>43497</v>
      </c>
      <c r="Q1455" s="8">
        <f t="shared" si="179"/>
        <v>0</v>
      </c>
      <c r="R1455" s="8">
        <f t="shared" si="180"/>
        <v>14</v>
      </c>
      <c r="S1455" s="8">
        <f t="shared" ca="1" si="181"/>
        <v>13</v>
      </c>
      <c r="T1455">
        <f t="shared" ca="1" si="182"/>
        <v>2.4519116800000003</v>
      </c>
      <c r="U1455" s="8">
        <f t="shared" ca="1" si="183"/>
        <v>1.3501260800000003</v>
      </c>
      <c r="V1455" s="8">
        <f ca="1">RawData[[#This Row],[Z (smoothed demand size)]]/RawData[[#This Row],[X (smoothed interval)]]</f>
        <v>1.816061267404004</v>
      </c>
    </row>
    <row r="1456" spans="1:22">
      <c r="A1456" t="s">
        <v>38</v>
      </c>
      <c r="B1456" t="s">
        <v>39</v>
      </c>
      <c r="C1456">
        <v>32</v>
      </c>
      <c r="D1456" t="s">
        <v>22</v>
      </c>
      <c r="E1456" t="s">
        <v>16</v>
      </c>
      <c r="F1456" s="1">
        <v>43468</v>
      </c>
      <c r="G1456">
        <v>0</v>
      </c>
      <c r="H1456">
        <v>0</v>
      </c>
      <c r="I1456">
        <v>10</v>
      </c>
      <c r="J1456">
        <v>10</v>
      </c>
      <c r="K1456">
        <v>0</v>
      </c>
      <c r="L1456">
        <v>511</v>
      </c>
      <c r="M1456">
        <v>15</v>
      </c>
      <c r="N1456" s="1">
        <f t="shared" si="176"/>
        <v>44938</v>
      </c>
      <c r="O1456" s="1">
        <f t="shared" si="177"/>
        <v>43101</v>
      </c>
      <c r="P1456" s="1">
        <f t="shared" si="178"/>
        <v>43525</v>
      </c>
      <c r="Q1456" s="8">
        <f t="shared" si="179"/>
        <v>0</v>
      </c>
      <c r="R1456" s="8">
        <f t="shared" si="180"/>
        <v>15</v>
      </c>
      <c r="S1456" s="8">
        <f t="shared" ca="1" si="181"/>
        <v>13</v>
      </c>
      <c r="T1456">
        <f t="shared" ca="1" si="182"/>
        <v>2.4519116800000003</v>
      </c>
      <c r="U1456" s="8">
        <f t="shared" ca="1" si="183"/>
        <v>1.3501260800000003</v>
      </c>
      <c r="V1456" s="8">
        <f ca="1">RawData[[#This Row],[Z (smoothed demand size)]]/RawData[[#This Row],[X (smoothed interval)]]</f>
        <v>1.816061267404004</v>
      </c>
    </row>
    <row r="1457" spans="1:22">
      <c r="A1457" t="s">
        <v>38</v>
      </c>
      <c r="B1457" t="s">
        <v>39</v>
      </c>
      <c r="C1457">
        <v>32</v>
      </c>
      <c r="D1457" t="s">
        <v>22</v>
      </c>
      <c r="E1457" t="s">
        <v>16</v>
      </c>
      <c r="F1457" s="1">
        <v>43469</v>
      </c>
      <c r="G1457">
        <v>2</v>
      </c>
      <c r="H1457">
        <v>2</v>
      </c>
      <c r="I1457">
        <v>10</v>
      </c>
      <c r="J1457">
        <v>8</v>
      </c>
      <c r="K1457">
        <v>0</v>
      </c>
      <c r="L1457">
        <v>505</v>
      </c>
      <c r="M1457">
        <v>30</v>
      </c>
      <c r="N1457" s="1">
        <f t="shared" si="176"/>
        <v>44938</v>
      </c>
      <c r="O1457" s="1">
        <f t="shared" si="177"/>
        <v>43101</v>
      </c>
      <c r="P1457" s="1">
        <f t="shared" si="178"/>
        <v>43556</v>
      </c>
      <c r="Q1457" s="8">
        <f t="shared" si="179"/>
        <v>0</v>
      </c>
      <c r="R1457" s="8">
        <f t="shared" si="180"/>
        <v>16</v>
      </c>
      <c r="S1457" s="8">
        <f t="shared" ca="1" si="181"/>
        <v>16</v>
      </c>
      <c r="T1457">
        <f t="shared" ca="1" si="182"/>
        <v>2.3615293440000005</v>
      </c>
      <c r="U1457" s="8">
        <f t="shared" ca="1" si="183"/>
        <v>1.6801008640000004</v>
      </c>
      <c r="V1457" s="8">
        <f ca="1">RawData[[#This Row],[Z (smoothed demand size)]]/RawData[[#This Row],[X (smoothed interval)]]</f>
        <v>1.4055878397548398</v>
      </c>
    </row>
    <row r="1458" spans="1:22">
      <c r="A1458" t="s">
        <v>38</v>
      </c>
      <c r="B1458" t="s">
        <v>39</v>
      </c>
      <c r="C1458">
        <v>32</v>
      </c>
      <c r="D1458" t="s">
        <v>22</v>
      </c>
      <c r="E1458" t="s">
        <v>16</v>
      </c>
      <c r="F1458" s="1">
        <v>43470</v>
      </c>
      <c r="G1458">
        <v>0</v>
      </c>
      <c r="H1458">
        <v>0</v>
      </c>
      <c r="I1458">
        <v>8</v>
      </c>
      <c r="J1458">
        <v>8</v>
      </c>
      <c r="K1458">
        <v>0</v>
      </c>
      <c r="L1458">
        <v>511</v>
      </c>
      <c r="M1458">
        <v>60</v>
      </c>
      <c r="N1458" s="1">
        <f t="shared" si="176"/>
        <v>44938</v>
      </c>
      <c r="O1458" s="1">
        <f t="shared" si="177"/>
        <v>43101</v>
      </c>
      <c r="P1458" s="1">
        <f t="shared" si="178"/>
        <v>43586</v>
      </c>
      <c r="Q1458" s="8">
        <f t="shared" si="179"/>
        <v>0</v>
      </c>
      <c r="R1458" s="8">
        <f t="shared" si="180"/>
        <v>17</v>
      </c>
      <c r="S1458" s="8">
        <f t="shared" ca="1" si="181"/>
        <v>16</v>
      </c>
      <c r="T1458">
        <f t="shared" ca="1" si="182"/>
        <v>2.3615293440000005</v>
      </c>
      <c r="U1458" s="8">
        <f t="shared" ca="1" si="183"/>
        <v>1.6801008640000004</v>
      </c>
      <c r="V1458" s="8">
        <f ca="1">RawData[[#This Row],[Z (smoothed demand size)]]/RawData[[#This Row],[X (smoothed interval)]]</f>
        <v>1.4055878397548398</v>
      </c>
    </row>
    <row r="1459" spans="1:22">
      <c r="A1459" t="s">
        <v>38</v>
      </c>
      <c r="B1459" t="s">
        <v>39</v>
      </c>
      <c r="C1459">
        <v>32</v>
      </c>
      <c r="D1459" t="s">
        <v>22</v>
      </c>
      <c r="E1459" t="s">
        <v>16</v>
      </c>
      <c r="F1459" s="1">
        <v>43471</v>
      </c>
      <c r="G1459">
        <v>3</v>
      </c>
      <c r="H1459">
        <v>3</v>
      </c>
      <c r="I1459">
        <v>8</v>
      </c>
      <c r="J1459">
        <v>5</v>
      </c>
      <c r="K1459">
        <v>0</v>
      </c>
      <c r="L1459">
        <v>583</v>
      </c>
      <c r="M1459">
        <v>30</v>
      </c>
      <c r="N1459" s="1">
        <f t="shared" si="176"/>
        <v>44938</v>
      </c>
      <c r="O1459" s="1">
        <f t="shared" si="177"/>
        <v>43101</v>
      </c>
      <c r="P1459" s="1">
        <f t="shared" si="178"/>
        <v>43617</v>
      </c>
      <c r="Q1459" s="8">
        <f t="shared" si="179"/>
        <v>0</v>
      </c>
      <c r="R1459" s="8">
        <f t="shared" si="180"/>
        <v>18</v>
      </c>
      <c r="S1459" s="8">
        <f t="shared" ca="1" si="181"/>
        <v>18</v>
      </c>
      <c r="T1459">
        <f t="shared" ca="1" si="182"/>
        <v>2.4892234752000006</v>
      </c>
      <c r="U1459" s="8">
        <f t="shared" ca="1" si="183"/>
        <v>1.7440806912000002</v>
      </c>
      <c r="V1459" s="8">
        <f ca="1">RawData[[#This Row],[Z (smoothed demand size)]]/RawData[[#This Row],[X (smoothed interval)]]</f>
        <v>1.4272410031025062</v>
      </c>
    </row>
    <row r="1460" spans="1:22">
      <c r="A1460" t="s">
        <v>38</v>
      </c>
      <c r="B1460" t="s">
        <v>39</v>
      </c>
      <c r="C1460">
        <v>32</v>
      </c>
      <c r="D1460" t="s">
        <v>22</v>
      </c>
      <c r="E1460" t="s">
        <v>16</v>
      </c>
      <c r="F1460" s="1">
        <v>43472</v>
      </c>
      <c r="G1460">
        <v>3</v>
      </c>
      <c r="H1460">
        <v>3</v>
      </c>
      <c r="I1460">
        <v>5</v>
      </c>
      <c r="J1460">
        <v>2</v>
      </c>
      <c r="K1460">
        <v>0</v>
      </c>
      <c r="L1460">
        <v>583</v>
      </c>
      <c r="M1460">
        <v>60</v>
      </c>
      <c r="N1460" s="1">
        <f t="shared" si="176"/>
        <v>44938</v>
      </c>
      <c r="O1460" s="1">
        <f t="shared" si="177"/>
        <v>43101</v>
      </c>
      <c r="P1460" s="1">
        <f t="shared" si="178"/>
        <v>43647</v>
      </c>
      <c r="Q1460" s="8">
        <f t="shared" si="179"/>
        <v>0</v>
      </c>
      <c r="R1460" s="8">
        <f t="shared" si="180"/>
        <v>19</v>
      </c>
      <c r="S1460" s="8">
        <f t="shared" ca="1" si="181"/>
        <v>19</v>
      </c>
      <c r="T1460">
        <f t="shared" ca="1" si="182"/>
        <v>2.5913787801600008</v>
      </c>
      <c r="U1460" s="8">
        <f t="shared" ca="1" si="183"/>
        <v>1.5952645529600002</v>
      </c>
      <c r="V1460" s="8">
        <f ca="1">RawData[[#This Row],[Z (smoothed demand size)]]/RawData[[#This Row],[X (smoothed interval)]]</f>
        <v>1.624419457795711</v>
      </c>
    </row>
    <row r="1461" spans="1:22">
      <c r="A1461" t="s">
        <v>38</v>
      </c>
      <c r="B1461" t="s">
        <v>39</v>
      </c>
      <c r="C1461">
        <v>32</v>
      </c>
      <c r="D1461" t="s">
        <v>22</v>
      </c>
      <c r="E1461" t="s">
        <v>16</v>
      </c>
      <c r="F1461" s="1">
        <v>43473</v>
      </c>
      <c r="G1461">
        <v>2</v>
      </c>
      <c r="H1461">
        <v>2</v>
      </c>
      <c r="I1461">
        <v>2</v>
      </c>
      <c r="J1461">
        <v>0</v>
      </c>
      <c r="K1461">
        <v>0</v>
      </c>
      <c r="L1461">
        <v>593</v>
      </c>
      <c r="M1461">
        <v>15</v>
      </c>
      <c r="N1461" s="1">
        <f t="shared" si="176"/>
        <v>44938</v>
      </c>
      <c r="O1461" s="1">
        <f t="shared" si="177"/>
        <v>43101</v>
      </c>
      <c r="P1461" s="1">
        <f t="shared" si="178"/>
        <v>43678</v>
      </c>
      <c r="Q1461" s="8">
        <f t="shared" si="179"/>
        <v>0</v>
      </c>
      <c r="R1461" s="8">
        <f t="shared" si="180"/>
        <v>20</v>
      </c>
      <c r="S1461" s="8">
        <f t="shared" ca="1" si="181"/>
        <v>20</v>
      </c>
      <c r="T1461">
        <f t="shared" ca="1" si="182"/>
        <v>2.4731030241280005</v>
      </c>
      <c r="U1461" s="8">
        <f t="shared" ca="1" si="183"/>
        <v>1.4762116423680003</v>
      </c>
      <c r="V1461" s="8">
        <f ca="1">RawData[[#This Row],[Z (smoothed demand size)]]/RawData[[#This Row],[X (smoothed interval)]]</f>
        <v>1.6753038339142756</v>
      </c>
    </row>
    <row r="1462" spans="1:22">
      <c r="A1462" t="s">
        <v>38</v>
      </c>
      <c r="B1462" t="s">
        <v>39</v>
      </c>
      <c r="C1462">
        <v>32</v>
      </c>
      <c r="D1462" t="s">
        <v>22</v>
      </c>
      <c r="E1462" t="s">
        <v>16</v>
      </c>
      <c r="F1462" s="1">
        <v>43474</v>
      </c>
      <c r="G1462">
        <v>0</v>
      </c>
      <c r="H1462">
        <v>0</v>
      </c>
      <c r="I1462">
        <v>12</v>
      </c>
      <c r="J1462">
        <v>12</v>
      </c>
      <c r="K1462">
        <v>0</v>
      </c>
      <c r="L1462">
        <v>514</v>
      </c>
      <c r="M1462">
        <v>45</v>
      </c>
      <c r="N1462" s="1">
        <f t="shared" si="176"/>
        <v>44938</v>
      </c>
      <c r="O1462" s="1">
        <f t="shared" si="177"/>
        <v>43101</v>
      </c>
      <c r="P1462" s="1">
        <f t="shared" si="178"/>
        <v>43709</v>
      </c>
      <c r="Q1462" s="8">
        <f t="shared" si="179"/>
        <v>0</v>
      </c>
      <c r="R1462" s="8">
        <f t="shared" si="180"/>
        <v>21</v>
      </c>
      <c r="S1462" s="8">
        <f t="shared" ca="1" si="181"/>
        <v>20</v>
      </c>
      <c r="T1462">
        <f t="shared" ca="1" si="182"/>
        <v>2.4731030241280005</v>
      </c>
      <c r="U1462" s="8">
        <f t="shared" ca="1" si="183"/>
        <v>1.4762116423680003</v>
      </c>
      <c r="V1462" s="8">
        <f ca="1">RawData[[#This Row],[Z (smoothed demand size)]]/RawData[[#This Row],[X (smoothed interval)]]</f>
        <v>1.6753038339142756</v>
      </c>
    </row>
    <row r="1463" spans="1:22">
      <c r="A1463" t="s">
        <v>38</v>
      </c>
      <c r="B1463" t="s">
        <v>39</v>
      </c>
      <c r="C1463">
        <v>32</v>
      </c>
      <c r="D1463" t="s">
        <v>22</v>
      </c>
      <c r="E1463" t="s">
        <v>16</v>
      </c>
      <c r="F1463" s="1">
        <v>43475</v>
      </c>
      <c r="G1463">
        <v>4</v>
      </c>
      <c r="H1463">
        <v>4</v>
      </c>
      <c r="I1463">
        <v>12</v>
      </c>
      <c r="J1463">
        <v>8</v>
      </c>
      <c r="K1463">
        <v>0</v>
      </c>
      <c r="L1463">
        <v>504</v>
      </c>
      <c r="M1463">
        <v>60</v>
      </c>
      <c r="N1463" s="1">
        <f t="shared" si="176"/>
        <v>44938</v>
      </c>
      <c r="O1463" s="1">
        <f t="shared" si="177"/>
        <v>43101</v>
      </c>
      <c r="P1463" s="1">
        <f t="shared" si="178"/>
        <v>43739</v>
      </c>
      <c r="Q1463" s="8">
        <f t="shared" si="179"/>
        <v>0</v>
      </c>
      <c r="R1463" s="8">
        <f t="shared" si="180"/>
        <v>22</v>
      </c>
      <c r="S1463" s="8">
        <f t="shared" ca="1" si="181"/>
        <v>22</v>
      </c>
      <c r="T1463">
        <f t="shared" ca="1" si="182"/>
        <v>2.7784824193024003</v>
      </c>
      <c r="U1463" s="8">
        <f t="shared" ca="1" si="183"/>
        <v>1.5809693138944003</v>
      </c>
      <c r="V1463" s="8">
        <f ca="1">RawData[[#This Row],[Z (smoothed demand size)]]/RawData[[#This Row],[X (smoothed interval)]]</f>
        <v>1.7574549960480681</v>
      </c>
    </row>
    <row r="1464" spans="1:22">
      <c r="A1464" t="s">
        <v>38</v>
      </c>
      <c r="B1464" t="s">
        <v>39</v>
      </c>
      <c r="C1464">
        <v>32</v>
      </c>
      <c r="D1464" t="s">
        <v>22</v>
      </c>
      <c r="E1464" t="s">
        <v>16</v>
      </c>
      <c r="F1464" s="1">
        <v>43476</v>
      </c>
      <c r="G1464">
        <v>0</v>
      </c>
      <c r="H1464">
        <v>0</v>
      </c>
      <c r="I1464">
        <v>8</v>
      </c>
      <c r="J1464">
        <v>8</v>
      </c>
      <c r="K1464">
        <v>0</v>
      </c>
      <c r="L1464">
        <v>505</v>
      </c>
      <c r="M1464">
        <v>45</v>
      </c>
      <c r="N1464" s="1">
        <f t="shared" si="176"/>
        <v>44938</v>
      </c>
      <c r="O1464" s="1">
        <f t="shared" si="177"/>
        <v>43101</v>
      </c>
      <c r="P1464" s="1">
        <f t="shared" si="178"/>
        <v>43770</v>
      </c>
      <c r="Q1464" s="8">
        <f t="shared" si="179"/>
        <v>0</v>
      </c>
      <c r="R1464" s="8">
        <f t="shared" si="180"/>
        <v>23</v>
      </c>
      <c r="S1464" s="8">
        <f t="shared" ca="1" si="181"/>
        <v>22</v>
      </c>
      <c r="T1464">
        <f t="shared" ca="1" si="182"/>
        <v>2.7784824193024003</v>
      </c>
      <c r="U1464" s="8">
        <f t="shared" ca="1" si="183"/>
        <v>1.5809693138944003</v>
      </c>
      <c r="V1464" s="8">
        <f ca="1">RawData[[#This Row],[Z (smoothed demand size)]]/RawData[[#This Row],[X (smoothed interval)]]</f>
        <v>1.7574549960480681</v>
      </c>
    </row>
    <row r="1465" spans="1:22">
      <c r="A1465" t="s">
        <v>38</v>
      </c>
      <c r="B1465" t="s">
        <v>39</v>
      </c>
      <c r="C1465">
        <v>32</v>
      </c>
      <c r="D1465" t="s">
        <v>22</v>
      </c>
      <c r="E1465" t="s">
        <v>16</v>
      </c>
      <c r="F1465" s="1">
        <v>43477</v>
      </c>
      <c r="G1465">
        <v>1</v>
      </c>
      <c r="H1465">
        <v>1</v>
      </c>
      <c r="I1465">
        <v>8</v>
      </c>
      <c r="J1465">
        <v>7</v>
      </c>
      <c r="K1465">
        <v>0</v>
      </c>
      <c r="L1465">
        <v>590</v>
      </c>
      <c r="M1465">
        <v>15</v>
      </c>
      <c r="N1465" s="1">
        <f t="shared" si="176"/>
        <v>44938</v>
      </c>
      <c r="O1465" s="1">
        <f t="shared" si="177"/>
        <v>43101</v>
      </c>
      <c r="P1465" s="1">
        <f t="shared" si="178"/>
        <v>43800</v>
      </c>
      <c r="Q1465" s="8">
        <f t="shared" si="179"/>
        <v>0</v>
      </c>
      <c r="R1465" s="8">
        <f t="shared" si="180"/>
        <v>24</v>
      </c>
      <c r="S1465" s="8">
        <f t="shared" ca="1" si="181"/>
        <v>24</v>
      </c>
      <c r="T1465">
        <f t="shared" ca="1" si="182"/>
        <v>2.4227859354419206</v>
      </c>
      <c r="U1465" s="8">
        <f t="shared" ca="1" si="183"/>
        <v>1.6647754511155202</v>
      </c>
      <c r="V1465" s="8">
        <f ca="1">RawData[[#This Row],[Z (smoothed demand size)]]/RawData[[#This Row],[X (smoothed interval)]]</f>
        <v>1.4553229589122536</v>
      </c>
    </row>
    <row r="1466" spans="1:22">
      <c r="A1466" t="s">
        <v>38</v>
      </c>
      <c r="B1466" t="s">
        <v>39</v>
      </c>
      <c r="C1466">
        <v>32</v>
      </c>
      <c r="D1466" t="s">
        <v>22</v>
      </c>
      <c r="E1466" t="s">
        <v>16</v>
      </c>
      <c r="F1466" s="1">
        <v>43831</v>
      </c>
      <c r="G1466">
        <v>0</v>
      </c>
      <c r="H1466">
        <v>0</v>
      </c>
      <c r="I1466">
        <v>7</v>
      </c>
      <c r="J1466">
        <v>7</v>
      </c>
      <c r="K1466">
        <v>0</v>
      </c>
      <c r="L1466">
        <v>501</v>
      </c>
      <c r="M1466">
        <v>45</v>
      </c>
      <c r="N1466" s="1">
        <f t="shared" si="176"/>
        <v>44938</v>
      </c>
      <c r="O1466" s="1">
        <f t="shared" si="177"/>
        <v>43101</v>
      </c>
      <c r="P1466" s="1">
        <f t="shared" si="178"/>
        <v>43831</v>
      </c>
      <c r="Q1466" s="8">
        <f t="shared" si="179"/>
        <v>0</v>
      </c>
      <c r="R1466" s="8">
        <f t="shared" si="180"/>
        <v>25</v>
      </c>
      <c r="S1466" s="8">
        <f t="shared" ca="1" si="181"/>
        <v>24</v>
      </c>
      <c r="T1466">
        <f t="shared" ca="1" si="182"/>
        <v>2.4227859354419206</v>
      </c>
      <c r="U1466" s="8">
        <f t="shared" ca="1" si="183"/>
        <v>1.6647754511155202</v>
      </c>
      <c r="V1466" s="8">
        <f ca="1">RawData[[#This Row],[Z (smoothed demand size)]]/RawData[[#This Row],[X (smoothed interval)]]</f>
        <v>1.4553229589122536</v>
      </c>
    </row>
    <row r="1467" spans="1:22">
      <c r="A1467" t="s">
        <v>38</v>
      </c>
      <c r="B1467" t="s">
        <v>39</v>
      </c>
      <c r="C1467">
        <v>32</v>
      </c>
      <c r="D1467" t="s">
        <v>22</v>
      </c>
      <c r="E1467" t="s">
        <v>16</v>
      </c>
      <c r="F1467" s="1">
        <v>43832</v>
      </c>
      <c r="G1467">
        <v>0</v>
      </c>
      <c r="H1467">
        <v>0</v>
      </c>
      <c r="I1467">
        <v>7</v>
      </c>
      <c r="J1467">
        <v>7</v>
      </c>
      <c r="K1467">
        <v>0</v>
      </c>
      <c r="L1467">
        <v>515</v>
      </c>
      <c r="M1467">
        <v>45</v>
      </c>
      <c r="N1467" s="1">
        <f t="shared" si="176"/>
        <v>44938</v>
      </c>
      <c r="O1467" s="1">
        <f t="shared" si="177"/>
        <v>43101</v>
      </c>
      <c r="P1467" s="1">
        <f t="shared" si="178"/>
        <v>43862</v>
      </c>
      <c r="Q1467" s="8">
        <f t="shared" si="179"/>
        <v>0</v>
      </c>
      <c r="R1467" s="8">
        <f t="shared" si="180"/>
        <v>26</v>
      </c>
      <c r="S1467" s="8">
        <f t="shared" ca="1" si="181"/>
        <v>24</v>
      </c>
      <c r="T1467">
        <f t="shared" ca="1" si="182"/>
        <v>2.4227859354419206</v>
      </c>
      <c r="U1467" s="8">
        <f t="shared" ca="1" si="183"/>
        <v>1.6647754511155202</v>
      </c>
      <c r="V1467" s="8">
        <f ca="1">RawData[[#This Row],[Z (smoothed demand size)]]/RawData[[#This Row],[X (smoothed interval)]]</f>
        <v>1.4553229589122536</v>
      </c>
    </row>
    <row r="1468" spans="1:22">
      <c r="A1468" t="s">
        <v>38</v>
      </c>
      <c r="B1468" t="s">
        <v>39</v>
      </c>
      <c r="C1468">
        <v>32</v>
      </c>
      <c r="D1468" t="s">
        <v>22</v>
      </c>
      <c r="E1468" t="s">
        <v>16</v>
      </c>
      <c r="F1468" s="1">
        <v>43833</v>
      </c>
      <c r="G1468">
        <v>3</v>
      </c>
      <c r="H1468">
        <v>3</v>
      </c>
      <c r="I1468">
        <v>7</v>
      </c>
      <c r="J1468">
        <v>4</v>
      </c>
      <c r="K1468">
        <v>0</v>
      </c>
      <c r="L1468">
        <v>509</v>
      </c>
      <c r="M1468">
        <v>15</v>
      </c>
      <c r="N1468" s="1">
        <f t="shared" si="176"/>
        <v>44938</v>
      </c>
      <c r="O1468" s="1">
        <f t="shared" si="177"/>
        <v>43101</v>
      </c>
      <c r="P1468" s="1">
        <f t="shared" si="178"/>
        <v>43891</v>
      </c>
      <c r="Q1468" s="8">
        <f t="shared" si="179"/>
        <v>0</v>
      </c>
      <c r="R1468" s="8">
        <f t="shared" si="180"/>
        <v>27</v>
      </c>
      <c r="S1468" s="8">
        <f t="shared" ca="1" si="181"/>
        <v>27</v>
      </c>
      <c r="T1468">
        <f t="shared" ca="1" si="182"/>
        <v>2.5382287483535366</v>
      </c>
      <c r="U1468" s="8">
        <f t="shared" ca="1" si="183"/>
        <v>1.9318203608924163</v>
      </c>
      <c r="V1468" s="8">
        <f ca="1">RawData[[#This Row],[Z (smoothed demand size)]]/RawData[[#This Row],[X (smoothed interval)]]</f>
        <v>1.3139051641328525</v>
      </c>
    </row>
    <row r="1469" spans="1:22">
      <c r="A1469" t="s">
        <v>38</v>
      </c>
      <c r="B1469" t="s">
        <v>39</v>
      </c>
      <c r="C1469">
        <v>32</v>
      </c>
      <c r="D1469" t="s">
        <v>22</v>
      </c>
      <c r="E1469" t="s">
        <v>16</v>
      </c>
      <c r="F1469" s="1">
        <v>43834</v>
      </c>
      <c r="G1469">
        <v>3</v>
      </c>
      <c r="H1469">
        <v>3</v>
      </c>
      <c r="I1469">
        <v>4</v>
      </c>
      <c r="J1469">
        <v>1</v>
      </c>
      <c r="K1469">
        <v>0</v>
      </c>
      <c r="L1469">
        <v>505</v>
      </c>
      <c r="M1469">
        <v>15</v>
      </c>
      <c r="N1469" s="1">
        <f t="shared" si="176"/>
        <v>44938</v>
      </c>
      <c r="O1469" s="1">
        <f t="shared" si="177"/>
        <v>43101</v>
      </c>
      <c r="P1469" s="1">
        <f t="shared" si="178"/>
        <v>43922</v>
      </c>
      <c r="Q1469" s="8">
        <f t="shared" si="179"/>
        <v>0</v>
      </c>
      <c r="R1469" s="8">
        <f t="shared" si="180"/>
        <v>28</v>
      </c>
      <c r="S1469" s="8">
        <f t="shared" ca="1" si="181"/>
        <v>28</v>
      </c>
      <c r="T1469">
        <f t="shared" ca="1" si="182"/>
        <v>2.6305829986828293</v>
      </c>
      <c r="U1469" s="8">
        <f t="shared" ca="1" si="183"/>
        <v>1.7454562887139331</v>
      </c>
      <c r="V1469" s="8">
        <f ca="1">RawData[[#This Row],[Z (smoothed demand size)]]/RawData[[#This Row],[X (smoothed interval)]]</f>
        <v>1.5071033377874303</v>
      </c>
    </row>
    <row r="1470" spans="1:22">
      <c r="A1470" t="s">
        <v>38</v>
      </c>
      <c r="B1470" t="s">
        <v>39</v>
      </c>
      <c r="C1470">
        <v>32</v>
      </c>
      <c r="D1470" t="s">
        <v>22</v>
      </c>
      <c r="E1470" t="s">
        <v>16</v>
      </c>
      <c r="F1470" s="1">
        <v>43835</v>
      </c>
      <c r="G1470">
        <v>0</v>
      </c>
      <c r="H1470">
        <v>0</v>
      </c>
      <c r="I1470">
        <v>10</v>
      </c>
      <c r="J1470">
        <v>10</v>
      </c>
      <c r="K1470">
        <v>0</v>
      </c>
      <c r="L1470">
        <v>508</v>
      </c>
      <c r="M1470">
        <v>30</v>
      </c>
      <c r="N1470" s="1">
        <f t="shared" si="176"/>
        <v>44938</v>
      </c>
      <c r="O1470" s="1">
        <f t="shared" si="177"/>
        <v>43101</v>
      </c>
      <c r="P1470" s="1">
        <f t="shared" si="178"/>
        <v>43952</v>
      </c>
      <c r="Q1470" s="8">
        <f t="shared" si="179"/>
        <v>0</v>
      </c>
      <c r="R1470" s="8">
        <f t="shared" si="180"/>
        <v>29</v>
      </c>
      <c r="S1470" s="8">
        <f t="shared" ca="1" si="181"/>
        <v>28</v>
      </c>
      <c r="T1470">
        <f t="shared" ca="1" si="182"/>
        <v>2.6305829986828293</v>
      </c>
      <c r="U1470" s="8">
        <f t="shared" ca="1" si="183"/>
        <v>1.7454562887139331</v>
      </c>
      <c r="V1470" s="8">
        <f ca="1">RawData[[#This Row],[Z (smoothed demand size)]]/RawData[[#This Row],[X (smoothed interval)]]</f>
        <v>1.5071033377874303</v>
      </c>
    </row>
    <row r="1471" spans="1:22">
      <c r="A1471" t="s">
        <v>38</v>
      </c>
      <c r="B1471" t="s">
        <v>39</v>
      </c>
      <c r="C1471">
        <v>32</v>
      </c>
      <c r="D1471" t="s">
        <v>22</v>
      </c>
      <c r="E1471" t="s">
        <v>16</v>
      </c>
      <c r="F1471" s="1">
        <v>43836</v>
      </c>
      <c r="G1471">
        <v>5</v>
      </c>
      <c r="H1471">
        <v>5</v>
      </c>
      <c r="I1471">
        <v>10</v>
      </c>
      <c r="J1471">
        <v>5</v>
      </c>
      <c r="K1471">
        <v>0</v>
      </c>
      <c r="L1471">
        <v>592</v>
      </c>
      <c r="M1471">
        <v>45</v>
      </c>
      <c r="N1471" s="1">
        <f t="shared" si="176"/>
        <v>44938</v>
      </c>
      <c r="O1471" s="1">
        <f t="shared" si="177"/>
        <v>43101</v>
      </c>
      <c r="P1471" s="1">
        <f t="shared" si="178"/>
        <v>43983</v>
      </c>
      <c r="Q1471" s="8">
        <f t="shared" si="179"/>
        <v>0</v>
      </c>
      <c r="R1471" s="8">
        <f t="shared" si="180"/>
        <v>30</v>
      </c>
      <c r="S1471" s="8">
        <f t="shared" ca="1" si="181"/>
        <v>30</v>
      </c>
      <c r="T1471">
        <f t="shared" ca="1" si="182"/>
        <v>3.1044663989462635</v>
      </c>
      <c r="U1471" s="8">
        <f t="shared" ca="1" si="183"/>
        <v>1.7963650309711467</v>
      </c>
      <c r="V1471" s="8">
        <f ca="1">RawData[[#This Row],[Z (smoothed demand size)]]/RawData[[#This Row],[X (smoothed interval)]]</f>
        <v>1.7281935160293862</v>
      </c>
    </row>
    <row r="1472" spans="1:22">
      <c r="A1472" t="s">
        <v>38</v>
      </c>
      <c r="B1472" t="s">
        <v>39</v>
      </c>
      <c r="C1472">
        <v>32</v>
      </c>
      <c r="D1472" t="s">
        <v>22</v>
      </c>
      <c r="E1472" t="s">
        <v>16</v>
      </c>
      <c r="F1472" s="1">
        <v>43837</v>
      </c>
      <c r="G1472">
        <v>3</v>
      </c>
      <c r="H1472">
        <v>3</v>
      </c>
      <c r="I1472">
        <v>5</v>
      </c>
      <c r="J1472">
        <v>2</v>
      </c>
      <c r="K1472">
        <v>0</v>
      </c>
      <c r="L1472">
        <v>572</v>
      </c>
      <c r="M1472">
        <v>30</v>
      </c>
      <c r="N1472" s="1">
        <f t="shared" si="176"/>
        <v>44938</v>
      </c>
      <c r="O1472" s="1">
        <f t="shared" si="177"/>
        <v>43101</v>
      </c>
      <c r="P1472" s="1">
        <f t="shared" si="178"/>
        <v>44013</v>
      </c>
      <c r="Q1472" s="8">
        <f t="shared" si="179"/>
        <v>0</v>
      </c>
      <c r="R1472" s="8">
        <f t="shared" si="180"/>
        <v>31</v>
      </c>
      <c r="S1472" s="8">
        <f t="shared" ca="1" si="181"/>
        <v>31</v>
      </c>
      <c r="T1472">
        <f t="shared" ca="1" si="182"/>
        <v>3.0835731191570113</v>
      </c>
      <c r="U1472" s="8">
        <f t="shared" ca="1" si="183"/>
        <v>1.6370920247769174</v>
      </c>
      <c r="V1472" s="8">
        <f ca="1">RawData[[#This Row],[Z (smoothed demand size)]]/RawData[[#This Row],[X (smoothed interval)]]</f>
        <v>1.883567369755651</v>
      </c>
    </row>
    <row r="1473" spans="1:22">
      <c r="A1473" t="s">
        <v>38</v>
      </c>
      <c r="B1473" t="s">
        <v>39</v>
      </c>
      <c r="C1473">
        <v>32</v>
      </c>
      <c r="D1473" t="s">
        <v>22</v>
      </c>
      <c r="E1473" t="s">
        <v>16</v>
      </c>
      <c r="F1473" s="1">
        <v>43838</v>
      </c>
      <c r="G1473">
        <v>6</v>
      </c>
      <c r="H1473">
        <v>6</v>
      </c>
      <c r="I1473">
        <v>9</v>
      </c>
      <c r="J1473">
        <v>3</v>
      </c>
      <c r="K1473">
        <v>0</v>
      </c>
      <c r="L1473">
        <v>590</v>
      </c>
      <c r="M1473">
        <v>45</v>
      </c>
      <c r="N1473" s="1">
        <f t="shared" si="176"/>
        <v>44938</v>
      </c>
      <c r="O1473" s="1">
        <f t="shared" si="177"/>
        <v>43101</v>
      </c>
      <c r="P1473" s="1">
        <f t="shared" si="178"/>
        <v>44044</v>
      </c>
      <c r="Q1473" s="8">
        <f t="shared" si="179"/>
        <v>0</v>
      </c>
      <c r="R1473" s="8">
        <f t="shared" si="180"/>
        <v>32</v>
      </c>
      <c r="S1473" s="8">
        <f t="shared" ca="1" si="181"/>
        <v>32</v>
      </c>
      <c r="T1473">
        <f t="shared" ca="1" si="182"/>
        <v>3.6668584953256094</v>
      </c>
      <c r="U1473" s="8">
        <f t="shared" ca="1" si="183"/>
        <v>1.5096736198215339</v>
      </c>
      <c r="V1473" s="8">
        <f ca="1">RawData[[#This Row],[Z (smoothed demand size)]]/RawData[[#This Row],[X (smoothed interval)]]</f>
        <v>2.4289081078061674</v>
      </c>
    </row>
    <row r="1474" spans="1:22">
      <c r="A1474" t="s">
        <v>38</v>
      </c>
      <c r="B1474" t="s">
        <v>39</v>
      </c>
      <c r="C1474">
        <v>32</v>
      </c>
      <c r="D1474" t="s">
        <v>22</v>
      </c>
      <c r="E1474" t="s">
        <v>16</v>
      </c>
      <c r="F1474" s="1">
        <v>43839</v>
      </c>
      <c r="G1474">
        <v>0</v>
      </c>
      <c r="H1474">
        <v>0</v>
      </c>
      <c r="I1474">
        <v>3</v>
      </c>
      <c r="J1474">
        <v>3</v>
      </c>
      <c r="K1474">
        <v>0</v>
      </c>
      <c r="L1474">
        <v>514</v>
      </c>
      <c r="M1474">
        <v>30</v>
      </c>
      <c r="N1474" s="1">
        <f t="shared" ref="N1474:N1537" si="184">MAX(F:F)</f>
        <v>44938</v>
      </c>
      <c r="O1474" s="1">
        <f t="shared" ref="O1474:O1537" si="185">MIN(F:F)</f>
        <v>43101</v>
      </c>
      <c r="P1474" s="1">
        <f t="shared" ref="P1474:P1537" si="186">DATE(YEAR(F1474), DAY(F1474), 1)</f>
        <v>44075</v>
      </c>
      <c r="Q1474" s="8">
        <f t="shared" ref="Q1474:Q1537" si="187" xml:space="preserve"> IF(A1474&lt;&gt;A1473, 1, 0)</f>
        <v>0</v>
      </c>
      <c r="R1474" s="8">
        <f t="shared" ref="R1474:R1537" si="188">IF(Q1474=1,1,R1473+1)</f>
        <v>33</v>
      </c>
      <c r="S1474" s="8">
        <f t="shared" ref="S1474:S1537" ca="1" si="189" xml:space="preserve"> IF(Q1474=1, IF(G1474&gt;0, R1474, 0), IF(G1474&gt;0, R1474, OFFSET(S1474,-1,0)))</f>
        <v>32</v>
      </c>
      <c r="T1474">
        <f t="shared" ref="T1474:T1537" ca="1" si="190" xml:space="preserve"> IF(Q1474=1, IF(G1474&gt;0, G1474, 0), IF(G1474&gt;0, $X$1*G1474+(1-$X$1)*OFFSET(T1474,-1,0), OFFSET(T1474,-1,0)))</f>
        <v>3.6668584953256094</v>
      </c>
      <c r="U1474" s="8">
        <f t="shared" ref="U1474:U1537" ca="1" si="191" xml:space="preserve"> IF(Q1474=1, 1, IF(G1474&gt;0, $X$1*(R1474-OFFSET(S1474,-1,0))+(1-$X$1)*OFFSET(U1474,-1,0), OFFSET(U1474,-1,0)))</f>
        <v>1.5096736198215339</v>
      </c>
      <c r="V1474" s="8">
        <f ca="1">RawData[[#This Row],[Z (smoothed demand size)]]/RawData[[#This Row],[X (smoothed interval)]]</f>
        <v>2.4289081078061674</v>
      </c>
    </row>
    <row r="1475" spans="1:22">
      <c r="A1475" t="s">
        <v>38</v>
      </c>
      <c r="B1475" t="s">
        <v>39</v>
      </c>
      <c r="C1475">
        <v>32</v>
      </c>
      <c r="D1475" t="s">
        <v>22</v>
      </c>
      <c r="E1475" t="s">
        <v>16</v>
      </c>
      <c r="F1475" s="1">
        <v>43840</v>
      </c>
      <c r="G1475">
        <v>3</v>
      </c>
      <c r="H1475">
        <v>3</v>
      </c>
      <c r="I1475">
        <v>10</v>
      </c>
      <c r="J1475">
        <v>7</v>
      </c>
      <c r="K1475">
        <v>0</v>
      </c>
      <c r="L1475">
        <v>506</v>
      </c>
      <c r="M1475">
        <v>15</v>
      </c>
      <c r="N1475" s="1">
        <f t="shared" si="184"/>
        <v>44938</v>
      </c>
      <c r="O1475" s="1">
        <f t="shared" si="185"/>
        <v>43101</v>
      </c>
      <c r="P1475" s="1">
        <f t="shared" si="186"/>
        <v>44105</v>
      </c>
      <c r="Q1475" s="8">
        <f t="shared" si="187"/>
        <v>0</v>
      </c>
      <c r="R1475" s="8">
        <f t="shared" si="188"/>
        <v>34</v>
      </c>
      <c r="S1475" s="8">
        <f t="shared" ca="1" si="189"/>
        <v>34</v>
      </c>
      <c r="T1475">
        <f t="shared" ca="1" si="190"/>
        <v>3.5334867962604877</v>
      </c>
      <c r="U1475" s="8">
        <f t="shared" ca="1" si="191"/>
        <v>1.6077388958572274</v>
      </c>
      <c r="V1475" s="8">
        <f ca="1">RawData[[#This Row],[Z (smoothed demand size)]]/RawData[[#This Row],[X (smoothed interval)]]</f>
        <v>2.1977989121028725</v>
      </c>
    </row>
    <row r="1476" spans="1:22">
      <c r="A1476" t="s">
        <v>38</v>
      </c>
      <c r="B1476" t="s">
        <v>39</v>
      </c>
      <c r="C1476">
        <v>32</v>
      </c>
      <c r="D1476" t="s">
        <v>22</v>
      </c>
      <c r="E1476" t="s">
        <v>16</v>
      </c>
      <c r="F1476" s="1">
        <v>43841</v>
      </c>
      <c r="G1476">
        <v>4</v>
      </c>
      <c r="H1476">
        <v>4</v>
      </c>
      <c r="I1476">
        <v>7</v>
      </c>
      <c r="J1476">
        <v>3</v>
      </c>
      <c r="K1476">
        <v>0</v>
      </c>
      <c r="L1476">
        <v>508</v>
      </c>
      <c r="M1476">
        <v>60</v>
      </c>
      <c r="N1476" s="1">
        <f t="shared" si="184"/>
        <v>44938</v>
      </c>
      <c r="O1476" s="1">
        <f t="shared" si="185"/>
        <v>43101</v>
      </c>
      <c r="P1476" s="1">
        <f t="shared" si="186"/>
        <v>44136</v>
      </c>
      <c r="Q1476" s="8">
        <f t="shared" si="187"/>
        <v>0</v>
      </c>
      <c r="R1476" s="8">
        <f t="shared" si="188"/>
        <v>35</v>
      </c>
      <c r="S1476" s="8">
        <f t="shared" ca="1" si="189"/>
        <v>35</v>
      </c>
      <c r="T1476">
        <f t="shared" ca="1" si="190"/>
        <v>3.62678943700839</v>
      </c>
      <c r="U1476" s="8">
        <f t="shared" ca="1" si="191"/>
        <v>1.486191116685782</v>
      </c>
      <c r="V1476" s="8">
        <f ca="1">RawData[[#This Row],[Z (smoothed demand size)]]/RawData[[#This Row],[X (smoothed interval)]]</f>
        <v>2.4403250674086649</v>
      </c>
    </row>
    <row r="1477" spans="1:22">
      <c r="A1477" t="s">
        <v>38</v>
      </c>
      <c r="B1477" t="s">
        <v>39</v>
      </c>
      <c r="C1477">
        <v>32</v>
      </c>
      <c r="D1477" t="s">
        <v>22</v>
      </c>
      <c r="E1477" t="s">
        <v>16</v>
      </c>
      <c r="F1477" s="1">
        <v>43842</v>
      </c>
      <c r="G1477">
        <v>2</v>
      </c>
      <c r="H1477">
        <v>2</v>
      </c>
      <c r="I1477">
        <v>3</v>
      </c>
      <c r="J1477">
        <v>1</v>
      </c>
      <c r="K1477">
        <v>0</v>
      </c>
      <c r="L1477">
        <v>585</v>
      </c>
      <c r="M1477">
        <v>15</v>
      </c>
      <c r="N1477" s="1">
        <f t="shared" si="184"/>
        <v>44938</v>
      </c>
      <c r="O1477" s="1">
        <f t="shared" si="185"/>
        <v>43101</v>
      </c>
      <c r="P1477" s="1">
        <f t="shared" si="186"/>
        <v>44166</v>
      </c>
      <c r="Q1477" s="8">
        <f t="shared" si="187"/>
        <v>0</v>
      </c>
      <c r="R1477" s="8">
        <f t="shared" si="188"/>
        <v>36</v>
      </c>
      <c r="S1477" s="8">
        <f t="shared" ca="1" si="189"/>
        <v>36</v>
      </c>
      <c r="T1477">
        <f t="shared" ca="1" si="190"/>
        <v>3.3014315496067121</v>
      </c>
      <c r="U1477" s="8">
        <f t="shared" ca="1" si="191"/>
        <v>1.3889528933486255</v>
      </c>
      <c r="V1477" s="8">
        <f ca="1">RawData[[#This Row],[Z (smoothed demand size)]]/RawData[[#This Row],[X (smoothed interval)]]</f>
        <v>2.3769211795565601</v>
      </c>
    </row>
    <row r="1478" spans="1:22">
      <c r="A1478" t="s">
        <v>38</v>
      </c>
      <c r="B1478" t="s">
        <v>39</v>
      </c>
      <c r="C1478">
        <v>32</v>
      </c>
      <c r="D1478" t="s">
        <v>22</v>
      </c>
      <c r="E1478" t="s">
        <v>16</v>
      </c>
      <c r="F1478" s="1">
        <v>44197</v>
      </c>
      <c r="G1478">
        <v>4</v>
      </c>
      <c r="H1478">
        <v>4</v>
      </c>
      <c r="I1478">
        <v>9</v>
      </c>
      <c r="J1478">
        <v>5</v>
      </c>
      <c r="K1478">
        <v>0</v>
      </c>
      <c r="L1478">
        <v>510</v>
      </c>
      <c r="M1478">
        <v>15</v>
      </c>
      <c r="N1478" s="1">
        <f t="shared" si="184"/>
        <v>44938</v>
      </c>
      <c r="O1478" s="1">
        <f t="shared" si="185"/>
        <v>43101</v>
      </c>
      <c r="P1478" s="1">
        <f t="shared" si="186"/>
        <v>44197</v>
      </c>
      <c r="Q1478" s="8">
        <f t="shared" si="187"/>
        <v>0</v>
      </c>
      <c r="R1478" s="8">
        <f t="shared" si="188"/>
        <v>37</v>
      </c>
      <c r="S1478" s="8">
        <f t="shared" ca="1" si="189"/>
        <v>37</v>
      </c>
      <c r="T1478">
        <f t="shared" ca="1" si="190"/>
        <v>3.4411452396853699</v>
      </c>
      <c r="U1478" s="8">
        <f t="shared" ca="1" si="191"/>
        <v>1.3111623146789004</v>
      </c>
      <c r="V1478" s="8">
        <f ca="1">RawData[[#This Row],[Z (smoothed demand size)]]/RawData[[#This Row],[X (smoothed interval)]]</f>
        <v>2.6244998053716144</v>
      </c>
    </row>
    <row r="1479" spans="1:22">
      <c r="A1479" t="s">
        <v>38</v>
      </c>
      <c r="B1479" t="s">
        <v>39</v>
      </c>
      <c r="C1479">
        <v>32</v>
      </c>
      <c r="D1479" t="s">
        <v>22</v>
      </c>
      <c r="E1479" t="s">
        <v>16</v>
      </c>
      <c r="F1479" s="1">
        <v>44198</v>
      </c>
      <c r="G1479">
        <v>0</v>
      </c>
      <c r="H1479">
        <v>0</v>
      </c>
      <c r="I1479">
        <v>5</v>
      </c>
      <c r="J1479">
        <v>5</v>
      </c>
      <c r="K1479">
        <v>0</v>
      </c>
      <c r="L1479">
        <v>503</v>
      </c>
      <c r="M1479">
        <v>45</v>
      </c>
      <c r="N1479" s="1">
        <f t="shared" si="184"/>
        <v>44938</v>
      </c>
      <c r="O1479" s="1">
        <f t="shared" si="185"/>
        <v>43101</v>
      </c>
      <c r="P1479" s="1">
        <f t="shared" si="186"/>
        <v>44228</v>
      </c>
      <c r="Q1479" s="8">
        <f t="shared" si="187"/>
        <v>0</v>
      </c>
      <c r="R1479" s="8">
        <f t="shared" si="188"/>
        <v>38</v>
      </c>
      <c r="S1479" s="8">
        <f t="shared" ca="1" si="189"/>
        <v>37</v>
      </c>
      <c r="T1479">
        <f t="shared" ca="1" si="190"/>
        <v>3.4411452396853699</v>
      </c>
      <c r="U1479" s="8">
        <f t="shared" ca="1" si="191"/>
        <v>1.3111623146789004</v>
      </c>
      <c r="V1479" s="8">
        <f ca="1">RawData[[#This Row],[Z (smoothed demand size)]]/RawData[[#This Row],[X (smoothed interval)]]</f>
        <v>2.6244998053716144</v>
      </c>
    </row>
    <row r="1480" spans="1:22">
      <c r="A1480" t="s">
        <v>38</v>
      </c>
      <c r="B1480" t="s">
        <v>39</v>
      </c>
      <c r="C1480">
        <v>32</v>
      </c>
      <c r="D1480" t="s">
        <v>22</v>
      </c>
      <c r="E1480" t="s">
        <v>16</v>
      </c>
      <c r="F1480" s="1">
        <v>44199</v>
      </c>
      <c r="G1480">
        <v>0</v>
      </c>
      <c r="H1480">
        <v>0</v>
      </c>
      <c r="I1480">
        <v>5</v>
      </c>
      <c r="J1480">
        <v>5</v>
      </c>
      <c r="K1480">
        <v>0</v>
      </c>
      <c r="L1480">
        <v>506</v>
      </c>
      <c r="M1480">
        <v>60</v>
      </c>
      <c r="N1480" s="1">
        <f t="shared" si="184"/>
        <v>44938</v>
      </c>
      <c r="O1480" s="1">
        <f t="shared" si="185"/>
        <v>43101</v>
      </c>
      <c r="P1480" s="1">
        <f t="shared" si="186"/>
        <v>44256</v>
      </c>
      <c r="Q1480" s="8">
        <f t="shared" si="187"/>
        <v>0</v>
      </c>
      <c r="R1480" s="8">
        <f t="shared" si="188"/>
        <v>39</v>
      </c>
      <c r="S1480" s="8">
        <f t="shared" ca="1" si="189"/>
        <v>37</v>
      </c>
      <c r="T1480">
        <f t="shared" ca="1" si="190"/>
        <v>3.4411452396853699</v>
      </c>
      <c r="U1480" s="8">
        <f t="shared" ca="1" si="191"/>
        <v>1.3111623146789004</v>
      </c>
      <c r="V1480" s="8">
        <f ca="1">RawData[[#This Row],[Z (smoothed demand size)]]/RawData[[#This Row],[X (smoothed interval)]]</f>
        <v>2.6244998053716144</v>
      </c>
    </row>
    <row r="1481" spans="1:22">
      <c r="A1481" t="s">
        <v>38</v>
      </c>
      <c r="B1481" t="s">
        <v>39</v>
      </c>
      <c r="C1481">
        <v>32</v>
      </c>
      <c r="D1481" t="s">
        <v>22</v>
      </c>
      <c r="E1481" t="s">
        <v>16</v>
      </c>
      <c r="F1481" s="1">
        <v>44200</v>
      </c>
      <c r="G1481">
        <v>0</v>
      </c>
      <c r="H1481">
        <v>0</v>
      </c>
      <c r="I1481">
        <v>5</v>
      </c>
      <c r="J1481">
        <v>5</v>
      </c>
      <c r="K1481">
        <v>0</v>
      </c>
      <c r="L1481">
        <v>506</v>
      </c>
      <c r="M1481">
        <v>15</v>
      </c>
      <c r="N1481" s="1">
        <f t="shared" si="184"/>
        <v>44938</v>
      </c>
      <c r="O1481" s="1">
        <f t="shared" si="185"/>
        <v>43101</v>
      </c>
      <c r="P1481" s="1">
        <f t="shared" si="186"/>
        <v>44287</v>
      </c>
      <c r="Q1481" s="8">
        <f t="shared" si="187"/>
        <v>0</v>
      </c>
      <c r="R1481" s="8">
        <f t="shared" si="188"/>
        <v>40</v>
      </c>
      <c r="S1481" s="8">
        <f t="shared" ca="1" si="189"/>
        <v>37</v>
      </c>
      <c r="T1481">
        <f t="shared" ca="1" si="190"/>
        <v>3.4411452396853699</v>
      </c>
      <c r="U1481" s="8">
        <f t="shared" ca="1" si="191"/>
        <v>1.3111623146789004</v>
      </c>
      <c r="V1481" s="8">
        <f ca="1">RawData[[#This Row],[Z (smoothed demand size)]]/RawData[[#This Row],[X (smoothed interval)]]</f>
        <v>2.6244998053716144</v>
      </c>
    </row>
    <row r="1482" spans="1:22">
      <c r="A1482" t="s">
        <v>38</v>
      </c>
      <c r="B1482" t="s">
        <v>39</v>
      </c>
      <c r="C1482">
        <v>32</v>
      </c>
      <c r="D1482" t="s">
        <v>22</v>
      </c>
      <c r="E1482" t="s">
        <v>16</v>
      </c>
      <c r="F1482" s="1">
        <v>44201</v>
      </c>
      <c r="G1482">
        <v>0</v>
      </c>
      <c r="H1482">
        <v>0</v>
      </c>
      <c r="I1482">
        <v>5</v>
      </c>
      <c r="J1482">
        <v>5</v>
      </c>
      <c r="K1482">
        <v>0</v>
      </c>
      <c r="L1482">
        <v>510</v>
      </c>
      <c r="M1482">
        <v>30</v>
      </c>
      <c r="N1482" s="1">
        <f t="shared" si="184"/>
        <v>44938</v>
      </c>
      <c r="O1482" s="1">
        <f t="shared" si="185"/>
        <v>43101</v>
      </c>
      <c r="P1482" s="1">
        <f t="shared" si="186"/>
        <v>44317</v>
      </c>
      <c r="Q1482" s="8">
        <f t="shared" si="187"/>
        <v>0</v>
      </c>
      <c r="R1482" s="8">
        <f t="shared" si="188"/>
        <v>41</v>
      </c>
      <c r="S1482" s="8">
        <f t="shared" ca="1" si="189"/>
        <v>37</v>
      </c>
      <c r="T1482">
        <f t="shared" ca="1" si="190"/>
        <v>3.4411452396853699</v>
      </c>
      <c r="U1482" s="8">
        <f t="shared" ca="1" si="191"/>
        <v>1.3111623146789004</v>
      </c>
      <c r="V1482" s="8">
        <f ca="1">RawData[[#This Row],[Z (smoothed demand size)]]/RawData[[#This Row],[X (smoothed interval)]]</f>
        <v>2.6244998053716144</v>
      </c>
    </row>
    <row r="1483" spans="1:22">
      <c r="A1483" t="s">
        <v>38</v>
      </c>
      <c r="B1483" t="s">
        <v>39</v>
      </c>
      <c r="C1483">
        <v>32</v>
      </c>
      <c r="D1483" t="s">
        <v>22</v>
      </c>
      <c r="E1483" t="s">
        <v>16</v>
      </c>
      <c r="F1483" s="1">
        <v>44202</v>
      </c>
      <c r="G1483">
        <v>0</v>
      </c>
      <c r="H1483">
        <v>0</v>
      </c>
      <c r="I1483">
        <v>5</v>
      </c>
      <c r="J1483">
        <v>5</v>
      </c>
      <c r="K1483">
        <v>0</v>
      </c>
      <c r="L1483">
        <v>598</v>
      </c>
      <c r="M1483">
        <v>15</v>
      </c>
      <c r="N1483" s="1">
        <f t="shared" si="184"/>
        <v>44938</v>
      </c>
      <c r="O1483" s="1">
        <f t="shared" si="185"/>
        <v>43101</v>
      </c>
      <c r="P1483" s="1">
        <f t="shared" si="186"/>
        <v>44348</v>
      </c>
      <c r="Q1483" s="8">
        <f t="shared" si="187"/>
        <v>0</v>
      </c>
      <c r="R1483" s="8">
        <f t="shared" si="188"/>
        <v>42</v>
      </c>
      <c r="S1483" s="8">
        <f t="shared" ca="1" si="189"/>
        <v>37</v>
      </c>
      <c r="T1483">
        <f t="shared" ca="1" si="190"/>
        <v>3.4411452396853699</v>
      </c>
      <c r="U1483" s="8">
        <f t="shared" ca="1" si="191"/>
        <v>1.3111623146789004</v>
      </c>
      <c r="V1483" s="8">
        <f ca="1">RawData[[#This Row],[Z (smoothed demand size)]]/RawData[[#This Row],[X (smoothed interval)]]</f>
        <v>2.6244998053716144</v>
      </c>
    </row>
    <row r="1484" spans="1:22">
      <c r="A1484" t="s">
        <v>38</v>
      </c>
      <c r="B1484" t="s">
        <v>39</v>
      </c>
      <c r="C1484">
        <v>32</v>
      </c>
      <c r="D1484" t="s">
        <v>22</v>
      </c>
      <c r="E1484" t="s">
        <v>16</v>
      </c>
      <c r="F1484" s="1">
        <v>44203</v>
      </c>
      <c r="G1484">
        <v>0</v>
      </c>
      <c r="H1484">
        <v>0</v>
      </c>
      <c r="I1484">
        <v>5</v>
      </c>
      <c r="J1484">
        <v>5</v>
      </c>
      <c r="K1484">
        <v>0</v>
      </c>
      <c r="L1484">
        <v>578</v>
      </c>
      <c r="M1484">
        <v>15</v>
      </c>
      <c r="N1484" s="1">
        <f t="shared" si="184"/>
        <v>44938</v>
      </c>
      <c r="O1484" s="1">
        <f t="shared" si="185"/>
        <v>43101</v>
      </c>
      <c r="P1484" s="1">
        <f t="shared" si="186"/>
        <v>44378</v>
      </c>
      <c r="Q1484" s="8">
        <f t="shared" si="187"/>
        <v>0</v>
      </c>
      <c r="R1484" s="8">
        <f t="shared" si="188"/>
        <v>43</v>
      </c>
      <c r="S1484" s="8">
        <f t="shared" ca="1" si="189"/>
        <v>37</v>
      </c>
      <c r="T1484">
        <f t="shared" ca="1" si="190"/>
        <v>3.4411452396853699</v>
      </c>
      <c r="U1484" s="8">
        <f t="shared" ca="1" si="191"/>
        <v>1.3111623146789004</v>
      </c>
      <c r="V1484" s="8">
        <f ca="1">RawData[[#This Row],[Z (smoothed demand size)]]/RawData[[#This Row],[X (smoothed interval)]]</f>
        <v>2.6244998053716144</v>
      </c>
    </row>
    <row r="1485" spans="1:22">
      <c r="A1485" t="s">
        <v>38</v>
      </c>
      <c r="B1485" t="s">
        <v>39</v>
      </c>
      <c r="C1485">
        <v>32</v>
      </c>
      <c r="D1485" t="s">
        <v>22</v>
      </c>
      <c r="E1485" t="s">
        <v>16</v>
      </c>
      <c r="F1485" s="1">
        <v>44204</v>
      </c>
      <c r="G1485">
        <v>4</v>
      </c>
      <c r="H1485">
        <v>4</v>
      </c>
      <c r="I1485">
        <v>5</v>
      </c>
      <c r="J1485">
        <v>1</v>
      </c>
      <c r="K1485">
        <v>0</v>
      </c>
      <c r="L1485">
        <v>583</v>
      </c>
      <c r="M1485">
        <v>30</v>
      </c>
      <c r="N1485" s="1">
        <f t="shared" si="184"/>
        <v>44938</v>
      </c>
      <c r="O1485" s="1">
        <f t="shared" si="185"/>
        <v>43101</v>
      </c>
      <c r="P1485" s="1">
        <f t="shared" si="186"/>
        <v>44409</v>
      </c>
      <c r="Q1485" s="8">
        <f t="shared" si="187"/>
        <v>0</v>
      </c>
      <c r="R1485" s="8">
        <f t="shared" si="188"/>
        <v>44</v>
      </c>
      <c r="S1485" s="8">
        <f t="shared" ca="1" si="189"/>
        <v>44</v>
      </c>
      <c r="T1485">
        <f t="shared" ca="1" si="190"/>
        <v>3.5529161917482961</v>
      </c>
      <c r="U1485" s="8">
        <f t="shared" ca="1" si="191"/>
        <v>2.4489298517431206</v>
      </c>
      <c r="V1485" s="8">
        <f ca="1">RawData[[#This Row],[Z (smoothed demand size)]]/RawData[[#This Row],[X (smoothed interval)]]</f>
        <v>1.4508035782320881</v>
      </c>
    </row>
    <row r="1486" spans="1:22">
      <c r="A1486" t="s">
        <v>38</v>
      </c>
      <c r="B1486" t="s">
        <v>39</v>
      </c>
      <c r="C1486">
        <v>32</v>
      </c>
      <c r="D1486" t="s">
        <v>22</v>
      </c>
      <c r="E1486" t="s">
        <v>16</v>
      </c>
      <c r="F1486" s="1">
        <v>44205</v>
      </c>
      <c r="G1486">
        <v>2</v>
      </c>
      <c r="H1486">
        <v>2</v>
      </c>
      <c r="I1486">
        <v>11</v>
      </c>
      <c r="J1486">
        <v>9</v>
      </c>
      <c r="K1486">
        <v>0</v>
      </c>
      <c r="L1486">
        <v>503</v>
      </c>
      <c r="M1486">
        <v>15</v>
      </c>
      <c r="N1486" s="1">
        <f t="shared" si="184"/>
        <v>44938</v>
      </c>
      <c r="O1486" s="1">
        <f t="shared" si="185"/>
        <v>43101</v>
      </c>
      <c r="P1486" s="1">
        <f t="shared" si="186"/>
        <v>44440</v>
      </c>
      <c r="Q1486" s="8">
        <f t="shared" si="187"/>
        <v>0</v>
      </c>
      <c r="R1486" s="8">
        <f t="shared" si="188"/>
        <v>45</v>
      </c>
      <c r="S1486" s="8">
        <f t="shared" ca="1" si="189"/>
        <v>45</v>
      </c>
      <c r="T1486">
        <f t="shared" ca="1" si="190"/>
        <v>3.2423329533986371</v>
      </c>
      <c r="U1486" s="8">
        <f t="shared" ca="1" si="191"/>
        <v>2.1591438813944968</v>
      </c>
      <c r="V1486" s="8">
        <f ca="1">RawData[[#This Row],[Z (smoothed demand size)]]/RawData[[#This Row],[X (smoothed interval)]]</f>
        <v>1.5016752618193077</v>
      </c>
    </row>
    <row r="1487" spans="1:22">
      <c r="A1487" t="s">
        <v>38</v>
      </c>
      <c r="B1487" t="s">
        <v>39</v>
      </c>
      <c r="C1487">
        <v>32</v>
      </c>
      <c r="D1487" t="s">
        <v>22</v>
      </c>
      <c r="E1487" t="s">
        <v>16</v>
      </c>
      <c r="F1487" s="1">
        <v>44206</v>
      </c>
      <c r="G1487">
        <v>0</v>
      </c>
      <c r="H1487">
        <v>0</v>
      </c>
      <c r="I1487">
        <v>9</v>
      </c>
      <c r="J1487">
        <v>9</v>
      </c>
      <c r="K1487">
        <v>0</v>
      </c>
      <c r="L1487">
        <v>504</v>
      </c>
      <c r="M1487">
        <v>45</v>
      </c>
      <c r="N1487" s="1">
        <f t="shared" si="184"/>
        <v>44938</v>
      </c>
      <c r="O1487" s="1">
        <f t="shared" si="185"/>
        <v>43101</v>
      </c>
      <c r="P1487" s="1">
        <f t="shared" si="186"/>
        <v>44470</v>
      </c>
      <c r="Q1487" s="8">
        <f t="shared" si="187"/>
        <v>0</v>
      </c>
      <c r="R1487" s="8">
        <f t="shared" si="188"/>
        <v>46</v>
      </c>
      <c r="S1487" s="8">
        <f t="shared" ca="1" si="189"/>
        <v>45</v>
      </c>
      <c r="T1487">
        <f t="shared" ca="1" si="190"/>
        <v>3.2423329533986371</v>
      </c>
      <c r="U1487" s="8">
        <f t="shared" ca="1" si="191"/>
        <v>2.1591438813944968</v>
      </c>
      <c r="V1487" s="8">
        <f ca="1">RawData[[#This Row],[Z (smoothed demand size)]]/RawData[[#This Row],[X (smoothed interval)]]</f>
        <v>1.5016752618193077</v>
      </c>
    </row>
    <row r="1488" spans="1:22">
      <c r="A1488" t="s">
        <v>38</v>
      </c>
      <c r="B1488" t="s">
        <v>39</v>
      </c>
      <c r="C1488">
        <v>32</v>
      </c>
      <c r="D1488" t="s">
        <v>22</v>
      </c>
      <c r="E1488" t="s">
        <v>16</v>
      </c>
      <c r="F1488" s="1">
        <v>44207</v>
      </c>
      <c r="G1488">
        <v>2</v>
      </c>
      <c r="H1488">
        <v>2</v>
      </c>
      <c r="I1488">
        <v>9</v>
      </c>
      <c r="J1488">
        <v>7</v>
      </c>
      <c r="K1488">
        <v>0</v>
      </c>
      <c r="L1488">
        <v>501</v>
      </c>
      <c r="M1488">
        <v>60</v>
      </c>
      <c r="N1488" s="1">
        <f t="shared" si="184"/>
        <v>44938</v>
      </c>
      <c r="O1488" s="1">
        <f t="shared" si="185"/>
        <v>43101</v>
      </c>
      <c r="P1488" s="1">
        <f t="shared" si="186"/>
        <v>44501</v>
      </c>
      <c r="Q1488" s="8">
        <f t="shared" si="187"/>
        <v>0</v>
      </c>
      <c r="R1488" s="8">
        <f t="shared" si="188"/>
        <v>47</v>
      </c>
      <c r="S1488" s="8">
        <f t="shared" ca="1" si="189"/>
        <v>47</v>
      </c>
      <c r="T1488">
        <f t="shared" ca="1" si="190"/>
        <v>2.9938663627189097</v>
      </c>
      <c r="U1488" s="8">
        <f t="shared" ca="1" si="191"/>
        <v>2.1273151051155974</v>
      </c>
      <c r="V1488" s="8">
        <f ca="1">RawData[[#This Row],[Z (smoothed demand size)]]/RawData[[#This Row],[X (smoothed interval)]]</f>
        <v>1.407345040478253</v>
      </c>
    </row>
    <row r="1489" spans="1:22">
      <c r="A1489" t="s">
        <v>38</v>
      </c>
      <c r="B1489" t="s">
        <v>39</v>
      </c>
      <c r="C1489">
        <v>32</v>
      </c>
      <c r="D1489" t="s">
        <v>22</v>
      </c>
      <c r="E1489" t="s">
        <v>16</v>
      </c>
      <c r="F1489" s="1">
        <v>44208</v>
      </c>
      <c r="G1489">
        <v>5</v>
      </c>
      <c r="H1489">
        <v>5</v>
      </c>
      <c r="I1489">
        <v>7</v>
      </c>
      <c r="J1489">
        <v>2</v>
      </c>
      <c r="K1489">
        <v>0</v>
      </c>
      <c r="L1489">
        <v>573</v>
      </c>
      <c r="M1489">
        <v>60</v>
      </c>
      <c r="N1489" s="1">
        <f t="shared" si="184"/>
        <v>44938</v>
      </c>
      <c r="O1489" s="1">
        <f t="shared" si="185"/>
        <v>43101</v>
      </c>
      <c r="P1489" s="1">
        <f t="shared" si="186"/>
        <v>44531</v>
      </c>
      <c r="Q1489" s="8">
        <f t="shared" si="187"/>
        <v>0</v>
      </c>
      <c r="R1489" s="8">
        <f t="shared" si="188"/>
        <v>48</v>
      </c>
      <c r="S1489" s="8">
        <f t="shared" ca="1" si="189"/>
        <v>48</v>
      </c>
      <c r="T1489">
        <f t="shared" ca="1" si="190"/>
        <v>3.3950930901751279</v>
      </c>
      <c r="U1489" s="8">
        <f t="shared" ca="1" si="191"/>
        <v>1.901852084092478</v>
      </c>
      <c r="V1489" s="8">
        <f ca="1">RawData[[#This Row],[Z (smoothed demand size)]]/RawData[[#This Row],[X (smoothed interval)]]</f>
        <v>1.7851509686649432</v>
      </c>
    </row>
    <row r="1490" spans="1:22">
      <c r="A1490" t="s">
        <v>38</v>
      </c>
      <c r="B1490" t="s">
        <v>39</v>
      </c>
      <c r="C1490">
        <v>32</v>
      </c>
      <c r="D1490" t="s">
        <v>22</v>
      </c>
      <c r="E1490" t="s">
        <v>16</v>
      </c>
      <c r="F1490" s="1">
        <v>44562</v>
      </c>
      <c r="G1490">
        <v>0</v>
      </c>
      <c r="H1490">
        <v>0</v>
      </c>
      <c r="I1490">
        <v>2</v>
      </c>
      <c r="J1490">
        <v>2</v>
      </c>
      <c r="K1490">
        <v>0</v>
      </c>
      <c r="L1490">
        <v>511</v>
      </c>
      <c r="M1490">
        <v>30</v>
      </c>
      <c r="N1490" s="1">
        <f t="shared" si="184"/>
        <v>44938</v>
      </c>
      <c r="O1490" s="1">
        <f t="shared" si="185"/>
        <v>43101</v>
      </c>
      <c r="P1490" s="1">
        <f t="shared" si="186"/>
        <v>44562</v>
      </c>
      <c r="Q1490" s="8">
        <f t="shared" si="187"/>
        <v>0</v>
      </c>
      <c r="R1490" s="8">
        <f t="shared" si="188"/>
        <v>49</v>
      </c>
      <c r="S1490" s="8">
        <f t="shared" ca="1" si="189"/>
        <v>48</v>
      </c>
      <c r="T1490">
        <f t="shared" ca="1" si="190"/>
        <v>3.3950930901751279</v>
      </c>
      <c r="U1490" s="8">
        <f t="shared" ca="1" si="191"/>
        <v>1.901852084092478</v>
      </c>
      <c r="V1490" s="8">
        <f ca="1">RawData[[#This Row],[Z (smoothed demand size)]]/RawData[[#This Row],[X (smoothed interval)]]</f>
        <v>1.7851509686649432</v>
      </c>
    </row>
    <row r="1491" spans="1:22">
      <c r="A1491" t="s">
        <v>38</v>
      </c>
      <c r="B1491" t="s">
        <v>39</v>
      </c>
      <c r="C1491">
        <v>32</v>
      </c>
      <c r="D1491" t="s">
        <v>22</v>
      </c>
      <c r="E1491" t="s">
        <v>16</v>
      </c>
      <c r="F1491" s="1">
        <v>44563</v>
      </c>
      <c r="G1491">
        <v>3</v>
      </c>
      <c r="H1491">
        <v>3</v>
      </c>
      <c r="I1491">
        <v>12</v>
      </c>
      <c r="J1491">
        <v>9</v>
      </c>
      <c r="K1491">
        <v>0</v>
      </c>
      <c r="L1491">
        <v>507</v>
      </c>
      <c r="M1491">
        <v>45</v>
      </c>
      <c r="N1491" s="1">
        <f t="shared" si="184"/>
        <v>44938</v>
      </c>
      <c r="O1491" s="1">
        <f t="shared" si="185"/>
        <v>43101</v>
      </c>
      <c r="P1491" s="1">
        <f t="shared" si="186"/>
        <v>44593</v>
      </c>
      <c r="Q1491" s="8">
        <f t="shared" si="187"/>
        <v>0</v>
      </c>
      <c r="R1491" s="8">
        <f t="shared" si="188"/>
        <v>50</v>
      </c>
      <c r="S1491" s="8">
        <f t="shared" ca="1" si="189"/>
        <v>50</v>
      </c>
      <c r="T1491">
        <f t="shared" ca="1" si="190"/>
        <v>3.3160744721401025</v>
      </c>
      <c r="U1491" s="8">
        <f t="shared" ca="1" si="191"/>
        <v>1.9214816672739823</v>
      </c>
      <c r="V1491" s="8">
        <f ca="1">RawData[[#This Row],[Z (smoothed demand size)]]/RawData[[#This Row],[X (smoothed interval)]]</f>
        <v>1.7257903255692455</v>
      </c>
    </row>
    <row r="1492" spans="1:22">
      <c r="A1492" t="s">
        <v>38</v>
      </c>
      <c r="B1492" t="s">
        <v>39</v>
      </c>
      <c r="C1492">
        <v>32</v>
      </c>
      <c r="D1492" t="s">
        <v>22</v>
      </c>
      <c r="E1492" t="s">
        <v>16</v>
      </c>
      <c r="F1492" s="1">
        <v>44564</v>
      </c>
      <c r="G1492">
        <v>1</v>
      </c>
      <c r="H1492">
        <v>1</v>
      </c>
      <c r="I1492">
        <v>9</v>
      </c>
      <c r="J1492">
        <v>8</v>
      </c>
      <c r="K1492">
        <v>0</v>
      </c>
      <c r="L1492">
        <v>505</v>
      </c>
      <c r="M1492">
        <v>60</v>
      </c>
      <c r="N1492" s="1">
        <f t="shared" si="184"/>
        <v>44938</v>
      </c>
      <c r="O1492" s="1">
        <f t="shared" si="185"/>
        <v>43101</v>
      </c>
      <c r="P1492" s="1">
        <f t="shared" si="186"/>
        <v>44621</v>
      </c>
      <c r="Q1492" s="8">
        <f t="shared" si="187"/>
        <v>0</v>
      </c>
      <c r="R1492" s="8">
        <f t="shared" si="188"/>
        <v>51</v>
      </c>
      <c r="S1492" s="8">
        <f t="shared" ca="1" si="189"/>
        <v>51</v>
      </c>
      <c r="T1492">
        <f t="shared" ca="1" si="190"/>
        <v>2.8528595777120822</v>
      </c>
      <c r="U1492" s="8">
        <f t="shared" ca="1" si="191"/>
        <v>1.7371853338191858</v>
      </c>
      <c r="V1492" s="8">
        <f ca="1">RawData[[#This Row],[Z (smoothed demand size)]]/RawData[[#This Row],[X (smoothed interval)]]</f>
        <v>1.6422309825976351</v>
      </c>
    </row>
    <row r="1493" spans="1:22">
      <c r="A1493" t="s">
        <v>38</v>
      </c>
      <c r="B1493" t="s">
        <v>39</v>
      </c>
      <c r="C1493">
        <v>32</v>
      </c>
      <c r="D1493" t="s">
        <v>22</v>
      </c>
      <c r="E1493" t="s">
        <v>16</v>
      </c>
      <c r="F1493" s="1">
        <v>44565</v>
      </c>
      <c r="G1493">
        <v>0</v>
      </c>
      <c r="H1493">
        <v>0</v>
      </c>
      <c r="I1493">
        <v>8</v>
      </c>
      <c r="J1493">
        <v>8</v>
      </c>
      <c r="K1493">
        <v>0</v>
      </c>
      <c r="L1493">
        <v>500</v>
      </c>
      <c r="M1493">
        <v>15</v>
      </c>
      <c r="N1493" s="1">
        <f t="shared" si="184"/>
        <v>44938</v>
      </c>
      <c r="O1493" s="1">
        <f t="shared" si="185"/>
        <v>43101</v>
      </c>
      <c r="P1493" s="1">
        <f t="shared" si="186"/>
        <v>44652</v>
      </c>
      <c r="Q1493" s="8">
        <f t="shared" si="187"/>
        <v>0</v>
      </c>
      <c r="R1493" s="8">
        <f t="shared" si="188"/>
        <v>52</v>
      </c>
      <c r="S1493" s="8">
        <f t="shared" ca="1" si="189"/>
        <v>51</v>
      </c>
      <c r="T1493">
        <f t="shared" ca="1" si="190"/>
        <v>2.8528595777120822</v>
      </c>
      <c r="U1493" s="8">
        <f t="shared" ca="1" si="191"/>
        <v>1.7371853338191858</v>
      </c>
      <c r="V1493" s="8">
        <f ca="1">RawData[[#This Row],[Z (smoothed demand size)]]/RawData[[#This Row],[X (smoothed interval)]]</f>
        <v>1.6422309825976351</v>
      </c>
    </row>
    <row r="1494" spans="1:22">
      <c r="A1494" t="s">
        <v>38</v>
      </c>
      <c r="B1494" t="s">
        <v>39</v>
      </c>
      <c r="C1494">
        <v>32</v>
      </c>
      <c r="D1494" t="s">
        <v>22</v>
      </c>
      <c r="E1494" t="s">
        <v>16</v>
      </c>
      <c r="F1494" s="1">
        <v>44566</v>
      </c>
      <c r="G1494">
        <v>0</v>
      </c>
      <c r="H1494">
        <v>0</v>
      </c>
      <c r="I1494">
        <v>8</v>
      </c>
      <c r="J1494">
        <v>8</v>
      </c>
      <c r="K1494">
        <v>0</v>
      </c>
      <c r="L1494">
        <v>504</v>
      </c>
      <c r="M1494">
        <v>15</v>
      </c>
      <c r="N1494" s="1">
        <f t="shared" si="184"/>
        <v>44938</v>
      </c>
      <c r="O1494" s="1">
        <f t="shared" si="185"/>
        <v>43101</v>
      </c>
      <c r="P1494" s="1">
        <f t="shared" si="186"/>
        <v>44682</v>
      </c>
      <c r="Q1494" s="8">
        <f t="shared" si="187"/>
        <v>0</v>
      </c>
      <c r="R1494" s="8">
        <f t="shared" si="188"/>
        <v>53</v>
      </c>
      <c r="S1494" s="8">
        <f t="shared" ca="1" si="189"/>
        <v>51</v>
      </c>
      <c r="T1494">
        <f t="shared" ca="1" si="190"/>
        <v>2.8528595777120822</v>
      </c>
      <c r="U1494" s="8">
        <f t="shared" ca="1" si="191"/>
        <v>1.7371853338191858</v>
      </c>
      <c r="V1494" s="8">
        <f ca="1">RawData[[#This Row],[Z (smoothed demand size)]]/RawData[[#This Row],[X (smoothed interval)]]</f>
        <v>1.6422309825976351</v>
      </c>
    </row>
    <row r="1495" spans="1:22">
      <c r="A1495" t="s">
        <v>38</v>
      </c>
      <c r="B1495" t="s">
        <v>39</v>
      </c>
      <c r="C1495">
        <v>32</v>
      </c>
      <c r="D1495" t="s">
        <v>22</v>
      </c>
      <c r="E1495" t="s">
        <v>16</v>
      </c>
      <c r="F1495" s="1">
        <v>44567</v>
      </c>
      <c r="G1495">
        <v>0</v>
      </c>
      <c r="H1495">
        <v>0</v>
      </c>
      <c r="I1495">
        <v>8</v>
      </c>
      <c r="J1495">
        <v>8</v>
      </c>
      <c r="K1495">
        <v>0</v>
      </c>
      <c r="L1495">
        <v>574</v>
      </c>
      <c r="M1495">
        <v>15</v>
      </c>
      <c r="N1495" s="1">
        <f t="shared" si="184"/>
        <v>44938</v>
      </c>
      <c r="O1495" s="1">
        <f t="shared" si="185"/>
        <v>43101</v>
      </c>
      <c r="P1495" s="1">
        <f t="shared" si="186"/>
        <v>44713</v>
      </c>
      <c r="Q1495" s="8">
        <f t="shared" si="187"/>
        <v>0</v>
      </c>
      <c r="R1495" s="8">
        <f t="shared" si="188"/>
        <v>54</v>
      </c>
      <c r="S1495" s="8">
        <f t="shared" ca="1" si="189"/>
        <v>51</v>
      </c>
      <c r="T1495">
        <f t="shared" ca="1" si="190"/>
        <v>2.8528595777120822</v>
      </c>
      <c r="U1495" s="8">
        <f t="shared" ca="1" si="191"/>
        <v>1.7371853338191858</v>
      </c>
      <c r="V1495" s="8">
        <f ca="1">RawData[[#This Row],[Z (smoothed demand size)]]/RawData[[#This Row],[X (smoothed interval)]]</f>
        <v>1.6422309825976351</v>
      </c>
    </row>
    <row r="1496" spans="1:22">
      <c r="A1496" t="s">
        <v>38</v>
      </c>
      <c r="B1496" t="s">
        <v>39</v>
      </c>
      <c r="C1496">
        <v>32</v>
      </c>
      <c r="D1496" t="s">
        <v>22</v>
      </c>
      <c r="E1496" t="s">
        <v>16</v>
      </c>
      <c r="F1496" s="1">
        <v>44568</v>
      </c>
      <c r="G1496">
        <v>0</v>
      </c>
      <c r="H1496">
        <v>0</v>
      </c>
      <c r="I1496">
        <v>8</v>
      </c>
      <c r="J1496">
        <v>8</v>
      </c>
      <c r="K1496">
        <v>0</v>
      </c>
      <c r="L1496">
        <v>580</v>
      </c>
      <c r="M1496">
        <v>15</v>
      </c>
      <c r="N1496" s="1">
        <f t="shared" si="184"/>
        <v>44938</v>
      </c>
      <c r="O1496" s="1">
        <f t="shared" si="185"/>
        <v>43101</v>
      </c>
      <c r="P1496" s="1">
        <f t="shared" si="186"/>
        <v>44743</v>
      </c>
      <c r="Q1496" s="8">
        <f t="shared" si="187"/>
        <v>0</v>
      </c>
      <c r="R1496" s="8">
        <f t="shared" si="188"/>
        <v>55</v>
      </c>
      <c r="S1496" s="8">
        <f t="shared" ca="1" si="189"/>
        <v>51</v>
      </c>
      <c r="T1496">
        <f t="shared" ca="1" si="190"/>
        <v>2.8528595777120822</v>
      </c>
      <c r="U1496" s="8">
        <f t="shared" ca="1" si="191"/>
        <v>1.7371853338191858</v>
      </c>
      <c r="V1496" s="8">
        <f ca="1">RawData[[#This Row],[Z (smoothed demand size)]]/RawData[[#This Row],[X (smoothed interval)]]</f>
        <v>1.6422309825976351</v>
      </c>
    </row>
    <row r="1497" spans="1:22">
      <c r="A1497" t="s">
        <v>38</v>
      </c>
      <c r="B1497" t="s">
        <v>39</v>
      </c>
      <c r="C1497">
        <v>32</v>
      </c>
      <c r="D1497" t="s">
        <v>22</v>
      </c>
      <c r="E1497" t="s">
        <v>16</v>
      </c>
      <c r="F1497" s="1">
        <v>44569</v>
      </c>
      <c r="G1497">
        <v>2</v>
      </c>
      <c r="H1497">
        <v>2</v>
      </c>
      <c r="I1497">
        <v>8</v>
      </c>
      <c r="J1497">
        <v>6</v>
      </c>
      <c r="K1497">
        <v>0</v>
      </c>
      <c r="L1497">
        <v>583</v>
      </c>
      <c r="M1497">
        <v>45</v>
      </c>
      <c r="N1497" s="1">
        <f t="shared" si="184"/>
        <v>44938</v>
      </c>
      <c r="O1497" s="1">
        <f t="shared" si="185"/>
        <v>43101</v>
      </c>
      <c r="P1497" s="1">
        <f t="shared" si="186"/>
        <v>44774</v>
      </c>
      <c r="Q1497" s="8">
        <f t="shared" si="187"/>
        <v>0</v>
      </c>
      <c r="R1497" s="8">
        <f t="shared" si="188"/>
        <v>56</v>
      </c>
      <c r="S1497" s="8">
        <f t="shared" ca="1" si="189"/>
        <v>56</v>
      </c>
      <c r="T1497">
        <f t="shared" ca="1" si="190"/>
        <v>2.6822876621696659</v>
      </c>
      <c r="U1497" s="8">
        <f t="shared" ca="1" si="191"/>
        <v>2.3897482670553485</v>
      </c>
      <c r="V1497" s="8">
        <f ca="1">RawData[[#This Row],[Z (smoothed demand size)]]/RawData[[#This Row],[X (smoothed interval)]]</f>
        <v>1.1224143141548482</v>
      </c>
    </row>
    <row r="1498" spans="1:22">
      <c r="A1498" t="s">
        <v>38</v>
      </c>
      <c r="B1498" t="s">
        <v>39</v>
      </c>
      <c r="C1498">
        <v>32</v>
      </c>
      <c r="D1498" t="s">
        <v>22</v>
      </c>
      <c r="E1498" t="s">
        <v>16</v>
      </c>
      <c r="F1498" s="1">
        <v>44570</v>
      </c>
      <c r="G1498">
        <v>4</v>
      </c>
      <c r="H1498">
        <v>4</v>
      </c>
      <c r="I1498">
        <v>6</v>
      </c>
      <c r="J1498">
        <v>2</v>
      </c>
      <c r="K1498">
        <v>0</v>
      </c>
      <c r="L1498">
        <v>502</v>
      </c>
      <c r="M1498">
        <v>15</v>
      </c>
      <c r="N1498" s="1">
        <f t="shared" si="184"/>
        <v>44938</v>
      </c>
      <c r="O1498" s="1">
        <f t="shared" si="185"/>
        <v>43101</v>
      </c>
      <c r="P1498" s="1">
        <f t="shared" si="186"/>
        <v>44805</v>
      </c>
      <c r="Q1498" s="8">
        <f t="shared" si="187"/>
        <v>0</v>
      </c>
      <c r="R1498" s="8">
        <f t="shared" si="188"/>
        <v>57</v>
      </c>
      <c r="S1498" s="8">
        <f t="shared" ca="1" si="189"/>
        <v>57</v>
      </c>
      <c r="T1498">
        <f t="shared" ca="1" si="190"/>
        <v>2.9458301297357332</v>
      </c>
      <c r="U1498" s="8">
        <f t="shared" ca="1" si="191"/>
        <v>2.1117986136442788</v>
      </c>
      <c r="V1498" s="8">
        <f ca="1">RawData[[#This Row],[Z (smoothed demand size)]]/RawData[[#This Row],[X (smoothed interval)]]</f>
        <v>1.3949389447946396</v>
      </c>
    </row>
    <row r="1499" spans="1:22">
      <c r="A1499" t="s">
        <v>38</v>
      </c>
      <c r="B1499" t="s">
        <v>39</v>
      </c>
      <c r="C1499">
        <v>32</v>
      </c>
      <c r="D1499" t="s">
        <v>22</v>
      </c>
      <c r="E1499" t="s">
        <v>16</v>
      </c>
      <c r="F1499" s="1">
        <v>44571</v>
      </c>
      <c r="G1499">
        <v>3</v>
      </c>
      <c r="H1499">
        <v>3</v>
      </c>
      <c r="I1499">
        <v>9</v>
      </c>
      <c r="J1499">
        <v>6</v>
      </c>
      <c r="K1499">
        <v>0</v>
      </c>
      <c r="L1499">
        <v>501</v>
      </c>
      <c r="M1499">
        <v>45</v>
      </c>
      <c r="N1499" s="1">
        <f t="shared" si="184"/>
        <v>44938</v>
      </c>
      <c r="O1499" s="1">
        <f t="shared" si="185"/>
        <v>43101</v>
      </c>
      <c r="P1499" s="1">
        <f t="shared" si="186"/>
        <v>44835</v>
      </c>
      <c r="Q1499" s="8">
        <f t="shared" si="187"/>
        <v>0</v>
      </c>
      <c r="R1499" s="8">
        <f t="shared" si="188"/>
        <v>58</v>
      </c>
      <c r="S1499" s="8">
        <f t="shared" ca="1" si="189"/>
        <v>58</v>
      </c>
      <c r="T1499">
        <f t="shared" ca="1" si="190"/>
        <v>2.9566641037885866</v>
      </c>
      <c r="U1499" s="8">
        <f t="shared" ca="1" si="191"/>
        <v>1.8894388909154232</v>
      </c>
      <c r="V1499" s="8">
        <f ca="1">RawData[[#This Row],[Z (smoothed demand size)]]/RawData[[#This Row],[X (smoothed interval)]]</f>
        <v>1.564837115402075</v>
      </c>
    </row>
    <row r="1500" spans="1:22">
      <c r="A1500" t="s">
        <v>38</v>
      </c>
      <c r="B1500" t="s">
        <v>39</v>
      </c>
      <c r="C1500">
        <v>32</v>
      </c>
      <c r="D1500" t="s">
        <v>22</v>
      </c>
      <c r="E1500" t="s">
        <v>16</v>
      </c>
      <c r="F1500" s="1">
        <v>44572</v>
      </c>
      <c r="G1500">
        <v>5</v>
      </c>
      <c r="H1500">
        <v>5</v>
      </c>
      <c r="I1500">
        <v>6</v>
      </c>
      <c r="J1500">
        <v>1</v>
      </c>
      <c r="K1500">
        <v>0</v>
      </c>
      <c r="L1500">
        <v>502</v>
      </c>
      <c r="M1500">
        <v>15</v>
      </c>
      <c r="N1500" s="1">
        <f t="shared" si="184"/>
        <v>44938</v>
      </c>
      <c r="O1500" s="1">
        <f t="shared" si="185"/>
        <v>43101</v>
      </c>
      <c r="P1500" s="1">
        <f t="shared" si="186"/>
        <v>44866</v>
      </c>
      <c r="Q1500" s="8">
        <f t="shared" si="187"/>
        <v>0</v>
      </c>
      <c r="R1500" s="8">
        <f t="shared" si="188"/>
        <v>59</v>
      </c>
      <c r="S1500" s="8">
        <f t="shared" ca="1" si="189"/>
        <v>59</v>
      </c>
      <c r="T1500">
        <f t="shared" ca="1" si="190"/>
        <v>3.3653312830308693</v>
      </c>
      <c r="U1500" s="8">
        <f t="shared" ca="1" si="191"/>
        <v>1.7115511127323386</v>
      </c>
      <c r="V1500" s="8">
        <f ca="1">RawData[[#This Row],[Z (smoothed demand size)]]/RawData[[#This Row],[X (smoothed interval)]]</f>
        <v>1.966246440434033</v>
      </c>
    </row>
    <row r="1501" spans="1:22">
      <c r="A1501" t="s">
        <v>38</v>
      </c>
      <c r="B1501" t="s">
        <v>39</v>
      </c>
      <c r="C1501">
        <v>32</v>
      </c>
      <c r="D1501" t="s">
        <v>22</v>
      </c>
      <c r="E1501" t="s">
        <v>16</v>
      </c>
      <c r="F1501" s="1">
        <v>44573</v>
      </c>
      <c r="G1501">
        <v>4</v>
      </c>
      <c r="H1501">
        <v>4</v>
      </c>
      <c r="I1501">
        <v>9</v>
      </c>
      <c r="J1501">
        <v>5</v>
      </c>
      <c r="K1501">
        <v>0</v>
      </c>
      <c r="L1501">
        <v>585</v>
      </c>
      <c r="M1501">
        <v>15</v>
      </c>
      <c r="N1501" s="1">
        <f t="shared" si="184"/>
        <v>44938</v>
      </c>
      <c r="O1501" s="1">
        <f t="shared" si="185"/>
        <v>43101</v>
      </c>
      <c r="P1501" s="1">
        <f t="shared" si="186"/>
        <v>44896</v>
      </c>
      <c r="Q1501" s="8">
        <f t="shared" si="187"/>
        <v>0</v>
      </c>
      <c r="R1501" s="8">
        <f t="shared" si="188"/>
        <v>60</v>
      </c>
      <c r="S1501" s="8">
        <f t="shared" ca="1" si="189"/>
        <v>60</v>
      </c>
      <c r="T1501">
        <f t="shared" ca="1" si="190"/>
        <v>3.4922650264246959</v>
      </c>
      <c r="U1501" s="8">
        <f t="shared" ca="1" si="191"/>
        <v>1.569240890185871</v>
      </c>
      <c r="V1501" s="8">
        <f ca="1">RawData[[#This Row],[Z (smoothed demand size)]]/RawData[[#This Row],[X (smoothed interval)]]</f>
        <v>2.2254486537188369</v>
      </c>
    </row>
    <row r="1502" spans="1:22">
      <c r="A1502" t="s">
        <v>38</v>
      </c>
      <c r="B1502" t="s">
        <v>39</v>
      </c>
      <c r="C1502">
        <v>32</v>
      </c>
      <c r="D1502" t="s">
        <v>22</v>
      </c>
      <c r="E1502" t="s">
        <v>16</v>
      </c>
      <c r="F1502" s="1">
        <v>44927</v>
      </c>
      <c r="G1502">
        <v>4</v>
      </c>
      <c r="H1502">
        <v>4</v>
      </c>
      <c r="I1502">
        <v>5</v>
      </c>
      <c r="J1502">
        <v>1</v>
      </c>
      <c r="K1502">
        <v>0</v>
      </c>
      <c r="L1502">
        <v>504</v>
      </c>
      <c r="M1502">
        <v>60</v>
      </c>
      <c r="N1502" s="1">
        <f t="shared" si="184"/>
        <v>44938</v>
      </c>
      <c r="O1502" s="1">
        <f t="shared" si="185"/>
        <v>43101</v>
      </c>
      <c r="P1502" s="1">
        <f t="shared" si="186"/>
        <v>44927</v>
      </c>
      <c r="Q1502" s="8">
        <f t="shared" si="187"/>
        <v>0</v>
      </c>
      <c r="R1502" s="8">
        <f t="shared" si="188"/>
        <v>61</v>
      </c>
      <c r="S1502" s="8">
        <f t="shared" ca="1" si="189"/>
        <v>61</v>
      </c>
      <c r="T1502">
        <f t="shared" ca="1" si="190"/>
        <v>3.5938120211397573</v>
      </c>
      <c r="U1502" s="8">
        <f t="shared" ca="1" si="191"/>
        <v>1.4553927121486969</v>
      </c>
      <c r="V1502" s="8">
        <f ca="1">RawData[[#This Row],[Z (smoothed demand size)]]/RawData[[#This Row],[X (smoothed interval)]]</f>
        <v>2.4693074186375195</v>
      </c>
    </row>
    <row r="1503" spans="1:22">
      <c r="A1503" t="s">
        <v>38</v>
      </c>
      <c r="B1503" t="s">
        <v>39</v>
      </c>
      <c r="C1503">
        <v>32</v>
      </c>
      <c r="D1503" t="s">
        <v>22</v>
      </c>
      <c r="E1503" t="s">
        <v>16</v>
      </c>
      <c r="F1503" s="1">
        <v>44928</v>
      </c>
      <c r="G1503">
        <v>0</v>
      </c>
      <c r="H1503">
        <v>0</v>
      </c>
      <c r="I1503">
        <v>1</v>
      </c>
      <c r="J1503">
        <v>1</v>
      </c>
      <c r="K1503">
        <v>0</v>
      </c>
      <c r="L1503">
        <v>495</v>
      </c>
      <c r="M1503">
        <v>45</v>
      </c>
      <c r="N1503" s="1">
        <f t="shared" si="184"/>
        <v>44938</v>
      </c>
      <c r="O1503" s="1">
        <f t="shared" si="185"/>
        <v>43101</v>
      </c>
      <c r="P1503" s="1">
        <f t="shared" si="186"/>
        <v>44958</v>
      </c>
      <c r="Q1503" s="8">
        <f t="shared" si="187"/>
        <v>0</v>
      </c>
      <c r="R1503" s="8">
        <f t="shared" si="188"/>
        <v>62</v>
      </c>
      <c r="S1503" s="8">
        <f t="shared" ca="1" si="189"/>
        <v>61</v>
      </c>
      <c r="T1503">
        <f t="shared" ca="1" si="190"/>
        <v>3.5938120211397573</v>
      </c>
      <c r="U1503" s="8">
        <f t="shared" ca="1" si="191"/>
        <v>1.4553927121486969</v>
      </c>
      <c r="V1503" s="8">
        <f ca="1">RawData[[#This Row],[Z (smoothed demand size)]]/RawData[[#This Row],[X (smoothed interval)]]</f>
        <v>2.4693074186375195</v>
      </c>
    </row>
    <row r="1504" spans="1:22">
      <c r="A1504" t="s">
        <v>38</v>
      </c>
      <c r="B1504" t="s">
        <v>39</v>
      </c>
      <c r="C1504">
        <v>32</v>
      </c>
      <c r="D1504" t="s">
        <v>22</v>
      </c>
      <c r="E1504" t="s">
        <v>16</v>
      </c>
      <c r="F1504" s="1">
        <v>44929</v>
      </c>
      <c r="G1504">
        <v>2</v>
      </c>
      <c r="H1504">
        <v>2</v>
      </c>
      <c r="I1504">
        <v>13</v>
      </c>
      <c r="J1504">
        <v>11</v>
      </c>
      <c r="K1504">
        <v>0</v>
      </c>
      <c r="L1504">
        <v>507</v>
      </c>
      <c r="M1504">
        <v>30</v>
      </c>
      <c r="N1504" s="1">
        <f t="shared" si="184"/>
        <v>44938</v>
      </c>
      <c r="O1504" s="1">
        <f t="shared" si="185"/>
        <v>43101</v>
      </c>
      <c r="P1504" s="1">
        <f t="shared" si="186"/>
        <v>44986</v>
      </c>
      <c r="Q1504" s="8">
        <f t="shared" si="187"/>
        <v>0</v>
      </c>
      <c r="R1504" s="8">
        <f t="shared" si="188"/>
        <v>63</v>
      </c>
      <c r="S1504" s="8">
        <f t="shared" ca="1" si="189"/>
        <v>63</v>
      </c>
      <c r="T1504">
        <f t="shared" ca="1" si="190"/>
        <v>3.2750496169118057</v>
      </c>
      <c r="U1504" s="8">
        <f t="shared" ca="1" si="191"/>
        <v>1.5643141697189575</v>
      </c>
      <c r="V1504" s="8">
        <f ca="1">RawData[[#This Row],[Z (smoothed demand size)]]/RawData[[#This Row],[X (smoothed interval)]]</f>
        <v>2.0936009404684972</v>
      </c>
    </row>
    <row r="1505" spans="1:22">
      <c r="A1505" t="s">
        <v>38</v>
      </c>
      <c r="B1505" t="s">
        <v>39</v>
      </c>
      <c r="C1505">
        <v>32</v>
      </c>
      <c r="D1505" t="s">
        <v>22</v>
      </c>
      <c r="E1505" t="s">
        <v>16</v>
      </c>
      <c r="F1505" s="1">
        <v>44930</v>
      </c>
      <c r="G1505">
        <v>3</v>
      </c>
      <c r="H1505">
        <v>3</v>
      </c>
      <c r="I1505">
        <v>11</v>
      </c>
      <c r="J1505">
        <v>8</v>
      </c>
      <c r="K1505">
        <v>0</v>
      </c>
      <c r="L1505">
        <v>506</v>
      </c>
      <c r="M1505">
        <v>30</v>
      </c>
      <c r="N1505" s="1">
        <f t="shared" si="184"/>
        <v>44938</v>
      </c>
      <c r="O1505" s="1">
        <f t="shared" si="185"/>
        <v>43101</v>
      </c>
      <c r="P1505" s="1">
        <f t="shared" si="186"/>
        <v>45017</v>
      </c>
      <c r="Q1505" s="8">
        <f t="shared" si="187"/>
        <v>0</v>
      </c>
      <c r="R1505" s="8">
        <f t="shared" si="188"/>
        <v>64</v>
      </c>
      <c r="S1505" s="8">
        <f t="shared" ca="1" si="189"/>
        <v>64</v>
      </c>
      <c r="T1505">
        <f t="shared" ca="1" si="190"/>
        <v>3.2200396935294449</v>
      </c>
      <c r="U1505" s="8">
        <f t="shared" ca="1" si="191"/>
        <v>1.4514513357751662</v>
      </c>
      <c r="V1505" s="8">
        <f ca="1">RawData[[#This Row],[Z (smoothed demand size)]]/RawData[[#This Row],[X (smoothed interval)]]</f>
        <v>2.2184964897977384</v>
      </c>
    </row>
    <row r="1506" spans="1:22">
      <c r="A1506" t="s">
        <v>38</v>
      </c>
      <c r="B1506" t="s">
        <v>39</v>
      </c>
      <c r="C1506">
        <v>32</v>
      </c>
      <c r="D1506" t="s">
        <v>22</v>
      </c>
      <c r="E1506" t="s">
        <v>16</v>
      </c>
      <c r="F1506" s="1">
        <v>44931</v>
      </c>
      <c r="G1506">
        <v>0</v>
      </c>
      <c r="H1506">
        <v>0</v>
      </c>
      <c r="I1506">
        <v>8</v>
      </c>
      <c r="J1506">
        <v>8</v>
      </c>
      <c r="K1506">
        <v>0</v>
      </c>
      <c r="L1506">
        <v>504</v>
      </c>
      <c r="M1506">
        <v>15</v>
      </c>
      <c r="N1506" s="1">
        <f t="shared" si="184"/>
        <v>44938</v>
      </c>
      <c r="O1506" s="1">
        <f t="shared" si="185"/>
        <v>43101</v>
      </c>
      <c r="P1506" s="1">
        <f t="shared" si="186"/>
        <v>45047</v>
      </c>
      <c r="Q1506" s="8">
        <f t="shared" si="187"/>
        <v>0</v>
      </c>
      <c r="R1506" s="8">
        <f t="shared" si="188"/>
        <v>65</v>
      </c>
      <c r="S1506" s="8">
        <f t="shared" ca="1" si="189"/>
        <v>64</v>
      </c>
      <c r="T1506">
        <f t="shared" ca="1" si="190"/>
        <v>3.2200396935294449</v>
      </c>
      <c r="U1506" s="8">
        <f t="shared" ca="1" si="191"/>
        <v>1.4514513357751662</v>
      </c>
      <c r="V1506" s="8">
        <f ca="1">RawData[[#This Row],[Z (smoothed demand size)]]/RawData[[#This Row],[X (smoothed interval)]]</f>
        <v>2.2184964897977384</v>
      </c>
    </row>
    <row r="1507" spans="1:22">
      <c r="A1507" t="s">
        <v>38</v>
      </c>
      <c r="B1507" t="s">
        <v>39</v>
      </c>
      <c r="C1507">
        <v>32</v>
      </c>
      <c r="D1507" t="s">
        <v>22</v>
      </c>
      <c r="E1507" t="s">
        <v>16</v>
      </c>
      <c r="F1507" s="1">
        <v>44932</v>
      </c>
      <c r="G1507">
        <v>3</v>
      </c>
      <c r="H1507">
        <v>3</v>
      </c>
      <c r="I1507">
        <v>8</v>
      </c>
      <c r="J1507">
        <v>5</v>
      </c>
      <c r="K1507">
        <v>0</v>
      </c>
      <c r="L1507">
        <v>588</v>
      </c>
      <c r="M1507">
        <v>30</v>
      </c>
      <c r="N1507" s="1">
        <f t="shared" si="184"/>
        <v>44938</v>
      </c>
      <c r="O1507" s="1">
        <f t="shared" si="185"/>
        <v>43101</v>
      </c>
      <c r="P1507" s="1">
        <f t="shared" si="186"/>
        <v>45078</v>
      </c>
      <c r="Q1507" s="8">
        <f t="shared" si="187"/>
        <v>0</v>
      </c>
      <c r="R1507" s="8">
        <f t="shared" si="188"/>
        <v>66</v>
      </c>
      <c r="S1507" s="8">
        <f t="shared" ca="1" si="189"/>
        <v>66</v>
      </c>
      <c r="T1507">
        <f t="shared" ca="1" si="190"/>
        <v>3.1760317548235562</v>
      </c>
      <c r="U1507" s="8">
        <f t="shared" ca="1" si="191"/>
        <v>1.5611610686201329</v>
      </c>
      <c r="V1507" s="8">
        <f ca="1">RawData[[#This Row],[Z (smoothed demand size)]]/RawData[[#This Row],[X (smoothed interval)]]</f>
        <v>2.0344036362825539</v>
      </c>
    </row>
    <row r="1508" spans="1:22">
      <c r="A1508" t="s">
        <v>38</v>
      </c>
      <c r="B1508" t="s">
        <v>39</v>
      </c>
      <c r="C1508">
        <v>32</v>
      </c>
      <c r="D1508" t="s">
        <v>22</v>
      </c>
      <c r="E1508" t="s">
        <v>16</v>
      </c>
      <c r="F1508" s="1">
        <v>44933</v>
      </c>
      <c r="G1508">
        <v>3</v>
      </c>
      <c r="H1508">
        <v>3</v>
      </c>
      <c r="I1508">
        <v>5</v>
      </c>
      <c r="J1508">
        <v>2</v>
      </c>
      <c r="K1508">
        <v>0</v>
      </c>
      <c r="L1508">
        <v>579</v>
      </c>
      <c r="M1508">
        <v>30</v>
      </c>
      <c r="N1508" s="1">
        <f t="shared" si="184"/>
        <v>44938</v>
      </c>
      <c r="O1508" s="1">
        <f t="shared" si="185"/>
        <v>43101</v>
      </c>
      <c r="P1508" s="1">
        <f t="shared" si="186"/>
        <v>45108</v>
      </c>
      <c r="Q1508" s="8">
        <f t="shared" si="187"/>
        <v>0</v>
      </c>
      <c r="R1508" s="8">
        <f t="shared" si="188"/>
        <v>67</v>
      </c>
      <c r="S1508" s="8">
        <f t="shared" ca="1" si="189"/>
        <v>67</v>
      </c>
      <c r="T1508">
        <f t="shared" ca="1" si="190"/>
        <v>3.140825403858845</v>
      </c>
      <c r="U1508" s="8">
        <f t="shared" ca="1" si="191"/>
        <v>1.4489288548961063</v>
      </c>
      <c r="V1508" s="8">
        <f ca="1">RawData[[#This Row],[Z (smoothed demand size)]]/RawData[[#This Row],[X (smoothed interval)]]</f>
        <v>2.1676878014028191</v>
      </c>
    </row>
    <row r="1509" spans="1:22">
      <c r="A1509" t="s">
        <v>38</v>
      </c>
      <c r="B1509" t="s">
        <v>39</v>
      </c>
      <c r="C1509">
        <v>32</v>
      </c>
      <c r="D1509" t="s">
        <v>22</v>
      </c>
      <c r="E1509" t="s">
        <v>16</v>
      </c>
      <c r="F1509" s="1">
        <v>44934</v>
      </c>
      <c r="G1509">
        <v>0</v>
      </c>
      <c r="H1509">
        <v>0</v>
      </c>
      <c r="I1509">
        <v>9</v>
      </c>
      <c r="J1509">
        <v>9</v>
      </c>
      <c r="K1509">
        <v>0</v>
      </c>
      <c r="L1509">
        <v>581</v>
      </c>
      <c r="M1509">
        <v>60</v>
      </c>
      <c r="N1509" s="1">
        <f t="shared" si="184"/>
        <v>44938</v>
      </c>
      <c r="O1509" s="1">
        <f t="shared" si="185"/>
        <v>43101</v>
      </c>
      <c r="P1509" s="1">
        <f t="shared" si="186"/>
        <v>45139</v>
      </c>
      <c r="Q1509" s="8">
        <f t="shared" si="187"/>
        <v>0</v>
      </c>
      <c r="R1509" s="8">
        <f t="shared" si="188"/>
        <v>68</v>
      </c>
      <c r="S1509" s="8">
        <f t="shared" ca="1" si="189"/>
        <v>67</v>
      </c>
      <c r="T1509">
        <f t="shared" ca="1" si="190"/>
        <v>3.140825403858845</v>
      </c>
      <c r="U1509" s="8">
        <f t="shared" ca="1" si="191"/>
        <v>1.4489288548961063</v>
      </c>
      <c r="V1509" s="8">
        <f ca="1">RawData[[#This Row],[Z (smoothed demand size)]]/RawData[[#This Row],[X (smoothed interval)]]</f>
        <v>2.1676878014028191</v>
      </c>
    </row>
    <row r="1510" spans="1:22">
      <c r="A1510" t="s">
        <v>38</v>
      </c>
      <c r="B1510" t="s">
        <v>39</v>
      </c>
      <c r="C1510">
        <v>32</v>
      </c>
      <c r="D1510" t="s">
        <v>22</v>
      </c>
      <c r="E1510" t="s">
        <v>16</v>
      </c>
      <c r="F1510" s="1">
        <v>44935</v>
      </c>
      <c r="G1510">
        <v>4</v>
      </c>
      <c r="H1510">
        <v>4</v>
      </c>
      <c r="I1510">
        <v>9</v>
      </c>
      <c r="J1510">
        <v>5</v>
      </c>
      <c r="K1510">
        <v>0</v>
      </c>
      <c r="L1510">
        <v>506</v>
      </c>
      <c r="M1510">
        <v>45</v>
      </c>
      <c r="N1510" s="1">
        <f t="shared" si="184"/>
        <v>44938</v>
      </c>
      <c r="O1510" s="1">
        <f t="shared" si="185"/>
        <v>43101</v>
      </c>
      <c r="P1510" s="1">
        <f t="shared" si="186"/>
        <v>45170</v>
      </c>
      <c r="Q1510" s="8">
        <f t="shared" si="187"/>
        <v>0</v>
      </c>
      <c r="R1510" s="8">
        <f t="shared" si="188"/>
        <v>69</v>
      </c>
      <c r="S1510" s="8">
        <f t="shared" ca="1" si="189"/>
        <v>69</v>
      </c>
      <c r="T1510">
        <f t="shared" ca="1" si="190"/>
        <v>3.3126603230870764</v>
      </c>
      <c r="U1510" s="8">
        <f t="shared" ca="1" si="191"/>
        <v>1.5591430839168852</v>
      </c>
      <c r="V1510" s="8">
        <f ca="1">RawData[[#This Row],[Z (smoothed demand size)]]/RawData[[#This Row],[X (smoothed interval)]]</f>
        <v>2.1246672978627457</v>
      </c>
    </row>
    <row r="1511" spans="1:22">
      <c r="A1511" t="s">
        <v>38</v>
      </c>
      <c r="B1511" t="s">
        <v>39</v>
      </c>
      <c r="C1511">
        <v>32</v>
      </c>
      <c r="D1511" t="s">
        <v>22</v>
      </c>
      <c r="E1511" t="s">
        <v>16</v>
      </c>
      <c r="F1511" s="1">
        <v>44936</v>
      </c>
      <c r="G1511">
        <v>3</v>
      </c>
      <c r="H1511">
        <v>3</v>
      </c>
      <c r="I1511">
        <v>5</v>
      </c>
      <c r="J1511">
        <v>2</v>
      </c>
      <c r="K1511">
        <v>0</v>
      </c>
      <c r="L1511">
        <v>508</v>
      </c>
      <c r="M1511">
        <v>15</v>
      </c>
      <c r="N1511" s="1">
        <f t="shared" si="184"/>
        <v>44938</v>
      </c>
      <c r="O1511" s="1">
        <f t="shared" si="185"/>
        <v>43101</v>
      </c>
      <c r="P1511" s="1">
        <f t="shared" si="186"/>
        <v>45200</v>
      </c>
      <c r="Q1511" s="8">
        <f t="shared" si="187"/>
        <v>0</v>
      </c>
      <c r="R1511" s="8">
        <f t="shared" si="188"/>
        <v>70</v>
      </c>
      <c r="S1511" s="8">
        <f t="shared" ca="1" si="189"/>
        <v>70</v>
      </c>
      <c r="T1511">
        <f t="shared" ca="1" si="190"/>
        <v>3.2501282584696614</v>
      </c>
      <c r="U1511" s="8">
        <f t="shared" ca="1" si="191"/>
        <v>1.4473144671335081</v>
      </c>
      <c r="V1511" s="8">
        <f ca="1">RawData[[#This Row],[Z (smoothed demand size)]]/RawData[[#This Row],[X (smoothed interval)]]</f>
        <v>2.2456268711987191</v>
      </c>
    </row>
    <row r="1512" spans="1:22">
      <c r="A1512" t="s">
        <v>38</v>
      </c>
      <c r="B1512" t="s">
        <v>39</v>
      </c>
      <c r="C1512">
        <v>32</v>
      </c>
      <c r="D1512" t="s">
        <v>22</v>
      </c>
      <c r="E1512" t="s">
        <v>16</v>
      </c>
      <c r="F1512" s="1">
        <v>44937</v>
      </c>
      <c r="G1512">
        <v>0</v>
      </c>
      <c r="H1512">
        <v>0</v>
      </c>
      <c r="I1512">
        <v>14</v>
      </c>
      <c r="J1512">
        <v>14</v>
      </c>
      <c r="K1512">
        <v>0</v>
      </c>
      <c r="L1512">
        <v>502</v>
      </c>
      <c r="M1512">
        <v>15</v>
      </c>
      <c r="N1512" s="1">
        <f t="shared" si="184"/>
        <v>44938</v>
      </c>
      <c r="O1512" s="1">
        <f t="shared" si="185"/>
        <v>43101</v>
      </c>
      <c r="P1512" s="1">
        <f t="shared" si="186"/>
        <v>45231</v>
      </c>
      <c r="Q1512" s="8">
        <f t="shared" si="187"/>
        <v>0</v>
      </c>
      <c r="R1512" s="8">
        <f t="shared" si="188"/>
        <v>71</v>
      </c>
      <c r="S1512" s="8">
        <f t="shared" ca="1" si="189"/>
        <v>70</v>
      </c>
      <c r="T1512">
        <f t="shared" ca="1" si="190"/>
        <v>3.2501282584696614</v>
      </c>
      <c r="U1512" s="8">
        <f t="shared" ca="1" si="191"/>
        <v>1.4473144671335081</v>
      </c>
      <c r="V1512" s="8">
        <f ca="1">RawData[[#This Row],[Z (smoothed demand size)]]/RawData[[#This Row],[X (smoothed interval)]]</f>
        <v>2.2456268711987191</v>
      </c>
    </row>
    <row r="1513" spans="1:22">
      <c r="A1513" t="s">
        <v>38</v>
      </c>
      <c r="B1513" t="s">
        <v>39</v>
      </c>
      <c r="C1513">
        <v>32</v>
      </c>
      <c r="D1513" t="s">
        <v>22</v>
      </c>
      <c r="E1513" t="s">
        <v>16</v>
      </c>
      <c r="F1513" s="1">
        <v>44938</v>
      </c>
      <c r="G1513">
        <v>3</v>
      </c>
      <c r="H1513">
        <v>3</v>
      </c>
      <c r="I1513">
        <v>14</v>
      </c>
      <c r="J1513">
        <v>11</v>
      </c>
      <c r="K1513">
        <v>0</v>
      </c>
      <c r="L1513">
        <v>575</v>
      </c>
      <c r="M1513">
        <v>45</v>
      </c>
      <c r="N1513" s="1">
        <f t="shared" si="184"/>
        <v>44938</v>
      </c>
      <c r="O1513" s="1">
        <f t="shared" si="185"/>
        <v>43101</v>
      </c>
      <c r="P1513" s="1">
        <f t="shared" si="186"/>
        <v>45261</v>
      </c>
      <c r="Q1513" s="8">
        <f t="shared" si="187"/>
        <v>0</v>
      </c>
      <c r="R1513" s="8">
        <f t="shared" si="188"/>
        <v>72</v>
      </c>
      <c r="S1513" s="8">
        <f t="shared" ca="1" si="189"/>
        <v>72</v>
      </c>
      <c r="T1513">
        <f t="shared" ca="1" si="190"/>
        <v>3.2001026067757294</v>
      </c>
      <c r="U1513" s="8">
        <f t="shared" ca="1" si="191"/>
        <v>1.5578515737068064</v>
      </c>
      <c r="V1513" s="8">
        <f ca="1">RawData[[#This Row],[Z (smoothed demand size)]]/RawData[[#This Row],[X (smoothed interval)]]</f>
        <v>2.0541768296714515</v>
      </c>
    </row>
    <row r="1514" spans="1:22">
      <c r="A1514" t="s">
        <v>40</v>
      </c>
      <c r="B1514" t="s">
        <v>39</v>
      </c>
      <c r="C1514">
        <v>27</v>
      </c>
      <c r="D1514" t="s">
        <v>22</v>
      </c>
      <c r="E1514" t="s">
        <v>16</v>
      </c>
      <c r="F1514" s="1">
        <v>43101</v>
      </c>
      <c r="G1514">
        <v>3</v>
      </c>
      <c r="H1514">
        <v>3</v>
      </c>
      <c r="I1514">
        <v>23</v>
      </c>
      <c r="J1514">
        <v>20</v>
      </c>
      <c r="K1514">
        <v>0</v>
      </c>
      <c r="L1514">
        <v>491</v>
      </c>
      <c r="M1514">
        <v>15</v>
      </c>
      <c r="N1514" s="1">
        <f t="shared" si="184"/>
        <v>44938</v>
      </c>
      <c r="O1514" s="1">
        <f t="shared" si="185"/>
        <v>43101</v>
      </c>
      <c r="P1514" s="1">
        <f t="shared" si="186"/>
        <v>43101</v>
      </c>
      <c r="Q1514" s="8">
        <f t="shared" si="187"/>
        <v>1</v>
      </c>
      <c r="R1514" s="8">
        <f t="shared" si="188"/>
        <v>1</v>
      </c>
      <c r="S1514" s="8">
        <f t="shared" ca="1" si="189"/>
        <v>1</v>
      </c>
      <c r="T1514">
        <f t="shared" ca="1" si="190"/>
        <v>3</v>
      </c>
      <c r="U1514" s="8">
        <f t="shared" ca="1" si="191"/>
        <v>1</v>
      </c>
      <c r="V1514" s="8">
        <f ca="1">RawData[[#This Row],[Z (smoothed demand size)]]/RawData[[#This Row],[X (smoothed interval)]]</f>
        <v>3</v>
      </c>
    </row>
    <row r="1515" spans="1:22">
      <c r="A1515" t="s">
        <v>40</v>
      </c>
      <c r="B1515" t="s">
        <v>39</v>
      </c>
      <c r="C1515">
        <v>27</v>
      </c>
      <c r="D1515" t="s">
        <v>22</v>
      </c>
      <c r="E1515" t="s">
        <v>16</v>
      </c>
      <c r="F1515" s="1">
        <v>43102</v>
      </c>
      <c r="G1515">
        <v>0</v>
      </c>
      <c r="H1515">
        <v>0</v>
      </c>
      <c r="I1515">
        <v>20</v>
      </c>
      <c r="J1515">
        <v>20</v>
      </c>
      <c r="K1515">
        <v>0</v>
      </c>
      <c r="L1515">
        <v>500</v>
      </c>
      <c r="M1515">
        <v>45</v>
      </c>
      <c r="N1515" s="1">
        <f t="shared" si="184"/>
        <v>44938</v>
      </c>
      <c r="O1515" s="1">
        <f t="shared" si="185"/>
        <v>43101</v>
      </c>
      <c r="P1515" s="1">
        <f t="shared" si="186"/>
        <v>43132</v>
      </c>
      <c r="Q1515" s="8">
        <f t="shared" si="187"/>
        <v>0</v>
      </c>
      <c r="R1515" s="8">
        <f t="shared" si="188"/>
        <v>2</v>
      </c>
      <c r="S1515" s="8">
        <f t="shared" ca="1" si="189"/>
        <v>1</v>
      </c>
      <c r="T1515">
        <f t="shared" ca="1" si="190"/>
        <v>3</v>
      </c>
      <c r="U1515" s="8">
        <f t="shared" ca="1" si="191"/>
        <v>1</v>
      </c>
      <c r="V1515" s="8">
        <f ca="1">RawData[[#This Row],[Z (smoothed demand size)]]/RawData[[#This Row],[X (smoothed interval)]]</f>
        <v>3</v>
      </c>
    </row>
    <row r="1516" spans="1:22">
      <c r="A1516" t="s">
        <v>40</v>
      </c>
      <c r="B1516" t="s">
        <v>39</v>
      </c>
      <c r="C1516">
        <v>27</v>
      </c>
      <c r="D1516" t="s">
        <v>22</v>
      </c>
      <c r="E1516" t="s">
        <v>16</v>
      </c>
      <c r="F1516" s="1">
        <v>43103</v>
      </c>
      <c r="G1516">
        <v>0</v>
      </c>
      <c r="H1516">
        <v>0</v>
      </c>
      <c r="I1516">
        <v>20</v>
      </c>
      <c r="J1516">
        <v>20</v>
      </c>
      <c r="K1516">
        <v>0</v>
      </c>
      <c r="L1516">
        <v>500</v>
      </c>
      <c r="M1516">
        <v>30</v>
      </c>
      <c r="N1516" s="1">
        <f t="shared" si="184"/>
        <v>44938</v>
      </c>
      <c r="O1516" s="1">
        <f t="shared" si="185"/>
        <v>43101</v>
      </c>
      <c r="P1516" s="1">
        <f t="shared" si="186"/>
        <v>43160</v>
      </c>
      <c r="Q1516" s="8">
        <f t="shared" si="187"/>
        <v>0</v>
      </c>
      <c r="R1516" s="8">
        <f t="shared" si="188"/>
        <v>3</v>
      </c>
      <c r="S1516" s="8">
        <f t="shared" ca="1" si="189"/>
        <v>1</v>
      </c>
      <c r="T1516">
        <f t="shared" ca="1" si="190"/>
        <v>3</v>
      </c>
      <c r="U1516" s="8">
        <f t="shared" ca="1" si="191"/>
        <v>1</v>
      </c>
      <c r="V1516" s="8">
        <f ca="1">RawData[[#This Row],[Z (smoothed demand size)]]/RawData[[#This Row],[X (smoothed interval)]]</f>
        <v>3</v>
      </c>
    </row>
    <row r="1517" spans="1:22">
      <c r="A1517" t="s">
        <v>40</v>
      </c>
      <c r="B1517" t="s">
        <v>39</v>
      </c>
      <c r="C1517">
        <v>27</v>
      </c>
      <c r="D1517" t="s">
        <v>22</v>
      </c>
      <c r="E1517" t="s">
        <v>16</v>
      </c>
      <c r="F1517" s="1">
        <v>43104</v>
      </c>
      <c r="G1517">
        <v>0</v>
      </c>
      <c r="H1517">
        <v>0</v>
      </c>
      <c r="I1517">
        <v>20</v>
      </c>
      <c r="J1517">
        <v>20</v>
      </c>
      <c r="K1517">
        <v>0</v>
      </c>
      <c r="L1517">
        <v>505</v>
      </c>
      <c r="M1517">
        <v>15</v>
      </c>
      <c r="N1517" s="1">
        <f t="shared" si="184"/>
        <v>44938</v>
      </c>
      <c r="O1517" s="1">
        <f t="shared" si="185"/>
        <v>43101</v>
      </c>
      <c r="P1517" s="1">
        <f t="shared" si="186"/>
        <v>43191</v>
      </c>
      <c r="Q1517" s="8">
        <f t="shared" si="187"/>
        <v>0</v>
      </c>
      <c r="R1517" s="8">
        <f t="shared" si="188"/>
        <v>4</v>
      </c>
      <c r="S1517" s="8">
        <f t="shared" ca="1" si="189"/>
        <v>1</v>
      </c>
      <c r="T1517">
        <f t="shared" ca="1" si="190"/>
        <v>3</v>
      </c>
      <c r="U1517" s="8">
        <f t="shared" ca="1" si="191"/>
        <v>1</v>
      </c>
      <c r="V1517" s="8">
        <f ca="1">RawData[[#This Row],[Z (smoothed demand size)]]/RawData[[#This Row],[X (smoothed interval)]]</f>
        <v>3</v>
      </c>
    </row>
    <row r="1518" spans="1:22">
      <c r="A1518" t="s">
        <v>40</v>
      </c>
      <c r="B1518" t="s">
        <v>39</v>
      </c>
      <c r="C1518">
        <v>27</v>
      </c>
      <c r="D1518" t="s">
        <v>22</v>
      </c>
      <c r="E1518" t="s">
        <v>16</v>
      </c>
      <c r="F1518" s="1">
        <v>43105</v>
      </c>
      <c r="G1518">
        <v>3</v>
      </c>
      <c r="H1518">
        <v>3</v>
      </c>
      <c r="I1518">
        <v>20</v>
      </c>
      <c r="J1518">
        <v>17</v>
      </c>
      <c r="K1518">
        <v>0</v>
      </c>
      <c r="L1518">
        <v>486</v>
      </c>
      <c r="M1518">
        <v>45</v>
      </c>
      <c r="N1518" s="1">
        <f t="shared" si="184"/>
        <v>44938</v>
      </c>
      <c r="O1518" s="1">
        <f t="shared" si="185"/>
        <v>43101</v>
      </c>
      <c r="P1518" s="1">
        <f t="shared" si="186"/>
        <v>43221</v>
      </c>
      <c r="Q1518" s="8">
        <f t="shared" si="187"/>
        <v>0</v>
      </c>
      <c r="R1518" s="8">
        <f t="shared" si="188"/>
        <v>5</v>
      </c>
      <c r="S1518" s="8">
        <f t="shared" ca="1" si="189"/>
        <v>5</v>
      </c>
      <c r="T1518">
        <f t="shared" ca="1" si="190"/>
        <v>3.0000000000000004</v>
      </c>
      <c r="U1518" s="8">
        <f t="shared" ca="1" si="191"/>
        <v>1.6</v>
      </c>
      <c r="V1518" s="8">
        <f ca="1">RawData[[#This Row],[Z (smoothed demand size)]]/RawData[[#This Row],[X (smoothed interval)]]</f>
        <v>1.8750000000000002</v>
      </c>
    </row>
    <row r="1519" spans="1:22">
      <c r="A1519" t="s">
        <v>40</v>
      </c>
      <c r="B1519" t="s">
        <v>39</v>
      </c>
      <c r="C1519">
        <v>27</v>
      </c>
      <c r="D1519" t="s">
        <v>22</v>
      </c>
      <c r="E1519" t="s">
        <v>16</v>
      </c>
      <c r="F1519" s="1">
        <v>43106</v>
      </c>
      <c r="G1519">
        <v>0</v>
      </c>
      <c r="H1519">
        <v>0</v>
      </c>
      <c r="I1519">
        <v>17</v>
      </c>
      <c r="J1519">
        <v>17</v>
      </c>
      <c r="K1519">
        <v>0</v>
      </c>
      <c r="L1519">
        <v>576</v>
      </c>
      <c r="M1519">
        <v>60</v>
      </c>
      <c r="N1519" s="1">
        <f t="shared" si="184"/>
        <v>44938</v>
      </c>
      <c r="O1519" s="1">
        <f t="shared" si="185"/>
        <v>43101</v>
      </c>
      <c r="P1519" s="1">
        <f t="shared" si="186"/>
        <v>43252</v>
      </c>
      <c r="Q1519" s="8">
        <f t="shared" si="187"/>
        <v>0</v>
      </c>
      <c r="R1519" s="8">
        <f t="shared" si="188"/>
        <v>6</v>
      </c>
      <c r="S1519" s="8">
        <f t="shared" ca="1" si="189"/>
        <v>5</v>
      </c>
      <c r="T1519">
        <f t="shared" ca="1" si="190"/>
        <v>3.0000000000000004</v>
      </c>
      <c r="U1519" s="8">
        <f t="shared" ca="1" si="191"/>
        <v>1.6</v>
      </c>
      <c r="V1519" s="8">
        <f ca="1">RawData[[#This Row],[Z (smoothed demand size)]]/RawData[[#This Row],[X (smoothed interval)]]</f>
        <v>1.8750000000000002</v>
      </c>
    </row>
    <row r="1520" spans="1:22">
      <c r="A1520" t="s">
        <v>40</v>
      </c>
      <c r="B1520" t="s">
        <v>39</v>
      </c>
      <c r="C1520">
        <v>27</v>
      </c>
      <c r="D1520" t="s">
        <v>22</v>
      </c>
      <c r="E1520" t="s">
        <v>16</v>
      </c>
      <c r="F1520" s="1">
        <v>43107</v>
      </c>
      <c r="G1520">
        <v>0</v>
      </c>
      <c r="H1520">
        <v>0</v>
      </c>
      <c r="I1520">
        <v>17</v>
      </c>
      <c r="J1520">
        <v>17</v>
      </c>
      <c r="K1520">
        <v>0</v>
      </c>
      <c r="L1520">
        <v>564</v>
      </c>
      <c r="M1520">
        <v>45</v>
      </c>
      <c r="N1520" s="1">
        <f t="shared" si="184"/>
        <v>44938</v>
      </c>
      <c r="O1520" s="1">
        <f t="shared" si="185"/>
        <v>43101</v>
      </c>
      <c r="P1520" s="1">
        <f t="shared" si="186"/>
        <v>43282</v>
      </c>
      <c r="Q1520" s="8">
        <f t="shared" si="187"/>
        <v>0</v>
      </c>
      <c r="R1520" s="8">
        <f t="shared" si="188"/>
        <v>7</v>
      </c>
      <c r="S1520" s="8">
        <f t="shared" ca="1" si="189"/>
        <v>5</v>
      </c>
      <c r="T1520">
        <f t="shared" ca="1" si="190"/>
        <v>3.0000000000000004</v>
      </c>
      <c r="U1520" s="8">
        <f t="shared" ca="1" si="191"/>
        <v>1.6</v>
      </c>
      <c r="V1520" s="8">
        <f ca="1">RawData[[#This Row],[Z (smoothed demand size)]]/RawData[[#This Row],[X (smoothed interval)]]</f>
        <v>1.8750000000000002</v>
      </c>
    </row>
    <row r="1521" spans="1:22">
      <c r="A1521" t="s">
        <v>40</v>
      </c>
      <c r="B1521" t="s">
        <v>39</v>
      </c>
      <c r="C1521">
        <v>27</v>
      </c>
      <c r="D1521" t="s">
        <v>22</v>
      </c>
      <c r="E1521" t="s">
        <v>16</v>
      </c>
      <c r="F1521" s="1">
        <v>43108</v>
      </c>
      <c r="G1521">
        <v>2</v>
      </c>
      <c r="H1521">
        <v>2</v>
      </c>
      <c r="I1521">
        <v>17</v>
      </c>
      <c r="J1521">
        <v>15</v>
      </c>
      <c r="K1521">
        <v>0</v>
      </c>
      <c r="L1521">
        <v>574</v>
      </c>
      <c r="M1521">
        <v>45</v>
      </c>
      <c r="N1521" s="1">
        <f t="shared" si="184"/>
        <v>44938</v>
      </c>
      <c r="O1521" s="1">
        <f t="shared" si="185"/>
        <v>43101</v>
      </c>
      <c r="P1521" s="1">
        <f t="shared" si="186"/>
        <v>43313</v>
      </c>
      <c r="Q1521" s="8">
        <f t="shared" si="187"/>
        <v>0</v>
      </c>
      <c r="R1521" s="8">
        <f t="shared" si="188"/>
        <v>8</v>
      </c>
      <c r="S1521" s="8">
        <f t="shared" ca="1" si="189"/>
        <v>8</v>
      </c>
      <c r="T1521">
        <f t="shared" ca="1" si="190"/>
        <v>2.8000000000000003</v>
      </c>
      <c r="U1521" s="8">
        <f t="shared" ca="1" si="191"/>
        <v>1.8800000000000003</v>
      </c>
      <c r="V1521" s="8">
        <f ca="1">RawData[[#This Row],[Z (smoothed demand size)]]/RawData[[#This Row],[X (smoothed interval)]]</f>
        <v>1.4893617021276595</v>
      </c>
    </row>
    <row r="1522" spans="1:22">
      <c r="A1522" t="s">
        <v>40</v>
      </c>
      <c r="B1522" t="s">
        <v>39</v>
      </c>
      <c r="C1522">
        <v>27</v>
      </c>
      <c r="D1522" t="s">
        <v>22</v>
      </c>
      <c r="E1522" t="s">
        <v>16</v>
      </c>
      <c r="F1522" s="1">
        <v>43109</v>
      </c>
      <c r="G1522">
        <v>1</v>
      </c>
      <c r="H1522">
        <v>1</v>
      </c>
      <c r="I1522">
        <v>15</v>
      </c>
      <c r="J1522">
        <v>14</v>
      </c>
      <c r="K1522">
        <v>0</v>
      </c>
      <c r="L1522">
        <v>497</v>
      </c>
      <c r="M1522">
        <v>30</v>
      </c>
      <c r="N1522" s="1">
        <f t="shared" si="184"/>
        <v>44938</v>
      </c>
      <c r="O1522" s="1">
        <f t="shared" si="185"/>
        <v>43101</v>
      </c>
      <c r="P1522" s="1">
        <f t="shared" si="186"/>
        <v>43344</v>
      </c>
      <c r="Q1522" s="8">
        <f t="shared" si="187"/>
        <v>0</v>
      </c>
      <c r="R1522" s="8">
        <f t="shared" si="188"/>
        <v>9</v>
      </c>
      <c r="S1522" s="8">
        <f t="shared" ca="1" si="189"/>
        <v>9</v>
      </c>
      <c r="T1522">
        <f t="shared" ca="1" si="190"/>
        <v>2.4400000000000004</v>
      </c>
      <c r="U1522" s="8">
        <f t="shared" ca="1" si="191"/>
        <v>1.7040000000000004</v>
      </c>
      <c r="V1522" s="8">
        <f ca="1">RawData[[#This Row],[Z (smoothed demand size)]]/RawData[[#This Row],[X (smoothed interval)]]</f>
        <v>1.4319248826291078</v>
      </c>
    </row>
    <row r="1523" spans="1:22">
      <c r="A1523" t="s">
        <v>40</v>
      </c>
      <c r="B1523" t="s">
        <v>39</v>
      </c>
      <c r="C1523">
        <v>27</v>
      </c>
      <c r="D1523" t="s">
        <v>22</v>
      </c>
      <c r="E1523" t="s">
        <v>16</v>
      </c>
      <c r="F1523" s="1">
        <v>43110</v>
      </c>
      <c r="G1523">
        <v>5</v>
      </c>
      <c r="H1523">
        <v>5</v>
      </c>
      <c r="I1523">
        <v>14</v>
      </c>
      <c r="J1523">
        <v>9</v>
      </c>
      <c r="K1523">
        <v>0</v>
      </c>
      <c r="L1523">
        <v>501</v>
      </c>
      <c r="M1523">
        <v>30</v>
      </c>
      <c r="N1523" s="1">
        <f t="shared" si="184"/>
        <v>44938</v>
      </c>
      <c r="O1523" s="1">
        <f t="shared" si="185"/>
        <v>43101</v>
      </c>
      <c r="P1523" s="1">
        <f t="shared" si="186"/>
        <v>43374</v>
      </c>
      <c r="Q1523" s="8">
        <f t="shared" si="187"/>
        <v>0</v>
      </c>
      <c r="R1523" s="8">
        <f t="shared" si="188"/>
        <v>10</v>
      </c>
      <c r="S1523" s="8">
        <f t="shared" ca="1" si="189"/>
        <v>10</v>
      </c>
      <c r="T1523">
        <f t="shared" ca="1" si="190"/>
        <v>2.9520000000000004</v>
      </c>
      <c r="U1523" s="8">
        <f t="shared" ca="1" si="191"/>
        <v>1.5632000000000004</v>
      </c>
      <c r="V1523" s="8">
        <f ca="1">RawData[[#This Row],[Z (smoothed demand size)]]/RawData[[#This Row],[X (smoothed interval)]]</f>
        <v>1.8884339815762536</v>
      </c>
    </row>
    <row r="1524" spans="1:22">
      <c r="A1524" t="s">
        <v>40</v>
      </c>
      <c r="B1524" t="s">
        <v>39</v>
      </c>
      <c r="C1524">
        <v>27</v>
      </c>
      <c r="D1524" t="s">
        <v>22</v>
      </c>
      <c r="E1524" t="s">
        <v>16</v>
      </c>
      <c r="F1524" s="1">
        <v>43111</v>
      </c>
      <c r="G1524">
        <v>3</v>
      </c>
      <c r="H1524">
        <v>3</v>
      </c>
      <c r="I1524">
        <v>9</v>
      </c>
      <c r="J1524">
        <v>6</v>
      </c>
      <c r="K1524">
        <v>0</v>
      </c>
      <c r="L1524">
        <v>496</v>
      </c>
      <c r="M1524">
        <v>15</v>
      </c>
      <c r="N1524" s="1">
        <f t="shared" si="184"/>
        <v>44938</v>
      </c>
      <c r="O1524" s="1">
        <f t="shared" si="185"/>
        <v>43101</v>
      </c>
      <c r="P1524" s="1">
        <f t="shared" si="186"/>
        <v>43405</v>
      </c>
      <c r="Q1524" s="8">
        <f t="shared" si="187"/>
        <v>0</v>
      </c>
      <c r="R1524" s="8">
        <f t="shared" si="188"/>
        <v>11</v>
      </c>
      <c r="S1524" s="8">
        <f t="shared" ca="1" si="189"/>
        <v>11</v>
      </c>
      <c r="T1524">
        <f t="shared" ca="1" si="190"/>
        <v>2.9616000000000007</v>
      </c>
      <c r="U1524" s="8">
        <f t="shared" ca="1" si="191"/>
        <v>1.4505600000000003</v>
      </c>
      <c r="V1524" s="8">
        <f ca="1">RawData[[#This Row],[Z (smoothed demand size)]]/RawData[[#This Row],[X (smoothed interval)]]</f>
        <v>2.0416942422236928</v>
      </c>
    </row>
    <row r="1525" spans="1:22">
      <c r="A1525" t="s">
        <v>40</v>
      </c>
      <c r="B1525" t="s">
        <v>39</v>
      </c>
      <c r="C1525">
        <v>27</v>
      </c>
      <c r="D1525" t="s">
        <v>22</v>
      </c>
      <c r="E1525" t="s">
        <v>16</v>
      </c>
      <c r="F1525" s="1">
        <v>43112</v>
      </c>
      <c r="G1525">
        <v>5</v>
      </c>
      <c r="H1525">
        <v>5</v>
      </c>
      <c r="I1525">
        <v>6</v>
      </c>
      <c r="J1525">
        <v>1</v>
      </c>
      <c r="K1525">
        <v>0</v>
      </c>
      <c r="L1525">
        <v>577</v>
      </c>
      <c r="M1525">
        <v>30</v>
      </c>
      <c r="N1525" s="1">
        <f t="shared" si="184"/>
        <v>44938</v>
      </c>
      <c r="O1525" s="1">
        <f t="shared" si="185"/>
        <v>43101</v>
      </c>
      <c r="P1525" s="1">
        <f t="shared" si="186"/>
        <v>43435</v>
      </c>
      <c r="Q1525" s="8">
        <f t="shared" si="187"/>
        <v>0</v>
      </c>
      <c r="R1525" s="8">
        <f t="shared" si="188"/>
        <v>12</v>
      </c>
      <c r="S1525" s="8">
        <f t="shared" ca="1" si="189"/>
        <v>12</v>
      </c>
      <c r="T1525">
        <f t="shared" ca="1" si="190"/>
        <v>3.3692800000000007</v>
      </c>
      <c r="U1525" s="8">
        <f t="shared" ca="1" si="191"/>
        <v>1.3604480000000003</v>
      </c>
      <c r="V1525" s="8">
        <f ca="1">RawData[[#This Row],[Z (smoothed demand size)]]/RawData[[#This Row],[X (smoothed interval)]]</f>
        <v>2.4765959448652208</v>
      </c>
    </row>
    <row r="1526" spans="1:22">
      <c r="A1526" t="s">
        <v>40</v>
      </c>
      <c r="B1526" t="s">
        <v>39</v>
      </c>
      <c r="C1526">
        <v>27</v>
      </c>
      <c r="D1526" t="s">
        <v>22</v>
      </c>
      <c r="E1526" t="s">
        <v>16</v>
      </c>
      <c r="F1526" s="1">
        <v>43466</v>
      </c>
      <c r="G1526">
        <v>3</v>
      </c>
      <c r="H1526">
        <v>3</v>
      </c>
      <c r="I1526">
        <v>11</v>
      </c>
      <c r="J1526">
        <v>8</v>
      </c>
      <c r="K1526">
        <v>0</v>
      </c>
      <c r="L1526">
        <v>491</v>
      </c>
      <c r="M1526">
        <v>15</v>
      </c>
      <c r="N1526" s="1">
        <f t="shared" si="184"/>
        <v>44938</v>
      </c>
      <c r="O1526" s="1">
        <f t="shared" si="185"/>
        <v>43101</v>
      </c>
      <c r="P1526" s="1">
        <f t="shared" si="186"/>
        <v>43466</v>
      </c>
      <c r="Q1526" s="8">
        <f t="shared" si="187"/>
        <v>0</v>
      </c>
      <c r="R1526" s="8">
        <f t="shared" si="188"/>
        <v>13</v>
      </c>
      <c r="S1526" s="8">
        <f t="shared" ca="1" si="189"/>
        <v>13</v>
      </c>
      <c r="T1526">
        <f t="shared" ca="1" si="190"/>
        <v>3.295424000000001</v>
      </c>
      <c r="U1526" s="8">
        <f t="shared" ca="1" si="191"/>
        <v>1.2883584000000003</v>
      </c>
      <c r="V1526" s="8">
        <f ca="1">RawData[[#This Row],[Z (smoothed demand size)]]/RawData[[#This Row],[X (smoothed interval)]]</f>
        <v>2.5578472574091187</v>
      </c>
    </row>
    <row r="1527" spans="1:22">
      <c r="A1527" t="s">
        <v>40</v>
      </c>
      <c r="B1527" t="s">
        <v>39</v>
      </c>
      <c r="C1527">
        <v>27</v>
      </c>
      <c r="D1527" t="s">
        <v>22</v>
      </c>
      <c r="E1527" t="s">
        <v>16</v>
      </c>
      <c r="F1527" s="1">
        <v>43467</v>
      </c>
      <c r="G1527">
        <v>3</v>
      </c>
      <c r="H1527">
        <v>3</v>
      </c>
      <c r="I1527">
        <v>8</v>
      </c>
      <c r="J1527">
        <v>5</v>
      </c>
      <c r="K1527">
        <v>0</v>
      </c>
      <c r="L1527">
        <v>495</v>
      </c>
      <c r="M1527">
        <v>30</v>
      </c>
      <c r="N1527" s="1">
        <f t="shared" si="184"/>
        <v>44938</v>
      </c>
      <c r="O1527" s="1">
        <f t="shared" si="185"/>
        <v>43101</v>
      </c>
      <c r="P1527" s="1">
        <f t="shared" si="186"/>
        <v>43497</v>
      </c>
      <c r="Q1527" s="8">
        <f t="shared" si="187"/>
        <v>0</v>
      </c>
      <c r="R1527" s="8">
        <f t="shared" si="188"/>
        <v>14</v>
      </c>
      <c r="S1527" s="8">
        <f t="shared" ca="1" si="189"/>
        <v>14</v>
      </c>
      <c r="T1527">
        <f t="shared" ca="1" si="190"/>
        <v>3.2363392000000011</v>
      </c>
      <c r="U1527" s="8">
        <f t="shared" ca="1" si="191"/>
        <v>1.2306867200000002</v>
      </c>
      <c r="V1527" s="8">
        <f ca="1">RawData[[#This Row],[Z (smoothed demand size)]]/RawData[[#This Row],[X (smoothed interval)]]</f>
        <v>2.6297018952150557</v>
      </c>
    </row>
    <row r="1528" spans="1:22">
      <c r="A1528" t="s">
        <v>40</v>
      </c>
      <c r="B1528" t="s">
        <v>39</v>
      </c>
      <c r="C1528">
        <v>27</v>
      </c>
      <c r="D1528" t="s">
        <v>22</v>
      </c>
      <c r="E1528" t="s">
        <v>16</v>
      </c>
      <c r="F1528" s="1">
        <v>43468</v>
      </c>
      <c r="G1528">
        <v>0</v>
      </c>
      <c r="H1528">
        <v>0</v>
      </c>
      <c r="I1528">
        <v>5</v>
      </c>
      <c r="J1528">
        <v>5</v>
      </c>
      <c r="K1528">
        <v>0</v>
      </c>
      <c r="L1528">
        <v>496</v>
      </c>
      <c r="M1528">
        <v>45</v>
      </c>
      <c r="N1528" s="1">
        <f t="shared" si="184"/>
        <v>44938</v>
      </c>
      <c r="O1528" s="1">
        <f t="shared" si="185"/>
        <v>43101</v>
      </c>
      <c r="P1528" s="1">
        <f t="shared" si="186"/>
        <v>43525</v>
      </c>
      <c r="Q1528" s="8">
        <f t="shared" si="187"/>
        <v>0</v>
      </c>
      <c r="R1528" s="8">
        <f t="shared" si="188"/>
        <v>15</v>
      </c>
      <c r="S1528" s="8">
        <f t="shared" ca="1" si="189"/>
        <v>14</v>
      </c>
      <c r="T1528">
        <f t="shared" ca="1" si="190"/>
        <v>3.2363392000000011</v>
      </c>
      <c r="U1528" s="8">
        <f t="shared" ca="1" si="191"/>
        <v>1.2306867200000002</v>
      </c>
      <c r="V1528" s="8">
        <f ca="1">RawData[[#This Row],[Z (smoothed demand size)]]/RawData[[#This Row],[X (smoothed interval)]]</f>
        <v>2.6297018952150557</v>
      </c>
    </row>
    <row r="1529" spans="1:22">
      <c r="A1529" t="s">
        <v>40</v>
      </c>
      <c r="B1529" t="s">
        <v>39</v>
      </c>
      <c r="C1529">
        <v>27</v>
      </c>
      <c r="D1529" t="s">
        <v>22</v>
      </c>
      <c r="E1529" t="s">
        <v>16</v>
      </c>
      <c r="F1529" s="1">
        <v>43469</v>
      </c>
      <c r="G1529">
        <v>0</v>
      </c>
      <c r="H1529">
        <v>0</v>
      </c>
      <c r="I1529">
        <v>5</v>
      </c>
      <c r="J1529">
        <v>5</v>
      </c>
      <c r="K1529">
        <v>0</v>
      </c>
      <c r="L1529">
        <v>504</v>
      </c>
      <c r="M1529">
        <v>15</v>
      </c>
      <c r="N1529" s="1">
        <f t="shared" si="184"/>
        <v>44938</v>
      </c>
      <c r="O1529" s="1">
        <f t="shared" si="185"/>
        <v>43101</v>
      </c>
      <c r="P1529" s="1">
        <f t="shared" si="186"/>
        <v>43556</v>
      </c>
      <c r="Q1529" s="8">
        <f t="shared" si="187"/>
        <v>0</v>
      </c>
      <c r="R1529" s="8">
        <f t="shared" si="188"/>
        <v>16</v>
      </c>
      <c r="S1529" s="8">
        <f t="shared" ca="1" si="189"/>
        <v>14</v>
      </c>
      <c r="T1529">
        <f t="shared" ca="1" si="190"/>
        <v>3.2363392000000011</v>
      </c>
      <c r="U1529" s="8">
        <f t="shared" ca="1" si="191"/>
        <v>1.2306867200000002</v>
      </c>
      <c r="V1529" s="8">
        <f ca="1">RawData[[#This Row],[Z (smoothed demand size)]]/RawData[[#This Row],[X (smoothed interval)]]</f>
        <v>2.6297018952150557</v>
      </c>
    </row>
    <row r="1530" spans="1:22">
      <c r="A1530" t="s">
        <v>40</v>
      </c>
      <c r="B1530" t="s">
        <v>39</v>
      </c>
      <c r="C1530">
        <v>27</v>
      </c>
      <c r="D1530" t="s">
        <v>22</v>
      </c>
      <c r="E1530" t="s">
        <v>16</v>
      </c>
      <c r="F1530" s="1">
        <v>43470</v>
      </c>
      <c r="G1530">
        <v>3</v>
      </c>
      <c r="H1530">
        <v>3</v>
      </c>
      <c r="I1530">
        <v>5</v>
      </c>
      <c r="J1530">
        <v>2</v>
      </c>
      <c r="K1530">
        <v>0</v>
      </c>
      <c r="L1530">
        <v>500</v>
      </c>
      <c r="M1530">
        <v>45</v>
      </c>
      <c r="N1530" s="1">
        <f t="shared" si="184"/>
        <v>44938</v>
      </c>
      <c r="O1530" s="1">
        <f t="shared" si="185"/>
        <v>43101</v>
      </c>
      <c r="P1530" s="1">
        <f t="shared" si="186"/>
        <v>43586</v>
      </c>
      <c r="Q1530" s="8">
        <f t="shared" si="187"/>
        <v>0</v>
      </c>
      <c r="R1530" s="8">
        <f t="shared" si="188"/>
        <v>17</v>
      </c>
      <c r="S1530" s="8">
        <f t="shared" ca="1" si="189"/>
        <v>17</v>
      </c>
      <c r="T1530">
        <f t="shared" ca="1" si="190"/>
        <v>3.1890713600000011</v>
      </c>
      <c r="U1530" s="8">
        <f t="shared" ca="1" si="191"/>
        <v>1.5845493760000005</v>
      </c>
      <c r="V1530" s="8">
        <f ca="1">RawData[[#This Row],[Z (smoothed demand size)]]/RawData[[#This Row],[X (smoothed interval)]]</f>
        <v>2.0126045980658671</v>
      </c>
    </row>
    <row r="1531" spans="1:22">
      <c r="A1531" t="s">
        <v>40</v>
      </c>
      <c r="B1531" t="s">
        <v>39</v>
      </c>
      <c r="C1531">
        <v>27</v>
      </c>
      <c r="D1531" t="s">
        <v>22</v>
      </c>
      <c r="E1531" t="s">
        <v>16</v>
      </c>
      <c r="F1531" s="1">
        <v>43471</v>
      </c>
      <c r="G1531">
        <v>3</v>
      </c>
      <c r="H1531">
        <v>2</v>
      </c>
      <c r="I1531">
        <v>2</v>
      </c>
      <c r="J1531">
        <v>0</v>
      </c>
      <c r="K1531">
        <v>1</v>
      </c>
      <c r="L1531">
        <v>571</v>
      </c>
      <c r="M1531">
        <v>60</v>
      </c>
      <c r="N1531" s="1">
        <f t="shared" si="184"/>
        <v>44938</v>
      </c>
      <c r="O1531" s="1">
        <f t="shared" si="185"/>
        <v>43101</v>
      </c>
      <c r="P1531" s="1">
        <f t="shared" si="186"/>
        <v>43617</v>
      </c>
      <c r="Q1531" s="8">
        <f t="shared" si="187"/>
        <v>0</v>
      </c>
      <c r="R1531" s="8">
        <f t="shared" si="188"/>
        <v>18</v>
      </c>
      <c r="S1531" s="8">
        <f t="shared" ca="1" si="189"/>
        <v>18</v>
      </c>
      <c r="T1531">
        <f t="shared" ca="1" si="190"/>
        <v>3.1512570880000013</v>
      </c>
      <c r="U1531" s="8">
        <f t="shared" ca="1" si="191"/>
        <v>1.4676395008000005</v>
      </c>
      <c r="V1531" s="8">
        <f ca="1">RawData[[#This Row],[Z (smoothed demand size)]]/RawData[[#This Row],[X (smoothed interval)]]</f>
        <v>2.1471601754260989</v>
      </c>
    </row>
    <row r="1532" spans="1:22">
      <c r="A1532" t="s">
        <v>40</v>
      </c>
      <c r="B1532" t="s">
        <v>39</v>
      </c>
      <c r="C1532">
        <v>27</v>
      </c>
      <c r="D1532" t="s">
        <v>22</v>
      </c>
      <c r="E1532" t="s">
        <v>16</v>
      </c>
      <c r="F1532" s="1">
        <v>43472</v>
      </c>
      <c r="G1532">
        <v>0</v>
      </c>
      <c r="H1532">
        <v>0</v>
      </c>
      <c r="I1532">
        <v>9</v>
      </c>
      <c r="J1532">
        <v>9</v>
      </c>
      <c r="K1532">
        <v>0</v>
      </c>
      <c r="L1532">
        <v>573</v>
      </c>
      <c r="M1532">
        <v>15</v>
      </c>
      <c r="N1532" s="1">
        <f t="shared" si="184"/>
        <v>44938</v>
      </c>
      <c r="O1532" s="1">
        <f t="shared" si="185"/>
        <v>43101</v>
      </c>
      <c r="P1532" s="1">
        <f t="shared" si="186"/>
        <v>43647</v>
      </c>
      <c r="Q1532" s="8">
        <f t="shared" si="187"/>
        <v>0</v>
      </c>
      <c r="R1532" s="8">
        <f t="shared" si="188"/>
        <v>19</v>
      </c>
      <c r="S1532" s="8">
        <f t="shared" ca="1" si="189"/>
        <v>18</v>
      </c>
      <c r="T1532">
        <f t="shared" ca="1" si="190"/>
        <v>3.1512570880000013</v>
      </c>
      <c r="U1532" s="8">
        <f t="shared" ca="1" si="191"/>
        <v>1.4676395008000005</v>
      </c>
      <c r="V1532" s="8">
        <f ca="1">RawData[[#This Row],[Z (smoothed demand size)]]/RawData[[#This Row],[X (smoothed interval)]]</f>
        <v>2.1471601754260989</v>
      </c>
    </row>
    <row r="1533" spans="1:22">
      <c r="A1533" t="s">
        <v>40</v>
      </c>
      <c r="B1533" t="s">
        <v>39</v>
      </c>
      <c r="C1533">
        <v>27</v>
      </c>
      <c r="D1533" t="s">
        <v>22</v>
      </c>
      <c r="E1533" t="s">
        <v>16</v>
      </c>
      <c r="F1533" s="1">
        <v>43473</v>
      </c>
      <c r="G1533">
        <v>0</v>
      </c>
      <c r="H1533">
        <v>0</v>
      </c>
      <c r="I1533">
        <v>9</v>
      </c>
      <c r="J1533">
        <v>9</v>
      </c>
      <c r="K1533">
        <v>0</v>
      </c>
      <c r="L1533">
        <v>576</v>
      </c>
      <c r="M1533">
        <v>15</v>
      </c>
      <c r="N1533" s="1">
        <f t="shared" si="184"/>
        <v>44938</v>
      </c>
      <c r="O1533" s="1">
        <f t="shared" si="185"/>
        <v>43101</v>
      </c>
      <c r="P1533" s="1">
        <f t="shared" si="186"/>
        <v>43678</v>
      </c>
      <c r="Q1533" s="8">
        <f t="shared" si="187"/>
        <v>0</v>
      </c>
      <c r="R1533" s="8">
        <f t="shared" si="188"/>
        <v>20</v>
      </c>
      <c r="S1533" s="8">
        <f t="shared" ca="1" si="189"/>
        <v>18</v>
      </c>
      <c r="T1533">
        <f t="shared" ca="1" si="190"/>
        <v>3.1512570880000013</v>
      </c>
      <c r="U1533" s="8">
        <f t="shared" ca="1" si="191"/>
        <v>1.4676395008000005</v>
      </c>
      <c r="V1533" s="8">
        <f ca="1">RawData[[#This Row],[Z (smoothed demand size)]]/RawData[[#This Row],[X (smoothed interval)]]</f>
        <v>2.1471601754260989</v>
      </c>
    </row>
    <row r="1534" spans="1:22">
      <c r="A1534" t="s">
        <v>40</v>
      </c>
      <c r="B1534" t="s">
        <v>39</v>
      </c>
      <c r="C1534">
        <v>27</v>
      </c>
      <c r="D1534" t="s">
        <v>22</v>
      </c>
      <c r="E1534" t="s">
        <v>16</v>
      </c>
      <c r="F1534" s="1">
        <v>43474</v>
      </c>
      <c r="G1534">
        <v>0</v>
      </c>
      <c r="H1534">
        <v>0</v>
      </c>
      <c r="I1534">
        <v>9</v>
      </c>
      <c r="J1534">
        <v>9</v>
      </c>
      <c r="K1534">
        <v>0</v>
      </c>
      <c r="L1534">
        <v>497</v>
      </c>
      <c r="M1534">
        <v>30</v>
      </c>
      <c r="N1534" s="1">
        <f t="shared" si="184"/>
        <v>44938</v>
      </c>
      <c r="O1534" s="1">
        <f t="shared" si="185"/>
        <v>43101</v>
      </c>
      <c r="P1534" s="1">
        <f t="shared" si="186"/>
        <v>43709</v>
      </c>
      <c r="Q1534" s="8">
        <f t="shared" si="187"/>
        <v>0</v>
      </c>
      <c r="R1534" s="8">
        <f t="shared" si="188"/>
        <v>21</v>
      </c>
      <c r="S1534" s="8">
        <f t="shared" ca="1" si="189"/>
        <v>18</v>
      </c>
      <c r="T1534">
        <f t="shared" ca="1" si="190"/>
        <v>3.1512570880000013</v>
      </c>
      <c r="U1534" s="8">
        <f t="shared" ca="1" si="191"/>
        <v>1.4676395008000005</v>
      </c>
      <c r="V1534" s="8">
        <f ca="1">RawData[[#This Row],[Z (smoothed demand size)]]/RawData[[#This Row],[X (smoothed interval)]]</f>
        <v>2.1471601754260989</v>
      </c>
    </row>
    <row r="1535" spans="1:22">
      <c r="A1535" t="s">
        <v>40</v>
      </c>
      <c r="B1535" t="s">
        <v>39</v>
      </c>
      <c r="C1535">
        <v>27</v>
      </c>
      <c r="D1535" t="s">
        <v>22</v>
      </c>
      <c r="E1535" t="s">
        <v>16</v>
      </c>
      <c r="F1535" s="1">
        <v>43475</v>
      </c>
      <c r="G1535">
        <v>0</v>
      </c>
      <c r="H1535">
        <v>0</v>
      </c>
      <c r="I1535">
        <v>9</v>
      </c>
      <c r="J1535">
        <v>9</v>
      </c>
      <c r="K1535">
        <v>0</v>
      </c>
      <c r="L1535">
        <v>490</v>
      </c>
      <c r="M1535">
        <v>60</v>
      </c>
      <c r="N1535" s="1">
        <f t="shared" si="184"/>
        <v>44938</v>
      </c>
      <c r="O1535" s="1">
        <f t="shared" si="185"/>
        <v>43101</v>
      </c>
      <c r="P1535" s="1">
        <f t="shared" si="186"/>
        <v>43739</v>
      </c>
      <c r="Q1535" s="8">
        <f t="shared" si="187"/>
        <v>0</v>
      </c>
      <c r="R1535" s="8">
        <f t="shared" si="188"/>
        <v>22</v>
      </c>
      <c r="S1535" s="8">
        <f t="shared" ca="1" si="189"/>
        <v>18</v>
      </c>
      <c r="T1535">
        <f t="shared" ca="1" si="190"/>
        <v>3.1512570880000013</v>
      </c>
      <c r="U1535" s="8">
        <f t="shared" ca="1" si="191"/>
        <v>1.4676395008000005</v>
      </c>
      <c r="V1535" s="8">
        <f ca="1">RawData[[#This Row],[Z (smoothed demand size)]]/RawData[[#This Row],[X (smoothed interval)]]</f>
        <v>2.1471601754260989</v>
      </c>
    </row>
    <row r="1536" spans="1:22">
      <c r="A1536" t="s">
        <v>40</v>
      </c>
      <c r="B1536" t="s">
        <v>39</v>
      </c>
      <c r="C1536">
        <v>27</v>
      </c>
      <c r="D1536" t="s">
        <v>22</v>
      </c>
      <c r="E1536" t="s">
        <v>16</v>
      </c>
      <c r="F1536" s="1">
        <v>43476</v>
      </c>
      <c r="G1536">
        <v>1</v>
      </c>
      <c r="H1536">
        <v>1</v>
      </c>
      <c r="I1536">
        <v>9</v>
      </c>
      <c r="J1536">
        <v>8</v>
      </c>
      <c r="K1536">
        <v>0</v>
      </c>
      <c r="L1536">
        <v>499</v>
      </c>
      <c r="M1536">
        <v>60</v>
      </c>
      <c r="N1536" s="1">
        <f t="shared" si="184"/>
        <v>44938</v>
      </c>
      <c r="O1536" s="1">
        <f t="shared" si="185"/>
        <v>43101</v>
      </c>
      <c r="P1536" s="1">
        <f t="shared" si="186"/>
        <v>43770</v>
      </c>
      <c r="Q1536" s="8">
        <f t="shared" si="187"/>
        <v>0</v>
      </c>
      <c r="R1536" s="8">
        <f t="shared" si="188"/>
        <v>23</v>
      </c>
      <c r="S1536" s="8">
        <f t="shared" ca="1" si="189"/>
        <v>23</v>
      </c>
      <c r="T1536">
        <f t="shared" ca="1" si="190"/>
        <v>2.7210056704000012</v>
      </c>
      <c r="U1536" s="8">
        <f t="shared" ca="1" si="191"/>
        <v>2.1741116006400008</v>
      </c>
      <c r="V1536" s="8">
        <f ca="1">RawData[[#This Row],[Z (smoothed demand size)]]/RawData[[#This Row],[X (smoothed interval)]]</f>
        <v>1.251548296600326</v>
      </c>
    </row>
    <row r="1537" spans="1:22">
      <c r="A1537" t="s">
        <v>40</v>
      </c>
      <c r="B1537" t="s">
        <v>39</v>
      </c>
      <c r="C1537">
        <v>27</v>
      </c>
      <c r="D1537" t="s">
        <v>22</v>
      </c>
      <c r="E1537" t="s">
        <v>16</v>
      </c>
      <c r="F1537" s="1">
        <v>43477</v>
      </c>
      <c r="G1537">
        <v>4</v>
      </c>
      <c r="H1537">
        <v>4</v>
      </c>
      <c r="I1537">
        <v>8</v>
      </c>
      <c r="J1537">
        <v>4</v>
      </c>
      <c r="K1537">
        <v>0</v>
      </c>
      <c r="L1537">
        <v>570</v>
      </c>
      <c r="M1537">
        <v>45</v>
      </c>
      <c r="N1537" s="1">
        <f t="shared" si="184"/>
        <v>44938</v>
      </c>
      <c r="O1537" s="1">
        <f t="shared" si="185"/>
        <v>43101</v>
      </c>
      <c r="P1537" s="1">
        <f t="shared" si="186"/>
        <v>43800</v>
      </c>
      <c r="Q1537" s="8">
        <f t="shared" si="187"/>
        <v>0</v>
      </c>
      <c r="R1537" s="8">
        <f t="shared" si="188"/>
        <v>24</v>
      </c>
      <c r="S1537" s="8">
        <f t="shared" ca="1" si="189"/>
        <v>24</v>
      </c>
      <c r="T1537">
        <f t="shared" ca="1" si="190"/>
        <v>2.9768045363200013</v>
      </c>
      <c r="U1537" s="8">
        <f t="shared" ca="1" si="191"/>
        <v>1.9392892805120006</v>
      </c>
      <c r="V1537" s="8">
        <f ca="1">RawData[[#This Row],[Z (smoothed demand size)]]/RawData[[#This Row],[X (smoothed interval)]]</f>
        <v>1.5349976747842806</v>
      </c>
    </row>
    <row r="1538" spans="1:22">
      <c r="A1538" t="s">
        <v>40</v>
      </c>
      <c r="B1538" t="s">
        <v>39</v>
      </c>
      <c r="C1538">
        <v>27</v>
      </c>
      <c r="D1538" t="s">
        <v>22</v>
      </c>
      <c r="E1538" t="s">
        <v>16</v>
      </c>
      <c r="F1538" s="1">
        <v>43831</v>
      </c>
      <c r="G1538">
        <v>0</v>
      </c>
      <c r="H1538">
        <v>0</v>
      </c>
      <c r="I1538">
        <v>4</v>
      </c>
      <c r="J1538">
        <v>4</v>
      </c>
      <c r="K1538">
        <v>0</v>
      </c>
      <c r="L1538">
        <v>492</v>
      </c>
      <c r="M1538">
        <v>45</v>
      </c>
      <c r="N1538" s="1">
        <f t="shared" ref="N1538:N1601" si="192">MAX(F:F)</f>
        <v>44938</v>
      </c>
      <c r="O1538" s="1">
        <f t="shared" ref="O1538:O1601" si="193">MIN(F:F)</f>
        <v>43101</v>
      </c>
      <c r="P1538" s="1">
        <f t="shared" ref="P1538:P1601" si="194">DATE(YEAR(F1538), DAY(F1538), 1)</f>
        <v>43831</v>
      </c>
      <c r="Q1538" s="8">
        <f t="shared" ref="Q1538:Q1601" si="195" xml:space="preserve"> IF(A1538&lt;&gt;A1537, 1, 0)</f>
        <v>0</v>
      </c>
      <c r="R1538" s="8">
        <f t="shared" ref="R1538:R1601" si="196">IF(Q1538=1,1,R1537+1)</f>
        <v>25</v>
      </c>
      <c r="S1538" s="8">
        <f t="shared" ref="S1538:S1601" ca="1" si="197" xml:space="preserve"> IF(Q1538=1, IF(G1538&gt;0, R1538, 0), IF(G1538&gt;0, R1538, OFFSET(S1538,-1,0)))</f>
        <v>24</v>
      </c>
      <c r="T1538">
        <f t="shared" ref="T1538:T1601" ca="1" si="198" xml:space="preserve"> IF(Q1538=1, IF(G1538&gt;0, G1538, 0), IF(G1538&gt;0, $X$1*G1538+(1-$X$1)*OFFSET(T1538,-1,0), OFFSET(T1538,-1,0)))</f>
        <v>2.9768045363200013</v>
      </c>
      <c r="U1538" s="8">
        <f t="shared" ref="U1538:U1601" ca="1" si="199" xml:space="preserve"> IF(Q1538=1, 1, IF(G1538&gt;0, $X$1*(R1538-OFFSET(S1538,-1,0))+(1-$X$1)*OFFSET(U1538,-1,0), OFFSET(U1538,-1,0)))</f>
        <v>1.9392892805120006</v>
      </c>
      <c r="V1538" s="8">
        <f ca="1">RawData[[#This Row],[Z (smoothed demand size)]]/RawData[[#This Row],[X (smoothed interval)]]</f>
        <v>1.5349976747842806</v>
      </c>
    </row>
    <row r="1539" spans="1:22">
      <c r="A1539" t="s">
        <v>40</v>
      </c>
      <c r="B1539" t="s">
        <v>39</v>
      </c>
      <c r="C1539">
        <v>27</v>
      </c>
      <c r="D1539" t="s">
        <v>22</v>
      </c>
      <c r="E1539" t="s">
        <v>16</v>
      </c>
      <c r="F1539" s="1">
        <v>43832</v>
      </c>
      <c r="G1539">
        <v>3</v>
      </c>
      <c r="H1539">
        <v>3</v>
      </c>
      <c r="I1539">
        <v>4</v>
      </c>
      <c r="J1539">
        <v>1</v>
      </c>
      <c r="K1539">
        <v>0</v>
      </c>
      <c r="L1539">
        <v>490</v>
      </c>
      <c r="M1539">
        <v>45</v>
      </c>
      <c r="N1539" s="1">
        <f t="shared" si="192"/>
        <v>44938</v>
      </c>
      <c r="O1539" s="1">
        <f t="shared" si="193"/>
        <v>43101</v>
      </c>
      <c r="P1539" s="1">
        <f t="shared" si="194"/>
        <v>43862</v>
      </c>
      <c r="Q1539" s="8">
        <f t="shared" si="195"/>
        <v>0</v>
      </c>
      <c r="R1539" s="8">
        <f t="shared" si="196"/>
        <v>26</v>
      </c>
      <c r="S1539" s="8">
        <f t="shared" ca="1" si="197"/>
        <v>26</v>
      </c>
      <c r="T1539">
        <f t="shared" ca="1" si="198"/>
        <v>2.9814436290560011</v>
      </c>
      <c r="U1539" s="8">
        <f t="shared" ca="1" si="199"/>
        <v>1.9514314244096007</v>
      </c>
      <c r="V1539" s="8">
        <f ca="1">RawData[[#This Row],[Z (smoothed demand size)]]/RawData[[#This Row],[X (smoothed interval)]]</f>
        <v>1.5278239305580656</v>
      </c>
    </row>
    <row r="1540" spans="1:22">
      <c r="A1540" t="s">
        <v>40</v>
      </c>
      <c r="B1540" t="s">
        <v>39</v>
      </c>
      <c r="C1540">
        <v>27</v>
      </c>
      <c r="D1540" t="s">
        <v>22</v>
      </c>
      <c r="E1540" t="s">
        <v>16</v>
      </c>
      <c r="F1540" s="1">
        <v>43833</v>
      </c>
      <c r="G1540">
        <v>2</v>
      </c>
      <c r="H1540">
        <v>1</v>
      </c>
      <c r="I1540">
        <v>1</v>
      </c>
      <c r="J1540">
        <v>0</v>
      </c>
      <c r="K1540">
        <v>1</v>
      </c>
      <c r="L1540">
        <v>497</v>
      </c>
      <c r="M1540">
        <v>60</v>
      </c>
      <c r="N1540" s="1">
        <f t="shared" si="192"/>
        <v>44938</v>
      </c>
      <c r="O1540" s="1">
        <f t="shared" si="193"/>
        <v>43101</v>
      </c>
      <c r="P1540" s="1">
        <f t="shared" si="194"/>
        <v>43891</v>
      </c>
      <c r="Q1540" s="8">
        <f t="shared" si="195"/>
        <v>0</v>
      </c>
      <c r="R1540" s="8">
        <f t="shared" si="196"/>
        <v>27</v>
      </c>
      <c r="S1540" s="8">
        <f t="shared" ca="1" si="197"/>
        <v>27</v>
      </c>
      <c r="T1540">
        <f t="shared" ca="1" si="198"/>
        <v>2.7851549032448011</v>
      </c>
      <c r="U1540" s="8">
        <f t="shared" ca="1" si="199"/>
        <v>1.7611451395276807</v>
      </c>
      <c r="V1540" s="8">
        <f ca="1">RawData[[#This Row],[Z (smoothed demand size)]]/RawData[[#This Row],[X (smoothed interval)]]</f>
        <v>1.5814454134040017</v>
      </c>
    </row>
    <row r="1541" spans="1:22">
      <c r="A1541" t="s">
        <v>40</v>
      </c>
      <c r="B1541" t="s">
        <v>39</v>
      </c>
      <c r="C1541">
        <v>27</v>
      </c>
      <c r="D1541" t="s">
        <v>22</v>
      </c>
      <c r="E1541" t="s">
        <v>16</v>
      </c>
      <c r="F1541" s="1">
        <v>43834</v>
      </c>
      <c r="G1541">
        <v>0</v>
      </c>
      <c r="H1541">
        <v>0</v>
      </c>
      <c r="I1541">
        <v>12</v>
      </c>
      <c r="J1541">
        <v>12</v>
      </c>
      <c r="K1541">
        <v>0</v>
      </c>
      <c r="L1541">
        <v>497</v>
      </c>
      <c r="M1541">
        <v>45</v>
      </c>
      <c r="N1541" s="1">
        <f t="shared" si="192"/>
        <v>44938</v>
      </c>
      <c r="O1541" s="1">
        <f t="shared" si="193"/>
        <v>43101</v>
      </c>
      <c r="P1541" s="1">
        <f t="shared" si="194"/>
        <v>43922</v>
      </c>
      <c r="Q1541" s="8">
        <f t="shared" si="195"/>
        <v>0</v>
      </c>
      <c r="R1541" s="8">
        <f t="shared" si="196"/>
        <v>28</v>
      </c>
      <c r="S1541" s="8">
        <f t="shared" ca="1" si="197"/>
        <v>27</v>
      </c>
      <c r="T1541">
        <f t="shared" ca="1" si="198"/>
        <v>2.7851549032448011</v>
      </c>
      <c r="U1541" s="8">
        <f t="shared" ca="1" si="199"/>
        <v>1.7611451395276807</v>
      </c>
      <c r="V1541" s="8">
        <f ca="1">RawData[[#This Row],[Z (smoothed demand size)]]/RawData[[#This Row],[X (smoothed interval)]]</f>
        <v>1.5814454134040017</v>
      </c>
    </row>
    <row r="1542" spans="1:22">
      <c r="A1542" t="s">
        <v>40</v>
      </c>
      <c r="B1542" t="s">
        <v>39</v>
      </c>
      <c r="C1542">
        <v>27</v>
      </c>
      <c r="D1542" t="s">
        <v>22</v>
      </c>
      <c r="E1542" t="s">
        <v>16</v>
      </c>
      <c r="F1542" s="1">
        <v>43835</v>
      </c>
      <c r="G1542">
        <v>2</v>
      </c>
      <c r="H1542">
        <v>2</v>
      </c>
      <c r="I1542">
        <v>12</v>
      </c>
      <c r="J1542">
        <v>10</v>
      </c>
      <c r="K1542">
        <v>0</v>
      </c>
      <c r="L1542">
        <v>489</v>
      </c>
      <c r="M1542">
        <v>30</v>
      </c>
      <c r="N1542" s="1">
        <f t="shared" si="192"/>
        <v>44938</v>
      </c>
      <c r="O1542" s="1">
        <f t="shared" si="193"/>
        <v>43101</v>
      </c>
      <c r="P1542" s="1">
        <f t="shared" si="194"/>
        <v>43952</v>
      </c>
      <c r="Q1542" s="8">
        <f t="shared" si="195"/>
        <v>0</v>
      </c>
      <c r="R1542" s="8">
        <f t="shared" si="196"/>
        <v>29</v>
      </c>
      <c r="S1542" s="8">
        <f t="shared" ca="1" si="197"/>
        <v>29</v>
      </c>
      <c r="T1542">
        <f t="shared" ca="1" si="198"/>
        <v>2.628123922595841</v>
      </c>
      <c r="U1542" s="8">
        <f t="shared" ca="1" si="199"/>
        <v>1.8089161116221448</v>
      </c>
      <c r="V1542" s="8">
        <f ca="1">RawData[[#This Row],[Z (smoothed demand size)]]/RawData[[#This Row],[X (smoothed interval)]]</f>
        <v>1.4528721955155079</v>
      </c>
    </row>
    <row r="1543" spans="1:22">
      <c r="A1543" t="s">
        <v>40</v>
      </c>
      <c r="B1543" t="s">
        <v>39</v>
      </c>
      <c r="C1543">
        <v>27</v>
      </c>
      <c r="D1543" t="s">
        <v>22</v>
      </c>
      <c r="E1543" t="s">
        <v>16</v>
      </c>
      <c r="F1543" s="1">
        <v>43836</v>
      </c>
      <c r="G1543">
        <v>6</v>
      </c>
      <c r="H1543">
        <v>6</v>
      </c>
      <c r="I1543">
        <v>10</v>
      </c>
      <c r="J1543">
        <v>4</v>
      </c>
      <c r="K1543">
        <v>0</v>
      </c>
      <c r="L1543">
        <v>562</v>
      </c>
      <c r="M1543">
        <v>15</v>
      </c>
      <c r="N1543" s="1">
        <f t="shared" si="192"/>
        <v>44938</v>
      </c>
      <c r="O1543" s="1">
        <f t="shared" si="193"/>
        <v>43101</v>
      </c>
      <c r="P1543" s="1">
        <f t="shared" si="194"/>
        <v>43983</v>
      </c>
      <c r="Q1543" s="8">
        <f t="shared" si="195"/>
        <v>0</v>
      </c>
      <c r="R1543" s="8">
        <f t="shared" si="196"/>
        <v>30</v>
      </c>
      <c r="S1543" s="8">
        <f t="shared" ca="1" si="197"/>
        <v>30</v>
      </c>
      <c r="T1543">
        <f t="shared" ca="1" si="198"/>
        <v>3.3024991380766733</v>
      </c>
      <c r="U1543" s="8">
        <f t="shared" ca="1" si="199"/>
        <v>1.647132889297716</v>
      </c>
      <c r="V1543" s="8">
        <f ca="1">RawData[[#This Row],[Z (smoothed demand size)]]/RawData[[#This Row],[X (smoothed interval)]]</f>
        <v>2.0049986006197424</v>
      </c>
    </row>
    <row r="1544" spans="1:22">
      <c r="A1544" t="s">
        <v>40</v>
      </c>
      <c r="B1544" t="s">
        <v>39</v>
      </c>
      <c r="C1544">
        <v>27</v>
      </c>
      <c r="D1544" t="s">
        <v>22</v>
      </c>
      <c r="E1544" t="s">
        <v>16</v>
      </c>
      <c r="F1544" s="1">
        <v>43837</v>
      </c>
      <c r="G1544">
        <v>0</v>
      </c>
      <c r="H1544">
        <v>0</v>
      </c>
      <c r="I1544">
        <v>4</v>
      </c>
      <c r="J1544">
        <v>4</v>
      </c>
      <c r="K1544">
        <v>0</v>
      </c>
      <c r="L1544">
        <v>579</v>
      </c>
      <c r="M1544">
        <v>15</v>
      </c>
      <c r="N1544" s="1">
        <f t="shared" si="192"/>
        <v>44938</v>
      </c>
      <c r="O1544" s="1">
        <f t="shared" si="193"/>
        <v>43101</v>
      </c>
      <c r="P1544" s="1">
        <f t="shared" si="194"/>
        <v>44013</v>
      </c>
      <c r="Q1544" s="8">
        <f t="shared" si="195"/>
        <v>0</v>
      </c>
      <c r="R1544" s="8">
        <f t="shared" si="196"/>
        <v>31</v>
      </c>
      <c r="S1544" s="8">
        <f t="shared" ca="1" si="197"/>
        <v>30</v>
      </c>
      <c r="T1544">
        <f t="shared" ca="1" si="198"/>
        <v>3.3024991380766733</v>
      </c>
      <c r="U1544" s="8">
        <f t="shared" ca="1" si="199"/>
        <v>1.647132889297716</v>
      </c>
      <c r="V1544" s="8">
        <f ca="1">RawData[[#This Row],[Z (smoothed demand size)]]/RawData[[#This Row],[X (smoothed interval)]]</f>
        <v>2.0049986006197424</v>
      </c>
    </row>
    <row r="1545" spans="1:22">
      <c r="A1545" t="s">
        <v>40</v>
      </c>
      <c r="B1545" t="s">
        <v>39</v>
      </c>
      <c r="C1545">
        <v>27</v>
      </c>
      <c r="D1545" t="s">
        <v>22</v>
      </c>
      <c r="E1545" t="s">
        <v>16</v>
      </c>
      <c r="F1545" s="1">
        <v>43838</v>
      </c>
      <c r="G1545">
        <v>0</v>
      </c>
      <c r="H1545">
        <v>0</v>
      </c>
      <c r="I1545">
        <v>4</v>
      </c>
      <c r="J1545">
        <v>4</v>
      </c>
      <c r="K1545">
        <v>0</v>
      </c>
      <c r="L1545">
        <v>573</v>
      </c>
      <c r="M1545">
        <v>45</v>
      </c>
      <c r="N1545" s="1">
        <f t="shared" si="192"/>
        <v>44938</v>
      </c>
      <c r="O1545" s="1">
        <f t="shared" si="193"/>
        <v>43101</v>
      </c>
      <c r="P1545" s="1">
        <f t="shared" si="194"/>
        <v>44044</v>
      </c>
      <c r="Q1545" s="8">
        <f t="shared" si="195"/>
        <v>0</v>
      </c>
      <c r="R1545" s="8">
        <f t="shared" si="196"/>
        <v>32</v>
      </c>
      <c r="S1545" s="8">
        <f t="shared" ca="1" si="197"/>
        <v>30</v>
      </c>
      <c r="T1545">
        <f t="shared" ca="1" si="198"/>
        <v>3.3024991380766733</v>
      </c>
      <c r="U1545" s="8">
        <f t="shared" ca="1" si="199"/>
        <v>1.647132889297716</v>
      </c>
      <c r="V1545" s="8">
        <f ca="1">RawData[[#This Row],[Z (smoothed demand size)]]/RawData[[#This Row],[X (smoothed interval)]]</f>
        <v>2.0049986006197424</v>
      </c>
    </row>
    <row r="1546" spans="1:22">
      <c r="A1546" t="s">
        <v>40</v>
      </c>
      <c r="B1546" t="s">
        <v>39</v>
      </c>
      <c r="C1546">
        <v>27</v>
      </c>
      <c r="D1546" t="s">
        <v>22</v>
      </c>
      <c r="E1546" t="s">
        <v>16</v>
      </c>
      <c r="F1546" s="1">
        <v>43839</v>
      </c>
      <c r="G1546">
        <v>0</v>
      </c>
      <c r="H1546">
        <v>0</v>
      </c>
      <c r="I1546">
        <v>4</v>
      </c>
      <c r="J1546">
        <v>4</v>
      </c>
      <c r="K1546">
        <v>0</v>
      </c>
      <c r="L1546">
        <v>494</v>
      </c>
      <c r="M1546">
        <v>15</v>
      </c>
      <c r="N1546" s="1">
        <f t="shared" si="192"/>
        <v>44938</v>
      </c>
      <c r="O1546" s="1">
        <f t="shared" si="193"/>
        <v>43101</v>
      </c>
      <c r="P1546" s="1">
        <f t="shared" si="194"/>
        <v>44075</v>
      </c>
      <c r="Q1546" s="8">
        <f t="shared" si="195"/>
        <v>0</v>
      </c>
      <c r="R1546" s="8">
        <f t="shared" si="196"/>
        <v>33</v>
      </c>
      <c r="S1546" s="8">
        <f t="shared" ca="1" si="197"/>
        <v>30</v>
      </c>
      <c r="T1546">
        <f t="shared" ca="1" si="198"/>
        <v>3.3024991380766733</v>
      </c>
      <c r="U1546" s="8">
        <f t="shared" ca="1" si="199"/>
        <v>1.647132889297716</v>
      </c>
      <c r="V1546" s="8">
        <f ca="1">RawData[[#This Row],[Z (smoothed demand size)]]/RawData[[#This Row],[X (smoothed interval)]]</f>
        <v>2.0049986006197424</v>
      </c>
    </row>
    <row r="1547" spans="1:22">
      <c r="A1547" t="s">
        <v>40</v>
      </c>
      <c r="B1547" t="s">
        <v>39</v>
      </c>
      <c r="C1547">
        <v>27</v>
      </c>
      <c r="D1547" t="s">
        <v>22</v>
      </c>
      <c r="E1547" t="s">
        <v>16</v>
      </c>
      <c r="F1547" s="1">
        <v>43840</v>
      </c>
      <c r="G1547">
        <v>2</v>
      </c>
      <c r="H1547">
        <v>2</v>
      </c>
      <c r="I1547">
        <v>4</v>
      </c>
      <c r="J1547">
        <v>2</v>
      </c>
      <c r="K1547">
        <v>0</v>
      </c>
      <c r="L1547">
        <v>497</v>
      </c>
      <c r="M1547">
        <v>60</v>
      </c>
      <c r="N1547" s="1">
        <f t="shared" si="192"/>
        <v>44938</v>
      </c>
      <c r="O1547" s="1">
        <f t="shared" si="193"/>
        <v>43101</v>
      </c>
      <c r="P1547" s="1">
        <f t="shared" si="194"/>
        <v>44105</v>
      </c>
      <c r="Q1547" s="8">
        <f t="shared" si="195"/>
        <v>0</v>
      </c>
      <c r="R1547" s="8">
        <f t="shared" si="196"/>
        <v>34</v>
      </c>
      <c r="S1547" s="8">
        <f t="shared" ca="1" si="197"/>
        <v>34</v>
      </c>
      <c r="T1547">
        <f t="shared" ca="1" si="198"/>
        <v>3.0419993104613385</v>
      </c>
      <c r="U1547" s="8">
        <f t="shared" ca="1" si="199"/>
        <v>2.1177063114381731</v>
      </c>
      <c r="V1547" s="8">
        <f ca="1">RawData[[#This Row],[Z (smoothed demand size)]]/RawData[[#This Row],[X (smoothed interval)]]</f>
        <v>1.4364594816716871</v>
      </c>
    </row>
    <row r="1548" spans="1:22">
      <c r="A1548" t="s">
        <v>40</v>
      </c>
      <c r="B1548" t="s">
        <v>39</v>
      </c>
      <c r="C1548">
        <v>27</v>
      </c>
      <c r="D1548" t="s">
        <v>22</v>
      </c>
      <c r="E1548" t="s">
        <v>16</v>
      </c>
      <c r="F1548" s="1">
        <v>43841</v>
      </c>
      <c r="G1548">
        <v>0</v>
      </c>
      <c r="H1548">
        <v>0</v>
      </c>
      <c r="I1548">
        <v>2</v>
      </c>
      <c r="J1548">
        <v>2</v>
      </c>
      <c r="K1548">
        <v>0</v>
      </c>
      <c r="L1548">
        <v>492</v>
      </c>
      <c r="M1548">
        <v>60</v>
      </c>
      <c r="N1548" s="1">
        <f t="shared" si="192"/>
        <v>44938</v>
      </c>
      <c r="O1548" s="1">
        <f t="shared" si="193"/>
        <v>43101</v>
      </c>
      <c r="P1548" s="1">
        <f t="shared" si="194"/>
        <v>44136</v>
      </c>
      <c r="Q1548" s="8">
        <f t="shared" si="195"/>
        <v>0</v>
      </c>
      <c r="R1548" s="8">
        <f t="shared" si="196"/>
        <v>35</v>
      </c>
      <c r="S1548" s="8">
        <f t="shared" ca="1" si="197"/>
        <v>34</v>
      </c>
      <c r="T1548">
        <f t="shared" ca="1" si="198"/>
        <v>3.0419993104613385</v>
      </c>
      <c r="U1548" s="8">
        <f t="shared" ca="1" si="199"/>
        <v>2.1177063114381731</v>
      </c>
      <c r="V1548" s="8">
        <f ca="1">RawData[[#This Row],[Z (smoothed demand size)]]/RawData[[#This Row],[X (smoothed interval)]]</f>
        <v>1.4364594816716871</v>
      </c>
    </row>
    <row r="1549" spans="1:22">
      <c r="A1549" t="s">
        <v>40</v>
      </c>
      <c r="B1549" t="s">
        <v>39</v>
      </c>
      <c r="C1549">
        <v>27</v>
      </c>
      <c r="D1549" t="s">
        <v>22</v>
      </c>
      <c r="E1549" t="s">
        <v>16</v>
      </c>
      <c r="F1549" s="1">
        <v>43842</v>
      </c>
      <c r="G1549">
        <v>0</v>
      </c>
      <c r="H1549">
        <v>0</v>
      </c>
      <c r="I1549">
        <v>11</v>
      </c>
      <c r="J1549">
        <v>11</v>
      </c>
      <c r="K1549">
        <v>0</v>
      </c>
      <c r="L1549">
        <v>567</v>
      </c>
      <c r="M1549">
        <v>60</v>
      </c>
      <c r="N1549" s="1">
        <f t="shared" si="192"/>
        <v>44938</v>
      </c>
      <c r="O1549" s="1">
        <f t="shared" si="193"/>
        <v>43101</v>
      </c>
      <c r="P1549" s="1">
        <f t="shared" si="194"/>
        <v>44166</v>
      </c>
      <c r="Q1549" s="8">
        <f t="shared" si="195"/>
        <v>0</v>
      </c>
      <c r="R1549" s="8">
        <f t="shared" si="196"/>
        <v>36</v>
      </c>
      <c r="S1549" s="8">
        <f t="shared" ca="1" si="197"/>
        <v>34</v>
      </c>
      <c r="T1549">
        <f t="shared" ca="1" si="198"/>
        <v>3.0419993104613385</v>
      </c>
      <c r="U1549" s="8">
        <f t="shared" ca="1" si="199"/>
        <v>2.1177063114381731</v>
      </c>
      <c r="V1549" s="8">
        <f ca="1">RawData[[#This Row],[Z (smoothed demand size)]]/RawData[[#This Row],[X (smoothed interval)]]</f>
        <v>1.4364594816716871</v>
      </c>
    </row>
    <row r="1550" spans="1:22">
      <c r="A1550" t="s">
        <v>40</v>
      </c>
      <c r="B1550" t="s">
        <v>39</v>
      </c>
      <c r="C1550">
        <v>27</v>
      </c>
      <c r="D1550" t="s">
        <v>22</v>
      </c>
      <c r="E1550" t="s">
        <v>16</v>
      </c>
      <c r="F1550" s="1">
        <v>44197</v>
      </c>
      <c r="G1550">
        <v>0</v>
      </c>
      <c r="H1550">
        <v>0</v>
      </c>
      <c r="I1550">
        <v>11</v>
      </c>
      <c r="J1550">
        <v>11</v>
      </c>
      <c r="K1550">
        <v>0</v>
      </c>
      <c r="L1550">
        <v>493</v>
      </c>
      <c r="M1550">
        <v>45</v>
      </c>
      <c r="N1550" s="1">
        <f t="shared" si="192"/>
        <v>44938</v>
      </c>
      <c r="O1550" s="1">
        <f t="shared" si="193"/>
        <v>43101</v>
      </c>
      <c r="P1550" s="1">
        <f t="shared" si="194"/>
        <v>44197</v>
      </c>
      <c r="Q1550" s="8">
        <f t="shared" si="195"/>
        <v>0</v>
      </c>
      <c r="R1550" s="8">
        <f t="shared" si="196"/>
        <v>37</v>
      </c>
      <c r="S1550" s="8">
        <f t="shared" ca="1" si="197"/>
        <v>34</v>
      </c>
      <c r="T1550">
        <f t="shared" ca="1" si="198"/>
        <v>3.0419993104613385</v>
      </c>
      <c r="U1550" s="8">
        <f t="shared" ca="1" si="199"/>
        <v>2.1177063114381731</v>
      </c>
      <c r="V1550" s="8">
        <f ca="1">RawData[[#This Row],[Z (smoothed demand size)]]/RawData[[#This Row],[X (smoothed interval)]]</f>
        <v>1.4364594816716871</v>
      </c>
    </row>
    <row r="1551" spans="1:22">
      <c r="A1551" t="s">
        <v>40</v>
      </c>
      <c r="B1551" t="s">
        <v>39</v>
      </c>
      <c r="C1551">
        <v>27</v>
      </c>
      <c r="D1551" t="s">
        <v>22</v>
      </c>
      <c r="E1551" t="s">
        <v>16</v>
      </c>
      <c r="F1551" s="1">
        <v>44198</v>
      </c>
      <c r="G1551">
        <v>0</v>
      </c>
      <c r="H1551">
        <v>0</v>
      </c>
      <c r="I1551">
        <v>11</v>
      </c>
      <c r="J1551">
        <v>11</v>
      </c>
      <c r="K1551">
        <v>0</v>
      </c>
      <c r="L1551">
        <v>497</v>
      </c>
      <c r="M1551">
        <v>30</v>
      </c>
      <c r="N1551" s="1">
        <f t="shared" si="192"/>
        <v>44938</v>
      </c>
      <c r="O1551" s="1">
        <f t="shared" si="193"/>
        <v>43101</v>
      </c>
      <c r="P1551" s="1">
        <f t="shared" si="194"/>
        <v>44228</v>
      </c>
      <c r="Q1551" s="8">
        <f t="shared" si="195"/>
        <v>0</v>
      </c>
      <c r="R1551" s="8">
        <f t="shared" si="196"/>
        <v>38</v>
      </c>
      <c r="S1551" s="8">
        <f t="shared" ca="1" si="197"/>
        <v>34</v>
      </c>
      <c r="T1551">
        <f t="shared" ca="1" si="198"/>
        <v>3.0419993104613385</v>
      </c>
      <c r="U1551" s="8">
        <f t="shared" ca="1" si="199"/>
        <v>2.1177063114381731</v>
      </c>
      <c r="V1551" s="8">
        <f ca="1">RawData[[#This Row],[Z (smoothed demand size)]]/RawData[[#This Row],[X (smoothed interval)]]</f>
        <v>1.4364594816716871</v>
      </c>
    </row>
    <row r="1552" spans="1:22">
      <c r="A1552" t="s">
        <v>40</v>
      </c>
      <c r="B1552" t="s">
        <v>39</v>
      </c>
      <c r="C1552">
        <v>27</v>
      </c>
      <c r="D1552" t="s">
        <v>22</v>
      </c>
      <c r="E1552" t="s">
        <v>16</v>
      </c>
      <c r="F1552" s="1">
        <v>44199</v>
      </c>
      <c r="G1552">
        <v>0</v>
      </c>
      <c r="H1552">
        <v>0</v>
      </c>
      <c r="I1552">
        <v>11</v>
      </c>
      <c r="J1552">
        <v>11</v>
      </c>
      <c r="K1552">
        <v>0</v>
      </c>
      <c r="L1552">
        <v>486</v>
      </c>
      <c r="M1552">
        <v>15</v>
      </c>
      <c r="N1552" s="1">
        <f t="shared" si="192"/>
        <v>44938</v>
      </c>
      <c r="O1552" s="1">
        <f t="shared" si="193"/>
        <v>43101</v>
      </c>
      <c r="P1552" s="1">
        <f t="shared" si="194"/>
        <v>44256</v>
      </c>
      <c r="Q1552" s="8">
        <f t="shared" si="195"/>
        <v>0</v>
      </c>
      <c r="R1552" s="8">
        <f t="shared" si="196"/>
        <v>39</v>
      </c>
      <c r="S1552" s="8">
        <f t="shared" ca="1" si="197"/>
        <v>34</v>
      </c>
      <c r="T1552">
        <f t="shared" ca="1" si="198"/>
        <v>3.0419993104613385</v>
      </c>
      <c r="U1552" s="8">
        <f t="shared" ca="1" si="199"/>
        <v>2.1177063114381731</v>
      </c>
      <c r="V1552" s="8">
        <f ca="1">RawData[[#This Row],[Z (smoothed demand size)]]/RawData[[#This Row],[X (smoothed interval)]]</f>
        <v>1.4364594816716871</v>
      </c>
    </row>
    <row r="1553" spans="1:22">
      <c r="A1553" t="s">
        <v>40</v>
      </c>
      <c r="B1553" t="s">
        <v>39</v>
      </c>
      <c r="C1553">
        <v>27</v>
      </c>
      <c r="D1553" t="s">
        <v>22</v>
      </c>
      <c r="E1553" t="s">
        <v>16</v>
      </c>
      <c r="F1553" s="1">
        <v>44200</v>
      </c>
      <c r="G1553">
        <v>4</v>
      </c>
      <c r="H1553">
        <v>4</v>
      </c>
      <c r="I1553">
        <v>11</v>
      </c>
      <c r="J1553">
        <v>7</v>
      </c>
      <c r="K1553">
        <v>0</v>
      </c>
      <c r="L1553">
        <v>488</v>
      </c>
      <c r="M1553">
        <v>60</v>
      </c>
      <c r="N1553" s="1">
        <f t="shared" si="192"/>
        <v>44938</v>
      </c>
      <c r="O1553" s="1">
        <f t="shared" si="193"/>
        <v>43101</v>
      </c>
      <c r="P1553" s="1">
        <f t="shared" si="194"/>
        <v>44287</v>
      </c>
      <c r="Q1553" s="8">
        <f t="shared" si="195"/>
        <v>0</v>
      </c>
      <c r="R1553" s="8">
        <f t="shared" si="196"/>
        <v>40</v>
      </c>
      <c r="S1553" s="8">
        <f t="shared" ca="1" si="197"/>
        <v>40</v>
      </c>
      <c r="T1553">
        <f t="shared" ca="1" si="198"/>
        <v>3.2335994483690707</v>
      </c>
      <c r="U1553" s="8">
        <f t="shared" ca="1" si="199"/>
        <v>2.8941650491505388</v>
      </c>
      <c r="V1553" s="8">
        <f ca="1">RawData[[#This Row],[Z (smoothed demand size)]]/RawData[[#This Row],[X (smoothed interval)]]</f>
        <v>1.1172823226920519</v>
      </c>
    </row>
    <row r="1554" spans="1:22">
      <c r="A1554" t="s">
        <v>40</v>
      </c>
      <c r="B1554" t="s">
        <v>39</v>
      </c>
      <c r="C1554">
        <v>27</v>
      </c>
      <c r="D1554" t="s">
        <v>22</v>
      </c>
      <c r="E1554" t="s">
        <v>16</v>
      </c>
      <c r="F1554" s="1">
        <v>44201</v>
      </c>
      <c r="G1554">
        <v>2</v>
      </c>
      <c r="H1554">
        <v>2</v>
      </c>
      <c r="I1554">
        <v>7</v>
      </c>
      <c r="J1554">
        <v>5</v>
      </c>
      <c r="K1554">
        <v>0</v>
      </c>
      <c r="L1554">
        <v>486</v>
      </c>
      <c r="M1554">
        <v>45</v>
      </c>
      <c r="N1554" s="1">
        <f t="shared" si="192"/>
        <v>44938</v>
      </c>
      <c r="O1554" s="1">
        <f t="shared" si="193"/>
        <v>43101</v>
      </c>
      <c r="P1554" s="1">
        <f t="shared" si="194"/>
        <v>44317</v>
      </c>
      <c r="Q1554" s="8">
        <f t="shared" si="195"/>
        <v>0</v>
      </c>
      <c r="R1554" s="8">
        <f t="shared" si="196"/>
        <v>41</v>
      </c>
      <c r="S1554" s="8">
        <f t="shared" ca="1" si="197"/>
        <v>41</v>
      </c>
      <c r="T1554">
        <f t="shared" ca="1" si="198"/>
        <v>2.9868795586952568</v>
      </c>
      <c r="U1554" s="8">
        <f t="shared" ca="1" si="199"/>
        <v>2.5153320393204313</v>
      </c>
      <c r="V1554" s="8">
        <f ca="1">RawData[[#This Row],[Z (smoothed demand size)]]/RawData[[#This Row],[X (smoothed interval)]]</f>
        <v>1.1874692931205313</v>
      </c>
    </row>
    <row r="1555" spans="1:22">
      <c r="A1555" t="s">
        <v>40</v>
      </c>
      <c r="B1555" t="s">
        <v>39</v>
      </c>
      <c r="C1555">
        <v>27</v>
      </c>
      <c r="D1555" t="s">
        <v>22</v>
      </c>
      <c r="E1555" t="s">
        <v>16</v>
      </c>
      <c r="F1555" s="1">
        <v>44202</v>
      </c>
      <c r="G1555">
        <v>0</v>
      </c>
      <c r="H1555">
        <v>0</v>
      </c>
      <c r="I1555">
        <v>5</v>
      </c>
      <c r="J1555">
        <v>5</v>
      </c>
      <c r="K1555">
        <v>0</v>
      </c>
      <c r="L1555">
        <v>571</v>
      </c>
      <c r="M1555">
        <v>30</v>
      </c>
      <c r="N1555" s="1">
        <f t="shared" si="192"/>
        <v>44938</v>
      </c>
      <c r="O1555" s="1">
        <f t="shared" si="193"/>
        <v>43101</v>
      </c>
      <c r="P1555" s="1">
        <f t="shared" si="194"/>
        <v>44348</v>
      </c>
      <c r="Q1555" s="8">
        <f t="shared" si="195"/>
        <v>0</v>
      </c>
      <c r="R1555" s="8">
        <f t="shared" si="196"/>
        <v>42</v>
      </c>
      <c r="S1555" s="8">
        <f t="shared" ca="1" si="197"/>
        <v>41</v>
      </c>
      <c r="T1555">
        <f t="shared" ca="1" si="198"/>
        <v>2.9868795586952568</v>
      </c>
      <c r="U1555" s="8">
        <f t="shared" ca="1" si="199"/>
        <v>2.5153320393204313</v>
      </c>
      <c r="V1555" s="8">
        <f ca="1">RawData[[#This Row],[Z (smoothed demand size)]]/RawData[[#This Row],[X (smoothed interval)]]</f>
        <v>1.1874692931205313</v>
      </c>
    </row>
    <row r="1556" spans="1:22">
      <c r="A1556" t="s">
        <v>40</v>
      </c>
      <c r="B1556" t="s">
        <v>39</v>
      </c>
      <c r="C1556">
        <v>27</v>
      </c>
      <c r="D1556" t="s">
        <v>22</v>
      </c>
      <c r="E1556" t="s">
        <v>16</v>
      </c>
      <c r="F1556" s="1">
        <v>44203</v>
      </c>
      <c r="G1556">
        <v>6</v>
      </c>
      <c r="H1556">
        <v>5</v>
      </c>
      <c r="I1556">
        <v>5</v>
      </c>
      <c r="J1556">
        <v>0</v>
      </c>
      <c r="K1556">
        <v>1</v>
      </c>
      <c r="L1556">
        <v>566</v>
      </c>
      <c r="M1556">
        <v>15</v>
      </c>
      <c r="N1556" s="1">
        <f t="shared" si="192"/>
        <v>44938</v>
      </c>
      <c r="O1556" s="1">
        <f t="shared" si="193"/>
        <v>43101</v>
      </c>
      <c r="P1556" s="1">
        <f t="shared" si="194"/>
        <v>44378</v>
      </c>
      <c r="Q1556" s="8">
        <f t="shared" si="195"/>
        <v>0</v>
      </c>
      <c r="R1556" s="8">
        <f t="shared" si="196"/>
        <v>43</v>
      </c>
      <c r="S1556" s="8">
        <f t="shared" ca="1" si="197"/>
        <v>43</v>
      </c>
      <c r="T1556">
        <f t="shared" ca="1" si="198"/>
        <v>3.5895036469562056</v>
      </c>
      <c r="U1556" s="8">
        <f t="shared" ca="1" si="199"/>
        <v>2.4122656314563451</v>
      </c>
      <c r="V1556" s="8">
        <f ca="1">RawData[[#This Row],[Z (smoothed demand size)]]/RawData[[#This Row],[X (smoothed interval)]]</f>
        <v>1.4880217170731453</v>
      </c>
    </row>
    <row r="1557" spans="1:22">
      <c r="A1557" t="s">
        <v>40</v>
      </c>
      <c r="B1557" t="s">
        <v>39</v>
      </c>
      <c r="C1557">
        <v>27</v>
      </c>
      <c r="D1557" t="s">
        <v>22</v>
      </c>
      <c r="E1557" t="s">
        <v>16</v>
      </c>
      <c r="F1557" s="1">
        <v>44204</v>
      </c>
      <c r="G1557">
        <v>2</v>
      </c>
      <c r="H1557">
        <v>2</v>
      </c>
      <c r="I1557">
        <v>12</v>
      </c>
      <c r="J1557">
        <v>10</v>
      </c>
      <c r="K1557">
        <v>0</v>
      </c>
      <c r="L1557">
        <v>561</v>
      </c>
      <c r="M1557">
        <v>15</v>
      </c>
      <c r="N1557" s="1">
        <f t="shared" si="192"/>
        <v>44938</v>
      </c>
      <c r="O1557" s="1">
        <f t="shared" si="193"/>
        <v>43101</v>
      </c>
      <c r="P1557" s="1">
        <f t="shared" si="194"/>
        <v>44409</v>
      </c>
      <c r="Q1557" s="8">
        <f t="shared" si="195"/>
        <v>0</v>
      </c>
      <c r="R1557" s="8">
        <f t="shared" si="196"/>
        <v>44</v>
      </c>
      <c r="S1557" s="8">
        <f t="shared" ca="1" si="197"/>
        <v>44</v>
      </c>
      <c r="T1557">
        <f t="shared" ca="1" si="198"/>
        <v>3.2716029175649646</v>
      </c>
      <c r="U1557" s="8">
        <f t="shared" ca="1" si="199"/>
        <v>2.1298125051650763</v>
      </c>
      <c r="V1557" s="8">
        <f ca="1">RawData[[#This Row],[Z (smoothed demand size)]]/RawData[[#This Row],[X (smoothed interval)]]</f>
        <v>1.5360990273232484</v>
      </c>
    </row>
    <row r="1558" spans="1:22">
      <c r="A1558" t="s">
        <v>40</v>
      </c>
      <c r="B1558" t="s">
        <v>39</v>
      </c>
      <c r="C1558">
        <v>27</v>
      </c>
      <c r="D1558" t="s">
        <v>22</v>
      </c>
      <c r="E1558" t="s">
        <v>16</v>
      </c>
      <c r="F1558" s="1">
        <v>44205</v>
      </c>
      <c r="G1558">
        <v>2</v>
      </c>
      <c r="H1558">
        <v>2</v>
      </c>
      <c r="I1558">
        <v>10</v>
      </c>
      <c r="J1558">
        <v>8</v>
      </c>
      <c r="K1558">
        <v>0</v>
      </c>
      <c r="L1558">
        <v>491</v>
      </c>
      <c r="M1558">
        <v>45</v>
      </c>
      <c r="N1558" s="1">
        <f t="shared" si="192"/>
        <v>44938</v>
      </c>
      <c r="O1558" s="1">
        <f t="shared" si="193"/>
        <v>43101</v>
      </c>
      <c r="P1558" s="1">
        <f t="shared" si="194"/>
        <v>44440</v>
      </c>
      <c r="Q1558" s="8">
        <f t="shared" si="195"/>
        <v>0</v>
      </c>
      <c r="R1558" s="8">
        <f t="shared" si="196"/>
        <v>45</v>
      </c>
      <c r="S1558" s="8">
        <f t="shared" ca="1" si="197"/>
        <v>45</v>
      </c>
      <c r="T1558">
        <f t="shared" ca="1" si="198"/>
        <v>3.0172823340519717</v>
      </c>
      <c r="U1558" s="8">
        <f t="shared" ca="1" si="199"/>
        <v>1.903850004132061</v>
      </c>
      <c r="V1558" s="8">
        <f ca="1">RawData[[#This Row],[Z (smoothed demand size)]]/RawData[[#This Row],[X (smoothed interval)]]</f>
        <v>1.5848319602402234</v>
      </c>
    </row>
    <row r="1559" spans="1:22">
      <c r="A1559" t="s">
        <v>40</v>
      </c>
      <c r="B1559" t="s">
        <v>39</v>
      </c>
      <c r="C1559">
        <v>27</v>
      </c>
      <c r="D1559" t="s">
        <v>22</v>
      </c>
      <c r="E1559" t="s">
        <v>16</v>
      </c>
      <c r="F1559" s="1">
        <v>44206</v>
      </c>
      <c r="G1559">
        <v>0</v>
      </c>
      <c r="H1559">
        <v>0</v>
      </c>
      <c r="I1559">
        <v>8</v>
      </c>
      <c r="J1559">
        <v>8</v>
      </c>
      <c r="K1559">
        <v>0</v>
      </c>
      <c r="L1559">
        <v>489</v>
      </c>
      <c r="M1559">
        <v>15</v>
      </c>
      <c r="N1559" s="1">
        <f t="shared" si="192"/>
        <v>44938</v>
      </c>
      <c r="O1559" s="1">
        <f t="shared" si="193"/>
        <v>43101</v>
      </c>
      <c r="P1559" s="1">
        <f t="shared" si="194"/>
        <v>44470</v>
      </c>
      <c r="Q1559" s="8">
        <f t="shared" si="195"/>
        <v>0</v>
      </c>
      <c r="R1559" s="8">
        <f t="shared" si="196"/>
        <v>46</v>
      </c>
      <c r="S1559" s="8">
        <f t="shared" ca="1" si="197"/>
        <v>45</v>
      </c>
      <c r="T1559">
        <f t="shared" ca="1" si="198"/>
        <v>3.0172823340519717</v>
      </c>
      <c r="U1559" s="8">
        <f t="shared" ca="1" si="199"/>
        <v>1.903850004132061</v>
      </c>
      <c r="V1559" s="8">
        <f ca="1">RawData[[#This Row],[Z (smoothed demand size)]]/RawData[[#This Row],[X (smoothed interval)]]</f>
        <v>1.5848319602402234</v>
      </c>
    </row>
    <row r="1560" spans="1:22">
      <c r="A1560" t="s">
        <v>40</v>
      </c>
      <c r="B1560" t="s">
        <v>39</v>
      </c>
      <c r="C1560">
        <v>27</v>
      </c>
      <c r="D1560" t="s">
        <v>22</v>
      </c>
      <c r="E1560" t="s">
        <v>16</v>
      </c>
      <c r="F1560" s="1">
        <v>44207</v>
      </c>
      <c r="G1560">
        <v>4</v>
      </c>
      <c r="H1560">
        <v>4</v>
      </c>
      <c r="I1560">
        <v>8</v>
      </c>
      <c r="J1560">
        <v>4</v>
      </c>
      <c r="K1560">
        <v>0</v>
      </c>
      <c r="L1560">
        <v>485</v>
      </c>
      <c r="M1560">
        <v>45</v>
      </c>
      <c r="N1560" s="1">
        <f t="shared" si="192"/>
        <v>44938</v>
      </c>
      <c r="O1560" s="1">
        <f t="shared" si="193"/>
        <v>43101</v>
      </c>
      <c r="P1560" s="1">
        <f t="shared" si="194"/>
        <v>44501</v>
      </c>
      <c r="Q1560" s="8">
        <f t="shared" si="195"/>
        <v>0</v>
      </c>
      <c r="R1560" s="8">
        <f t="shared" si="196"/>
        <v>47</v>
      </c>
      <c r="S1560" s="8">
        <f t="shared" ca="1" si="197"/>
        <v>47</v>
      </c>
      <c r="T1560">
        <f t="shared" ca="1" si="198"/>
        <v>3.2138258672415771</v>
      </c>
      <c r="U1560" s="8">
        <f t="shared" ca="1" si="199"/>
        <v>1.9230800033056488</v>
      </c>
      <c r="V1560" s="8">
        <f ca="1">RawData[[#This Row],[Z (smoothed demand size)]]/RawData[[#This Row],[X (smoothed interval)]]</f>
        <v>1.671186774194116</v>
      </c>
    </row>
    <row r="1561" spans="1:22">
      <c r="A1561" t="s">
        <v>40</v>
      </c>
      <c r="B1561" t="s">
        <v>39</v>
      </c>
      <c r="C1561">
        <v>27</v>
      </c>
      <c r="D1561" t="s">
        <v>22</v>
      </c>
      <c r="E1561" t="s">
        <v>16</v>
      </c>
      <c r="F1561" s="1">
        <v>44208</v>
      </c>
      <c r="G1561">
        <v>2</v>
      </c>
      <c r="H1561">
        <v>2</v>
      </c>
      <c r="I1561">
        <v>4</v>
      </c>
      <c r="J1561">
        <v>2</v>
      </c>
      <c r="K1561">
        <v>0</v>
      </c>
      <c r="L1561">
        <v>574</v>
      </c>
      <c r="M1561">
        <v>15</v>
      </c>
      <c r="N1561" s="1">
        <f t="shared" si="192"/>
        <v>44938</v>
      </c>
      <c r="O1561" s="1">
        <f t="shared" si="193"/>
        <v>43101</v>
      </c>
      <c r="P1561" s="1">
        <f t="shared" si="194"/>
        <v>44531</v>
      </c>
      <c r="Q1561" s="8">
        <f t="shared" si="195"/>
        <v>0</v>
      </c>
      <c r="R1561" s="8">
        <f t="shared" si="196"/>
        <v>48</v>
      </c>
      <c r="S1561" s="8">
        <f t="shared" ca="1" si="197"/>
        <v>48</v>
      </c>
      <c r="T1561">
        <f t="shared" ca="1" si="198"/>
        <v>2.971060693793262</v>
      </c>
      <c r="U1561" s="8">
        <f t="shared" ca="1" si="199"/>
        <v>1.7384640026445191</v>
      </c>
      <c r="V1561" s="8">
        <f ca="1">RawData[[#This Row],[Z (smoothed demand size)]]/RawData[[#This Row],[X (smoothed interval)]]</f>
        <v>1.7090147908002351</v>
      </c>
    </row>
    <row r="1562" spans="1:22">
      <c r="A1562" t="s">
        <v>40</v>
      </c>
      <c r="B1562" t="s">
        <v>39</v>
      </c>
      <c r="C1562">
        <v>27</v>
      </c>
      <c r="D1562" t="s">
        <v>22</v>
      </c>
      <c r="E1562" t="s">
        <v>16</v>
      </c>
      <c r="F1562" s="1">
        <v>44562</v>
      </c>
      <c r="G1562">
        <v>0</v>
      </c>
      <c r="H1562">
        <v>0</v>
      </c>
      <c r="I1562">
        <v>13</v>
      </c>
      <c r="J1562">
        <v>13</v>
      </c>
      <c r="K1562">
        <v>0</v>
      </c>
      <c r="L1562">
        <v>490</v>
      </c>
      <c r="M1562">
        <v>30</v>
      </c>
      <c r="N1562" s="1">
        <f t="shared" si="192"/>
        <v>44938</v>
      </c>
      <c r="O1562" s="1">
        <f t="shared" si="193"/>
        <v>43101</v>
      </c>
      <c r="P1562" s="1">
        <f t="shared" si="194"/>
        <v>44562</v>
      </c>
      <c r="Q1562" s="8">
        <f t="shared" si="195"/>
        <v>0</v>
      </c>
      <c r="R1562" s="8">
        <f t="shared" si="196"/>
        <v>49</v>
      </c>
      <c r="S1562" s="8">
        <f t="shared" ca="1" si="197"/>
        <v>48</v>
      </c>
      <c r="T1562">
        <f t="shared" ca="1" si="198"/>
        <v>2.971060693793262</v>
      </c>
      <c r="U1562" s="8">
        <f t="shared" ca="1" si="199"/>
        <v>1.7384640026445191</v>
      </c>
      <c r="V1562" s="8">
        <f ca="1">RawData[[#This Row],[Z (smoothed demand size)]]/RawData[[#This Row],[X (smoothed interval)]]</f>
        <v>1.7090147908002351</v>
      </c>
    </row>
    <row r="1563" spans="1:22">
      <c r="A1563" t="s">
        <v>40</v>
      </c>
      <c r="B1563" t="s">
        <v>39</v>
      </c>
      <c r="C1563">
        <v>27</v>
      </c>
      <c r="D1563" t="s">
        <v>22</v>
      </c>
      <c r="E1563" t="s">
        <v>16</v>
      </c>
      <c r="F1563" s="1">
        <v>44563</v>
      </c>
      <c r="G1563">
        <v>0</v>
      </c>
      <c r="H1563">
        <v>0</v>
      </c>
      <c r="I1563">
        <v>13</v>
      </c>
      <c r="J1563">
        <v>13</v>
      </c>
      <c r="K1563">
        <v>0</v>
      </c>
      <c r="L1563">
        <v>497</v>
      </c>
      <c r="M1563">
        <v>30</v>
      </c>
      <c r="N1563" s="1">
        <f t="shared" si="192"/>
        <v>44938</v>
      </c>
      <c r="O1563" s="1">
        <f t="shared" si="193"/>
        <v>43101</v>
      </c>
      <c r="P1563" s="1">
        <f t="shared" si="194"/>
        <v>44593</v>
      </c>
      <c r="Q1563" s="8">
        <f t="shared" si="195"/>
        <v>0</v>
      </c>
      <c r="R1563" s="8">
        <f t="shared" si="196"/>
        <v>50</v>
      </c>
      <c r="S1563" s="8">
        <f t="shared" ca="1" si="197"/>
        <v>48</v>
      </c>
      <c r="T1563">
        <f t="shared" ca="1" si="198"/>
        <v>2.971060693793262</v>
      </c>
      <c r="U1563" s="8">
        <f t="shared" ca="1" si="199"/>
        <v>1.7384640026445191</v>
      </c>
      <c r="V1563" s="8">
        <f ca="1">RawData[[#This Row],[Z (smoothed demand size)]]/RawData[[#This Row],[X (smoothed interval)]]</f>
        <v>1.7090147908002351</v>
      </c>
    </row>
    <row r="1564" spans="1:22">
      <c r="A1564" t="s">
        <v>40</v>
      </c>
      <c r="B1564" t="s">
        <v>39</v>
      </c>
      <c r="C1564">
        <v>27</v>
      </c>
      <c r="D1564" t="s">
        <v>22</v>
      </c>
      <c r="E1564" t="s">
        <v>16</v>
      </c>
      <c r="F1564" s="1">
        <v>44564</v>
      </c>
      <c r="G1564">
        <v>4</v>
      </c>
      <c r="H1564">
        <v>4</v>
      </c>
      <c r="I1564">
        <v>13</v>
      </c>
      <c r="J1564">
        <v>9</v>
      </c>
      <c r="K1564">
        <v>0</v>
      </c>
      <c r="L1564">
        <v>484</v>
      </c>
      <c r="M1564">
        <v>60</v>
      </c>
      <c r="N1564" s="1">
        <f t="shared" si="192"/>
        <v>44938</v>
      </c>
      <c r="O1564" s="1">
        <f t="shared" si="193"/>
        <v>43101</v>
      </c>
      <c r="P1564" s="1">
        <f t="shared" si="194"/>
        <v>44621</v>
      </c>
      <c r="Q1564" s="8">
        <f t="shared" si="195"/>
        <v>0</v>
      </c>
      <c r="R1564" s="8">
        <f t="shared" si="196"/>
        <v>51</v>
      </c>
      <c r="S1564" s="8">
        <f t="shared" ca="1" si="197"/>
        <v>51</v>
      </c>
      <c r="T1564">
        <f t="shared" ca="1" si="198"/>
        <v>3.1768485550346099</v>
      </c>
      <c r="U1564" s="8">
        <f t="shared" ca="1" si="199"/>
        <v>1.9907712021156154</v>
      </c>
      <c r="V1564" s="8">
        <f ca="1">RawData[[#This Row],[Z (smoothed demand size)]]/RawData[[#This Row],[X (smoothed interval)]]</f>
        <v>1.5957878794200642</v>
      </c>
    </row>
    <row r="1565" spans="1:22">
      <c r="A1565" t="s">
        <v>40</v>
      </c>
      <c r="B1565" t="s">
        <v>39</v>
      </c>
      <c r="C1565">
        <v>27</v>
      </c>
      <c r="D1565" t="s">
        <v>22</v>
      </c>
      <c r="E1565" t="s">
        <v>16</v>
      </c>
      <c r="F1565" s="1">
        <v>44565</v>
      </c>
      <c r="G1565">
        <v>0</v>
      </c>
      <c r="H1565">
        <v>0</v>
      </c>
      <c r="I1565">
        <v>9</v>
      </c>
      <c r="J1565">
        <v>9</v>
      </c>
      <c r="K1565">
        <v>0</v>
      </c>
      <c r="L1565">
        <v>494</v>
      </c>
      <c r="M1565">
        <v>15</v>
      </c>
      <c r="N1565" s="1">
        <f t="shared" si="192"/>
        <v>44938</v>
      </c>
      <c r="O1565" s="1">
        <f t="shared" si="193"/>
        <v>43101</v>
      </c>
      <c r="P1565" s="1">
        <f t="shared" si="194"/>
        <v>44652</v>
      </c>
      <c r="Q1565" s="8">
        <f t="shared" si="195"/>
        <v>0</v>
      </c>
      <c r="R1565" s="8">
        <f t="shared" si="196"/>
        <v>52</v>
      </c>
      <c r="S1565" s="8">
        <f t="shared" ca="1" si="197"/>
        <v>51</v>
      </c>
      <c r="T1565">
        <f t="shared" ca="1" si="198"/>
        <v>3.1768485550346099</v>
      </c>
      <c r="U1565" s="8">
        <f t="shared" ca="1" si="199"/>
        <v>1.9907712021156154</v>
      </c>
      <c r="V1565" s="8">
        <f ca="1">RawData[[#This Row],[Z (smoothed demand size)]]/RawData[[#This Row],[X (smoothed interval)]]</f>
        <v>1.5957878794200642</v>
      </c>
    </row>
    <row r="1566" spans="1:22">
      <c r="A1566" t="s">
        <v>40</v>
      </c>
      <c r="B1566" t="s">
        <v>39</v>
      </c>
      <c r="C1566">
        <v>27</v>
      </c>
      <c r="D1566" t="s">
        <v>22</v>
      </c>
      <c r="E1566" t="s">
        <v>16</v>
      </c>
      <c r="F1566" s="1">
        <v>44566</v>
      </c>
      <c r="G1566">
        <v>0</v>
      </c>
      <c r="H1566">
        <v>0</v>
      </c>
      <c r="I1566">
        <v>9</v>
      </c>
      <c r="J1566">
        <v>9</v>
      </c>
      <c r="K1566">
        <v>0</v>
      </c>
      <c r="L1566">
        <v>484</v>
      </c>
      <c r="M1566">
        <v>45</v>
      </c>
      <c r="N1566" s="1">
        <f t="shared" si="192"/>
        <v>44938</v>
      </c>
      <c r="O1566" s="1">
        <f t="shared" si="193"/>
        <v>43101</v>
      </c>
      <c r="P1566" s="1">
        <f t="shared" si="194"/>
        <v>44682</v>
      </c>
      <c r="Q1566" s="8">
        <f t="shared" si="195"/>
        <v>0</v>
      </c>
      <c r="R1566" s="8">
        <f t="shared" si="196"/>
        <v>53</v>
      </c>
      <c r="S1566" s="8">
        <f t="shared" ca="1" si="197"/>
        <v>51</v>
      </c>
      <c r="T1566">
        <f t="shared" ca="1" si="198"/>
        <v>3.1768485550346099</v>
      </c>
      <c r="U1566" s="8">
        <f t="shared" ca="1" si="199"/>
        <v>1.9907712021156154</v>
      </c>
      <c r="V1566" s="8">
        <f ca="1">RawData[[#This Row],[Z (smoothed demand size)]]/RawData[[#This Row],[X (smoothed interval)]]</f>
        <v>1.5957878794200642</v>
      </c>
    </row>
    <row r="1567" spans="1:22">
      <c r="A1567" t="s">
        <v>40</v>
      </c>
      <c r="B1567" t="s">
        <v>39</v>
      </c>
      <c r="C1567">
        <v>27</v>
      </c>
      <c r="D1567" t="s">
        <v>22</v>
      </c>
      <c r="E1567" t="s">
        <v>16</v>
      </c>
      <c r="F1567" s="1">
        <v>44567</v>
      </c>
      <c r="G1567">
        <v>0</v>
      </c>
      <c r="H1567">
        <v>0</v>
      </c>
      <c r="I1567">
        <v>9</v>
      </c>
      <c r="J1567">
        <v>9</v>
      </c>
      <c r="K1567">
        <v>0</v>
      </c>
      <c r="L1567">
        <v>579</v>
      </c>
      <c r="M1567">
        <v>45</v>
      </c>
      <c r="N1567" s="1">
        <f t="shared" si="192"/>
        <v>44938</v>
      </c>
      <c r="O1567" s="1">
        <f t="shared" si="193"/>
        <v>43101</v>
      </c>
      <c r="P1567" s="1">
        <f t="shared" si="194"/>
        <v>44713</v>
      </c>
      <c r="Q1567" s="8">
        <f t="shared" si="195"/>
        <v>0</v>
      </c>
      <c r="R1567" s="8">
        <f t="shared" si="196"/>
        <v>54</v>
      </c>
      <c r="S1567" s="8">
        <f t="shared" ca="1" si="197"/>
        <v>51</v>
      </c>
      <c r="T1567">
        <f t="shared" ca="1" si="198"/>
        <v>3.1768485550346099</v>
      </c>
      <c r="U1567" s="8">
        <f t="shared" ca="1" si="199"/>
        <v>1.9907712021156154</v>
      </c>
      <c r="V1567" s="8">
        <f ca="1">RawData[[#This Row],[Z (smoothed demand size)]]/RawData[[#This Row],[X (smoothed interval)]]</f>
        <v>1.5957878794200642</v>
      </c>
    </row>
    <row r="1568" spans="1:22">
      <c r="A1568" t="s">
        <v>40</v>
      </c>
      <c r="B1568" t="s">
        <v>39</v>
      </c>
      <c r="C1568">
        <v>27</v>
      </c>
      <c r="D1568" t="s">
        <v>22</v>
      </c>
      <c r="E1568" t="s">
        <v>16</v>
      </c>
      <c r="F1568" s="1">
        <v>44568</v>
      </c>
      <c r="G1568">
        <v>3</v>
      </c>
      <c r="H1568">
        <v>3</v>
      </c>
      <c r="I1568">
        <v>9</v>
      </c>
      <c r="J1568">
        <v>6</v>
      </c>
      <c r="K1568">
        <v>0</v>
      </c>
      <c r="L1568">
        <v>555</v>
      </c>
      <c r="M1568">
        <v>45</v>
      </c>
      <c r="N1568" s="1">
        <f t="shared" si="192"/>
        <v>44938</v>
      </c>
      <c r="O1568" s="1">
        <f t="shared" si="193"/>
        <v>43101</v>
      </c>
      <c r="P1568" s="1">
        <f t="shared" si="194"/>
        <v>44743</v>
      </c>
      <c r="Q1568" s="8">
        <f t="shared" si="195"/>
        <v>0</v>
      </c>
      <c r="R1568" s="8">
        <f t="shared" si="196"/>
        <v>55</v>
      </c>
      <c r="S1568" s="8">
        <f t="shared" ca="1" si="197"/>
        <v>55</v>
      </c>
      <c r="T1568">
        <f t="shared" ca="1" si="198"/>
        <v>3.1414788440276884</v>
      </c>
      <c r="U1568" s="8">
        <f t="shared" ca="1" si="199"/>
        <v>2.3926169616924922</v>
      </c>
      <c r="V1568" s="8">
        <f ca="1">RawData[[#This Row],[Z (smoothed demand size)]]/RawData[[#This Row],[X (smoothed interval)]]</f>
        <v>1.3129886205460424</v>
      </c>
    </row>
    <row r="1569" spans="1:22">
      <c r="A1569" t="s">
        <v>40</v>
      </c>
      <c r="B1569" t="s">
        <v>39</v>
      </c>
      <c r="C1569">
        <v>27</v>
      </c>
      <c r="D1569" t="s">
        <v>22</v>
      </c>
      <c r="E1569" t="s">
        <v>16</v>
      </c>
      <c r="F1569" s="1">
        <v>44569</v>
      </c>
      <c r="G1569">
        <v>0</v>
      </c>
      <c r="H1569">
        <v>0</v>
      </c>
      <c r="I1569">
        <v>6</v>
      </c>
      <c r="J1569">
        <v>6</v>
      </c>
      <c r="K1569">
        <v>0</v>
      </c>
      <c r="L1569">
        <v>575</v>
      </c>
      <c r="M1569">
        <v>45</v>
      </c>
      <c r="N1569" s="1">
        <f t="shared" si="192"/>
        <v>44938</v>
      </c>
      <c r="O1569" s="1">
        <f t="shared" si="193"/>
        <v>43101</v>
      </c>
      <c r="P1569" s="1">
        <f t="shared" si="194"/>
        <v>44774</v>
      </c>
      <c r="Q1569" s="8">
        <f t="shared" si="195"/>
        <v>0</v>
      </c>
      <c r="R1569" s="8">
        <f t="shared" si="196"/>
        <v>56</v>
      </c>
      <c r="S1569" s="8">
        <f t="shared" ca="1" si="197"/>
        <v>55</v>
      </c>
      <c r="T1569">
        <f t="shared" ca="1" si="198"/>
        <v>3.1414788440276884</v>
      </c>
      <c r="U1569" s="8">
        <f t="shared" ca="1" si="199"/>
        <v>2.3926169616924922</v>
      </c>
      <c r="V1569" s="8">
        <f ca="1">RawData[[#This Row],[Z (smoothed demand size)]]/RawData[[#This Row],[X (smoothed interval)]]</f>
        <v>1.3129886205460424</v>
      </c>
    </row>
    <row r="1570" spans="1:22">
      <c r="A1570" t="s">
        <v>40</v>
      </c>
      <c r="B1570" t="s">
        <v>39</v>
      </c>
      <c r="C1570">
        <v>27</v>
      </c>
      <c r="D1570" t="s">
        <v>22</v>
      </c>
      <c r="E1570" t="s">
        <v>16</v>
      </c>
      <c r="F1570" s="1">
        <v>44570</v>
      </c>
      <c r="G1570">
        <v>5</v>
      </c>
      <c r="H1570">
        <v>5</v>
      </c>
      <c r="I1570">
        <v>6</v>
      </c>
      <c r="J1570">
        <v>1</v>
      </c>
      <c r="K1570">
        <v>0</v>
      </c>
      <c r="L1570">
        <v>491</v>
      </c>
      <c r="M1570">
        <v>60</v>
      </c>
      <c r="N1570" s="1">
        <f t="shared" si="192"/>
        <v>44938</v>
      </c>
      <c r="O1570" s="1">
        <f t="shared" si="193"/>
        <v>43101</v>
      </c>
      <c r="P1570" s="1">
        <f t="shared" si="194"/>
        <v>44805</v>
      </c>
      <c r="Q1570" s="8">
        <f t="shared" si="195"/>
        <v>0</v>
      </c>
      <c r="R1570" s="8">
        <f t="shared" si="196"/>
        <v>57</v>
      </c>
      <c r="S1570" s="8">
        <f t="shared" ca="1" si="197"/>
        <v>57</v>
      </c>
      <c r="T1570">
        <f t="shared" ca="1" si="198"/>
        <v>3.5131830752221509</v>
      </c>
      <c r="U1570" s="8">
        <f t="shared" ca="1" si="199"/>
        <v>2.3140935693539939</v>
      </c>
      <c r="V1570" s="8">
        <f ca="1">RawData[[#This Row],[Z (smoothed demand size)]]/RawData[[#This Row],[X (smoothed interval)]]</f>
        <v>1.5181681163406442</v>
      </c>
    </row>
    <row r="1571" spans="1:22">
      <c r="A1571" t="s">
        <v>40</v>
      </c>
      <c r="B1571" t="s">
        <v>39</v>
      </c>
      <c r="C1571">
        <v>27</v>
      </c>
      <c r="D1571" t="s">
        <v>22</v>
      </c>
      <c r="E1571" t="s">
        <v>16</v>
      </c>
      <c r="F1571" s="1">
        <v>44571</v>
      </c>
      <c r="G1571">
        <v>0</v>
      </c>
      <c r="H1571">
        <v>0</v>
      </c>
      <c r="I1571">
        <v>1</v>
      </c>
      <c r="J1571">
        <v>1</v>
      </c>
      <c r="K1571">
        <v>0</v>
      </c>
      <c r="L1571">
        <v>490</v>
      </c>
      <c r="M1571">
        <v>15</v>
      </c>
      <c r="N1571" s="1">
        <f t="shared" si="192"/>
        <v>44938</v>
      </c>
      <c r="O1571" s="1">
        <f t="shared" si="193"/>
        <v>43101</v>
      </c>
      <c r="P1571" s="1">
        <f t="shared" si="194"/>
        <v>44835</v>
      </c>
      <c r="Q1571" s="8">
        <f t="shared" si="195"/>
        <v>0</v>
      </c>
      <c r="R1571" s="8">
        <f t="shared" si="196"/>
        <v>58</v>
      </c>
      <c r="S1571" s="8">
        <f t="shared" ca="1" si="197"/>
        <v>57</v>
      </c>
      <c r="T1571">
        <f t="shared" ca="1" si="198"/>
        <v>3.5131830752221509</v>
      </c>
      <c r="U1571" s="8">
        <f t="shared" ca="1" si="199"/>
        <v>2.3140935693539939</v>
      </c>
      <c r="V1571" s="8">
        <f ca="1">RawData[[#This Row],[Z (smoothed demand size)]]/RawData[[#This Row],[X (smoothed interval)]]</f>
        <v>1.5181681163406442</v>
      </c>
    </row>
    <row r="1572" spans="1:22">
      <c r="A1572" t="s">
        <v>40</v>
      </c>
      <c r="B1572" t="s">
        <v>39</v>
      </c>
      <c r="C1572">
        <v>27</v>
      </c>
      <c r="D1572" t="s">
        <v>22</v>
      </c>
      <c r="E1572" t="s">
        <v>16</v>
      </c>
      <c r="F1572" s="1">
        <v>44572</v>
      </c>
      <c r="G1572">
        <v>0</v>
      </c>
      <c r="H1572">
        <v>0</v>
      </c>
      <c r="I1572">
        <v>10</v>
      </c>
      <c r="J1572">
        <v>10</v>
      </c>
      <c r="K1572">
        <v>0</v>
      </c>
      <c r="L1572">
        <v>494</v>
      </c>
      <c r="M1572">
        <v>45</v>
      </c>
      <c r="N1572" s="1">
        <f t="shared" si="192"/>
        <v>44938</v>
      </c>
      <c r="O1572" s="1">
        <f t="shared" si="193"/>
        <v>43101</v>
      </c>
      <c r="P1572" s="1">
        <f t="shared" si="194"/>
        <v>44866</v>
      </c>
      <c r="Q1572" s="8">
        <f t="shared" si="195"/>
        <v>0</v>
      </c>
      <c r="R1572" s="8">
        <f t="shared" si="196"/>
        <v>59</v>
      </c>
      <c r="S1572" s="8">
        <f t="shared" ca="1" si="197"/>
        <v>57</v>
      </c>
      <c r="T1572">
        <f t="shared" ca="1" si="198"/>
        <v>3.5131830752221509</v>
      </c>
      <c r="U1572" s="8">
        <f t="shared" ca="1" si="199"/>
        <v>2.3140935693539939</v>
      </c>
      <c r="V1572" s="8">
        <f ca="1">RawData[[#This Row],[Z (smoothed demand size)]]/RawData[[#This Row],[X (smoothed interval)]]</f>
        <v>1.5181681163406442</v>
      </c>
    </row>
    <row r="1573" spans="1:22">
      <c r="A1573" t="s">
        <v>40</v>
      </c>
      <c r="B1573" t="s">
        <v>39</v>
      </c>
      <c r="C1573">
        <v>27</v>
      </c>
      <c r="D1573" t="s">
        <v>22</v>
      </c>
      <c r="E1573" t="s">
        <v>16</v>
      </c>
      <c r="F1573" s="1">
        <v>44573</v>
      </c>
      <c r="G1573">
        <v>0</v>
      </c>
      <c r="H1573">
        <v>0</v>
      </c>
      <c r="I1573">
        <v>10</v>
      </c>
      <c r="J1573">
        <v>10</v>
      </c>
      <c r="K1573">
        <v>0</v>
      </c>
      <c r="L1573">
        <v>559</v>
      </c>
      <c r="M1573">
        <v>45</v>
      </c>
      <c r="N1573" s="1">
        <f t="shared" si="192"/>
        <v>44938</v>
      </c>
      <c r="O1573" s="1">
        <f t="shared" si="193"/>
        <v>43101</v>
      </c>
      <c r="P1573" s="1">
        <f t="shared" si="194"/>
        <v>44896</v>
      </c>
      <c r="Q1573" s="8">
        <f t="shared" si="195"/>
        <v>0</v>
      </c>
      <c r="R1573" s="8">
        <f t="shared" si="196"/>
        <v>60</v>
      </c>
      <c r="S1573" s="8">
        <f t="shared" ca="1" si="197"/>
        <v>57</v>
      </c>
      <c r="T1573">
        <f t="shared" ca="1" si="198"/>
        <v>3.5131830752221509</v>
      </c>
      <c r="U1573" s="8">
        <f t="shared" ca="1" si="199"/>
        <v>2.3140935693539939</v>
      </c>
      <c r="V1573" s="8">
        <f ca="1">RawData[[#This Row],[Z (smoothed demand size)]]/RawData[[#This Row],[X (smoothed interval)]]</f>
        <v>1.5181681163406442</v>
      </c>
    </row>
    <row r="1574" spans="1:22">
      <c r="A1574" t="s">
        <v>40</v>
      </c>
      <c r="B1574" t="s">
        <v>39</v>
      </c>
      <c r="C1574">
        <v>27</v>
      </c>
      <c r="D1574" t="s">
        <v>22</v>
      </c>
      <c r="E1574" t="s">
        <v>16</v>
      </c>
      <c r="F1574" s="1">
        <v>44927</v>
      </c>
      <c r="G1574">
        <v>0</v>
      </c>
      <c r="H1574">
        <v>0</v>
      </c>
      <c r="I1574">
        <v>10</v>
      </c>
      <c r="J1574">
        <v>10</v>
      </c>
      <c r="K1574">
        <v>0</v>
      </c>
      <c r="L1574">
        <v>493</v>
      </c>
      <c r="M1574">
        <v>60</v>
      </c>
      <c r="N1574" s="1">
        <f t="shared" si="192"/>
        <v>44938</v>
      </c>
      <c r="O1574" s="1">
        <f t="shared" si="193"/>
        <v>43101</v>
      </c>
      <c r="P1574" s="1">
        <f t="shared" si="194"/>
        <v>44927</v>
      </c>
      <c r="Q1574" s="8">
        <f t="shared" si="195"/>
        <v>0</v>
      </c>
      <c r="R1574" s="8">
        <f t="shared" si="196"/>
        <v>61</v>
      </c>
      <c r="S1574" s="8">
        <f t="shared" ca="1" si="197"/>
        <v>57</v>
      </c>
      <c r="T1574">
        <f t="shared" ca="1" si="198"/>
        <v>3.5131830752221509</v>
      </c>
      <c r="U1574" s="8">
        <f t="shared" ca="1" si="199"/>
        <v>2.3140935693539939</v>
      </c>
      <c r="V1574" s="8">
        <f ca="1">RawData[[#This Row],[Z (smoothed demand size)]]/RawData[[#This Row],[X (smoothed interval)]]</f>
        <v>1.5181681163406442</v>
      </c>
    </row>
    <row r="1575" spans="1:22">
      <c r="A1575" t="s">
        <v>40</v>
      </c>
      <c r="B1575" t="s">
        <v>39</v>
      </c>
      <c r="C1575">
        <v>27</v>
      </c>
      <c r="D1575" t="s">
        <v>22</v>
      </c>
      <c r="E1575" t="s">
        <v>16</v>
      </c>
      <c r="F1575" s="1">
        <v>44928</v>
      </c>
      <c r="G1575">
        <v>0</v>
      </c>
      <c r="H1575">
        <v>0</v>
      </c>
      <c r="I1575">
        <v>10</v>
      </c>
      <c r="J1575">
        <v>10</v>
      </c>
      <c r="K1575">
        <v>0</v>
      </c>
      <c r="L1575">
        <v>494</v>
      </c>
      <c r="M1575">
        <v>45</v>
      </c>
      <c r="N1575" s="1">
        <f t="shared" si="192"/>
        <v>44938</v>
      </c>
      <c r="O1575" s="1">
        <f t="shared" si="193"/>
        <v>43101</v>
      </c>
      <c r="P1575" s="1">
        <f t="shared" si="194"/>
        <v>44958</v>
      </c>
      <c r="Q1575" s="8">
        <f t="shared" si="195"/>
        <v>0</v>
      </c>
      <c r="R1575" s="8">
        <f t="shared" si="196"/>
        <v>62</v>
      </c>
      <c r="S1575" s="8">
        <f t="shared" ca="1" si="197"/>
        <v>57</v>
      </c>
      <c r="T1575">
        <f t="shared" ca="1" si="198"/>
        <v>3.5131830752221509</v>
      </c>
      <c r="U1575" s="8">
        <f t="shared" ca="1" si="199"/>
        <v>2.3140935693539939</v>
      </c>
      <c r="V1575" s="8">
        <f ca="1">RawData[[#This Row],[Z (smoothed demand size)]]/RawData[[#This Row],[X (smoothed interval)]]</f>
        <v>1.5181681163406442</v>
      </c>
    </row>
    <row r="1576" spans="1:22">
      <c r="A1576" t="s">
        <v>40</v>
      </c>
      <c r="B1576" t="s">
        <v>39</v>
      </c>
      <c r="C1576">
        <v>27</v>
      </c>
      <c r="D1576" t="s">
        <v>22</v>
      </c>
      <c r="E1576" t="s">
        <v>16</v>
      </c>
      <c r="F1576" s="1">
        <v>44929</v>
      </c>
      <c r="G1576">
        <v>0</v>
      </c>
      <c r="H1576">
        <v>0</v>
      </c>
      <c r="I1576">
        <v>10</v>
      </c>
      <c r="J1576">
        <v>10</v>
      </c>
      <c r="K1576">
        <v>0</v>
      </c>
      <c r="L1576">
        <v>490</v>
      </c>
      <c r="M1576">
        <v>15</v>
      </c>
      <c r="N1576" s="1">
        <f t="shared" si="192"/>
        <v>44938</v>
      </c>
      <c r="O1576" s="1">
        <f t="shared" si="193"/>
        <v>43101</v>
      </c>
      <c r="P1576" s="1">
        <f t="shared" si="194"/>
        <v>44986</v>
      </c>
      <c r="Q1576" s="8">
        <f t="shared" si="195"/>
        <v>0</v>
      </c>
      <c r="R1576" s="8">
        <f t="shared" si="196"/>
        <v>63</v>
      </c>
      <c r="S1576" s="8">
        <f t="shared" ca="1" si="197"/>
        <v>57</v>
      </c>
      <c r="T1576">
        <f t="shared" ca="1" si="198"/>
        <v>3.5131830752221509</v>
      </c>
      <c r="U1576" s="8">
        <f t="shared" ca="1" si="199"/>
        <v>2.3140935693539939</v>
      </c>
      <c r="V1576" s="8">
        <f ca="1">RawData[[#This Row],[Z (smoothed demand size)]]/RawData[[#This Row],[X (smoothed interval)]]</f>
        <v>1.5181681163406442</v>
      </c>
    </row>
    <row r="1577" spans="1:22">
      <c r="A1577" t="s">
        <v>40</v>
      </c>
      <c r="B1577" t="s">
        <v>39</v>
      </c>
      <c r="C1577">
        <v>27</v>
      </c>
      <c r="D1577" t="s">
        <v>22</v>
      </c>
      <c r="E1577" t="s">
        <v>16</v>
      </c>
      <c r="F1577" s="1">
        <v>44930</v>
      </c>
      <c r="G1577">
        <v>1</v>
      </c>
      <c r="H1577">
        <v>1</v>
      </c>
      <c r="I1577">
        <v>10</v>
      </c>
      <c r="J1577">
        <v>9</v>
      </c>
      <c r="K1577">
        <v>0</v>
      </c>
      <c r="L1577">
        <v>491</v>
      </c>
      <c r="M1577">
        <v>30</v>
      </c>
      <c r="N1577" s="1">
        <f t="shared" si="192"/>
        <v>44938</v>
      </c>
      <c r="O1577" s="1">
        <f t="shared" si="193"/>
        <v>43101</v>
      </c>
      <c r="P1577" s="1">
        <f t="shared" si="194"/>
        <v>45017</v>
      </c>
      <c r="Q1577" s="8">
        <f t="shared" si="195"/>
        <v>0</v>
      </c>
      <c r="R1577" s="8">
        <f t="shared" si="196"/>
        <v>64</v>
      </c>
      <c r="S1577" s="8">
        <f t="shared" ca="1" si="197"/>
        <v>64</v>
      </c>
      <c r="T1577">
        <f t="shared" ca="1" si="198"/>
        <v>3.010546460177721</v>
      </c>
      <c r="U1577" s="8">
        <f t="shared" ca="1" si="199"/>
        <v>3.2512748554831954</v>
      </c>
      <c r="V1577" s="8">
        <f ca="1">RawData[[#This Row],[Z (smoothed demand size)]]/RawData[[#This Row],[X (smoothed interval)]]</f>
        <v>0.92595876817381595</v>
      </c>
    </row>
    <row r="1578" spans="1:22">
      <c r="A1578" t="s">
        <v>40</v>
      </c>
      <c r="B1578" t="s">
        <v>39</v>
      </c>
      <c r="C1578">
        <v>27</v>
      </c>
      <c r="D1578" t="s">
        <v>22</v>
      </c>
      <c r="E1578" t="s">
        <v>16</v>
      </c>
      <c r="F1578" s="1">
        <v>44931</v>
      </c>
      <c r="G1578">
        <v>0</v>
      </c>
      <c r="H1578">
        <v>0</v>
      </c>
      <c r="I1578">
        <v>9</v>
      </c>
      <c r="J1578">
        <v>9</v>
      </c>
      <c r="K1578">
        <v>0</v>
      </c>
      <c r="L1578">
        <v>499</v>
      </c>
      <c r="M1578">
        <v>45</v>
      </c>
      <c r="N1578" s="1">
        <f t="shared" si="192"/>
        <v>44938</v>
      </c>
      <c r="O1578" s="1">
        <f t="shared" si="193"/>
        <v>43101</v>
      </c>
      <c r="P1578" s="1">
        <f t="shared" si="194"/>
        <v>45047</v>
      </c>
      <c r="Q1578" s="8">
        <f t="shared" si="195"/>
        <v>0</v>
      </c>
      <c r="R1578" s="8">
        <f t="shared" si="196"/>
        <v>65</v>
      </c>
      <c r="S1578" s="8">
        <f t="shared" ca="1" si="197"/>
        <v>64</v>
      </c>
      <c r="T1578">
        <f t="shared" ca="1" si="198"/>
        <v>3.010546460177721</v>
      </c>
      <c r="U1578" s="8">
        <f t="shared" ca="1" si="199"/>
        <v>3.2512748554831954</v>
      </c>
      <c r="V1578" s="8">
        <f ca="1">RawData[[#This Row],[Z (smoothed demand size)]]/RawData[[#This Row],[X (smoothed interval)]]</f>
        <v>0.92595876817381595</v>
      </c>
    </row>
    <row r="1579" spans="1:22">
      <c r="A1579" t="s">
        <v>40</v>
      </c>
      <c r="B1579" t="s">
        <v>39</v>
      </c>
      <c r="C1579">
        <v>27</v>
      </c>
      <c r="D1579" t="s">
        <v>22</v>
      </c>
      <c r="E1579" t="s">
        <v>16</v>
      </c>
      <c r="F1579" s="1">
        <v>44932</v>
      </c>
      <c r="G1579">
        <v>0</v>
      </c>
      <c r="H1579">
        <v>0</v>
      </c>
      <c r="I1579">
        <v>9</v>
      </c>
      <c r="J1579">
        <v>9</v>
      </c>
      <c r="K1579">
        <v>0</v>
      </c>
      <c r="L1579">
        <v>567</v>
      </c>
      <c r="M1579">
        <v>30</v>
      </c>
      <c r="N1579" s="1">
        <f t="shared" si="192"/>
        <v>44938</v>
      </c>
      <c r="O1579" s="1">
        <f t="shared" si="193"/>
        <v>43101</v>
      </c>
      <c r="P1579" s="1">
        <f t="shared" si="194"/>
        <v>45078</v>
      </c>
      <c r="Q1579" s="8">
        <f t="shared" si="195"/>
        <v>0</v>
      </c>
      <c r="R1579" s="8">
        <f t="shared" si="196"/>
        <v>66</v>
      </c>
      <c r="S1579" s="8">
        <f t="shared" ca="1" si="197"/>
        <v>64</v>
      </c>
      <c r="T1579">
        <f t="shared" ca="1" si="198"/>
        <v>3.010546460177721</v>
      </c>
      <c r="U1579" s="8">
        <f t="shared" ca="1" si="199"/>
        <v>3.2512748554831954</v>
      </c>
      <c r="V1579" s="8">
        <f ca="1">RawData[[#This Row],[Z (smoothed demand size)]]/RawData[[#This Row],[X (smoothed interval)]]</f>
        <v>0.92595876817381595</v>
      </c>
    </row>
    <row r="1580" spans="1:22">
      <c r="A1580" t="s">
        <v>40</v>
      </c>
      <c r="B1580" t="s">
        <v>39</v>
      </c>
      <c r="C1580">
        <v>27</v>
      </c>
      <c r="D1580" t="s">
        <v>22</v>
      </c>
      <c r="E1580" t="s">
        <v>16</v>
      </c>
      <c r="F1580" s="1">
        <v>44933</v>
      </c>
      <c r="G1580">
        <v>2</v>
      </c>
      <c r="H1580">
        <v>2</v>
      </c>
      <c r="I1580">
        <v>9</v>
      </c>
      <c r="J1580">
        <v>7</v>
      </c>
      <c r="K1580">
        <v>0</v>
      </c>
      <c r="L1580">
        <v>559</v>
      </c>
      <c r="M1580">
        <v>60</v>
      </c>
      <c r="N1580" s="1">
        <f t="shared" si="192"/>
        <v>44938</v>
      </c>
      <c r="O1580" s="1">
        <f t="shared" si="193"/>
        <v>43101</v>
      </c>
      <c r="P1580" s="1">
        <f t="shared" si="194"/>
        <v>45108</v>
      </c>
      <c r="Q1580" s="8">
        <f t="shared" si="195"/>
        <v>0</v>
      </c>
      <c r="R1580" s="8">
        <f t="shared" si="196"/>
        <v>67</v>
      </c>
      <c r="S1580" s="8">
        <f t="shared" ca="1" si="197"/>
        <v>67</v>
      </c>
      <c r="T1580">
        <f t="shared" ca="1" si="198"/>
        <v>2.8084371681421767</v>
      </c>
      <c r="U1580" s="8">
        <f t="shared" ca="1" si="199"/>
        <v>3.2010198843865565</v>
      </c>
      <c r="V1580" s="8">
        <f ca="1">RawData[[#This Row],[Z (smoothed demand size)]]/RawData[[#This Row],[X (smoothed interval)]]</f>
        <v>0.87735698920232907</v>
      </c>
    </row>
    <row r="1581" spans="1:22">
      <c r="A1581" t="s">
        <v>40</v>
      </c>
      <c r="B1581" t="s">
        <v>39</v>
      </c>
      <c r="C1581">
        <v>27</v>
      </c>
      <c r="D1581" t="s">
        <v>22</v>
      </c>
      <c r="E1581" t="s">
        <v>16</v>
      </c>
      <c r="F1581" s="1">
        <v>44934</v>
      </c>
      <c r="G1581">
        <v>0</v>
      </c>
      <c r="H1581">
        <v>0</v>
      </c>
      <c r="I1581">
        <v>7</v>
      </c>
      <c r="J1581">
        <v>7</v>
      </c>
      <c r="K1581">
        <v>0</v>
      </c>
      <c r="L1581">
        <v>567</v>
      </c>
      <c r="M1581">
        <v>45</v>
      </c>
      <c r="N1581" s="1">
        <f t="shared" si="192"/>
        <v>44938</v>
      </c>
      <c r="O1581" s="1">
        <f t="shared" si="193"/>
        <v>43101</v>
      </c>
      <c r="P1581" s="1">
        <f t="shared" si="194"/>
        <v>45139</v>
      </c>
      <c r="Q1581" s="8">
        <f t="shared" si="195"/>
        <v>0</v>
      </c>
      <c r="R1581" s="8">
        <f t="shared" si="196"/>
        <v>68</v>
      </c>
      <c r="S1581" s="8">
        <f t="shared" ca="1" si="197"/>
        <v>67</v>
      </c>
      <c r="T1581">
        <f t="shared" ca="1" si="198"/>
        <v>2.8084371681421767</v>
      </c>
      <c r="U1581" s="8">
        <f t="shared" ca="1" si="199"/>
        <v>3.2010198843865565</v>
      </c>
      <c r="V1581" s="8">
        <f ca="1">RawData[[#This Row],[Z (smoothed demand size)]]/RawData[[#This Row],[X (smoothed interval)]]</f>
        <v>0.87735698920232907</v>
      </c>
    </row>
    <row r="1582" spans="1:22">
      <c r="A1582" t="s">
        <v>40</v>
      </c>
      <c r="B1582" t="s">
        <v>39</v>
      </c>
      <c r="C1582">
        <v>27</v>
      </c>
      <c r="D1582" t="s">
        <v>22</v>
      </c>
      <c r="E1582" t="s">
        <v>16</v>
      </c>
      <c r="F1582" s="1">
        <v>44935</v>
      </c>
      <c r="G1582">
        <v>3</v>
      </c>
      <c r="H1582">
        <v>3</v>
      </c>
      <c r="I1582">
        <v>7</v>
      </c>
      <c r="J1582">
        <v>4</v>
      </c>
      <c r="K1582">
        <v>0</v>
      </c>
      <c r="L1582">
        <v>487</v>
      </c>
      <c r="M1582">
        <v>30</v>
      </c>
      <c r="N1582" s="1">
        <f t="shared" si="192"/>
        <v>44938</v>
      </c>
      <c r="O1582" s="1">
        <f t="shared" si="193"/>
        <v>43101</v>
      </c>
      <c r="P1582" s="1">
        <f t="shared" si="194"/>
        <v>45170</v>
      </c>
      <c r="Q1582" s="8">
        <f t="shared" si="195"/>
        <v>0</v>
      </c>
      <c r="R1582" s="8">
        <f t="shared" si="196"/>
        <v>69</v>
      </c>
      <c r="S1582" s="8">
        <f t="shared" ca="1" si="197"/>
        <v>69</v>
      </c>
      <c r="T1582">
        <f t="shared" ca="1" si="198"/>
        <v>2.8467497345137414</v>
      </c>
      <c r="U1582" s="8">
        <f t="shared" ca="1" si="199"/>
        <v>2.9608159075092453</v>
      </c>
      <c r="V1582" s="8">
        <f ca="1">RawData[[#This Row],[Z (smoothed demand size)]]/RawData[[#This Row],[X (smoothed interval)]]</f>
        <v>0.96147475001528859</v>
      </c>
    </row>
    <row r="1583" spans="1:22">
      <c r="A1583" t="s">
        <v>40</v>
      </c>
      <c r="B1583" t="s">
        <v>39</v>
      </c>
      <c r="C1583">
        <v>27</v>
      </c>
      <c r="D1583" t="s">
        <v>22</v>
      </c>
      <c r="E1583" t="s">
        <v>16</v>
      </c>
      <c r="F1583" s="1">
        <v>44936</v>
      </c>
      <c r="G1583">
        <v>5</v>
      </c>
      <c r="H1583">
        <v>4</v>
      </c>
      <c r="I1583">
        <v>4</v>
      </c>
      <c r="J1583">
        <v>0</v>
      </c>
      <c r="K1583">
        <v>1</v>
      </c>
      <c r="L1583">
        <v>486</v>
      </c>
      <c r="M1583">
        <v>60</v>
      </c>
      <c r="N1583" s="1">
        <f t="shared" si="192"/>
        <v>44938</v>
      </c>
      <c r="O1583" s="1">
        <f t="shared" si="193"/>
        <v>43101</v>
      </c>
      <c r="P1583" s="1">
        <f t="shared" si="194"/>
        <v>45200</v>
      </c>
      <c r="Q1583" s="8">
        <f t="shared" si="195"/>
        <v>0</v>
      </c>
      <c r="R1583" s="8">
        <f t="shared" si="196"/>
        <v>70</v>
      </c>
      <c r="S1583" s="8">
        <f t="shared" ca="1" si="197"/>
        <v>70</v>
      </c>
      <c r="T1583">
        <f t="shared" ca="1" si="198"/>
        <v>3.2773997876109933</v>
      </c>
      <c r="U1583" s="8">
        <f t="shared" ca="1" si="199"/>
        <v>2.5686527260073966</v>
      </c>
      <c r="V1583" s="8">
        <f ca="1">RawData[[#This Row],[Z (smoothed demand size)]]/RawData[[#This Row],[X (smoothed interval)]]</f>
        <v>1.2759217135222645</v>
      </c>
    </row>
    <row r="1584" spans="1:22">
      <c r="A1584" t="s">
        <v>40</v>
      </c>
      <c r="B1584" t="s">
        <v>39</v>
      </c>
      <c r="C1584">
        <v>27</v>
      </c>
      <c r="D1584" t="s">
        <v>22</v>
      </c>
      <c r="E1584" t="s">
        <v>16</v>
      </c>
      <c r="F1584" s="1">
        <v>44937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492</v>
      </c>
      <c r="M1584">
        <v>30</v>
      </c>
      <c r="N1584" s="1">
        <f t="shared" si="192"/>
        <v>44938</v>
      </c>
      <c r="O1584" s="1">
        <f t="shared" si="193"/>
        <v>43101</v>
      </c>
      <c r="P1584" s="1">
        <f t="shared" si="194"/>
        <v>45231</v>
      </c>
      <c r="Q1584" s="8">
        <f t="shared" si="195"/>
        <v>0</v>
      </c>
      <c r="R1584" s="8">
        <f t="shared" si="196"/>
        <v>71</v>
      </c>
      <c r="S1584" s="8">
        <f t="shared" ca="1" si="197"/>
        <v>70</v>
      </c>
      <c r="T1584">
        <f t="shared" ca="1" si="198"/>
        <v>3.2773997876109933</v>
      </c>
      <c r="U1584" s="8">
        <f t="shared" ca="1" si="199"/>
        <v>2.5686527260073966</v>
      </c>
      <c r="V1584" s="8">
        <f ca="1">RawData[[#This Row],[Z (smoothed demand size)]]/RawData[[#This Row],[X (smoothed interval)]]</f>
        <v>1.2759217135222645</v>
      </c>
    </row>
    <row r="1585" spans="1:22">
      <c r="A1585" t="s">
        <v>40</v>
      </c>
      <c r="B1585" t="s">
        <v>39</v>
      </c>
      <c r="C1585">
        <v>27</v>
      </c>
      <c r="D1585" t="s">
        <v>22</v>
      </c>
      <c r="E1585" t="s">
        <v>16</v>
      </c>
      <c r="F1585" s="1">
        <v>44938</v>
      </c>
      <c r="G1585">
        <v>1</v>
      </c>
      <c r="H1585">
        <v>1</v>
      </c>
      <c r="I1585">
        <v>11</v>
      </c>
      <c r="J1585">
        <v>10</v>
      </c>
      <c r="K1585">
        <v>0</v>
      </c>
      <c r="L1585">
        <v>557</v>
      </c>
      <c r="M1585">
        <v>30</v>
      </c>
      <c r="N1585" s="1">
        <f t="shared" si="192"/>
        <v>44938</v>
      </c>
      <c r="O1585" s="1">
        <f t="shared" si="193"/>
        <v>43101</v>
      </c>
      <c r="P1585" s="1">
        <f t="shared" si="194"/>
        <v>45261</v>
      </c>
      <c r="Q1585" s="8">
        <f t="shared" si="195"/>
        <v>0</v>
      </c>
      <c r="R1585" s="8">
        <f t="shared" si="196"/>
        <v>72</v>
      </c>
      <c r="S1585" s="8">
        <f t="shared" ca="1" si="197"/>
        <v>72</v>
      </c>
      <c r="T1585">
        <f t="shared" ca="1" si="198"/>
        <v>2.8219198300887949</v>
      </c>
      <c r="U1585" s="8">
        <f t="shared" ca="1" si="199"/>
        <v>2.4549221808059172</v>
      </c>
      <c r="V1585" s="8">
        <f ca="1">RawData[[#This Row],[Z (smoothed demand size)]]/RawData[[#This Row],[X (smoothed interval)]]</f>
        <v>1.1494946162254305</v>
      </c>
    </row>
    <row r="1586" spans="1:22">
      <c r="A1586" t="s">
        <v>41</v>
      </c>
      <c r="B1586" t="s">
        <v>39</v>
      </c>
      <c r="C1586">
        <v>27</v>
      </c>
      <c r="D1586" t="s">
        <v>22</v>
      </c>
      <c r="E1586" t="s">
        <v>16</v>
      </c>
      <c r="F1586" s="1">
        <v>43101</v>
      </c>
      <c r="G1586">
        <v>3</v>
      </c>
      <c r="H1586">
        <v>3</v>
      </c>
      <c r="I1586">
        <v>17</v>
      </c>
      <c r="J1586">
        <v>14</v>
      </c>
      <c r="K1586">
        <v>0</v>
      </c>
      <c r="L1586">
        <v>413</v>
      </c>
      <c r="M1586">
        <v>45</v>
      </c>
      <c r="N1586" s="1">
        <f t="shared" si="192"/>
        <v>44938</v>
      </c>
      <c r="O1586" s="1">
        <f t="shared" si="193"/>
        <v>43101</v>
      </c>
      <c r="P1586" s="1">
        <f t="shared" si="194"/>
        <v>43101</v>
      </c>
      <c r="Q1586" s="8">
        <f t="shared" si="195"/>
        <v>1</v>
      </c>
      <c r="R1586" s="8">
        <f t="shared" si="196"/>
        <v>1</v>
      </c>
      <c r="S1586" s="8">
        <f t="shared" ca="1" si="197"/>
        <v>1</v>
      </c>
      <c r="T1586">
        <f t="shared" ca="1" si="198"/>
        <v>3</v>
      </c>
      <c r="U1586" s="8">
        <f t="shared" ca="1" si="199"/>
        <v>1</v>
      </c>
      <c r="V1586" s="8">
        <f ca="1">RawData[[#This Row],[Z (smoothed demand size)]]/RawData[[#This Row],[X (smoothed interval)]]</f>
        <v>3</v>
      </c>
    </row>
    <row r="1587" spans="1:22">
      <c r="A1587" t="s">
        <v>41</v>
      </c>
      <c r="B1587" t="s">
        <v>39</v>
      </c>
      <c r="C1587">
        <v>27</v>
      </c>
      <c r="D1587" t="s">
        <v>22</v>
      </c>
      <c r="E1587" t="s">
        <v>16</v>
      </c>
      <c r="F1587" s="1">
        <v>43102</v>
      </c>
      <c r="G1587">
        <v>3</v>
      </c>
      <c r="H1587">
        <v>3</v>
      </c>
      <c r="I1587">
        <v>14</v>
      </c>
      <c r="J1587">
        <v>11</v>
      </c>
      <c r="K1587">
        <v>0</v>
      </c>
      <c r="L1587">
        <v>419</v>
      </c>
      <c r="M1587">
        <v>45</v>
      </c>
      <c r="N1587" s="1">
        <f t="shared" si="192"/>
        <v>44938</v>
      </c>
      <c r="O1587" s="1">
        <f t="shared" si="193"/>
        <v>43101</v>
      </c>
      <c r="P1587" s="1">
        <f t="shared" si="194"/>
        <v>43132</v>
      </c>
      <c r="Q1587" s="8">
        <f t="shared" si="195"/>
        <v>0</v>
      </c>
      <c r="R1587" s="8">
        <f t="shared" si="196"/>
        <v>2</v>
      </c>
      <c r="S1587" s="8">
        <f t="shared" ca="1" si="197"/>
        <v>2</v>
      </c>
      <c r="T1587">
        <f t="shared" ca="1" si="198"/>
        <v>3.0000000000000004</v>
      </c>
      <c r="U1587" s="8">
        <f t="shared" ca="1" si="199"/>
        <v>1</v>
      </c>
      <c r="V1587" s="8">
        <f ca="1">RawData[[#This Row],[Z (smoothed demand size)]]/RawData[[#This Row],[X (smoothed interval)]]</f>
        <v>3.0000000000000004</v>
      </c>
    </row>
    <row r="1588" spans="1:22">
      <c r="A1588" t="s">
        <v>41</v>
      </c>
      <c r="B1588" t="s">
        <v>39</v>
      </c>
      <c r="C1588">
        <v>27</v>
      </c>
      <c r="D1588" t="s">
        <v>22</v>
      </c>
      <c r="E1588" t="s">
        <v>16</v>
      </c>
      <c r="F1588" s="1">
        <v>43103</v>
      </c>
      <c r="G1588">
        <v>2</v>
      </c>
      <c r="H1588">
        <v>2</v>
      </c>
      <c r="I1588">
        <v>11</v>
      </c>
      <c r="J1588">
        <v>9</v>
      </c>
      <c r="K1588">
        <v>0</v>
      </c>
      <c r="L1588">
        <v>417</v>
      </c>
      <c r="M1588">
        <v>30</v>
      </c>
      <c r="N1588" s="1">
        <f t="shared" si="192"/>
        <v>44938</v>
      </c>
      <c r="O1588" s="1">
        <f t="shared" si="193"/>
        <v>43101</v>
      </c>
      <c r="P1588" s="1">
        <f t="shared" si="194"/>
        <v>43160</v>
      </c>
      <c r="Q1588" s="8">
        <f t="shared" si="195"/>
        <v>0</v>
      </c>
      <c r="R1588" s="8">
        <f t="shared" si="196"/>
        <v>3</v>
      </c>
      <c r="S1588" s="8">
        <f t="shared" ca="1" si="197"/>
        <v>3</v>
      </c>
      <c r="T1588">
        <f t="shared" ca="1" si="198"/>
        <v>2.8000000000000003</v>
      </c>
      <c r="U1588" s="8">
        <f t="shared" ca="1" si="199"/>
        <v>1</v>
      </c>
      <c r="V1588" s="8">
        <f ca="1">RawData[[#This Row],[Z (smoothed demand size)]]/RawData[[#This Row],[X (smoothed interval)]]</f>
        <v>2.8000000000000003</v>
      </c>
    </row>
    <row r="1589" spans="1:22">
      <c r="A1589" t="s">
        <v>41</v>
      </c>
      <c r="B1589" t="s">
        <v>39</v>
      </c>
      <c r="C1589">
        <v>27</v>
      </c>
      <c r="D1589" t="s">
        <v>22</v>
      </c>
      <c r="E1589" t="s">
        <v>16</v>
      </c>
      <c r="F1589" s="1">
        <v>43104</v>
      </c>
      <c r="G1589">
        <v>0</v>
      </c>
      <c r="H1589">
        <v>0</v>
      </c>
      <c r="I1589">
        <v>9</v>
      </c>
      <c r="J1589">
        <v>9</v>
      </c>
      <c r="K1589">
        <v>0</v>
      </c>
      <c r="L1589">
        <v>411</v>
      </c>
      <c r="M1589">
        <v>15</v>
      </c>
      <c r="N1589" s="1">
        <f t="shared" si="192"/>
        <v>44938</v>
      </c>
      <c r="O1589" s="1">
        <f t="shared" si="193"/>
        <v>43101</v>
      </c>
      <c r="P1589" s="1">
        <f t="shared" si="194"/>
        <v>43191</v>
      </c>
      <c r="Q1589" s="8">
        <f t="shared" si="195"/>
        <v>0</v>
      </c>
      <c r="R1589" s="8">
        <f t="shared" si="196"/>
        <v>4</v>
      </c>
      <c r="S1589" s="8">
        <f t="shared" ca="1" si="197"/>
        <v>3</v>
      </c>
      <c r="T1589">
        <f t="shared" ca="1" si="198"/>
        <v>2.8000000000000003</v>
      </c>
      <c r="U1589" s="8">
        <f t="shared" ca="1" si="199"/>
        <v>1</v>
      </c>
      <c r="V1589" s="8">
        <f ca="1">RawData[[#This Row],[Z (smoothed demand size)]]/RawData[[#This Row],[X (smoothed interval)]]</f>
        <v>2.8000000000000003</v>
      </c>
    </row>
    <row r="1590" spans="1:22">
      <c r="A1590" t="s">
        <v>41</v>
      </c>
      <c r="B1590" t="s">
        <v>39</v>
      </c>
      <c r="C1590">
        <v>27</v>
      </c>
      <c r="D1590" t="s">
        <v>22</v>
      </c>
      <c r="E1590" t="s">
        <v>16</v>
      </c>
      <c r="F1590" s="1">
        <v>43105</v>
      </c>
      <c r="G1590">
        <v>2</v>
      </c>
      <c r="H1590">
        <v>2</v>
      </c>
      <c r="I1590">
        <v>9</v>
      </c>
      <c r="J1590">
        <v>7</v>
      </c>
      <c r="K1590">
        <v>0</v>
      </c>
      <c r="L1590">
        <v>415</v>
      </c>
      <c r="M1590">
        <v>60</v>
      </c>
      <c r="N1590" s="1">
        <f t="shared" si="192"/>
        <v>44938</v>
      </c>
      <c r="O1590" s="1">
        <f t="shared" si="193"/>
        <v>43101</v>
      </c>
      <c r="P1590" s="1">
        <f t="shared" si="194"/>
        <v>43221</v>
      </c>
      <c r="Q1590" s="8">
        <f t="shared" si="195"/>
        <v>0</v>
      </c>
      <c r="R1590" s="8">
        <f t="shared" si="196"/>
        <v>5</v>
      </c>
      <c r="S1590" s="8">
        <f t="shared" ca="1" si="197"/>
        <v>5</v>
      </c>
      <c r="T1590">
        <f t="shared" ca="1" si="198"/>
        <v>2.64</v>
      </c>
      <c r="U1590" s="8">
        <f t="shared" ca="1" si="199"/>
        <v>1.2000000000000002</v>
      </c>
      <c r="V1590" s="8">
        <f ca="1">RawData[[#This Row],[Z (smoothed demand size)]]/RawData[[#This Row],[X (smoothed interval)]]</f>
        <v>2.1999999999999997</v>
      </c>
    </row>
    <row r="1591" spans="1:22">
      <c r="A1591" t="s">
        <v>41</v>
      </c>
      <c r="B1591" t="s">
        <v>39</v>
      </c>
      <c r="C1591">
        <v>27</v>
      </c>
      <c r="D1591" t="s">
        <v>22</v>
      </c>
      <c r="E1591" t="s">
        <v>16</v>
      </c>
      <c r="F1591" s="1">
        <v>43106</v>
      </c>
      <c r="G1591">
        <v>5</v>
      </c>
      <c r="H1591">
        <v>5</v>
      </c>
      <c r="I1591">
        <v>7</v>
      </c>
      <c r="J1591">
        <v>2</v>
      </c>
      <c r="K1591">
        <v>0</v>
      </c>
      <c r="L1591">
        <v>469</v>
      </c>
      <c r="M1591">
        <v>60</v>
      </c>
      <c r="N1591" s="1">
        <f t="shared" si="192"/>
        <v>44938</v>
      </c>
      <c r="O1591" s="1">
        <f t="shared" si="193"/>
        <v>43101</v>
      </c>
      <c r="P1591" s="1">
        <f t="shared" si="194"/>
        <v>43252</v>
      </c>
      <c r="Q1591" s="8">
        <f t="shared" si="195"/>
        <v>0</v>
      </c>
      <c r="R1591" s="8">
        <f t="shared" si="196"/>
        <v>6</v>
      </c>
      <c r="S1591" s="8">
        <f t="shared" ca="1" si="197"/>
        <v>6</v>
      </c>
      <c r="T1591">
        <f t="shared" ca="1" si="198"/>
        <v>3.1120000000000001</v>
      </c>
      <c r="U1591" s="8">
        <f t="shared" ca="1" si="199"/>
        <v>1.1600000000000001</v>
      </c>
      <c r="V1591" s="8">
        <f ca="1">RawData[[#This Row],[Z (smoothed demand size)]]/RawData[[#This Row],[X (smoothed interval)]]</f>
        <v>2.682758620689655</v>
      </c>
    </row>
    <row r="1592" spans="1:22">
      <c r="A1592" t="s">
        <v>41</v>
      </c>
      <c r="B1592" t="s">
        <v>39</v>
      </c>
      <c r="C1592">
        <v>27</v>
      </c>
      <c r="D1592" t="s">
        <v>22</v>
      </c>
      <c r="E1592" t="s">
        <v>16</v>
      </c>
      <c r="F1592" s="1">
        <v>43107</v>
      </c>
      <c r="G1592">
        <v>5</v>
      </c>
      <c r="H1592">
        <v>2</v>
      </c>
      <c r="I1592">
        <v>2</v>
      </c>
      <c r="J1592">
        <v>0</v>
      </c>
      <c r="K1592">
        <v>1</v>
      </c>
      <c r="L1592">
        <v>477</v>
      </c>
      <c r="M1592">
        <v>30</v>
      </c>
      <c r="N1592" s="1">
        <f t="shared" si="192"/>
        <v>44938</v>
      </c>
      <c r="O1592" s="1">
        <f t="shared" si="193"/>
        <v>43101</v>
      </c>
      <c r="P1592" s="1">
        <f t="shared" si="194"/>
        <v>43282</v>
      </c>
      <c r="Q1592" s="8">
        <f t="shared" si="195"/>
        <v>0</v>
      </c>
      <c r="R1592" s="8">
        <f t="shared" si="196"/>
        <v>7</v>
      </c>
      <c r="S1592" s="8">
        <f t="shared" ca="1" si="197"/>
        <v>7</v>
      </c>
      <c r="T1592">
        <f t="shared" ca="1" si="198"/>
        <v>3.4896000000000003</v>
      </c>
      <c r="U1592" s="8">
        <f t="shared" ca="1" si="199"/>
        <v>1.1280000000000001</v>
      </c>
      <c r="V1592" s="8">
        <f ca="1">RawData[[#This Row],[Z (smoothed demand size)]]/RawData[[#This Row],[X (smoothed interval)]]</f>
        <v>3.0936170212765957</v>
      </c>
    </row>
    <row r="1593" spans="1:22">
      <c r="A1593" t="s">
        <v>41</v>
      </c>
      <c r="B1593" t="s">
        <v>39</v>
      </c>
      <c r="C1593">
        <v>27</v>
      </c>
      <c r="D1593" t="s">
        <v>22</v>
      </c>
      <c r="E1593" t="s">
        <v>16</v>
      </c>
      <c r="F1593" s="1">
        <v>43108</v>
      </c>
      <c r="G1593">
        <v>2</v>
      </c>
      <c r="H1593">
        <v>2</v>
      </c>
      <c r="I1593">
        <v>9</v>
      </c>
      <c r="J1593">
        <v>7</v>
      </c>
      <c r="K1593">
        <v>0</v>
      </c>
      <c r="L1593">
        <v>479</v>
      </c>
      <c r="M1593">
        <v>60</v>
      </c>
      <c r="N1593" s="1">
        <f t="shared" si="192"/>
        <v>44938</v>
      </c>
      <c r="O1593" s="1">
        <f t="shared" si="193"/>
        <v>43101</v>
      </c>
      <c r="P1593" s="1">
        <f t="shared" si="194"/>
        <v>43313</v>
      </c>
      <c r="Q1593" s="8">
        <f t="shared" si="195"/>
        <v>0</v>
      </c>
      <c r="R1593" s="8">
        <f t="shared" si="196"/>
        <v>8</v>
      </c>
      <c r="S1593" s="8">
        <f t="shared" ca="1" si="197"/>
        <v>8</v>
      </c>
      <c r="T1593">
        <f t="shared" ca="1" si="198"/>
        <v>3.1916800000000003</v>
      </c>
      <c r="U1593" s="8">
        <f t="shared" ca="1" si="199"/>
        <v>1.1024</v>
      </c>
      <c r="V1593" s="8">
        <f ca="1">RawData[[#This Row],[Z (smoothed demand size)]]/RawData[[#This Row],[X (smoothed interval)]]</f>
        <v>2.8952104499274314</v>
      </c>
    </row>
    <row r="1594" spans="1:22">
      <c r="A1594" t="s">
        <v>41</v>
      </c>
      <c r="B1594" t="s">
        <v>39</v>
      </c>
      <c r="C1594">
        <v>27</v>
      </c>
      <c r="D1594" t="s">
        <v>22</v>
      </c>
      <c r="E1594" t="s">
        <v>16</v>
      </c>
      <c r="F1594" s="1">
        <v>43109</v>
      </c>
      <c r="G1594">
        <v>2</v>
      </c>
      <c r="H1594">
        <v>2</v>
      </c>
      <c r="I1594">
        <v>7</v>
      </c>
      <c r="J1594">
        <v>5</v>
      </c>
      <c r="K1594">
        <v>0</v>
      </c>
      <c r="L1594">
        <v>417</v>
      </c>
      <c r="M1594">
        <v>30</v>
      </c>
      <c r="N1594" s="1">
        <f t="shared" si="192"/>
        <v>44938</v>
      </c>
      <c r="O1594" s="1">
        <f t="shared" si="193"/>
        <v>43101</v>
      </c>
      <c r="P1594" s="1">
        <f t="shared" si="194"/>
        <v>43344</v>
      </c>
      <c r="Q1594" s="8">
        <f t="shared" si="195"/>
        <v>0</v>
      </c>
      <c r="R1594" s="8">
        <f t="shared" si="196"/>
        <v>9</v>
      </c>
      <c r="S1594" s="8">
        <f t="shared" ca="1" si="197"/>
        <v>9</v>
      </c>
      <c r="T1594">
        <f t="shared" ca="1" si="198"/>
        <v>2.9533440000000004</v>
      </c>
      <c r="U1594" s="8">
        <f t="shared" ca="1" si="199"/>
        <v>1.08192</v>
      </c>
      <c r="V1594" s="8">
        <f ca="1">RawData[[#This Row],[Z (smoothed demand size)]]/RawData[[#This Row],[X (smoothed interval)]]</f>
        <v>2.7297249334516418</v>
      </c>
    </row>
    <row r="1595" spans="1:22">
      <c r="A1595" t="s">
        <v>41</v>
      </c>
      <c r="B1595" t="s">
        <v>39</v>
      </c>
      <c r="C1595">
        <v>27</v>
      </c>
      <c r="D1595" t="s">
        <v>22</v>
      </c>
      <c r="E1595" t="s">
        <v>16</v>
      </c>
      <c r="F1595" s="1">
        <v>43110</v>
      </c>
      <c r="G1595">
        <v>0</v>
      </c>
      <c r="H1595">
        <v>0</v>
      </c>
      <c r="I1595">
        <v>5</v>
      </c>
      <c r="J1595">
        <v>5</v>
      </c>
      <c r="K1595">
        <v>0</v>
      </c>
      <c r="L1595">
        <v>411</v>
      </c>
      <c r="M1595">
        <v>15</v>
      </c>
      <c r="N1595" s="1">
        <f t="shared" si="192"/>
        <v>44938</v>
      </c>
      <c r="O1595" s="1">
        <f t="shared" si="193"/>
        <v>43101</v>
      </c>
      <c r="P1595" s="1">
        <f t="shared" si="194"/>
        <v>43374</v>
      </c>
      <c r="Q1595" s="8">
        <f t="shared" si="195"/>
        <v>0</v>
      </c>
      <c r="R1595" s="8">
        <f t="shared" si="196"/>
        <v>10</v>
      </c>
      <c r="S1595" s="8">
        <f t="shared" ca="1" si="197"/>
        <v>9</v>
      </c>
      <c r="T1595">
        <f t="shared" ca="1" si="198"/>
        <v>2.9533440000000004</v>
      </c>
      <c r="U1595" s="8">
        <f t="shared" ca="1" si="199"/>
        <v>1.08192</v>
      </c>
      <c r="V1595" s="8">
        <f ca="1">RawData[[#This Row],[Z (smoothed demand size)]]/RawData[[#This Row],[X (smoothed interval)]]</f>
        <v>2.7297249334516418</v>
      </c>
    </row>
    <row r="1596" spans="1:22">
      <c r="A1596" t="s">
        <v>41</v>
      </c>
      <c r="B1596" t="s">
        <v>39</v>
      </c>
      <c r="C1596">
        <v>27</v>
      </c>
      <c r="D1596" t="s">
        <v>22</v>
      </c>
      <c r="E1596" t="s">
        <v>16</v>
      </c>
      <c r="F1596" s="1">
        <v>43111</v>
      </c>
      <c r="G1596">
        <v>4</v>
      </c>
      <c r="H1596">
        <v>4</v>
      </c>
      <c r="I1596">
        <v>5</v>
      </c>
      <c r="J1596">
        <v>1</v>
      </c>
      <c r="K1596">
        <v>0</v>
      </c>
      <c r="L1596">
        <v>412</v>
      </c>
      <c r="M1596">
        <v>30</v>
      </c>
      <c r="N1596" s="1">
        <f t="shared" si="192"/>
        <v>44938</v>
      </c>
      <c r="O1596" s="1">
        <f t="shared" si="193"/>
        <v>43101</v>
      </c>
      <c r="P1596" s="1">
        <f t="shared" si="194"/>
        <v>43405</v>
      </c>
      <c r="Q1596" s="8">
        <f t="shared" si="195"/>
        <v>0</v>
      </c>
      <c r="R1596" s="8">
        <f t="shared" si="196"/>
        <v>11</v>
      </c>
      <c r="S1596" s="8">
        <f t="shared" ca="1" si="197"/>
        <v>11</v>
      </c>
      <c r="T1596">
        <f t="shared" ca="1" si="198"/>
        <v>3.1626752000000007</v>
      </c>
      <c r="U1596" s="8">
        <f t="shared" ca="1" si="199"/>
        <v>1.265536</v>
      </c>
      <c r="V1596" s="8">
        <f ca="1">RawData[[#This Row],[Z (smoothed demand size)]]/RawData[[#This Row],[X (smoothed interval)]]</f>
        <v>2.4990795994740576</v>
      </c>
    </row>
    <row r="1597" spans="1:22">
      <c r="A1597" t="s">
        <v>41</v>
      </c>
      <c r="B1597" t="s">
        <v>39</v>
      </c>
      <c r="C1597">
        <v>27</v>
      </c>
      <c r="D1597" t="s">
        <v>22</v>
      </c>
      <c r="E1597" t="s">
        <v>16</v>
      </c>
      <c r="F1597" s="1">
        <v>43112</v>
      </c>
      <c r="G1597">
        <v>4</v>
      </c>
      <c r="H1597">
        <v>4</v>
      </c>
      <c r="I1597">
        <v>11</v>
      </c>
      <c r="J1597">
        <v>7</v>
      </c>
      <c r="K1597">
        <v>0</v>
      </c>
      <c r="L1597">
        <v>478</v>
      </c>
      <c r="M1597">
        <v>45</v>
      </c>
      <c r="N1597" s="1">
        <f t="shared" si="192"/>
        <v>44938</v>
      </c>
      <c r="O1597" s="1">
        <f t="shared" si="193"/>
        <v>43101</v>
      </c>
      <c r="P1597" s="1">
        <f t="shared" si="194"/>
        <v>43435</v>
      </c>
      <c r="Q1597" s="8">
        <f t="shared" si="195"/>
        <v>0</v>
      </c>
      <c r="R1597" s="8">
        <f t="shared" si="196"/>
        <v>12</v>
      </c>
      <c r="S1597" s="8">
        <f t="shared" ca="1" si="197"/>
        <v>12</v>
      </c>
      <c r="T1597">
        <f t="shared" ca="1" si="198"/>
        <v>3.3301401600000009</v>
      </c>
      <c r="U1597" s="8">
        <f t="shared" ca="1" si="199"/>
        <v>1.2124288000000001</v>
      </c>
      <c r="V1597" s="8">
        <f ca="1">RawData[[#This Row],[Z (smoothed demand size)]]/RawData[[#This Row],[X (smoothed interval)]]</f>
        <v>2.7466686373665823</v>
      </c>
    </row>
    <row r="1598" spans="1:22">
      <c r="A1598" t="s">
        <v>41</v>
      </c>
      <c r="B1598" t="s">
        <v>39</v>
      </c>
      <c r="C1598">
        <v>27</v>
      </c>
      <c r="D1598" t="s">
        <v>22</v>
      </c>
      <c r="E1598" t="s">
        <v>16</v>
      </c>
      <c r="F1598" s="1">
        <v>43466</v>
      </c>
      <c r="G1598">
        <v>2</v>
      </c>
      <c r="H1598">
        <v>2</v>
      </c>
      <c r="I1598">
        <v>7</v>
      </c>
      <c r="J1598">
        <v>5</v>
      </c>
      <c r="K1598">
        <v>0</v>
      </c>
      <c r="L1598">
        <v>419</v>
      </c>
      <c r="M1598">
        <v>30</v>
      </c>
      <c r="N1598" s="1">
        <f t="shared" si="192"/>
        <v>44938</v>
      </c>
      <c r="O1598" s="1">
        <f t="shared" si="193"/>
        <v>43101</v>
      </c>
      <c r="P1598" s="1">
        <f t="shared" si="194"/>
        <v>43466</v>
      </c>
      <c r="Q1598" s="8">
        <f t="shared" si="195"/>
        <v>0</v>
      </c>
      <c r="R1598" s="8">
        <f t="shared" si="196"/>
        <v>13</v>
      </c>
      <c r="S1598" s="8">
        <f t="shared" ca="1" si="197"/>
        <v>13</v>
      </c>
      <c r="T1598">
        <f t="shared" ca="1" si="198"/>
        <v>3.064112128000001</v>
      </c>
      <c r="U1598" s="8">
        <f t="shared" ca="1" si="199"/>
        <v>1.1699430400000002</v>
      </c>
      <c r="V1598" s="8">
        <f ca="1">RawData[[#This Row],[Z (smoothed demand size)]]/RawData[[#This Row],[X (smoothed interval)]]</f>
        <v>2.6190267587728036</v>
      </c>
    </row>
    <row r="1599" spans="1:22">
      <c r="A1599" t="s">
        <v>41</v>
      </c>
      <c r="B1599" t="s">
        <v>39</v>
      </c>
      <c r="C1599">
        <v>27</v>
      </c>
      <c r="D1599" t="s">
        <v>22</v>
      </c>
      <c r="E1599" t="s">
        <v>16</v>
      </c>
      <c r="F1599" s="1">
        <v>43467</v>
      </c>
      <c r="G1599">
        <v>0</v>
      </c>
      <c r="H1599">
        <v>0</v>
      </c>
      <c r="I1599">
        <v>5</v>
      </c>
      <c r="J1599">
        <v>5</v>
      </c>
      <c r="K1599">
        <v>0</v>
      </c>
      <c r="L1599">
        <v>414</v>
      </c>
      <c r="M1599">
        <v>15</v>
      </c>
      <c r="N1599" s="1">
        <f t="shared" si="192"/>
        <v>44938</v>
      </c>
      <c r="O1599" s="1">
        <f t="shared" si="193"/>
        <v>43101</v>
      </c>
      <c r="P1599" s="1">
        <f t="shared" si="194"/>
        <v>43497</v>
      </c>
      <c r="Q1599" s="8">
        <f t="shared" si="195"/>
        <v>0</v>
      </c>
      <c r="R1599" s="8">
        <f t="shared" si="196"/>
        <v>14</v>
      </c>
      <c r="S1599" s="8">
        <f t="shared" ca="1" si="197"/>
        <v>13</v>
      </c>
      <c r="T1599">
        <f t="shared" ca="1" si="198"/>
        <v>3.064112128000001</v>
      </c>
      <c r="U1599" s="8">
        <f t="shared" ca="1" si="199"/>
        <v>1.1699430400000002</v>
      </c>
      <c r="V1599" s="8">
        <f ca="1">RawData[[#This Row],[Z (smoothed demand size)]]/RawData[[#This Row],[X (smoothed interval)]]</f>
        <v>2.6190267587728036</v>
      </c>
    </row>
    <row r="1600" spans="1:22">
      <c r="A1600" t="s">
        <v>41</v>
      </c>
      <c r="B1600" t="s">
        <v>39</v>
      </c>
      <c r="C1600">
        <v>27</v>
      </c>
      <c r="D1600" t="s">
        <v>22</v>
      </c>
      <c r="E1600" t="s">
        <v>16</v>
      </c>
      <c r="F1600" s="1">
        <v>43468</v>
      </c>
      <c r="G1600">
        <v>1</v>
      </c>
      <c r="H1600">
        <v>1</v>
      </c>
      <c r="I1600">
        <v>5</v>
      </c>
      <c r="J1600">
        <v>4</v>
      </c>
      <c r="K1600">
        <v>0</v>
      </c>
      <c r="L1600">
        <v>411</v>
      </c>
      <c r="M1600">
        <v>60</v>
      </c>
      <c r="N1600" s="1">
        <f t="shared" si="192"/>
        <v>44938</v>
      </c>
      <c r="O1600" s="1">
        <f t="shared" si="193"/>
        <v>43101</v>
      </c>
      <c r="P1600" s="1">
        <f t="shared" si="194"/>
        <v>43525</v>
      </c>
      <c r="Q1600" s="8">
        <f t="shared" si="195"/>
        <v>0</v>
      </c>
      <c r="R1600" s="8">
        <f t="shared" si="196"/>
        <v>15</v>
      </c>
      <c r="S1600" s="8">
        <f t="shared" ca="1" si="197"/>
        <v>15</v>
      </c>
      <c r="T1600">
        <f t="shared" ca="1" si="198"/>
        <v>2.6512897024000011</v>
      </c>
      <c r="U1600" s="8">
        <f t="shared" ca="1" si="199"/>
        <v>1.3359544320000003</v>
      </c>
      <c r="V1600" s="8">
        <f ca="1">RawData[[#This Row],[Z (smoothed demand size)]]/RawData[[#This Row],[X (smoothed interval)]]</f>
        <v>1.9845659693877946</v>
      </c>
    </row>
    <row r="1601" spans="1:22">
      <c r="A1601" t="s">
        <v>41</v>
      </c>
      <c r="B1601" t="s">
        <v>39</v>
      </c>
      <c r="C1601">
        <v>27</v>
      </c>
      <c r="D1601" t="s">
        <v>22</v>
      </c>
      <c r="E1601" t="s">
        <v>16</v>
      </c>
      <c r="F1601" s="1">
        <v>43469</v>
      </c>
      <c r="G1601">
        <v>3</v>
      </c>
      <c r="H1601">
        <v>3</v>
      </c>
      <c r="I1601">
        <v>4</v>
      </c>
      <c r="J1601">
        <v>1</v>
      </c>
      <c r="K1601">
        <v>0</v>
      </c>
      <c r="L1601">
        <v>418</v>
      </c>
      <c r="M1601">
        <v>15</v>
      </c>
      <c r="N1601" s="1">
        <f t="shared" si="192"/>
        <v>44938</v>
      </c>
      <c r="O1601" s="1">
        <f t="shared" si="193"/>
        <v>43101</v>
      </c>
      <c r="P1601" s="1">
        <f t="shared" si="194"/>
        <v>43556</v>
      </c>
      <c r="Q1601" s="8">
        <f t="shared" si="195"/>
        <v>0</v>
      </c>
      <c r="R1601" s="8">
        <f t="shared" si="196"/>
        <v>16</v>
      </c>
      <c r="S1601" s="8">
        <f t="shared" ca="1" si="197"/>
        <v>16</v>
      </c>
      <c r="T1601">
        <f t="shared" ca="1" si="198"/>
        <v>2.7210317619200008</v>
      </c>
      <c r="U1601" s="8">
        <f t="shared" ca="1" si="199"/>
        <v>1.2687635456000002</v>
      </c>
      <c r="V1601" s="8">
        <f ca="1">RawData[[#This Row],[Z (smoothed demand size)]]/RawData[[#This Row],[X (smoothed interval)]]</f>
        <v>2.1446326790806562</v>
      </c>
    </row>
    <row r="1602" spans="1:22">
      <c r="A1602" t="s">
        <v>41</v>
      </c>
      <c r="B1602" t="s">
        <v>39</v>
      </c>
      <c r="C1602">
        <v>27</v>
      </c>
      <c r="D1602" t="s">
        <v>22</v>
      </c>
      <c r="E1602" t="s">
        <v>16</v>
      </c>
      <c r="F1602" s="1">
        <v>43470</v>
      </c>
      <c r="G1602">
        <v>3</v>
      </c>
      <c r="H1602">
        <v>3</v>
      </c>
      <c r="I1602">
        <v>11</v>
      </c>
      <c r="J1602">
        <v>8</v>
      </c>
      <c r="K1602">
        <v>0</v>
      </c>
      <c r="L1602">
        <v>414</v>
      </c>
      <c r="M1602">
        <v>15</v>
      </c>
      <c r="N1602" s="1">
        <f t="shared" ref="N1602:N1665" si="200">MAX(F:F)</f>
        <v>44938</v>
      </c>
      <c r="O1602" s="1">
        <f t="shared" ref="O1602:O1665" si="201">MIN(F:F)</f>
        <v>43101</v>
      </c>
      <c r="P1602" s="1">
        <f t="shared" ref="P1602:P1665" si="202">DATE(YEAR(F1602), DAY(F1602), 1)</f>
        <v>43586</v>
      </c>
      <c r="Q1602" s="8">
        <f t="shared" ref="Q1602:Q1665" si="203" xml:space="preserve"> IF(A1602&lt;&gt;A1601, 1, 0)</f>
        <v>0</v>
      </c>
      <c r="R1602" s="8">
        <f t="shared" ref="R1602:R1665" si="204">IF(Q1602=1,1,R1601+1)</f>
        <v>17</v>
      </c>
      <c r="S1602" s="8">
        <f t="shared" ref="S1602:S1665" ca="1" si="205" xml:space="preserve"> IF(Q1602=1, IF(G1602&gt;0, R1602, 0), IF(G1602&gt;0, R1602, OFFSET(S1602,-1,0)))</f>
        <v>17</v>
      </c>
      <c r="T1602">
        <f t="shared" ref="T1602:T1665" ca="1" si="206" xml:space="preserve"> IF(Q1602=1, IF(G1602&gt;0, G1602, 0), IF(G1602&gt;0, $X$1*G1602+(1-$X$1)*OFFSET(T1602,-1,0), OFFSET(T1602,-1,0)))</f>
        <v>2.7768254095360008</v>
      </c>
      <c r="U1602" s="8">
        <f t="shared" ref="U1602:U1665" ca="1" si="207" xml:space="preserve"> IF(Q1602=1, 1, IF(G1602&gt;0, $X$1*(R1602-OFFSET(S1602,-1,0))+(1-$X$1)*OFFSET(U1602,-1,0), OFFSET(U1602,-1,0)))</f>
        <v>1.2150108364800001</v>
      </c>
      <c r="V1602" s="8">
        <f ca="1">RawData[[#This Row],[Z (smoothed demand size)]]/RawData[[#This Row],[X (smoothed interval)]]</f>
        <v>2.2854326283876802</v>
      </c>
    </row>
    <row r="1603" spans="1:22">
      <c r="A1603" t="s">
        <v>41</v>
      </c>
      <c r="B1603" t="s">
        <v>39</v>
      </c>
      <c r="C1603">
        <v>27</v>
      </c>
      <c r="D1603" t="s">
        <v>22</v>
      </c>
      <c r="E1603" t="s">
        <v>16</v>
      </c>
      <c r="F1603" s="1">
        <v>43471</v>
      </c>
      <c r="G1603">
        <v>0</v>
      </c>
      <c r="H1603">
        <v>0</v>
      </c>
      <c r="I1603">
        <v>8</v>
      </c>
      <c r="J1603">
        <v>8</v>
      </c>
      <c r="K1603">
        <v>0</v>
      </c>
      <c r="L1603">
        <v>477</v>
      </c>
      <c r="M1603">
        <v>45</v>
      </c>
      <c r="N1603" s="1">
        <f t="shared" si="200"/>
        <v>44938</v>
      </c>
      <c r="O1603" s="1">
        <f t="shared" si="201"/>
        <v>43101</v>
      </c>
      <c r="P1603" s="1">
        <f t="shared" si="202"/>
        <v>43617</v>
      </c>
      <c r="Q1603" s="8">
        <f t="shared" si="203"/>
        <v>0</v>
      </c>
      <c r="R1603" s="8">
        <f t="shared" si="204"/>
        <v>18</v>
      </c>
      <c r="S1603" s="8">
        <f t="shared" ca="1" si="205"/>
        <v>17</v>
      </c>
      <c r="T1603">
        <f t="shared" ca="1" si="206"/>
        <v>2.7768254095360008</v>
      </c>
      <c r="U1603" s="8">
        <f t="shared" ca="1" si="207"/>
        <v>1.2150108364800001</v>
      </c>
      <c r="V1603" s="8">
        <f ca="1">RawData[[#This Row],[Z (smoothed demand size)]]/RawData[[#This Row],[X (smoothed interval)]]</f>
        <v>2.2854326283876802</v>
      </c>
    </row>
    <row r="1604" spans="1:22">
      <c r="A1604" t="s">
        <v>41</v>
      </c>
      <c r="B1604" t="s">
        <v>39</v>
      </c>
      <c r="C1604">
        <v>27</v>
      </c>
      <c r="D1604" t="s">
        <v>22</v>
      </c>
      <c r="E1604" t="s">
        <v>16</v>
      </c>
      <c r="F1604" s="1">
        <v>43472</v>
      </c>
      <c r="G1604">
        <v>4</v>
      </c>
      <c r="H1604">
        <v>4</v>
      </c>
      <c r="I1604">
        <v>8</v>
      </c>
      <c r="J1604">
        <v>4</v>
      </c>
      <c r="K1604">
        <v>0</v>
      </c>
      <c r="L1604">
        <v>480</v>
      </c>
      <c r="M1604">
        <v>30</v>
      </c>
      <c r="N1604" s="1">
        <f t="shared" si="200"/>
        <v>44938</v>
      </c>
      <c r="O1604" s="1">
        <f t="shared" si="201"/>
        <v>43101</v>
      </c>
      <c r="P1604" s="1">
        <f t="shared" si="202"/>
        <v>43647</v>
      </c>
      <c r="Q1604" s="8">
        <f t="shared" si="203"/>
        <v>0</v>
      </c>
      <c r="R1604" s="8">
        <f t="shared" si="204"/>
        <v>19</v>
      </c>
      <c r="S1604" s="8">
        <f t="shared" ca="1" si="205"/>
        <v>19</v>
      </c>
      <c r="T1604">
        <f t="shared" ca="1" si="206"/>
        <v>3.0214603276288008</v>
      </c>
      <c r="U1604" s="8">
        <f t="shared" ca="1" si="207"/>
        <v>1.3720086691840001</v>
      </c>
      <c r="V1604" s="8">
        <f ca="1">RawData[[#This Row],[Z (smoothed demand size)]]/RawData[[#This Row],[X (smoothed interval)]]</f>
        <v>2.2022166444661093</v>
      </c>
    </row>
    <row r="1605" spans="1:22">
      <c r="A1605" t="s">
        <v>41</v>
      </c>
      <c r="B1605" t="s">
        <v>39</v>
      </c>
      <c r="C1605">
        <v>27</v>
      </c>
      <c r="D1605" t="s">
        <v>22</v>
      </c>
      <c r="E1605" t="s">
        <v>16</v>
      </c>
      <c r="F1605" s="1">
        <v>43473</v>
      </c>
      <c r="G1605">
        <v>0</v>
      </c>
      <c r="H1605">
        <v>0</v>
      </c>
      <c r="I1605">
        <v>4</v>
      </c>
      <c r="J1605">
        <v>4</v>
      </c>
      <c r="K1605">
        <v>0</v>
      </c>
      <c r="L1605">
        <v>475</v>
      </c>
      <c r="M1605">
        <v>15</v>
      </c>
      <c r="N1605" s="1">
        <f t="shared" si="200"/>
        <v>44938</v>
      </c>
      <c r="O1605" s="1">
        <f t="shared" si="201"/>
        <v>43101</v>
      </c>
      <c r="P1605" s="1">
        <f t="shared" si="202"/>
        <v>43678</v>
      </c>
      <c r="Q1605" s="8">
        <f t="shared" si="203"/>
        <v>0</v>
      </c>
      <c r="R1605" s="8">
        <f t="shared" si="204"/>
        <v>20</v>
      </c>
      <c r="S1605" s="8">
        <f t="shared" ca="1" si="205"/>
        <v>19</v>
      </c>
      <c r="T1605">
        <f t="shared" ca="1" si="206"/>
        <v>3.0214603276288008</v>
      </c>
      <c r="U1605" s="8">
        <f t="shared" ca="1" si="207"/>
        <v>1.3720086691840001</v>
      </c>
      <c r="V1605" s="8">
        <f ca="1">RawData[[#This Row],[Z (smoothed demand size)]]/RawData[[#This Row],[X (smoothed interval)]]</f>
        <v>2.2022166444661093</v>
      </c>
    </row>
    <row r="1606" spans="1:22">
      <c r="A1606" t="s">
        <v>41</v>
      </c>
      <c r="B1606" t="s">
        <v>39</v>
      </c>
      <c r="C1606">
        <v>27</v>
      </c>
      <c r="D1606" t="s">
        <v>22</v>
      </c>
      <c r="E1606" t="s">
        <v>16</v>
      </c>
      <c r="F1606" s="1">
        <v>43474</v>
      </c>
      <c r="G1606">
        <v>0</v>
      </c>
      <c r="H1606">
        <v>0</v>
      </c>
      <c r="I1606">
        <v>4</v>
      </c>
      <c r="J1606">
        <v>4</v>
      </c>
      <c r="K1606">
        <v>0</v>
      </c>
      <c r="L1606">
        <v>410</v>
      </c>
      <c r="M1606">
        <v>15</v>
      </c>
      <c r="N1606" s="1">
        <f t="shared" si="200"/>
        <v>44938</v>
      </c>
      <c r="O1606" s="1">
        <f t="shared" si="201"/>
        <v>43101</v>
      </c>
      <c r="P1606" s="1">
        <f t="shared" si="202"/>
        <v>43709</v>
      </c>
      <c r="Q1606" s="8">
        <f t="shared" si="203"/>
        <v>0</v>
      </c>
      <c r="R1606" s="8">
        <f t="shared" si="204"/>
        <v>21</v>
      </c>
      <c r="S1606" s="8">
        <f t="shared" ca="1" si="205"/>
        <v>19</v>
      </c>
      <c r="T1606">
        <f t="shared" ca="1" si="206"/>
        <v>3.0214603276288008</v>
      </c>
      <c r="U1606" s="8">
        <f t="shared" ca="1" si="207"/>
        <v>1.3720086691840001</v>
      </c>
      <c r="V1606" s="8">
        <f ca="1">RawData[[#This Row],[Z (smoothed demand size)]]/RawData[[#This Row],[X (smoothed interval)]]</f>
        <v>2.2022166444661093</v>
      </c>
    </row>
    <row r="1607" spans="1:22">
      <c r="A1607" t="s">
        <v>41</v>
      </c>
      <c r="B1607" t="s">
        <v>39</v>
      </c>
      <c r="C1607">
        <v>27</v>
      </c>
      <c r="D1607" t="s">
        <v>22</v>
      </c>
      <c r="E1607" t="s">
        <v>16</v>
      </c>
      <c r="F1607" s="1">
        <v>43475</v>
      </c>
      <c r="G1607">
        <v>7</v>
      </c>
      <c r="H1607">
        <v>4</v>
      </c>
      <c r="I1607">
        <v>4</v>
      </c>
      <c r="J1607">
        <v>0</v>
      </c>
      <c r="K1607">
        <v>1</v>
      </c>
      <c r="L1607">
        <v>413</v>
      </c>
      <c r="M1607">
        <v>30</v>
      </c>
      <c r="N1607" s="1">
        <f t="shared" si="200"/>
        <v>44938</v>
      </c>
      <c r="O1607" s="1">
        <f t="shared" si="201"/>
        <v>43101</v>
      </c>
      <c r="P1607" s="1">
        <f t="shared" si="202"/>
        <v>43739</v>
      </c>
      <c r="Q1607" s="8">
        <f t="shared" si="203"/>
        <v>0</v>
      </c>
      <c r="R1607" s="8">
        <f t="shared" si="204"/>
        <v>22</v>
      </c>
      <c r="S1607" s="8">
        <f t="shared" ca="1" si="205"/>
        <v>22</v>
      </c>
      <c r="T1607">
        <f t="shared" ca="1" si="206"/>
        <v>3.8171682621030412</v>
      </c>
      <c r="U1607" s="8">
        <f t="shared" ca="1" si="207"/>
        <v>1.6976069353472003</v>
      </c>
      <c r="V1607" s="8">
        <f ca="1">RawData[[#This Row],[Z (smoothed demand size)]]/RawData[[#This Row],[X (smoothed interval)]]</f>
        <v>2.2485583574282115</v>
      </c>
    </row>
    <row r="1608" spans="1:22">
      <c r="A1608" t="s">
        <v>41</v>
      </c>
      <c r="B1608" t="s">
        <v>39</v>
      </c>
      <c r="C1608">
        <v>27</v>
      </c>
      <c r="D1608" t="s">
        <v>22</v>
      </c>
      <c r="E1608" t="s">
        <v>16</v>
      </c>
      <c r="F1608" s="1">
        <v>43476</v>
      </c>
      <c r="G1608">
        <v>2</v>
      </c>
      <c r="H1608">
        <v>2</v>
      </c>
      <c r="I1608">
        <v>7</v>
      </c>
      <c r="J1608">
        <v>5</v>
      </c>
      <c r="K1608">
        <v>0</v>
      </c>
      <c r="L1608">
        <v>418</v>
      </c>
      <c r="M1608">
        <v>45</v>
      </c>
      <c r="N1608" s="1">
        <f t="shared" si="200"/>
        <v>44938</v>
      </c>
      <c r="O1608" s="1">
        <f t="shared" si="201"/>
        <v>43101</v>
      </c>
      <c r="P1608" s="1">
        <f t="shared" si="202"/>
        <v>43770</v>
      </c>
      <c r="Q1608" s="8">
        <f t="shared" si="203"/>
        <v>0</v>
      </c>
      <c r="R1608" s="8">
        <f t="shared" si="204"/>
        <v>23</v>
      </c>
      <c r="S1608" s="8">
        <f t="shared" ca="1" si="205"/>
        <v>23</v>
      </c>
      <c r="T1608">
        <f t="shared" ca="1" si="206"/>
        <v>3.4537346096824328</v>
      </c>
      <c r="U1608" s="8">
        <f t="shared" ca="1" si="207"/>
        <v>1.5580855482777602</v>
      </c>
      <c r="V1608" s="8">
        <f ca="1">RawData[[#This Row],[Z (smoothed demand size)]]/RawData[[#This Row],[X (smoothed interval)]]</f>
        <v>2.216652746378426</v>
      </c>
    </row>
    <row r="1609" spans="1:22">
      <c r="A1609" t="s">
        <v>41</v>
      </c>
      <c r="B1609" t="s">
        <v>39</v>
      </c>
      <c r="C1609">
        <v>27</v>
      </c>
      <c r="D1609" t="s">
        <v>22</v>
      </c>
      <c r="E1609" t="s">
        <v>16</v>
      </c>
      <c r="F1609" s="1">
        <v>43477</v>
      </c>
      <c r="G1609">
        <v>2</v>
      </c>
      <c r="H1609">
        <v>2</v>
      </c>
      <c r="I1609">
        <v>5</v>
      </c>
      <c r="J1609">
        <v>3</v>
      </c>
      <c r="K1609">
        <v>0</v>
      </c>
      <c r="L1609">
        <v>485</v>
      </c>
      <c r="M1609">
        <v>60</v>
      </c>
      <c r="N1609" s="1">
        <f t="shared" si="200"/>
        <v>44938</v>
      </c>
      <c r="O1609" s="1">
        <f t="shared" si="201"/>
        <v>43101</v>
      </c>
      <c r="P1609" s="1">
        <f t="shared" si="202"/>
        <v>43800</v>
      </c>
      <c r="Q1609" s="8">
        <f t="shared" si="203"/>
        <v>0</v>
      </c>
      <c r="R1609" s="8">
        <f t="shared" si="204"/>
        <v>24</v>
      </c>
      <c r="S1609" s="8">
        <f t="shared" ca="1" si="205"/>
        <v>24</v>
      </c>
      <c r="T1609">
        <f t="shared" ca="1" si="206"/>
        <v>3.1629876877459462</v>
      </c>
      <c r="U1609" s="8">
        <f t="shared" ca="1" si="207"/>
        <v>1.4464684386222082</v>
      </c>
      <c r="V1609" s="8">
        <f ca="1">RawData[[#This Row],[Z (smoothed demand size)]]/RawData[[#This Row],[X (smoothed interval)]]</f>
        <v>2.1866966490874553</v>
      </c>
    </row>
    <row r="1610" spans="1:22">
      <c r="A1610" t="s">
        <v>41</v>
      </c>
      <c r="B1610" t="s">
        <v>39</v>
      </c>
      <c r="C1610">
        <v>27</v>
      </c>
      <c r="D1610" t="s">
        <v>22</v>
      </c>
      <c r="E1610" t="s">
        <v>16</v>
      </c>
      <c r="F1610" s="1">
        <v>43831</v>
      </c>
      <c r="G1610">
        <v>3</v>
      </c>
      <c r="H1610">
        <v>3</v>
      </c>
      <c r="I1610">
        <v>3</v>
      </c>
      <c r="J1610">
        <v>0</v>
      </c>
      <c r="K1610">
        <v>0</v>
      </c>
      <c r="L1610">
        <v>407</v>
      </c>
      <c r="M1610">
        <v>60</v>
      </c>
      <c r="N1610" s="1">
        <f t="shared" si="200"/>
        <v>44938</v>
      </c>
      <c r="O1610" s="1">
        <f t="shared" si="201"/>
        <v>43101</v>
      </c>
      <c r="P1610" s="1">
        <f t="shared" si="202"/>
        <v>43831</v>
      </c>
      <c r="Q1610" s="8">
        <f t="shared" si="203"/>
        <v>0</v>
      </c>
      <c r="R1610" s="8">
        <f t="shared" si="204"/>
        <v>25</v>
      </c>
      <c r="S1610" s="8">
        <f t="shared" ca="1" si="205"/>
        <v>25</v>
      </c>
      <c r="T1610">
        <f t="shared" ca="1" si="206"/>
        <v>3.130390150196757</v>
      </c>
      <c r="U1610" s="8">
        <f t="shared" ca="1" si="207"/>
        <v>1.3571747508977665</v>
      </c>
      <c r="V1610" s="8">
        <f ca="1">RawData[[#This Row],[Z (smoothed demand size)]]/RawData[[#This Row],[X (smoothed interval)]]</f>
        <v>2.3065490631372376</v>
      </c>
    </row>
    <row r="1611" spans="1:22">
      <c r="A1611" t="s">
        <v>41</v>
      </c>
      <c r="B1611" t="s">
        <v>39</v>
      </c>
      <c r="C1611">
        <v>27</v>
      </c>
      <c r="D1611" t="s">
        <v>22</v>
      </c>
      <c r="E1611" t="s">
        <v>16</v>
      </c>
      <c r="F1611" s="1">
        <v>43832</v>
      </c>
      <c r="G1611">
        <v>0</v>
      </c>
      <c r="H1611">
        <v>0</v>
      </c>
      <c r="I1611">
        <v>8</v>
      </c>
      <c r="J1611">
        <v>8</v>
      </c>
      <c r="K1611">
        <v>0</v>
      </c>
      <c r="L1611">
        <v>419</v>
      </c>
      <c r="M1611">
        <v>45</v>
      </c>
      <c r="N1611" s="1">
        <f t="shared" si="200"/>
        <v>44938</v>
      </c>
      <c r="O1611" s="1">
        <f t="shared" si="201"/>
        <v>43101</v>
      </c>
      <c r="P1611" s="1">
        <f t="shared" si="202"/>
        <v>43862</v>
      </c>
      <c r="Q1611" s="8">
        <f t="shared" si="203"/>
        <v>0</v>
      </c>
      <c r="R1611" s="8">
        <f t="shared" si="204"/>
        <v>26</v>
      </c>
      <c r="S1611" s="8">
        <f t="shared" ca="1" si="205"/>
        <v>25</v>
      </c>
      <c r="T1611">
        <f t="shared" ca="1" si="206"/>
        <v>3.130390150196757</v>
      </c>
      <c r="U1611" s="8">
        <f t="shared" ca="1" si="207"/>
        <v>1.3571747508977665</v>
      </c>
      <c r="V1611" s="8">
        <f ca="1">RawData[[#This Row],[Z (smoothed demand size)]]/RawData[[#This Row],[X (smoothed interval)]]</f>
        <v>2.3065490631372376</v>
      </c>
    </row>
    <row r="1612" spans="1:22">
      <c r="A1612" t="s">
        <v>41</v>
      </c>
      <c r="B1612" t="s">
        <v>39</v>
      </c>
      <c r="C1612">
        <v>27</v>
      </c>
      <c r="D1612" t="s">
        <v>22</v>
      </c>
      <c r="E1612" t="s">
        <v>16</v>
      </c>
      <c r="F1612" s="1">
        <v>43833</v>
      </c>
      <c r="G1612">
        <v>0</v>
      </c>
      <c r="H1612">
        <v>0</v>
      </c>
      <c r="I1612">
        <v>8</v>
      </c>
      <c r="J1612">
        <v>8</v>
      </c>
      <c r="K1612">
        <v>0</v>
      </c>
      <c r="L1612">
        <v>411</v>
      </c>
      <c r="M1612">
        <v>15</v>
      </c>
      <c r="N1612" s="1">
        <f t="shared" si="200"/>
        <v>44938</v>
      </c>
      <c r="O1612" s="1">
        <f t="shared" si="201"/>
        <v>43101</v>
      </c>
      <c r="P1612" s="1">
        <f t="shared" si="202"/>
        <v>43891</v>
      </c>
      <c r="Q1612" s="8">
        <f t="shared" si="203"/>
        <v>0</v>
      </c>
      <c r="R1612" s="8">
        <f t="shared" si="204"/>
        <v>27</v>
      </c>
      <c r="S1612" s="8">
        <f t="shared" ca="1" si="205"/>
        <v>25</v>
      </c>
      <c r="T1612">
        <f t="shared" ca="1" si="206"/>
        <v>3.130390150196757</v>
      </c>
      <c r="U1612" s="8">
        <f t="shared" ca="1" si="207"/>
        <v>1.3571747508977665</v>
      </c>
      <c r="V1612" s="8">
        <f ca="1">RawData[[#This Row],[Z (smoothed demand size)]]/RawData[[#This Row],[X (smoothed interval)]]</f>
        <v>2.3065490631372376</v>
      </c>
    </row>
    <row r="1613" spans="1:22">
      <c r="A1613" t="s">
        <v>41</v>
      </c>
      <c r="B1613" t="s">
        <v>39</v>
      </c>
      <c r="C1613">
        <v>27</v>
      </c>
      <c r="D1613" t="s">
        <v>22</v>
      </c>
      <c r="E1613" t="s">
        <v>16</v>
      </c>
      <c r="F1613" s="1">
        <v>43834</v>
      </c>
      <c r="G1613">
        <v>2</v>
      </c>
      <c r="H1613">
        <v>2</v>
      </c>
      <c r="I1613">
        <v>8</v>
      </c>
      <c r="J1613">
        <v>6</v>
      </c>
      <c r="K1613">
        <v>0</v>
      </c>
      <c r="L1613">
        <v>413</v>
      </c>
      <c r="M1613">
        <v>30</v>
      </c>
      <c r="N1613" s="1">
        <f t="shared" si="200"/>
        <v>44938</v>
      </c>
      <c r="O1613" s="1">
        <f t="shared" si="201"/>
        <v>43101</v>
      </c>
      <c r="P1613" s="1">
        <f t="shared" si="202"/>
        <v>43922</v>
      </c>
      <c r="Q1613" s="8">
        <f t="shared" si="203"/>
        <v>0</v>
      </c>
      <c r="R1613" s="8">
        <f t="shared" si="204"/>
        <v>28</v>
      </c>
      <c r="S1613" s="8">
        <f t="shared" ca="1" si="205"/>
        <v>28</v>
      </c>
      <c r="T1613">
        <f t="shared" ca="1" si="206"/>
        <v>2.9043121201574058</v>
      </c>
      <c r="U1613" s="8">
        <f t="shared" ca="1" si="207"/>
        <v>1.6857398007182134</v>
      </c>
      <c r="V1613" s="8">
        <f ca="1">RawData[[#This Row],[Z (smoothed demand size)]]/RawData[[#This Row],[X (smoothed interval)]]</f>
        <v>1.7228709430245503</v>
      </c>
    </row>
    <row r="1614" spans="1:22">
      <c r="A1614" t="s">
        <v>41</v>
      </c>
      <c r="B1614" t="s">
        <v>39</v>
      </c>
      <c r="C1614">
        <v>27</v>
      </c>
      <c r="D1614" t="s">
        <v>22</v>
      </c>
      <c r="E1614" t="s">
        <v>16</v>
      </c>
      <c r="F1614" s="1">
        <v>43835</v>
      </c>
      <c r="G1614">
        <v>2</v>
      </c>
      <c r="H1614">
        <v>2</v>
      </c>
      <c r="I1614">
        <v>6</v>
      </c>
      <c r="J1614">
        <v>4</v>
      </c>
      <c r="K1614">
        <v>0</v>
      </c>
      <c r="L1614">
        <v>420</v>
      </c>
      <c r="M1614">
        <v>45</v>
      </c>
      <c r="N1614" s="1">
        <f t="shared" si="200"/>
        <v>44938</v>
      </c>
      <c r="O1614" s="1">
        <f t="shared" si="201"/>
        <v>43101</v>
      </c>
      <c r="P1614" s="1">
        <f t="shared" si="202"/>
        <v>43952</v>
      </c>
      <c r="Q1614" s="8">
        <f t="shared" si="203"/>
        <v>0</v>
      </c>
      <c r="R1614" s="8">
        <f t="shared" si="204"/>
        <v>29</v>
      </c>
      <c r="S1614" s="8">
        <f t="shared" ca="1" si="205"/>
        <v>29</v>
      </c>
      <c r="T1614">
        <f t="shared" ca="1" si="206"/>
        <v>2.7234496961259245</v>
      </c>
      <c r="U1614" s="8">
        <f t="shared" ca="1" si="207"/>
        <v>1.5485918405745707</v>
      </c>
      <c r="V1614" s="8">
        <f ca="1">RawData[[#This Row],[Z (smoothed demand size)]]/RawData[[#This Row],[X (smoothed interval)]]</f>
        <v>1.7586620468796019</v>
      </c>
    </row>
    <row r="1615" spans="1:22">
      <c r="A1615" t="s">
        <v>41</v>
      </c>
      <c r="B1615" t="s">
        <v>39</v>
      </c>
      <c r="C1615">
        <v>27</v>
      </c>
      <c r="D1615" t="s">
        <v>22</v>
      </c>
      <c r="E1615" t="s">
        <v>16</v>
      </c>
      <c r="F1615" s="1">
        <v>43836</v>
      </c>
      <c r="G1615">
        <v>4</v>
      </c>
      <c r="H1615">
        <v>4</v>
      </c>
      <c r="I1615">
        <v>4</v>
      </c>
      <c r="J1615">
        <v>0</v>
      </c>
      <c r="K1615">
        <v>0</v>
      </c>
      <c r="L1615">
        <v>472</v>
      </c>
      <c r="M1615">
        <v>45</v>
      </c>
      <c r="N1615" s="1">
        <f t="shared" si="200"/>
        <v>44938</v>
      </c>
      <c r="O1615" s="1">
        <f t="shared" si="201"/>
        <v>43101</v>
      </c>
      <c r="P1615" s="1">
        <f t="shared" si="202"/>
        <v>43983</v>
      </c>
      <c r="Q1615" s="8">
        <f t="shared" si="203"/>
        <v>0</v>
      </c>
      <c r="R1615" s="8">
        <f t="shared" si="204"/>
        <v>30</v>
      </c>
      <c r="S1615" s="8">
        <f t="shared" ca="1" si="205"/>
        <v>30</v>
      </c>
      <c r="T1615">
        <f t="shared" ca="1" si="206"/>
        <v>2.9787597569007396</v>
      </c>
      <c r="U1615" s="8">
        <f t="shared" ca="1" si="207"/>
        <v>1.4388734724596566</v>
      </c>
      <c r="V1615" s="8">
        <f ca="1">RawData[[#This Row],[Z (smoothed demand size)]]/RawData[[#This Row],[X (smoothed interval)]]</f>
        <v>2.0702027064330761</v>
      </c>
    </row>
    <row r="1616" spans="1:22">
      <c r="A1616" t="s">
        <v>41</v>
      </c>
      <c r="B1616" t="s">
        <v>39</v>
      </c>
      <c r="C1616">
        <v>27</v>
      </c>
      <c r="D1616" t="s">
        <v>22</v>
      </c>
      <c r="E1616" t="s">
        <v>16</v>
      </c>
      <c r="F1616" s="1">
        <v>43837</v>
      </c>
      <c r="G1616">
        <v>2</v>
      </c>
      <c r="H1616">
        <v>0</v>
      </c>
      <c r="I1616">
        <v>0</v>
      </c>
      <c r="J1616">
        <v>0</v>
      </c>
      <c r="K1616">
        <v>1</v>
      </c>
      <c r="L1616">
        <v>473</v>
      </c>
      <c r="M1616">
        <v>30</v>
      </c>
      <c r="N1616" s="1">
        <f t="shared" si="200"/>
        <v>44938</v>
      </c>
      <c r="O1616" s="1">
        <f t="shared" si="201"/>
        <v>43101</v>
      </c>
      <c r="P1616" s="1">
        <f t="shared" si="202"/>
        <v>44013</v>
      </c>
      <c r="Q1616" s="8">
        <f t="shared" si="203"/>
        <v>0</v>
      </c>
      <c r="R1616" s="8">
        <f t="shared" si="204"/>
        <v>31</v>
      </c>
      <c r="S1616" s="8">
        <f t="shared" ca="1" si="205"/>
        <v>31</v>
      </c>
      <c r="T1616">
        <f t="shared" ca="1" si="206"/>
        <v>2.7830078055205916</v>
      </c>
      <c r="U1616" s="8">
        <f t="shared" ca="1" si="207"/>
        <v>1.3510987779677253</v>
      </c>
      <c r="V1616" s="8">
        <f ca="1">RawData[[#This Row],[Z (smoothed demand size)]]/RawData[[#This Row],[X (smoothed interval)]]</f>
        <v>2.0598107635821363</v>
      </c>
    </row>
    <row r="1617" spans="1:22">
      <c r="A1617" t="s">
        <v>41</v>
      </c>
      <c r="B1617" t="s">
        <v>39</v>
      </c>
      <c r="C1617">
        <v>27</v>
      </c>
      <c r="D1617" t="s">
        <v>22</v>
      </c>
      <c r="E1617" t="s">
        <v>16</v>
      </c>
      <c r="F1617" s="1">
        <v>43838</v>
      </c>
      <c r="G1617">
        <v>0</v>
      </c>
      <c r="H1617">
        <v>0</v>
      </c>
      <c r="I1617">
        <v>9</v>
      </c>
      <c r="J1617">
        <v>9</v>
      </c>
      <c r="K1617">
        <v>0</v>
      </c>
      <c r="L1617">
        <v>471</v>
      </c>
      <c r="M1617">
        <v>45</v>
      </c>
      <c r="N1617" s="1">
        <f t="shared" si="200"/>
        <v>44938</v>
      </c>
      <c r="O1617" s="1">
        <f t="shared" si="201"/>
        <v>43101</v>
      </c>
      <c r="P1617" s="1">
        <f t="shared" si="202"/>
        <v>44044</v>
      </c>
      <c r="Q1617" s="8">
        <f t="shared" si="203"/>
        <v>0</v>
      </c>
      <c r="R1617" s="8">
        <f t="shared" si="204"/>
        <v>32</v>
      </c>
      <c r="S1617" s="8">
        <f t="shared" ca="1" si="205"/>
        <v>31</v>
      </c>
      <c r="T1617">
        <f t="shared" ca="1" si="206"/>
        <v>2.7830078055205916</v>
      </c>
      <c r="U1617" s="8">
        <f t="shared" ca="1" si="207"/>
        <v>1.3510987779677253</v>
      </c>
      <c r="V1617" s="8">
        <f ca="1">RawData[[#This Row],[Z (smoothed demand size)]]/RawData[[#This Row],[X (smoothed interval)]]</f>
        <v>2.0598107635821363</v>
      </c>
    </row>
    <row r="1618" spans="1:22">
      <c r="A1618" t="s">
        <v>41</v>
      </c>
      <c r="B1618" t="s">
        <v>39</v>
      </c>
      <c r="C1618">
        <v>27</v>
      </c>
      <c r="D1618" t="s">
        <v>22</v>
      </c>
      <c r="E1618" t="s">
        <v>16</v>
      </c>
      <c r="F1618" s="1">
        <v>43839</v>
      </c>
      <c r="G1618">
        <v>1</v>
      </c>
      <c r="H1618">
        <v>1</v>
      </c>
      <c r="I1618">
        <v>9</v>
      </c>
      <c r="J1618">
        <v>8</v>
      </c>
      <c r="K1618">
        <v>0</v>
      </c>
      <c r="L1618">
        <v>413</v>
      </c>
      <c r="M1618">
        <v>45</v>
      </c>
      <c r="N1618" s="1">
        <f t="shared" si="200"/>
        <v>44938</v>
      </c>
      <c r="O1618" s="1">
        <f t="shared" si="201"/>
        <v>43101</v>
      </c>
      <c r="P1618" s="1">
        <f t="shared" si="202"/>
        <v>44075</v>
      </c>
      <c r="Q1618" s="8">
        <f t="shared" si="203"/>
        <v>0</v>
      </c>
      <c r="R1618" s="8">
        <f t="shared" si="204"/>
        <v>33</v>
      </c>
      <c r="S1618" s="8">
        <f t="shared" ca="1" si="205"/>
        <v>33</v>
      </c>
      <c r="T1618">
        <f t="shared" ca="1" si="206"/>
        <v>2.4264062444164733</v>
      </c>
      <c r="U1618" s="8">
        <f t="shared" ca="1" si="207"/>
        <v>1.4808790223741801</v>
      </c>
      <c r="V1618" s="8">
        <f ca="1">RawData[[#This Row],[Z (smoothed demand size)]]/RawData[[#This Row],[X (smoothed interval)]]</f>
        <v>1.6384905233692904</v>
      </c>
    </row>
    <row r="1619" spans="1:22">
      <c r="A1619" t="s">
        <v>41</v>
      </c>
      <c r="B1619" t="s">
        <v>39</v>
      </c>
      <c r="C1619">
        <v>27</v>
      </c>
      <c r="D1619" t="s">
        <v>22</v>
      </c>
      <c r="E1619" t="s">
        <v>16</v>
      </c>
      <c r="F1619" s="1">
        <v>43840</v>
      </c>
      <c r="G1619">
        <v>0</v>
      </c>
      <c r="H1619">
        <v>0</v>
      </c>
      <c r="I1619">
        <v>8</v>
      </c>
      <c r="J1619">
        <v>8</v>
      </c>
      <c r="K1619">
        <v>0</v>
      </c>
      <c r="L1619">
        <v>414</v>
      </c>
      <c r="M1619">
        <v>60</v>
      </c>
      <c r="N1619" s="1">
        <f t="shared" si="200"/>
        <v>44938</v>
      </c>
      <c r="O1619" s="1">
        <f t="shared" si="201"/>
        <v>43101</v>
      </c>
      <c r="P1619" s="1">
        <f t="shared" si="202"/>
        <v>44105</v>
      </c>
      <c r="Q1619" s="8">
        <f t="shared" si="203"/>
        <v>0</v>
      </c>
      <c r="R1619" s="8">
        <f t="shared" si="204"/>
        <v>34</v>
      </c>
      <c r="S1619" s="8">
        <f t="shared" ca="1" si="205"/>
        <v>33</v>
      </c>
      <c r="T1619">
        <f t="shared" ca="1" si="206"/>
        <v>2.4264062444164733</v>
      </c>
      <c r="U1619" s="8">
        <f t="shared" ca="1" si="207"/>
        <v>1.4808790223741801</v>
      </c>
      <c r="V1619" s="8">
        <f ca="1">RawData[[#This Row],[Z (smoothed demand size)]]/RawData[[#This Row],[X (smoothed interval)]]</f>
        <v>1.6384905233692904</v>
      </c>
    </row>
    <row r="1620" spans="1:22">
      <c r="A1620" t="s">
        <v>41</v>
      </c>
      <c r="B1620" t="s">
        <v>39</v>
      </c>
      <c r="C1620">
        <v>27</v>
      </c>
      <c r="D1620" t="s">
        <v>22</v>
      </c>
      <c r="E1620" t="s">
        <v>16</v>
      </c>
      <c r="F1620" s="1">
        <v>43841</v>
      </c>
      <c r="G1620">
        <v>2</v>
      </c>
      <c r="H1620">
        <v>2</v>
      </c>
      <c r="I1620">
        <v>8</v>
      </c>
      <c r="J1620">
        <v>6</v>
      </c>
      <c r="K1620">
        <v>0</v>
      </c>
      <c r="L1620">
        <v>410</v>
      </c>
      <c r="M1620">
        <v>15</v>
      </c>
      <c r="N1620" s="1">
        <f t="shared" si="200"/>
        <v>44938</v>
      </c>
      <c r="O1620" s="1">
        <f t="shared" si="201"/>
        <v>43101</v>
      </c>
      <c r="P1620" s="1">
        <f t="shared" si="202"/>
        <v>44136</v>
      </c>
      <c r="Q1620" s="8">
        <f t="shared" si="203"/>
        <v>0</v>
      </c>
      <c r="R1620" s="8">
        <f t="shared" si="204"/>
        <v>35</v>
      </c>
      <c r="S1620" s="8">
        <f t="shared" ca="1" si="205"/>
        <v>35</v>
      </c>
      <c r="T1620">
        <f t="shared" ca="1" si="206"/>
        <v>2.3411249955331788</v>
      </c>
      <c r="U1620" s="8">
        <f t="shared" ca="1" si="207"/>
        <v>1.5847032178993441</v>
      </c>
      <c r="V1620" s="8">
        <f ca="1">RawData[[#This Row],[Z (smoothed demand size)]]/RawData[[#This Row],[X (smoothed interval)]]</f>
        <v>1.4773270913379823</v>
      </c>
    </row>
    <row r="1621" spans="1:22">
      <c r="A1621" t="s">
        <v>41</v>
      </c>
      <c r="B1621" t="s">
        <v>39</v>
      </c>
      <c r="C1621">
        <v>27</v>
      </c>
      <c r="D1621" t="s">
        <v>22</v>
      </c>
      <c r="E1621" t="s">
        <v>16</v>
      </c>
      <c r="F1621" s="1">
        <v>43842</v>
      </c>
      <c r="G1621">
        <v>1</v>
      </c>
      <c r="H1621">
        <v>1</v>
      </c>
      <c r="I1621">
        <v>6</v>
      </c>
      <c r="J1621">
        <v>5</v>
      </c>
      <c r="K1621">
        <v>0</v>
      </c>
      <c r="L1621">
        <v>481</v>
      </c>
      <c r="M1621">
        <v>15</v>
      </c>
      <c r="N1621" s="1">
        <f t="shared" si="200"/>
        <v>44938</v>
      </c>
      <c r="O1621" s="1">
        <f t="shared" si="201"/>
        <v>43101</v>
      </c>
      <c r="P1621" s="1">
        <f t="shared" si="202"/>
        <v>44166</v>
      </c>
      <c r="Q1621" s="8">
        <f t="shared" si="203"/>
        <v>0</v>
      </c>
      <c r="R1621" s="8">
        <f t="shared" si="204"/>
        <v>36</v>
      </c>
      <c r="S1621" s="8">
        <f t="shared" ca="1" si="205"/>
        <v>36</v>
      </c>
      <c r="T1621">
        <f t="shared" ca="1" si="206"/>
        <v>2.0728999964265431</v>
      </c>
      <c r="U1621" s="8">
        <f t="shared" ca="1" si="207"/>
        <v>1.4677625743194753</v>
      </c>
      <c r="V1621" s="8">
        <f ca="1">RawData[[#This Row],[Z (smoothed demand size)]]/RawData[[#This Row],[X (smoothed interval)]]</f>
        <v>1.4122856330409148</v>
      </c>
    </row>
    <row r="1622" spans="1:22">
      <c r="A1622" t="s">
        <v>41</v>
      </c>
      <c r="B1622" t="s">
        <v>39</v>
      </c>
      <c r="C1622">
        <v>27</v>
      </c>
      <c r="D1622" t="s">
        <v>22</v>
      </c>
      <c r="E1622" t="s">
        <v>16</v>
      </c>
      <c r="F1622" s="1">
        <v>44197</v>
      </c>
      <c r="G1622">
        <v>2</v>
      </c>
      <c r="H1622">
        <v>2</v>
      </c>
      <c r="I1622">
        <v>5</v>
      </c>
      <c r="J1622">
        <v>3</v>
      </c>
      <c r="K1622">
        <v>0</v>
      </c>
      <c r="L1622">
        <v>408</v>
      </c>
      <c r="M1622">
        <v>45</v>
      </c>
      <c r="N1622" s="1">
        <f t="shared" si="200"/>
        <v>44938</v>
      </c>
      <c r="O1622" s="1">
        <f t="shared" si="201"/>
        <v>43101</v>
      </c>
      <c r="P1622" s="1">
        <f t="shared" si="202"/>
        <v>44197</v>
      </c>
      <c r="Q1622" s="8">
        <f t="shared" si="203"/>
        <v>0</v>
      </c>
      <c r="R1622" s="8">
        <f t="shared" si="204"/>
        <v>37</v>
      </c>
      <c r="S1622" s="8">
        <f t="shared" ca="1" si="205"/>
        <v>37</v>
      </c>
      <c r="T1622">
        <f t="shared" ca="1" si="206"/>
        <v>2.0583199971412345</v>
      </c>
      <c r="U1622" s="8">
        <f t="shared" ca="1" si="207"/>
        <v>1.3742100594555802</v>
      </c>
      <c r="V1622" s="8">
        <f ca="1">RawData[[#This Row],[Z (smoothed demand size)]]/RawData[[#This Row],[X (smoothed interval)]]</f>
        <v>1.4978204991139983</v>
      </c>
    </row>
    <row r="1623" spans="1:22">
      <c r="A1623" t="s">
        <v>41</v>
      </c>
      <c r="B1623" t="s">
        <v>39</v>
      </c>
      <c r="C1623">
        <v>27</v>
      </c>
      <c r="D1623" t="s">
        <v>22</v>
      </c>
      <c r="E1623" t="s">
        <v>16</v>
      </c>
      <c r="F1623" s="1">
        <v>44198</v>
      </c>
      <c r="G1623">
        <v>0</v>
      </c>
      <c r="H1623">
        <v>0</v>
      </c>
      <c r="I1623">
        <v>3</v>
      </c>
      <c r="J1623">
        <v>3</v>
      </c>
      <c r="K1623">
        <v>0</v>
      </c>
      <c r="L1623">
        <v>413</v>
      </c>
      <c r="M1623">
        <v>60</v>
      </c>
      <c r="N1623" s="1">
        <f t="shared" si="200"/>
        <v>44938</v>
      </c>
      <c r="O1623" s="1">
        <f t="shared" si="201"/>
        <v>43101</v>
      </c>
      <c r="P1623" s="1">
        <f t="shared" si="202"/>
        <v>44228</v>
      </c>
      <c r="Q1623" s="8">
        <f t="shared" si="203"/>
        <v>0</v>
      </c>
      <c r="R1623" s="8">
        <f t="shared" si="204"/>
        <v>38</v>
      </c>
      <c r="S1623" s="8">
        <f t="shared" ca="1" si="205"/>
        <v>37</v>
      </c>
      <c r="T1623">
        <f t="shared" ca="1" si="206"/>
        <v>2.0583199971412345</v>
      </c>
      <c r="U1623" s="8">
        <f t="shared" ca="1" si="207"/>
        <v>1.3742100594555802</v>
      </c>
      <c r="V1623" s="8">
        <f ca="1">RawData[[#This Row],[Z (smoothed demand size)]]/RawData[[#This Row],[X (smoothed interval)]]</f>
        <v>1.4978204991139983</v>
      </c>
    </row>
    <row r="1624" spans="1:22">
      <c r="A1624" t="s">
        <v>41</v>
      </c>
      <c r="B1624" t="s">
        <v>39</v>
      </c>
      <c r="C1624">
        <v>27</v>
      </c>
      <c r="D1624" t="s">
        <v>22</v>
      </c>
      <c r="E1624" t="s">
        <v>16</v>
      </c>
      <c r="F1624" s="1">
        <v>44199</v>
      </c>
      <c r="G1624">
        <v>4</v>
      </c>
      <c r="H1624">
        <v>4</v>
      </c>
      <c r="I1624">
        <v>12</v>
      </c>
      <c r="J1624">
        <v>8</v>
      </c>
      <c r="K1624">
        <v>0</v>
      </c>
      <c r="L1624">
        <v>411</v>
      </c>
      <c r="M1624">
        <v>45</v>
      </c>
      <c r="N1624" s="1">
        <f t="shared" si="200"/>
        <v>44938</v>
      </c>
      <c r="O1624" s="1">
        <f t="shared" si="201"/>
        <v>43101</v>
      </c>
      <c r="P1624" s="1">
        <f t="shared" si="202"/>
        <v>44256</v>
      </c>
      <c r="Q1624" s="8">
        <f t="shared" si="203"/>
        <v>0</v>
      </c>
      <c r="R1624" s="8">
        <f t="shared" si="204"/>
        <v>39</v>
      </c>
      <c r="S1624" s="8">
        <f t="shared" ca="1" si="205"/>
        <v>39</v>
      </c>
      <c r="T1624">
        <f t="shared" ca="1" si="206"/>
        <v>2.4466559977129876</v>
      </c>
      <c r="U1624" s="8">
        <f t="shared" ca="1" si="207"/>
        <v>1.4993680475644644</v>
      </c>
      <c r="V1624" s="8">
        <f ca="1">RawData[[#This Row],[Z (smoothed demand size)]]/RawData[[#This Row],[X (smoothed interval)]]</f>
        <v>1.6317914748732132</v>
      </c>
    </row>
    <row r="1625" spans="1:22">
      <c r="A1625" t="s">
        <v>41</v>
      </c>
      <c r="B1625" t="s">
        <v>39</v>
      </c>
      <c r="C1625">
        <v>27</v>
      </c>
      <c r="D1625" t="s">
        <v>22</v>
      </c>
      <c r="E1625" t="s">
        <v>16</v>
      </c>
      <c r="F1625" s="1">
        <v>44200</v>
      </c>
      <c r="G1625">
        <v>0</v>
      </c>
      <c r="H1625">
        <v>0</v>
      </c>
      <c r="I1625">
        <v>8</v>
      </c>
      <c r="J1625">
        <v>8</v>
      </c>
      <c r="K1625">
        <v>0</v>
      </c>
      <c r="L1625">
        <v>416</v>
      </c>
      <c r="M1625">
        <v>15</v>
      </c>
      <c r="N1625" s="1">
        <f t="shared" si="200"/>
        <v>44938</v>
      </c>
      <c r="O1625" s="1">
        <f t="shared" si="201"/>
        <v>43101</v>
      </c>
      <c r="P1625" s="1">
        <f t="shared" si="202"/>
        <v>44287</v>
      </c>
      <c r="Q1625" s="8">
        <f t="shared" si="203"/>
        <v>0</v>
      </c>
      <c r="R1625" s="8">
        <f t="shared" si="204"/>
        <v>40</v>
      </c>
      <c r="S1625" s="8">
        <f t="shared" ca="1" si="205"/>
        <v>39</v>
      </c>
      <c r="T1625">
        <f t="shared" ca="1" si="206"/>
        <v>2.4466559977129876</v>
      </c>
      <c r="U1625" s="8">
        <f t="shared" ca="1" si="207"/>
        <v>1.4993680475644644</v>
      </c>
      <c r="V1625" s="8">
        <f ca="1">RawData[[#This Row],[Z (smoothed demand size)]]/RawData[[#This Row],[X (smoothed interval)]]</f>
        <v>1.6317914748732132</v>
      </c>
    </row>
    <row r="1626" spans="1:22">
      <c r="A1626" t="s">
        <v>41</v>
      </c>
      <c r="B1626" t="s">
        <v>39</v>
      </c>
      <c r="C1626">
        <v>27</v>
      </c>
      <c r="D1626" t="s">
        <v>22</v>
      </c>
      <c r="E1626" t="s">
        <v>16</v>
      </c>
      <c r="F1626" s="1">
        <v>44201</v>
      </c>
      <c r="G1626">
        <v>1</v>
      </c>
      <c r="H1626">
        <v>1</v>
      </c>
      <c r="I1626">
        <v>8</v>
      </c>
      <c r="J1626">
        <v>7</v>
      </c>
      <c r="K1626">
        <v>0</v>
      </c>
      <c r="L1626">
        <v>408</v>
      </c>
      <c r="M1626">
        <v>60</v>
      </c>
      <c r="N1626" s="1">
        <f t="shared" si="200"/>
        <v>44938</v>
      </c>
      <c r="O1626" s="1">
        <f t="shared" si="201"/>
        <v>43101</v>
      </c>
      <c r="P1626" s="1">
        <f t="shared" si="202"/>
        <v>44317</v>
      </c>
      <c r="Q1626" s="8">
        <f t="shared" si="203"/>
        <v>0</v>
      </c>
      <c r="R1626" s="8">
        <f t="shared" si="204"/>
        <v>41</v>
      </c>
      <c r="S1626" s="8">
        <f t="shared" ca="1" si="205"/>
        <v>41</v>
      </c>
      <c r="T1626">
        <f t="shared" ca="1" si="206"/>
        <v>2.1573247981703902</v>
      </c>
      <c r="U1626" s="8">
        <f t="shared" ca="1" si="207"/>
        <v>1.5994944380515714</v>
      </c>
      <c r="V1626" s="8">
        <f ca="1">RawData[[#This Row],[Z (smoothed demand size)]]/RawData[[#This Row],[X (smoothed interval)]]</f>
        <v>1.3487541730988082</v>
      </c>
    </row>
    <row r="1627" spans="1:22">
      <c r="A1627" t="s">
        <v>41</v>
      </c>
      <c r="B1627" t="s">
        <v>39</v>
      </c>
      <c r="C1627">
        <v>27</v>
      </c>
      <c r="D1627" t="s">
        <v>22</v>
      </c>
      <c r="E1627" t="s">
        <v>16</v>
      </c>
      <c r="F1627" s="1">
        <v>44202</v>
      </c>
      <c r="G1627">
        <v>2</v>
      </c>
      <c r="H1627">
        <v>2</v>
      </c>
      <c r="I1627">
        <v>7</v>
      </c>
      <c r="J1627">
        <v>5</v>
      </c>
      <c r="K1627">
        <v>0</v>
      </c>
      <c r="L1627">
        <v>476</v>
      </c>
      <c r="M1627">
        <v>60</v>
      </c>
      <c r="N1627" s="1">
        <f t="shared" si="200"/>
        <v>44938</v>
      </c>
      <c r="O1627" s="1">
        <f t="shared" si="201"/>
        <v>43101</v>
      </c>
      <c r="P1627" s="1">
        <f t="shared" si="202"/>
        <v>44348</v>
      </c>
      <c r="Q1627" s="8">
        <f t="shared" si="203"/>
        <v>0</v>
      </c>
      <c r="R1627" s="8">
        <f t="shared" si="204"/>
        <v>42</v>
      </c>
      <c r="S1627" s="8">
        <f t="shared" ca="1" si="205"/>
        <v>42</v>
      </c>
      <c r="T1627">
        <f t="shared" ca="1" si="206"/>
        <v>2.1258598385363121</v>
      </c>
      <c r="U1627" s="8">
        <f t="shared" ca="1" si="207"/>
        <v>1.4795955504412572</v>
      </c>
      <c r="V1627" s="8">
        <f ca="1">RawData[[#This Row],[Z (smoothed demand size)]]/RawData[[#This Row],[X (smoothed interval)]]</f>
        <v>1.4367844225419037</v>
      </c>
    </row>
    <row r="1628" spans="1:22">
      <c r="A1628" t="s">
        <v>41</v>
      </c>
      <c r="B1628" t="s">
        <v>39</v>
      </c>
      <c r="C1628">
        <v>27</v>
      </c>
      <c r="D1628" t="s">
        <v>22</v>
      </c>
      <c r="E1628" t="s">
        <v>16</v>
      </c>
      <c r="F1628" s="1">
        <v>44203</v>
      </c>
      <c r="G1628">
        <v>0</v>
      </c>
      <c r="H1628">
        <v>0</v>
      </c>
      <c r="I1628">
        <v>5</v>
      </c>
      <c r="J1628">
        <v>5</v>
      </c>
      <c r="K1628">
        <v>0</v>
      </c>
      <c r="L1628">
        <v>484</v>
      </c>
      <c r="M1628">
        <v>15</v>
      </c>
      <c r="N1628" s="1">
        <f t="shared" si="200"/>
        <v>44938</v>
      </c>
      <c r="O1628" s="1">
        <f t="shared" si="201"/>
        <v>43101</v>
      </c>
      <c r="P1628" s="1">
        <f t="shared" si="202"/>
        <v>44378</v>
      </c>
      <c r="Q1628" s="8">
        <f t="shared" si="203"/>
        <v>0</v>
      </c>
      <c r="R1628" s="8">
        <f t="shared" si="204"/>
        <v>43</v>
      </c>
      <c r="S1628" s="8">
        <f t="shared" ca="1" si="205"/>
        <v>42</v>
      </c>
      <c r="T1628">
        <f t="shared" ca="1" si="206"/>
        <v>2.1258598385363121</v>
      </c>
      <c r="U1628" s="8">
        <f t="shared" ca="1" si="207"/>
        <v>1.4795955504412572</v>
      </c>
      <c r="V1628" s="8">
        <f ca="1">RawData[[#This Row],[Z (smoothed demand size)]]/RawData[[#This Row],[X (smoothed interval)]]</f>
        <v>1.4367844225419037</v>
      </c>
    </row>
    <row r="1629" spans="1:22">
      <c r="A1629" t="s">
        <v>41</v>
      </c>
      <c r="B1629" t="s">
        <v>39</v>
      </c>
      <c r="C1629">
        <v>27</v>
      </c>
      <c r="D1629" t="s">
        <v>22</v>
      </c>
      <c r="E1629" t="s">
        <v>16</v>
      </c>
      <c r="F1629" s="1">
        <v>44204</v>
      </c>
      <c r="G1629">
        <v>3</v>
      </c>
      <c r="H1629">
        <v>3</v>
      </c>
      <c r="I1629">
        <v>5</v>
      </c>
      <c r="J1629">
        <v>2</v>
      </c>
      <c r="K1629">
        <v>0</v>
      </c>
      <c r="L1629">
        <v>466</v>
      </c>
      <c r="M1629">
        <v>60</v>
      </c>
      <c r="N1629" s="1">
        <f t="shared" si="200"/>
        <v>44938</v>
      </c>
      <c r="O1629" s="1">
        <f t="shared" si="201"/>
        <v>43101</v>
      </c>
      <c r="P1629" s="1">
        <f t="shared" si="202"/>
        <v>44409</v>
      </c>
      <c r="Q1629" s="8">
        <f t="shared" si="203"/>
        <v>0</v>
      </c>
      <c r="R1629" s="8">
        <f t="shared" si="204"/>
        <v>44</v>
      </c>
      <c r="S1629" s="8">
        <f t="shared" ca="1" si="205"/>
        <v>44</v>
      </c>
      <c r="T1629">
        <f t="shared" ca="1" si="206"/>
        <v>2.3006878708290497</v>
      </c>
      <c r="U1629" s="8">
        <f t="shared" ca="1" si="207"/>
        <v>1.5836764403530057</v>
      </c>
      <c r="V1629" s="8">
        <f ca="1">RawData[[#This Row],[Z (smoothed demand size)]]/RawData[[#This Row],[X (smoothed interval)]]</f>
        <v>1.4527512136988161</v>
      </c>
    </row>
    <row r="1630" spans="1:22">
      <c r="A1630" t="s">
        <v>41</v>
      </c>
      <c r="B1630" t="s">
        <v>39</v>
      </c>
      <c r="C1630">
        <v>27</v>
      </c>
      <c r="D1630" t="s">
        <v>22</v>
      </c>
      <c r="E1630" t="s">
        <v>16</v>
      </c>
      <c r="F1630" s="1">
        <v>44205</v>
      </c>
      <c r="G1630">
        <v>2</v>
      </c>
      <c r="H1630">
        <v>2</v>
      </c>
      <c r="I1630">
        <v>2</v>
      </c>
      <c r="J1630">
        <v>0</v>
      </c>
      <c r="K1630">
        <v>0</v>
      </c>
      <c r="L1630">
        <v>408</v>
      </c>
      <c r="M1630">
        <v>15</v>
      </c>
      <c r="N1630" s="1">
        <f t="shared" si="200"/>
        <v>44938</v>
      </c>
      <c r="O1630" s="1">
        <f t="shared" si="201"/>
        <v>43101</v>
      </c>
      <c r="P1630" s="1">
        <f t="shared" si="202"/>
        <v>44440</v>
      </c>
      <c r="Q1630" s="8">
        <f t="shared" si="203"/>
        <v>0</v>
      </c>
      <c r="R1630" s="8">
        <f t="shared" si="204"/>
        <v>45</v>
      </c>
      <c r="S1630" s="8">
        <f t="shared" ca="1" si="205"/>
        <v>45</v>
      </c>
      <c r="T1630">
        <f t="shared" ca="1" si="206"/>
        <v>2.24055029666324</v>
      </c>
      <c r="U1630" s="8">
        <f t="shared" ca="1" si="207"/>
        <v>1.4669411522824045</v>
      </c>
      <c r="V1630" s="8">
        <f ca="1">RawData[[#This Row],[Z (smoothed demand size)]]/RawData[[#This Row],[X (smoothed interval)]]</f>
        <v>1.5273620848233631</v>
      </c>
    </row>
    <row r="1631" spans="1:22">
      <c r="A1631" t="s">
        <v>41</v>
      </c>
      <c r="B1631" t="s">
        <v>39</v>
      </c>
      <c r="C1631">
        <v>27</v>
      </c>
      <c r="D1631" t="s">
        <v>22</v>
      </c>
      <c r="E1631" t="s">
        <v>16</v>
      </c>
      <c r="F1631" s="1">
        <v>44206</v>
      </c>
      <c r="G1631">
        <v>0</v>
      </c>
      <c r="H1631">
        <v>0</v>
      </c>
      <c r="I1631">
        <v>9</v>
      </c>
      <c r="J1631">
        <v>9</v>
      </c>
      <c r="K1631">
        <v>0</v>
      </c>
      <c r="L1631">
        <v>420</v>
      </c>
      <c r="M1631">
        <v>15</v>
      </c>
      <c r="N1631" s="1">
        <f t="shared" si="200"/>
        <v>44938</v>
      </c>
      <c r="O1631" s="1">
        <f t="shared" si="201"/>
        <v>43101</v>
      </c>
      <c r="P1631" s="1">
        <f t="shared" si="202"/>
        <v>44470</v>
      </c>
      <c r="Q1631" s="8">
        <f t="shared" si="203"/>
        <v>0</v>
      </c>
      <c r="R1631" s="8">
        <f t="shared" si="204"/>
        <v>46</v>
      </c>
      <c r="S1631" s="8">
        <f t="shared" ca="1" si="205"/>
        <v>45</v>
      </c>
      <c r="T1631">
        <f t="shared" ca="1" si="206"/>
        <v>2.24055029666324</v>
      </c>
      <c r="U1631" s="8">
        <f t="shared" ca="1" si="207"/>
        <v>1.4669411522824045</v>
      </c>
      <c r="V1631" s="8">
        <f ca="1">RawData[[#This Row],[Z (smoothed demand size)]]/RawData[[#This Row],[X (smoothed interval)]]</f>
        <v>1.5273620848233631</v>
      </c>
    </row>
    <row r="1632" spans="1:22">
      <c r="A1632" t="s">
        <v>41</v>
      </c>
      <c r="B1632" t="s">
        <v>39</v>
      </c>
      <c r="C1632">
        <v>27</v>
      </c>
      <c r="D1632" t="s">
        <v>22</v>
      </c>
      <c r="E1632" t="s">
        <v>16</v>
      </c>
      <c r="F1632" s="1">
        <v>44207</v>
      </c>
      <c r="G1632">
        <v>3</v>
      </c>
      <c r="H1632">
        <v>3</v>
      </c>
      <c r="I1632">
        <v>9</v>
      </c>
      <c r="J1632">
        <v>6</v>
      </c>
      <c r="K1632">
        <v>0</v>
      </c>
      <c r="L1632">
        <v>411</v>
      </c>
      <c r="M1632">
        <v>15</v>
      </c>
      <c r="N1632" s="1">
        <f t="shared" si="200"/>
        <v>44938</v>
      </c>
      <c r="O1632" s="1">
        <f t="shared" si="201"/>
        <v>43101</v>
      </c>
      <c r="P1632" s="1">
        <f t="shared" si="202"/>
        <v>44501</v>
      </c>
      <c r="Q1632" s="8">
        <f t="shared" si="203"/>
        <v>0</v>
      </c>
      <c r="R1632" s="8">
        <f t="shared" si="204"/>
        <v>47</v>
      </c>
      <c r="S1632" s="8">
        <f t="shared" ca="1" si="205"/>
        <v>47</v>
      </c>
      <c r="T1632">
        <f t="shared" ca="1" si="206"/>
        <v>2.3924402373305922</v>
      </c>
      <c r="U1632" s="8">
        <f t="shared" ca="1" si="207"/>
        <v>1.5735529218259239</v>
      </c>
      <c r="V1632" s="8">
        <f ca="1">RawData[[#This Row],[Z (smoothed demand size)]]/RawData[[#This Row],[X (smoothed interval)]]</f>
        <v>1.5204065933508264</v>
      </c>
    </row>
    <row r="1633" spans="1:22">
      <c r="A1633" t="s">
        <v>41</v>
      </c>
      <c r="B1633" t="s">
        <v>39</v>
      </c>
      <c r="C1633">
        <v>27</v>
      </c>
      <c r="D1633" t="s">
        <v>22</v>
      </c>
      <c r="E1633" t="s">
        <v>16</v>
      </c>
      <c r="F1633" s="1">
        <v>44208</v>
      </c>
      <c r="G1633">
        <v>7</v>
      </c>
      <c r="H1633">
        <v>6</v>
      </c>
      <c r="I1633">
        <v>6</v>
      </c>
      <c r="J1633">
        <v>0</v>
      </c>
      <c r="K1633">
        <v>1</v>
      </c>
      <c r="L1633">
        <v>473</v>
      </c>
      <c r="M1633">
        <v>15</v>
      </c>
      <c r="N1633" s="1">
        <f t="shared" si="200"/>
        <v>44938</v>
      </c>
      <c r="O1633" s="1">
        <f t="shared" si="201"/>
        <v>43101</v>
      </c>
      <c r="P1633" s="1">
        <f t="shared" si="202"/>
        <v>44531</v>
      </c>
      <c r="Q1633" s="8">
        <f t="shared" si="203"/>
        <v>0</v>
      </c>
      <c r="R1633" s="8">
        <f t="shared" si="204"/>
        <v>48</v>
      </c>
      <c r="S1633" s="8">
        <f t="shared" ca="1" si="205"/>
        <v>48</v>
      </c>
      <c r="T1633">
        <f t="shared" ca="1" si="206"/>
        <v>3.3139521898644739</v>
      </c>
      <c r="U1633" s="8">
        <f t="shared" ca="1" si="207"/>
        <v>1.4588423374607391</v>
      </c>
      <c r="V1633" s="8">
        <f ca="1">RawData[[#This Row],[Z (smoothed demand size)]]/RawData[[#This Row],[X (smoothed interval)]]</f>
        <v>2.271631488041908</v>
      </c>
    </row>
    <row r="1634" spans="1:22">
      <c r="A1634" t="s">
        <v>41</v>
      </c>
      <c r="B1634" t="s">
        <v>39</v>
      </c>
      <c r="C1634">
        <v>27</v>
      </c>
      <c r="D1634" t="s">
        <v>22</v>
      </c>
      <c r="E1634" t="s">
        <v>16</v>
      </c>
      <c r="F1634" s="1">
        <v>44562</v>
      </c>
      <c r="G1634">
        <v>2</v>
      </c>
      <c r="H1634">
        <v>2</v>
      </c>
      <c r="I1634">
        <v>11</v>
      </c>
      <c r="J1634">
        <v>9</v>
      </c>
      <c r="K1634">
        <v>0</v>
      </c>
      <c r="L1634">
        <v>409</v>
      </c>
      <c r="M1634">
        <v>60</v>
      </c>
      <c r="N1634" s="1">
        <f t="shared" si="200"/>
        <v>44938</v>
      </c>
      <c r="O1634" s="1">
        <f t="shared" si="201"/>
        <v>43101</v>
      </c>
      <c r="P1634" s="1">
        <f t="shared" si="202"/>
        <v>44562</v>
      </c>
      <c r="Q1634" s="8">
        <f t="shared" si="203"/>
        <v>0</v>
      </c>
      <c r="R1634" s="8">
        <f t="shared" si="204"/>
        <v>49</v>
      </c>
      <c r="S1634" s="8">
        <f t="shared" ca="1" si="205"/>
        <v>49</v>
      </c>
      <c r="T1634">
        <f t="shared" ca="1" si="206"/>
        <v>3.0511617518915792</v>
      </c>
      <c r="U1634" s="8">
        <f t="shared" ca="1" si="207"/>
        <v>1.3670738699685914</v>
      </c>
      <c r="V1634" s="8">
        <f ca="1">RawData[[#This Row],[Z (smoothed demand size)]]/RawData[[#This Row],[X (smoothed interval)]]</f>
        <v>2.2318923789843779</v>
      </c>
    </row>
    <row r="1635" spans="1:22">
      <c r="A1635" t="s">
        <v>41</v>
      </c>
      <c r="B1635" t="s">
        <v>39</v>
      </c>
      <c r="C1635">
        <v>27</v>
      </c>
      <c r="D1635" t="s">
        <v>22</v>
      </c>
      <c r="E1635" t="s">
        <v>16</v>
      </c>
      <c r="F1635" s="1">
        <v>44563</v>
      </c>
      <c r="G1635">
        <v>1</v>
      </c>
      <c r="H1635">
        <v>1</v>
      </c>
      <c r="I1635">
        <v>9</v>
      </c>
      <c r="J1635">
        <v>8</v>
      </c>
      <c r="K1635">
        <v>0</v>
      </c>
      <c r="L1635">
        <v>417</v>
      </c>
      <c r="M1635">
        <v>60</v>
      </c>
      <c r="N1635" s="1">
        <f t="shared" si="200"/>
        <v>44938</v>
      </c>
      <c r="O1635" s="1">
        <f t="shared" si="201"/>
        <v>43101</v>
      </c>
      <c r="P1635" s="1">
        <f t="shared" si="202"/>
        <v>44593</v>
      </c>
      <c r="Q1635" s="8">
        <f t="shared" si="203"/>
        <v>0</v>
      </c>
      <c r="R1635" s="8">
        <f t="shared" si="204"/>
        <v>50</v>
      </c>
      <c r="S1635" s="8">
        <f t="shared" ca="1" si="205"/>
        <v>50</v>
      </c>
      <c r="T1635">
        <f t="shared" ca="1" si="206"/>
        <v>2.6409294015132638</v>
      </c>
      <c r="U1635" s="8">
        <f t="shared" ca="1" si="207"/>
        <v>1.2936590959748731</v>
      </c>
      <c r="V1635" s="8">
        <f ca="1">RawData[[#This Row],[Z (smoothed demand size)]]/RawData[[#This Row],[X (smoothed interval)]]</f>
        <v>2.0414415279344653</v>
      </c>
    </row>
    <row r="1636" spans="1:22">
      <c r="A1636" t="s">
        <v>41</v>
      </c>
      <c r="B1636" t="s">
        <v>39</v>
      </c>
      <c r="C1636">
        <v>27</v>
      </c>
      <c r="D1636" t="s">
        <v>22</v>
      </c>
      <c r="E1636" t="s">
        <v>16</v>
      </c>
      <c r="F1636" s="1">
        <v>44564</v>
      </c>
      <c r="G1636">
        <v>1</v>
      </c>
      <c r="H1636">
        <v>1</v>
      </c>
      <c r="I1636">
        <v>8</v>
      </c>
      <c r="J1636">
        <v>7</v>
      </c>
      <c r="K1636">
        <v>0</v>
      </c>
      <c r="L1636">
        <v>403</v>
      </c>
      <c r="M1636">
        <v>45</v>
      </c>
      <c r="N1636" s="1">
        <f t="shared" si="200"/>
        <v>44938</v>
      </c>
      <c r="O1636" s="1">
        <f t="shared" si="201"/>
        <v>43101</v>
      </c>
      <c r="P1636" s="1">
        <f t="shared" si="202"/>
        <v>44621</v>
      </c>
      <c r="Q1636" s="8">
        <f t="shared" si="203"/>
        <v>0</v>
      </c>
      <c r="R1636" s="8">
        <f t="shared" si="204"/>
        <v>51</v>
      </c>
      <c r="S1636" s="8">
        <f t="shared" ca="1" si="205"/>
        <v>51</v>
      </c>
      <c r="T1636">
        <f t="shared" ca="1" si="206"/>
        <v>2.3127435212106113</v>
      </c>
      <c r="U1636" s="8">
        <f t="shared" ca="1" si="207"/>
        <v>1.2349272767798984</v>
      </c>
      <c r="V1636" s="8">
        <f ca="1">RawData[[#This Row],[Z (smoothed demand size)]]/RawData[[#This Row],[X (smoothed interval)]]</f>
        <v>1.8727770976450886</v>
      </c>
    </row>
    <row r="1637" spans="1:22">
      <c r="A1637" t="s">
        <v>41</v>
      </c>
      <c r="B1637" t="s">
        <v>39</v>
      </c>
      <c r="C1637">
        <v>27</v>
      </c>
      <c r="D1637" t="s">
        <v>22</v>
      </c>
      <c r="E1637" t="s">
        <v>16</v>
      </c>
      <c r="F1637" s="1">
        <v>44565</v>
      </c>
      <c r="G1637">
        <v>5</v>
      </c>
      <c r="H1637">
        <v>5</v>
      </c>
      <c r="I1637">
        <v>7</v>
      </c>
      <c r="J1637">
        <v>2</v>
      </c>
      <c r="K1637">
        <v>0</v>
      </c>
      <c r="L1637">
        <v>415</v>
      </c>
      <c r="M1637">
        <v>30</v>
      </c>
      <c r="N1637" s="1">
        <f t="shared" si="200"/>
        <v>44938</v>
      </c>
      <c r="O1637" s="1">
        <f t="shared" si="201"/>
        <v>43101</v>
      </c>
      <c r="P1637" s="1">
        <f t="shared" si="202"/>
        <v>44652</v>
      </c>
      <c r="Q1637" s="8">
        <f t="shared" si="203"/>
        <v>0</v>
      </c>
      <c r="R1637" s="8">
        <f t="shared" si="204"/>
        <v>52</v>
      </c>
      <c r="S1637" s="8">
        <f t="shared" ca="1" si="205"/>
        <v>52</v>
      </c>
      <c r="T1637">
        <f t="shared" ca="1" si="206"/>
        <v>2.8501948169684894</v>
      </c>
      <c r="U1637" s="8">
        <f t="shared" ca="1" si="207"/>
        <v>1.1879418214239188</v>
      </c>
      <c r="V1637" s="8">
        <f ca="1">RawData[[#This Row],[Z (smoothed demand size)]]/RawData[[#This Row],[X (smoothed interval)]]</f>
        <v>2.3992713831323167</v>
      </c>
    </row>
    <row r="1638" spans="1:22">
      <c r="A1638" t="s">
        <v>41</v>
      </c>
      <c r="B1638" t="s">
        <v>39</v>
      </c>
      <c r="C1638">
        <v>27</v>
      </c>
      <c r="D1638" t="s">
        <v>22</v>
      </c>
      <c r="E1638" t="s">
        <v>16</v>
      </c>
      <c r="F1638" s="1">
        <v>44566</v>
      </c>
      <c r="G1638">
        <v>3</v>
      </c>
      <c r="H1638">
        <v>3</v>
      </c>
      <c r="I1638">
        <v>14</v>
      </c>
      <c r="J1638">
        <v>11</v>
      </c>
      <c r="K1638">
        <v>0</v>
      </c>
      <c r="L1638">
        <v>404</v>
      </c>
      <c r="M1638">
        <v>60</v>
      </c>
      <c r="N1638" s="1">
        <f t="shared" si="200"/>
        <v>44938</v>
      </c>
      <c r="O1638" s="1">
        <f t="shared" si="201"/>
        <v>43101</v>
      </c>
      <c r="P1638" s="1">
        <f t="shared" si="202"/>
        <v>44682</v>
      </c>
      <c r="Q1638" s="8">
        <f t="shared" si="203"/>
        <v>0</v>
      </c>
      <c r="R1638" s="8">
        <f t="shared" si="204"/>
        <v>53</v>
      </c>
      <c r="S1638" s="8">
        <f t="shared" ca="1" si="205"/>
        <v>53</v>
      </c>
      <c r="T1638">
        <f t="shared" ca="1" si="206"/>
        <v>2.8801558535747915</v>
      </c>
      <c r="U1638" s="8">
        <f t="shared" ca="1" si="207"/>
        <v>1.1503534571391352</v>
      </c>
      <c r="V1638" s="8">
        <f ca="1">RawData[[#This Row],[Z (smoothed demand size)]]/RawData[[#This Row],[X (smoothed interval)]]</f>
        <v>2.503713824390617</v>
      </c>
    </row>
    <row r="1639" spans="1:22">
      <c r="A1639" t="s">
        <v>41</v>
      </c>
      <c r="B1639" t="s">
        <v>39</v>
      </c>
      <c r="C1639">
        <v>27</v>
      </c>
      <c r="D1639" t="s">
        <v>22</v>
      </c>
      <c r="E1639" t="s">
        <v>16</v>
      </c>
      <c r="F1639" s="1">
        <v>44567</v>
      </c>
      <c r="G1639">
        <v>0</v>
      </c>
      <c r="H1639">
        <v>0</v>
      </c>
      <c r="I1639">
        <v>11</v>
      </c>
      <c r="J1639">
        <v>11</v>
      </c>
      <c r="K1639">
        <v>0</v>
      </c>
      <c r="L1639">
        <v>464</v>
      </c>
      <c r="M1639">
        <v>30</v>
      </c>
      <c r="N1639" s="1">
        <f t="shared" si="200"/>
        <v>44938</v>
      </c>
      <c r="O1639" s="1">
        <f t="shared" si="201"/>
        <v>43101</v>
      </c>
      <c r="P1639" s="1">
        <f t="shared" si="202"/>
        <v>44713</v>
      </c>
      <c r="Q1639" s="8">
        <f t="shared" si="203"/>
        <v>0</v>
      </c>
      <c r="R1639" s="8">
        <f t="shared" si="204"/>
        <v>54</v>
      </c>
      <c r="S1639" s="8">
        <f t="shared" ca="1" si="205"/>
        <v>53</v>
      </c>
      <c r="T1639">
        <f t="shared" ca="1" si="206"/>
        <v>2.8801558535747915</v>
      </c>
      <c r="U1639" s="8">
        <f t="shared" ca="1" si="207"/>
        <v>1.1503534571391352</v>
      </c>
      <c r="V1639" s="8">
        <f ca="1">RawData[[#This Row],[Z (smoothed demand size)]]/RawData[[#This Row],[X (smoothed interval)]]</f>
        <v>2.503713824390617</v>
      </c>
    </row>
    <row r="1640" spans="1:22">
      <c r="A1640" t="s">
        <v>41</v>
      </c>
      <c r="B1640" t="s">
        <v>39</v>
      </c>
      <c r="C1640">
        <v>27</v>
      </c>
      <c r="D1640" t="s">
        <v>22</v>
      </c>
      <c r="E1640" t="s">
        <v>16</v>
      </c>
      <c r="F1640" s="1">
        <v>44568</v>
      </c>
      <c r="G1640">
        <v>4</v>
      </c>
      <c r="H1640">
        <v>4</v>
      </c>
      <c r="I1640">
        <v>11</v>
      </c>
      <c r="J1640">
        <v>7</v>
      </c>
      <c r="K1640">
        <v>0</v>
      </c>
      <c r="L1640">
        <v>466</v>
      </c>
      <c r="M1640">
        <v>15</v>
      </c>
      <c r="N1640" s="1">
        <f t="shared" si="200"/>
        <v>44938</v>
      </c>
      <c r="O1640" s="1">
        <f t="shared" si="201"/>
        <v>43101</v>
      </c>
      <c r="P1640" s="1">
        <f t="shared" si="202"/>
        <v>44743</v>
      </c>
      <c r="Q1640" s="8">
        <f t="shared" si="203"/>
        <v>0</v>
      </c>
      <c r="R1640" s="8">
        <f t="shared" si="204"/>
        <v>55</v>
      </c>
      <c r="S1640" s="8">
        <f t="shared" ca="1" si="205"/>
        <v>55</v>
      </c>
      <c r="T1640">
        <f t="shared" ca="1" si="206"/>
        <v>3.1041246828598332</v>
      </c>
      <c r="U1640" s="8">
        <f t="shared" ca="1" si="207"/>
        <v>1.3202827657113083</v>
      </c>
      <c r="V1640" s="8">
        <f ca="1">RawData[[#This Row],[Z (smoothed demand size)]]/RawData[[#This Row],[X (smoothed interval)]]</f>
        <v>2.3511059626590458</v>
      </c>
    </row>
    <row r="1641" spans="1:22">
      <c r="A1641" t="s">
        <v>41</v>
      </c>
      <c r="B1641" t="s">
        <v>39</v>
      </c>
      <c r="C1641">
        <v>27</v>
      </c>
      <c r="D1641" t="s">
        <v>22</v>
      </c>
      <c r="E1641" t="s">
        <v>16</v>
      </c>
      <c r="F1641" s="1">
        <v>44569</v>
      </c>
      <c r="G1641">
        <v>2</v>
      </c>
      <c r="H1641">
        <v>2</v>
      </c>
      <c r="I1641">
        <v>7</v>
      </c>
      <c r="J1641">
        <v>5</v>
      </c>
      <c r="K1641">
        <v>0</v>
      </c>
      <c r="L1641">
        <v>471</v>
      </c>
      <c r="M1641">
        <v>60</v>
      </c>
      <c r="N1641" s="1">
        <f t="shared" si="200"/>
        <v>44938</v>
      </c>
      <c r="O1641" s="1">
        <f t="shared" si="201"/>
        <v>43101</v>
      </c>
      <c r="P1641" s="1">
        <f t="shared" si="202"/>
        <v>44774</v>
      </c>
      <c r="Q1641" s="8">
        <f t="shared" si="203"/>
        <v>0</v>
      </c>
      <c r="R1641" s="8">
        <f t="shared" si="204"/>
        <v>56</v>
      </c>
      <c r="S1641" s="8">
        <f t="shared" ca="1" si="205"/>
        <v>56</v>
      </c>
      <c r="T1641">
        <f t="shared" ca="1" si="206"/>
        <v>2.8832997462878667</v>
      </c>
      <c r="U1641" s="8">
        <f t="shared" ca="1" si="207"/>
        <v>1.2562262125690467</v>
      </c>
      <c r="V1641" s="8">
        <f ca="1">RawData[[#This Row],[Z (smoothed demand size)]]/RawData[[#This Row],[X (smoothed interval)]]</f>
        <v>2.2952074375134806</v>
      </c>
    </row>
    <row r="1642" spans="1:22">
      <c r="A1642" t="s">
        <v>41</v>
      </c>
      <c r="B1642" t="s">
        <v>39</v>
      </c>
      <c r="C1642">
        <v>27</v>
      </c>
      <c r="D1642" t="s">
        <v>22</v>
      </c>
      <c r="E1642" t="s">
        <v>16</v>
      </c>
      <c r="F1642" s="1">
        <v>44570</v>
      </c>
      <c r="G1642">
        <v>2</v>
      </c>
      <c r="H1642">
        <v>2</v>
      </c>
      <c r="I1642">
        <v>5</v>
      </c>
      <c r="J1642">
        <v>3</v>
      </c>
      <c r="K1642">
        <v>0</v>
      </c>
      <c r="L1642">
        <v>407</v>
      </c>
      <c r="M1642">
        <v>30</v>
      </c>
      <c r="N1642" s="1">
        <f t="shared" si="200"/>
        <v>44938</v>
      </c>
      <c r="O1642" s="1">
        <f t="shared" si="201"/>
        <v>43101</v>
      </c>
      <c r="P1642" s="1">
        <f t="shared" si="202"/>
        <v>44805</v>
      </c>
      <c r="Q1642" s="8">
        <f t="shared" si="203"/>
        <v>0</v>
      </c>
      <c r="R1642" s="8">
        <f t="shared" si="204"/>
        <v>57</v>
      </c>
      <c r="S1642" s="8">
        <f t="shared" ca="1" si="205"/>
        <v>57</v>
      </c>
      <c r="T1642">
        <f t="shared" ca="1" si="206"/>
        <v>2.7066397970302933</v>
      </c>
      <c r="U1642" s="8">
        <f t="shared" ca="1" si="207"/>
        <v>1.2049809700552374</v>
      </c>
      <c r="V1642" s="8">
        <f ca="1">RawData[[#This Row],[Z (smoothed demand size)]]/RawData[[#This Row],[X (smoothed interval)]]</f>
        <v>2.2462095786510377</v>
      </c>
    </row>
    <row r="1643" spans="1:22">
      <c r="A1643" t="s">
        <v>41</v>
      </c>
      <c r="B1643" t="s">
        <v>39</v>
      </c>
      <c r="C1643">
        <v>27</v>
      </c>
      <c r="D1643" t="s">
        <v>22</v>
      </c>
      <c r="E1643" t="s">
        <v>16</v>
      </c>
      <c r="F1643" s="1">
        <v>44571</v>
      </c>
      <c r="G1643">
        <v>1</v>
      </c>
      <c r="H1643">
        <v>1</v>
      </c>
      <c r="I1643">
        <v>13</v>
      </c>
      <c r="J1643">
        <v>12</v>
      </c>
      <c r="K1643">
        <v>0</v>
      </c>
      <c r="L1643">
        <v>407</v>
      </c>
      <c r="M1643">
        <v>60</v>
      </c>
      <c r="N1643" s="1">
        <f t="shared" si="200"/>
        <v>44938</v>
      </c>
      <c r="O1643" s="1">
        <f t="shared" si="201"/>
        <v>43101</v>
      </c>
      <c r="P1643" s="1">
        <f t="shared" si="202"/>
        <v>44835</v>
      </c>
      <c r="Q1643" s="8">
        <f t="shared" si="203"/>
        <v>0</v>
      </c>
      <c r="R1643" s="8">
        <f t="shared" si="204"/>
        <v>58</v>
      </c>
      <c r="S1643" s="8">
        <f t="shared" ca="1" si="205"/>
        <v>58</v>
      </c>
      <c r="T1643">
        <f t="shared" ca="1" si="206"/>
        <v>2.365311837624235</v>
      </c>
      <c r="U1643" s="8">
        <f t="shared" ca="1" si="207"/>
        <v>1.1639847760441899</v>
      </c>
      <c r="V1643" s="8">
        <f ca="1">RawData[[#This Row],[Z (smoothed demand size)]]/RawData[[#This Row],[X (smoothed interval)]]</f>
        <v>2.0320814209123621</v>
      </c>
    </row>
    <row r="1644" spans="1:22">
      <c r="A1644" t="s">
        <v>41</v>
      </c>
      <c r="B1644" t="s">
        <v>39</v>
      </c>
      <c r="C1644">
        <v>27</v>
      </c>
      <c r="D1644" t="s">
        <v>22</v>
      </c>
      <c r="E1644" t="s">
        <v>16</v>
      </c>
      <c r="F1644" s="1">
        <v>44572</v>
      </c>
      <c r="G1644">
        <v>1</v>
      </c>
      <c r="H1644">
        <v>1</v>
      </c>
      <c r="I1644">
        <v>12</v>
      </c>
      <c r="J1644">
        <v>11</v>
      </c>
      <c r="K1644">
        <v>0</v>
      </c>
      <c r="L1644">
        <v>406</v>
      </c>
      <c r="M1644">
        <v>15</v>
      </c>
      <c r="N1644" s="1">
        <f t="shared" si="200"/>
        <v>44938</v>
      </c>
      <c r="O1644" s="1">
        <f t="shared" si="201"/>
        <v>43101</v>
      </c>
      <c r="P1644" s="1">
        <f t="shared" si="202"/>
        <v>44866</v>
      </c>
      <c r="Q1644" s="8">
        <f t="shared" si="203"/>
        <v>0</v>
      </c>
      <c r="R1644" s="8">
        <f t="shared" si="204"/>
        <v>59</v>
      </c>
      <c r="S1644" s="8">
        <f t="shared" ca="1" si="205"/>
        <v>59</v>
      </c>
      <c r="T1644">
        <f t="shared" ca="1" si="206"/>
        <v>2.0922494700993881</v>
      </c>
      <c r="U1644" s="8">
        <f t="shared" ca="1" si="207"/>
        <v>1.1311878208353521</v>
      </c>
      <c r="V1644" s="8">
        <f ca="1">RawData[[#This Row],[Z (smoothed demand size)]]/RawData[[#This Row],[X (smoothed interval)]]</f>
        <v>1.8496039575057639</v>
      </c>
    </row>
    <row r="1645" spans="1:22">
      <c r="A1645" t="s">
        <v>41</v>
      </c>
      <c r="B1645" t="s">
        <v>39</v>
      </c>
      <c r="C1645">
        <v>27</v>
      </c>
      <c r="D1645" t="s">
        <v>22</v>
      </c>
      <c r="E1645" t="s">
        <v>16</v>
      </c>
      <c r="F1645" s="1">
        <v>44573</v>
      </c>
      <c r="G1645">
        <v>3</v>
      </c>
      <c r="H1645">
        <v>3</v>
      </c>
      <c r="I1645">
        <v>11</v>
      </c>
      <c r="J1645">
        <v>8</v>
      </c>
      <c r="K1645">
        <v>0</v>
      </c>
      <c r="L1645">
        <v>467</v>
      </c>
      <c r="M1645">
        <v>30</v>
      </c>
      <c r="N1645" s="1">
        <f t="shared" si="200"/>
        <v>44938</v>
      </c>
      <c r="O1645" s="1">
        <f t="shared" si="201"/>
        <v>43101</v>
      </c>
      <c r="P1645" s="1">
        <f t="shared" si="202"/>
        <v>44896</v>
      </c>
      <c r="Q1645" s="8">
        <f t="shared" si="203"/>
        <v>0</v>
      </c>
      <c r="R1645" s="8">
        <f t="shared" si="204"/>
        <v>60</v>
      </c>
      <c r="S1645" s="8">
        <f t="shared" ca="1" si="205"/>
        <v>60</v>
      </c>
      <c r="T1645">
        <f t="shared" ca="1" si="206"/>
        <v>2.2737995760795107</v>
      </c>
      <c r="U1645" s="8">
        <f t="shared" ca="1" si="207"/>
        <v>1.1049502566682816</v>
      </c>
      <c r="V1645" s="8">
        <f ca="1">RawData[[#This Row],[Z (smoothed demand size)]]/RawData[[#This Row],[X (smoothed interval)]]</f>
        <v>2.0578298094030223</v>
      </c>
    </row>
    <row r="1646" spans="1:22">
      <c r="A1646" t="s">
        <v>41</v>
      </c>
      <c r="B1646" t="s">
        <v>39</v>
      </c>
      <c r="C1646">
        <v>27</v>
      </c>
      <c r="D1646" t="s">
        <v>22</v>
      </c>
      <c r="E1646" t="s">
        <v>16</v>
      </c>
      <c r="F1646" s="1">
        <v>44927</v>
      </c>
      <c r="G1646">
        <v>4</v>
      </c>
      <c r="H1646">
        <v>4</v>
      </c>
      <c r="I1646">
        <v>8</v>
      </c>
      <c r="J1646">
        <v>4</v>
      </c>
      <c r="K1646">
        <v>0</v>
      </c>
      <c r="L1646">
        <v>405</v>
      </c>
      <c r="M1646">
        <v>15</v>
      </c>
      <c r="N1646" s="1">
        <f t="shared" si="200"/>
        <v>44938</v>
      </c>
      <c r="O1646" s="1">
        <f t="shared" si="201"/>
        <v>43101</v>
      </c>
      <c r="P1646" s="1">
        <f t="shared" si="202"/>
        <v>44927</v>
      </c>
      <c r="Q1646" s="8">
        <f t="shared" si="203"/>
        <v>0</v>
      </c>
      <c r="R1646" s="8">
        <f t="shared" si="204"/>
        <v>61</v>
      </c>
      <c r="S1646" s="8">
        <f t="shared" ca="1" si="205"/>
        <v>61</v>
      </c>
      <c r="T1646">
        <f t="shared" ca="1" si="206"/>
        <v>2.6190396608636086</v>
      </c>
      <c r="U1646" s="8">
        <f t="shared" ca="1" si="207"/>
        <v>1.0839602053346253</v>
      </c>
      <c r="V1646" s="8">
        <f ca="1">RawData[[#This Row],[Z (smoothed demand size)]]/RawData[[#This Row],[X (smoothed interval)]]</f>
        <v>2.4161769481704307</v>
      </c>
    </row>
    <row r="1647" spans="1:22">
      <c r="A1647" t="s">
        <v>41</v>
      </c>
      <c r="B1647" t="s">
        <v>39</v>
      </c>
      <c r="C1647">
        <v>27</v>
      </c>
      <c r="D1647" t="s">
        <v>22</v>
      </c>
      <c r="E1647" t="s">
        <v>16</v>
      </c>
      <c r="F1647" s="1">
        <v>44928</v>
      </c>
      <c r="G1647">
        <v>1</v>
      </c>
      <c r="H1647">
        <v>1</v>
      </c>
      <c r="I1647">
        <v>4</v>
      </c>
      <c r="J1647">
        <v>3</v>
      </c>
      <c r="K1647">
        <v>0</v>
      </c>
      <c r="L1647">
        <v>410</v>
      </c>
      <c r="M1647">
        <v>60</v>
      </c>
      <c r="N1647" s="1">
        <f t="shared" si="200"/>
        <v>44938</v>
      </c>
      <c r="O1647" s="1">
        <f t="shared" si="201"/>
        <v>43101</v>
      </c>
      <c r="P1647" s="1">
        <f t="shared" si="202"/>
        <v>44958</v>
      </c>
      <c r="Q1647" s="8">
        <f t="shared" si="203"/>
        <v>0</v>
      </c>
      <c r="R1647" s="8">
        <f t="shared" si="204"/>
        <v>62</v>
      </c>
      <c r="S1647" s="8">
        <f t="shared" ca="1" si="205"/>
        <v>62</v>
      </c>
      <c r="T1647">
        <f t="shared" ca="1" si="206"/>
        <v>2.295231728690887</v>
      </c>
      <c r="U1647" s="8">
        <f t="shared" ca="1" si="207"/>
        <v>1.0671681642677002</v>
      </c>
      <c r="V1647" s="8">
        <f ca="1">RawData[[#This Row],[Z (smoothed demand size)]]/RawData[[#This Row],[X (smoothed interval)]]</f>
        <v>2.150768553207258</v>
      </c>
    </row>
    <row r="1648" spans="1:22">
      <c r="A1648" t="s">
        <v>41</v>
      </c>
      <c r="B1648" t="s">
        <v>39</v>
      </c>
      <c r="C1648">
        <v>27</v>
      </c>
      <c r="D1648" t="s">
        <v>22</v>
      </c>
      <c r="E1648" t="s">
        <v>16</v>
      </c>
      <c r="F1648" s="1">
        <v>44929</v>
      </c>
      <c r="G1648">
        <v>0</v>
      </c>
      <c r="H1648">
        <v>0</v>
      </c>
      <c r="I1648">
        <v>3</v>
      </c>
      <c r="J1648">
        <v>3</v>
      </c>
      <c r="K1648">
        <v>0</v>
      </c>
      <c r="L1648">
        <v>406</v>
      </c>
      <c r="M1648">
        <v>15</v>
      </c>
      <c r="N1648" s="1">
        <f t="shared" si="200"/>
        <v>44938</v>
      </c>
      <c r="O1648" s="1">
        <f t="shared" si="201"/>
        <v>43101</v>
      </c>
      <c r="P1648" s="1">
        <f t="shared" si="202"/>
        <v>44986</v>
      </c>
      <c r="Q1648" s="8">
        <f t="shared" si="203"/>
        <v>0</v>
      </c>
      <c r="R1648" s="8">
        <f t="shared" si="204"/>
        <v>63</v>
      </c>
      <c r="S1648" s="8">
        <f t="shared" ca="1" si="205"/>
        <v>62</v>
      </c>
      <c r="T1648">
        <f t="shared" ca="1" si="206"/>
        <v>2.295231728690887</v>
      </c>
      <c r="U1648" s="8">
        <f t="shared" ca="1" si="207"/>
        <v>1.0671681642677002</v>
      </c>
      <c r="V1648" s="8">
        <f ca="1">RawData[[#This Row],[Z (smoothed demand size)]]/RawData[[#This Row],[X (smoothed interval)]]</f>
        <v>2.150768553207258</v>
      </c>
    </row>
    <row r="1649" spans="1:22">
      <c r="A1649" t="s">
        <v>41</v>
      </c>
      <c r="B1649" t="s">
        <v>39</v>
      </c>
      <c r="C1649">
        <v>27</v>
      </c>
      <c r="D1649" t="s">
        <v>22</v>
      </c>
      <c r="E1649" t="s">
        <v>16</v>
      </c>
      <c r="F1649" s="1">
        <v>44930</v>
      </c>
      <c r="G1649">
        <v>0</v>
      </c>
      <c r="H1649">
        <v>0</v>
      </c>
      <c r="I1649">
        <v>10</v>
      </c>
      <c r="J1649">
        <v>10</v>
      </c>
      <c r="K1649">
        <v>0</v>
      </c>
      <c r="L1649">
        <v>398</v>
      </c>
      <c r="M1649">
        <v>30</v>
      </c>
      <c r="N1649" s="1">
        <f t="shared" si="200"/>
        <v>44938</v>
      </c>
      <c r="O1649" s="1">
        <f t="shared" si="201"/>
        <v>43101</v>
      </c>
      <c r="P1649" s="1">
        <f t="shared" si="202"/>
        <v>45017</v>
      </c>
      <c r="Q1649" s="8">
        <f t="shared" si="203"/>
        <v>0</v>
      </c>
      <c r="R1649" s="8">
        <f t="shared" si="204"/>
        <v>64</v>
      </c>
      <c r="S1649" s="8">
        <f t="shared" ca="1" si="205"/>
        <v>62</v>
      </c>
      <c r="T1649">
        <f t="shared" ca="1" si="206"/>
        <v>2.295231728690887</v>
      </c>
      <c r="U1649" s="8">
        <f t="shared" ca="1" si="207"/>
        <v>1.0671681642677002</v>
      </c>
      <c r="V1649" s="8">
        <f ca="1">RawData[[#This Row],[Z (smoothed demand size)]]/RawData[[#This Row],[X (smoothed interval)]]</f>
        <v>2.150768553207258</v>
      </c>
    </row>
    <row r="1650" spans="1:22">
      <c r="A1650" t="s">
        <v>41</v>
      </c>
      <c r="B1650" t="s">
        <v>39</v>
      </c>
      <c r="C1650">
        <v>27</v>
      </c>
      <c r="D1650" t="s">
        <v>22</v>
      </c>
      <c r="E1650" t="s">
        <v>16</v>
      </c>
      <c r="F1650" s="1">
        <v>44931</v>
      </c>
      <c r="G1650">
        <v>0</v>
      </c>
      <c r="H1650">
        <v>0</v>
      </c>
      <c r="I1650">
        <v>10</v>
      </c>
      <c r="J1650">
        <v>10</v>
      </c>
      <c r="K1650">
        <v>0</v>
      </c>
      <c r="L1650">
        <v>409</v>
      </c>
      <c r="M1650">
        <v>30</v>
      </c>
      <c r="N1650" s="1">
        <f t="shared" si="200"/>
        <v>44938</v>
      </c>
      <c r="O1650" s="1">
        <f t="shared" si="201"/>
        <v>43101</v>
      </c>
      <c r="P1650" s="1">
        <f t="shared" si="202"/>
        <v>45047</v>
      </c>
      <c r="Q1650" s="8">
        <f t="shared" si="203"/>
        <v>0</v>
      </c>
      <c r="R1650" s="8">
        <f t="shared" si="204"/>
        <v>65</v>
      </c>
      <c r="S1650" s="8">
        <f t="shared" ca="1" si="205"/>
        <v>62</v>
      </c>
      <c r="T1650">
        <f t="shared" ca="1" si="206"/>
        <v>2.295231728690887</v>
      </c>
      <c r="U1650" s="8">
        <f t="shared" ca="1" si="207"/>
        <v>1.0671681642677002</v>
      </c>
      <c r="V1650" s="8">
        <f ca="1">RawData[[#This Row],[Z (smoothed demand size)]]/RawData[[#This Row],[X (smoothed interval)]]</f>
        <v>2.150768553207258</v>
      </c>
    </row>
    <row r="1651" spans="1:22">
      <c r="A1651" t="s">
        <v>41</v>
      </c>
      <c r="B1651" t="s">
        <v>39</v>
      </c>
      <c r="C1651">
        <v>27</v>
      </c>
      <c r="D1651" t="s">
        <v>22</v>
      </c>
      <c r="E1651" t="s">
        <v>16</v>
      </c>
      <c r="F1651" s="1">
        <v>44932</v>
      </c>
      <c r="G1651">
        <v>3</v>
      </c>
      <c r="H1651">
        <v>3</v>
      </c>
      <c r="I1651">
        <v>10</v>
      </c>
      <c r="J1651">
        <v>7</v>
      </c>
      <c r="K1651">
        <v>0</v>
      </c>
      <c r="L1651">
        <v>474</v>
      </c>
      <c r="M1651">
        <v>45</v>
      </c>
      <c r="N1651" s="1">
        <f t="shared" si="200"/>
        <v>44938</v>
      </c>
      <c r="O1651" s="1">
        <f t="shared" si="201"/>
        <v>43101</v>
      </c>
      <c r="P1651" s="1">
        <f t="shared" si="202"/>
        <v>45078</v>
      </c>
      <c r="Q1651" s="8">
        <f t="shared" si="203"/>
        <v>0</v>
      </c>
      <c r="R1651" s="8">
        <f t="shared" si="204"/>
        <v>66</v>
      </c>
      <c r="S1651" s="8">
        <f t="shared" ca="1" si="205"/>
        <v>66</v>
      </c>
      <c r="T1651">
        <f t="shared" ca="1" si="206"/>
        <v>2.4361853829527096</v>
      </c>
      <c r="U1651" s="8">
        <f t="shared" ca="1" si="207"/>
        <v>1.6537345314141603</v>
      </c>
      <c r="V1651" s="8">
        <f ca="1">RawData[[#This Row],[Z (smoothed demand size)]]/RawData[[#This Row],[X (smoothed interval)]]</f>
        <v>1.4731417507920397</v>
      </c>
    </row>
    <row r="1652" spans="1:22">
      <c r="A1652" t="s">
        <v>41</v>
      </c>
      <c r="B1652" t="s">
        <v>39</v>
      </c>
      <c r="C1652">
        <v>27</v>
      </c>
      <c r="D1652" t="s">
        <v>22</v>
      </c>
      <c r="E1652" t="s">
        <v>16</v>
      </c>
      <c r="F1652" s="1">
        <v>44933</v>
      </c>
      <c r="G1652">
        <v>0</v>
      </c>
      <c r="H1652">
        <v>0</v>
      </c>
      <c r="I1652">
        <v>7</v>
      </c>
      <c r="J1652">
        <v>7</v>
      </c>
      <c r="K1652">
        <v>0</v>
      </c>
      <c r="L1652">
        <v>469</v>
      </c>
      <c r="M1652">
        <v>60</v>
      </c>
      <c r="N1652" s="1">
        <f t="shared" si="200"/>
        <v>44938</v>
      </c>
      <c r="O1652" s="1">
        <f t="shared" si="201"/>
        <v>43101</v>
      </c>
      <c r="P1652" s="1">
        <f t="shared" si="202"/>
        <v>45108</v>
      </c>
      <c r="Q1652" s="8">
        <f t="shared" si="203"/>
        <v>0</v>
      </c>
      <c r="R1652" s="8">
        <f t="shared" si="204"/>
        <v>67</v>
      </c>
      <c r="S1652" s="8">
        <f t="shared" ca="1" si="205"/>
        <v>66</v>
      </c>
      <c r="T1652">
        <f t="shared" ca="1" si="206"/>
        <v>2.4361853829527096</v>
      </c>
      <c r="U1652" s="8">
        <f t="shared" ca="1" si="207"/>
        <v>1.6537345314141603</v>
      </c>
      <c r="V1652" s="8">
        <f ca="1">RawData[[#This Row],[Z (smoothed demand size)]]/RawData[[#This Row],[X (smoothed interval)]]</f>
        <v>1.4731417507920397</v>
      </c>
    </row>
    <row r="1653" spans="1:22">
      <c r="A1653" t="s">
        <v>41</v>
      </c>
      <c r="B1653" t="s">
        <v>39</v>
      </c>
      <c r="C1653">
        <v>27</v>
      </c>
      <c r="D1653" t="s">
        <v>22</v>
      </c>
      <c r="E1653" t="s">
        <v>16</v>
      </c>
      <c r="F1653" s="1">
        <v>44934</v>
      </c>
      <c r="G1653">
        <v>0</v>
      </c>
      <c r="H1653">
        <v>0</v>
      </c>
      <c r="I1653">
        <v>7</v>
      </c>
      <c r="J1653">
        <v>7</v>
      </c>
      <c r="K1653">
        <v>0</v>
      </c>
      <c r="L1653">
        <v>464</v>
      </c>
      <c r="M1653">
        <v>45</v>
      </c>
      <c r="N1653" s="1">
        <f t="shared" si="200"/>
        <v>44938</v>
      </c>
      <c r="O1653" s="1">
        <f t="shared" si="201"/>
        <v>43101</v>
      </c>
      <c r="P1653" s="1">
        <f t="shared" si="202"/>
        <v>45139</v>
      </c>
      <c r="Q1653" s="8">
        <f t="shared" si="203"/>
        <v>0</v>
      </c>
      <c r="R1653" s="8">
        <f t="shared" si="204"/>
        <v>68</v>
      </c>
      <c r="S1653" s="8">
        <f t="shared" ca="1" si="205"/>
        <v>66</v>
      </c>
      <c r="T1653">
        <f t="shared" ca="1" si="206"/>
        <v>2.4361853829527096</v>
      </c>
      <c r="U1653" s="8">
        <f t="shared" ca="1" si="207"/>
        <v>1.6537345314141603</v>
      </c>
      <c r="V1653" s="8">
        <f ca="1">RawData[[#This Row],[Z (smoothed demand size)]]/RawData[[#This Row],[X (smoothed interval)]]</f>
        <v>1.4731417507920397</v>
      </c>
    </row>
    <row r="1654" spans="1:22">
      <c r="A1654" t="s">
        <v>41</v>
      </c>
      <c r="B1654" t="s">
        <v>39</v>
      </c>
      <c r="C1654">
        <v>27</v>
      </c>
      <c r="D1654" t="s">
        <v>22</v>
      </c>
      <c r="E1654" t="s">
        <v>16</v>
      </c>
      <c r="F1654" s="1">
        <v>44935</v>
      </c>
      <c r="G1654">
        <v>2</v>
      </c>
      <c r="H1654">
        <v>2</v>
      </c>
      <c r="I1654">
        <v>7</v>
      </c>
      <c r="J1654">
        <v>5</v>
      </c>
      <c r="K1654">
        <v>0</v>
      </c>
      <c r="L1654">
        <v>412</v>
      </c>
      <c r="M1654">
        <v>15</v>
      </c>
      <c r="N1654" s="1">
        <f t="shared" si="200"/>
        <v>44938</v>
      </c>
      <c r="O1654" s="1">
        <f t="shared" si="201"/>
        <v>43101</v>
      </c>
      <c r="P1654" s="1">
        <f t="shared" si="202"/>
        <v>45170</v>
      </c>
      <c r="Q1654" s="8">
        <f t="shared" si="203"/>
        <v>0</v>
      </c>
      <c r="R1654" s="8">
        <f t="shared" si="204"/>
        <v>69</v>
      </c>
      <c r="S1654" s="8">
        <f t="shared" ca="1" si="205"/>
        <v>69</v>
      </c>
      <c r="T1654">
        <f t="shared" ca="1" si="206"/>
        <v>2.3489483063621677</v>
      </c>
      <c r="U1654" s="8">
        <f t="shared" ca="1" si="207"/>
        <v>1.9229876251313285</v>
      </c>
      <c r="V1654" s="8">
        <f ca="1">RawData[[#This Row],[Z (smoothed demand size)]]/RawData[[#This Row],[X (smoothed interval)]]</f>
        <v>1.2215098400343314</v>
      </c>
    </row>
    <row r="1655" spans="1:22">
      <c r="A1655" t="s">
        <v>41</v>
      </c>
      <c r="B1655" t="s">
        <v>39</v>
      </c>
      <c r="C1655">
        <v>27</v>
      </c>
      <c r="D1655" t="s">
        <v>22</v>
      </c>
      <c r="E1655" t="s">
        <v>16</v>
      </c>
      <c r="F1655" s="1">
        <v>44936</v>
      </c>
      <c r="G1655">
        <v>2</v>
      </c>
      <c r="H1655">
        <v>2</v>
      </c>
      <c r="I1655">
        <v>5</v>
      </c>
      <c r="J1655">
        <v>3</v>
      </c>
      <c r="K1655">
        <v>0</v>
      </c>
      <c r="L1655">
        <v>403</v>
      </c>
      <c r="M1655">
        <v>45</v>
      </c>
      <c r="N1655" s="1">
        <f t="shared" si="200"/>
        <v>44938</v>
      </c>
      <c r="O1655" s="1">
        <f t="shared" si="201"/>
        <v>43101</v>
      </c>
      <c r="P1655" s="1">
        <f t="shared" si="202"/>
        <v>45200</v>
      </c>
      <c r="Q1655" s="8">
        <f t="shared" si="203"/>
        <v>0</v>
      </c>
      <c r="R1655" s="8">
        <f t="shared" si="204"/>
        <v>70</v>
      </c>
      <c r="S1655" s="8">
        <f t="shared" ca="1" si="205"/>
        <v>70</v>
      </c>
      <c r="T1655">
        <f t="shared" ca="1" si="206"/>
        <v>2.2791586450897343</v>
      </c>
      <c r="U1655" s="8">
        <f t="shared" ca="1" si="207"/>
        <v>1.7383901001050628</v>
      </c>
      <c r="V1655" s="8">
        <f ca="1">RawData[[#This Row],[Z (smoothed demand size)]]/RawData[[#This Row],[X (smoothed interval)]]</f>
        <v>1.3110743353588985</v>
      </c>
    </row>
    <row r="1656" spans="1:22">
      <c r="A1656" t="s">
        <v>41</v>
      </c>
      <c r="B1656" t="s">
        <v>39</v>
      </c>
      <c r="C1656">
        <v>27</v>
      </c>
      <c r="D1656" t="s">
        <v>22</v>
      </c>
      <c r="E1656" t="s">
        <v>16</v>
      </c>
      <c r="F1656" s="1">
        <v>44937</v>
      </c>
      <c r="G1656">
        <v>0</v>
      </c>
      <c r="H1656">
        <v>0</v>
      </c>
      <c r="I1656">
        <v>3</v>
      </c>
      <c r="J1656">
        <v>3</v>
      </c>
      <c r="K1656">
        <v>0</v>
      </c>
      <c r="L1656">
        <v>407</v>
      </c>
      <c r="M1656">
        <v>15</v>
      </c>
      <c r="N1656" s="1">
        <f t="shared" si="200"/>
        <v>44938</v>
      </c>
      <c r="O1656" s="1">
        <f t="shared" si="201"/>
        <v>43101</v>
      </c>
      <c r="P1656" s="1">
        <f t="shared" si="202"/>
        <v>45231</v>
      </c>
      <c r="Q1656" s="8">
        <f t="shared" si="203"/>
        <v>0</v>
      </c>
      <c r="R1656" s="8">
        <f t="shared" si="204"/>
        <v>71</v>
      </c>
      <c r="S1656" s="8">
        <f t="shared" ca="1" si="205"/>
        <v>70</v>
      </c>
      <c r="T1656">
        <f t="shared" ca="1" si="206"/>
        <v>2.2791586450897343</v>
      </c>
      <c r="U1656" s="8">
        <f t="shared" ca="1" si="207"/>
        <v>1.7383901001050628</v>
      </c>
      <c r="V1656" s="8">
        <f ca="1">RawData[[#This Row],[Z (smoothed demand size)]]/RawData[[#This Row],[X (smoothed interval)]]</f>
        <v>1.3110743353588985</v>
      </c>
    </row>
    <row r="1657" spans="1:22">
      <c r="A1657" t="s">
        <v>41</v>
      </c>
      <c r="B1657" t="s">
        <v>39</v>
      </c>
      <c r="C1657">
        <v>27</v>
      </c>
      <c r="D1657" t="s">
        <v>22</v>
      </c>
      <c r="E1657" t="s">
        <v>16</v>
      </c>
      <c r="F1657" s="1">
        <v>44938</v>
      </c>
      <c r="G1657">
        <v>2</v>
      </c>
      <c r="H1657">
        <v>2</v>
      </c>
      <c r="I1657">
        <v>14</v>
      </c>
      <c r="J1657">
        <v>12</v>
      </c>
      <c r="K1657">
        <v>0</v>
      </c>
      <c r="L1657">
        <v>470</v>
      </c>
      <c r="M1657">
        <v>60</v>
      </c>
      <c r="N1657" s="1">
        <f t="shared" si="200"/>
        <v>44938</v>
      </c>
      <c r="O1657" s="1">
        <f t="shared" si="201"/>
        <v>43101</v>
      </c>
      <c r="P1657" s="1">
        <f t="shared" si="202"/>
        <v>45261</v>
      </c>
      <c r="Q1657" s="8">
        <f t="shared" si="203"/>
        <v>0</v>
      </c>
      <c r="R1657" s="8">
        <f t="shared" si="204"/>
        <v>72</v>
      </c>
      <c r="S1657" s="8">
        <f t="shared" ca="1" si="205"/>
        <v>72</v>
      </c>
      <c r="T1657">
        <f t="shared" ca="1" si="206"/>
        <v>2.2233269160717875</v>
      </c>
      <c r="U1657" s="8">
        <f t="shared" ca="1" si="207"/>
        <v>1.7907120800840501</v>
      </c>
      <c r="V1657" s="8">
        <f ca="1">RawData[[#This Row],[Z (smoothed demand size)]]/RawData[[#This Row],[X (smoothed interval)]]</f>
        <v>1.2415881597042846</v>
      </c>
    </row>
    <row r="1658" spans="1:22">
      <c r="A1658" t="s">
        <v>42</v>
      </c>
      <c r="B1658" t="s">
        <v>39</v>
      </c>
      <c r="C1658">
        <v>32</v>
      </c>
      <c r="D1658" t="s">
        <v>18</v>
      </c>
      <c r="E1658" t="s">
        <v>16</v>
      </c>
      <c r="F1658" s="1">
        <v>43101</v>
      </c>
      <c r="G1658">
        <v>2</v>
      </c>
      <c r="H1658">
        <v>2</v>
      </c>
      <c r="I1658">
        <v>27</v>
      </c>
      <c r="J1658">
        <v>25</v>
      </c>
      <c r="K1658">
        <v>0</v>
      </c>
      <c r="L1658">
        <v>450</v>
      </c>
      <c r="M1658">
        <v>30</v>
      </c>
      <c r="N1658" s="1">
        <f t="shared" si="200"/>
        <v>44938</v>
      </c>
      <c r="O1658" s="1">
        <f t="shared" si="201"/>
        <v>43101</v>
      </c>
      <c r="P1658" s="1">
        <f t="shared" si="202"/>
        <v>43101</v>
      </c>
      <c r="Q1658" s="8">
        <f t="shared" si="203"/>
        <v>1</v>
      </c>
      <c r="R1658" s="8">
        <f t="shared" si="204"/>
        <v>1</v>
      </c>
      <c r="S1658" s="8">
        <f t="shared" ca="1" si="205"/>
        <v>1</v>
      </c>
      <c r="T1658">
        <f t="shared" ca="1" si="206"/>
        <v>2</v>
      </c>
      <c r="U1658" s="8">
        <f t="shared" ca="1" si="207"/>
        <v>1</v>
      </c>
      <c r="V1658" s="8">
        <f ca="1">RawData[[#This Row],[Z (smoothed demand size)]]/RawData[[#This Row],[X (smoothed interval)]]</f>
        <v>2</v>
      </c>
    </row>
    <row r="1659" spans="1:22">
      <c r="A1659" t="s">
        <v>42</v>
      </c>
      <c r="B1659" t="s">
        <v>39</v>
      </c>
      <c r="C1659">
        <v>32</v>
      </c>
      <c r="D1659" t="s">
        <v>18</v>
      </c>
      <c r="E1659" t="s">
        <v>16</v>
      </c>
      <c r="F1659" s="1">
        <v>43102</v>
      </c>
      <c r="G1659">
        <v>2</v>
      </c>
      <c r="H1659">
        <v>2</v>
      </c>
      <c r="I1659">
        <v>25</v>
      </c>
      <c r="J1659">
        <v>23</v>
      </c>
      <c r="K1659">
        <v>0</v>
      </c>
      <c r="L1659">
        <v>455</v>
      </c>
      <c r="M1659">
        <v>15</v>
      </c>
      <c r="N1659" s="1">
        <f t="shared" si="200"/>
        <v>44938</v>
      </c>
      <c r="O1659" s="1">
        <f t="shared" si="201"/>
        <v>43101</v>
      </c>
      <c r="P1659" s="1">
        <f t="shared" si="202"/>
        <v>43132</v>
      </c>
      <c r="Q1659" s="8">
        <f t="shared" si="203"/>
        <v>0</v>
      </c>
      <c r="R1659" s="8">
        <f t="shared" si="204"/>
        <v>2</v>
      </c>
      <c r="S1659" s="8">
        <f t="shared" ca="1" si="205"/>
        <v>2</v>
      </c>
      <c r="T1659">
        <f t="shared" ca="1" si="206"/>
        <v>2</v>
      </c>
      <c r="U1659" s="8">
        <f t="shared" ca="1" si="207"/>
        <v>1</v>
      </c>
      <c r="V1659" s="8">
        <f ca="1">RawData[[#This Row],[Z (smoothed demand size)]]/RawData[[#This Row],[X (smoothed interval)]]</f>
        <v>2</v>
      </c>
    </row>
    <row r="1660" spans="1:22">
      <c r="A1660" t="s">
        <v>42</v>
      </c>
      <c r="B1660" t="s">
        <v>39</v>
      </c>
      <c r="C1660">
        <v>32</v>
      </c>
      <c r="D1660" t="s">
        <v>18</v>
      </c>
      <c r="E1660" t="s">
        <v>16</v>
      </c>
      <c r="F1660" s="1">
        <v>43103</v>
      </c>
      <c r="G1660">
        <v>3</v>
      </c>
      <c r="H1660">
        <v>3</v>
      </c>
      <c r="I1660">
        <v>23</v>
      </c>
      <c r="J1660">
        <v>20</v>
      </c>
      <c r="K1660">
        <v>0</v>
      </c>
      <c r="L1660">
        <v>458</v>
      </c>
      <c r="M1660">
        <v>60</v>
      </c>
      <c r="N1660" s="1">
        <f t="shared" si="200"/>
        <v>44938</v>
      </c>
      <c r="O1660" s="1">
        <f t="shared" si="201"/>
        <v>43101</v>
      </c>
      <c r="P1660" s="1">
        <f t="shared" si="202"/>
        <v>43160</v>
      </c>
      <c r="Q1660" s="8">
        <f t="shared" si="203"/>
        <v>0</v>
      </c>
      <c r="R1660" s="8">
        <f t="shared" si="204"/>
        <v>3</v>
      </c>
      <c r="S1660" s="8">
        <f t="shared" ca="1" si="205"/>
        <v>3</v>
      </c>
      <c r="T1660">
        <f t="shared" ca="1" si="206"/>
        <v>2.2000000000000002</v>
      </c>
      <c r="U1660" s="8">
        <f t="shared" ca="1" si="207"/>
        <v>1</v>
      </c>
      <c r="V1660" s="8">
        <f ca="1">RawData[[#This Row],[Z (smoothed demand size)]]/RawData[[#This Row],[X (smoothed interval)]]</f>
        <v>2.2000000000000002</v>
      </c>
    </row>
    <row r="1661" spans="1:22">
      <c r="A1661" t="s">
        <v>42</v>
      </c>
      <c r="B1661" t="s">
        <v>39</v>
      </c>
      <c r="C1661">
        <v>32</v>
      </c>
      <c r="D1661" t="s">
        <v>18</v>
      </c>
      <c r="E1661" t="s">
        <v>16</v>
      </c>
      <c r="F1661" s="1">
        <v>43104</v>
      </c>
      <c r="G1661">
        <v>0</v>
      </c>
      <c r="H1661">
        <v>0</v>
      </c>
      <c r="I1661">
        <v>20</v>
      </c>
      <c r="J1661">
        <v>20</v>
      </c>
      <c r="K1661">
        <v>0</v>
      </c>
      <c r="L1661">
        <v>446</v>
      </c>
      <c r="M1661">
        <v>30</v>
      </c>
      <c r="N1661" s="1">
        <f t="shared" si="200"/>
        <v>44938</v>
      </c>
      <c r="O1661" s="1">
        <f t="shared" si="201"/>
        <v>43101</v>
      </c>
      <c r="P1661" s="1">
        <f t="shared" si="202"/>
        <v>43191</v>
      </c>
      <c r="Q1661" s="8">
        <f t="shared" si="203"/>
        <v>0</v>
      </c>
      <c r="R1661" s="8">
        <f t="shared" si="204"/>
        <v>4</v>
      </c>
      <c r="S1661" s="8">
        <f t="shared" ca="1" si="205"/>
        <v>3</v>
      </c>
      <c r="T1661">
        <f t="shared" ca="1" si="206"/>
        <v>2.2000000000000002</v>
      </c>
      <c r="U1661" s="8">
        <f t="shared" ca="1" si="207"/>
        <v>1</v>
      </c>
      <c r="V1661" s="8">
        <f ca="1">RawData[[#This Row],[Z (smoothed demand size)]]/RawData[[#This Row],[X (smoothed interval)]]</f>
        <v>2.2000000000000002</v>
      </c>
    </row>
    <row r="1662" spans="1:22">
      <c r="A1662" t="s">
        <v>42</v>
      </c>
      <c r="B1662" t="s">
        <v>39</v>
      </c>
      <c r="C1662">
        <v>32</v>
      </c>
      <c r="D1662" t="s">
        <v>18</v>
      </c>
      <c r="E1662" t="s">
        <v>16</v>
      </c>
      <c r="F1662" s="1">
        <v>43105</v>
      </c>
      <c r="G1662">
        <v>2</v>
      </c>
      <c r="H1662">
        <v>2</v>
      </c>
      <c r="I1662">
        <v>20</v>
      </c>
      <c r="J1662">
        <v>18</v>
      </c>
      <c r="K1662">
        <v>0</v>
      </c>
      <c r="L1662">
        <v>459</v>
      </c>
      <c r="M1662">
        <v>45</v>
      </c>
      <c r="N1662" s="1">
        <f t="shared" si="200"/>
        <v>44938</v>
      </c>
      <c r="O1662" s="1">
        <f t="shared" si="201"/>
        <v>43101</v>
      </c>
      <c r="P1662" s="1">
        <f t="shared" si="202"/>
        <v>43221</v>
      </c>
      <c r="Q1662" s="8">
        <f t="shared" si="203"/>
        <v>0</v>
      </c>
      <c r="R1662" s="8">
        <f t="shared" si="204"/>
        <v>5</v>
      </c>
      <c r="S1662" s="8">
        <f t="shared" ca="1" si="205"/>
        <v>5</v>
      </c>
      <c r="T1662">
        <f t="shared" ca="1" si="206"/>
        <v>2.16</v>
      </c>
      <c r="U1662" s="8">
        <f t="shared" ca="1" si="207"/>
        <v>1.2000000000000002</v>
      </c>
      <c r="V1662" s="8">
        <f ca="1">RawData[[#This Row],[Z (smoothed demand size)]]/RawData[[#This Row],[X (smoothed interval)]]</f>
        <v>1.7999999999999998</v>
      </c>
    </row>
    <row r="1663" spans="1:22">
      <c r="A1663" t="s">
        <v>42</v>
      </c>
      <c r="B1663" t="s">
        <v>39</v>
      </c>
      <c r="C1663">
        <v>32</v>
      </c>
      <c r="D1663" t="s">
        <v>18</v>
      </c>
      <c r="E1663" t="s">
        <v>16</v>
      </c>
      <c r="F1663" s="1">
        <v>43106</v>
      </c>
      <c r="G1663">
        <v>4</v>
      </c>
      <c r="H1663">
        <v>4</v>
      </c>
      <c r="I1663">
        <v>18</v>
      </c>
      <c r="J1663">
        <v>14</v>
      </c>
      <c r="K1663">
        <v>0</v>
      </c>
      <c r="L1663">
        <v>516</v>
      </c>
      <c r="M1663">
        <v>15</v>
      </c>
      <c r="N1663" s="1">
        <f t="shared" si="200"/>
        <v>44938</v>
      </c>
      <c r="O1663" s="1">
        <f t="shared" si="201"/>
        <v>43101</v>
      </c>
      <c r="P1663" s="1">
        <f t="shared" si="202"/>
        <v>43252</v>
      </c>
      <c r="Q1663" s="8">
        <f t="shared" si="203"/>
        <v>0</v>
      </c>
      <c r="R1663" s="8">
        <f t="shared" si="204"/>
        <v>6</v>
      </c>
      <c r="S1663" s="8">
        <f t="shared" ca="1" si="205"/>
        <v>6</v>
      </c>
      <c r="T1663">
        <f t="shared" ca="1" si="206"/>
        <v>2.5280000000000005</v>
      </c>
      <c r="U1663" s="8">
        <f t="shared" ca="1" si="207"/>
        <v>1.1600000000000001</v>
      </c>
      <c r="V1663" s="8">
        <f ca="1">RawData[[#This Row],[Z (smoothed demand size)]]/RawData[[#This Row],[X (smoothed interval)]]</f>
        <v>2.1793103448275866</v>
      </c>
    </row>
    <row r="1664" spans="1:22">
      <c r="A1664" t="s">
        <v>42</v>
      </c>
      <c r="B1664" t="s">
        <v>39</v>
      </c>
      <c r="C1664">
        <v>32</v>
      </c>
      <c r="D1664" t="s">
        <v>18</v>
      </c>
      <c r="E1664" t="s">
        <v>16</v>
      </c>
      <c r="F1664" s="1">
        <v>43107</v>
      </c>
      <c r="G1664">
        <v>0</v>
      </c>
      <c r="H1664">
        <v>0</v>
      </c>
      <c r="I1664">
        <v>14</v>
      </c>
      <c r="J1664">
        <v>14</v>
      </c>
      <c r="K1664">
        <v>0</v>
      </c>
      <c r="L1664">
        <v>523</v>
      </c>
      <c r="M1664">
        <v>60</v>
      </c>
      <c r="N1664" s="1">
        <f t="shared" si="200"/>
        <v>44938</v>
      </c>
      <c r="O1664" s="1">
        <f t="shared" si="201"/>
        <v>43101</v>
      </c>
      <c r="P1664" s="1">
        <f t="shared" si="202"/>
        <v>43282</v>
      </c>
      <c r="Q1664" s="8">
        <f t="shared" si="203"/>
        <v>0</v>
      </c>
      <c r="R1664" s="8">
        <f t="shared" si="204"/>
        <v>7</v>
      </c>
      <c r="S1664" s="8">
        <f t="shared" ca="1" si="205"/>
        <v>6</v>
      </c>
      <c r="T1664">
        <f t="shared" ca="1" si="206"/>
        <v>2.5280000000000005</v>
      </c>
      <c r="U1664" s="8">
        <f t="shared" ca="1" si="207"/>
        <v>1.1600000000000001</v>
      </c>
      <c r="V1664" s="8">
        <f ca="1">RawData[[#This Row],[Z (smoothed demand size)]]/RawData[[#This Row],[X (smoothed interval)]]</f>
        <v>2.1793103448275866</v>
      </c>
    </row>
    <row r="1665" spans="1:22">
      <c r="A1665" t="s">
        <v>42</v>
      </c>
      <c r="B1665" t="s">
        <v>39</v>
      </c>
      <c r="C1665">
        <v>32</v>
      </c>
      <c r="D1665" t="s">
        <v>18</v>
      </c>
      <c r="E1665" t="s">
        <v>16</v>
      </c>
      <c r="F1665" s="1">
        <v>43108</v>
      </c>
      <c r="G1665">
        <v>3</v>
      </c>
      <c r="H1665">
        <v>3</v>
      </c>
      <c r="I1665">
        <v>14</v>
      </c>
      <c r="J1665">
        <v>11</v>
      </c>
      <c r="K1665">
        <v>0</v>
      </c>
      <c r="L1665">
        <v>534</v>
      </c>
      <c r="M1665">
        <v>30</v>
      </c>
      <c r="N1665" s="1">
        <f t="shared" si="200"/>
        <v>44938</v>
      </c>
      <c r="O1665" s="1">
        <f t="shared" si="201"/>
        <v>43101</v>
      </c>
      <c r="P1665" s="1">
        <f t="shared" si="202"/>
        <v>43313</v>
      </c>
      <c r="Q1665" s="8">
        <f t="shared" si="203"/>
        <v>0</v>
      </c>
      <c r="R1665" s="8">
        <f t="shared" si="204"/>
        <v>8</v>
      </c>
      <c r="S1665" s="8">
        <f t="shared" ca="1" si="205"/>
        <v>8</v>
      </c>
      <c r="T1665">
        <f t="shared" ca="1" si="206"/>
        <v>2.6224000000000007</v>
      </c>
      <c r="U1665" s="8">
        <f t="shared" ca="1" si="207"/>
        <v>1.3280000000000003</v>
      </c>
      <c r="V1665" s="8">
        <f ca="1">RawData[[#This Row],[Z (smoothed demand size)]]/RawData[[#This Row],[X (smoothed interval)]]</f>
        <v>1.9746987951807231</v>
      </c>
    </row>
    <row r="1666" spans="1:22">
      <c r="A1666" t="s">
        <v>42</v>
      </c>
      <c r="B1666" t="s">
        <v>39</v>
      </c>
      <c r="C1666">
        <v>32</v>
      </c>
      <c r="D1666" t="s">
        <v>18</v>
      </c>
      <c r="E1666" t="s">
        <v>16</v>
      </c>
      <c r="F1666" s="1">
        <v>43109</v>
      </c>
      <c r="G1666">
        <v>0</v>
      </c>
      <c r="H1666">
        <v>0</v>
      </c>
      <c r="I1666">
        <v>11</v>
      </c>
      <c r="J1666">
        <v>11</v>
      </c>
      <c r="K1666">
        <v>0</v>
      </c>
      <c r="L1666">
        <v>445</v>
      </c>
      <c r="M1666">
        <v>60</v>
      </c>
      <c r="N1666" s="1">
        <f t="shared" ref="N1666:N1729" si="208">MAX(F:F)</f>
        <v>44938</v>
      </c>
      <c r="O1666" s="1">
        <f t="shared" ref="O1666:O1729" si="209">MIN(F:F)</f>
        <v>43101</v>
      </c>
      <c r="P1666" s="1">
        <f t="shared" ref="P1666:P1729" si="210">DATE(YEAR(F1666), DAY(F1666), 1)</f>
        <v>43344</v>
      </c>
      <c r="Q1666" s="8">
        <f t="shared" ref="Q1666:Q1729" si="211" xml:space="preserve"> IF(A1666&lt;&gt;A1665, 1, 0)</f>
        <v>0</v>
      </c>
      <c r="R1666" s="8">
        <f t="shared" ref="R1666:R1729" si="212">IF(Q1666=1,1,R1665+1)</f>
        <v>9</v>
      </c>
      <c r="S1666" s="8">
        <f t="shared" ref="S1666:S1729" ca="1" si="213" xml:space="preserve"> IF(Q1666=1, IF(G1666&gt;0, R1666, 0), IF(G1666&gt;0, R1666, OFFSET(S1666,-1,0)))</f>
        <v>8</v>
      </c>
      <c r="T1666">
        <f t="shared" ref="T1666:T1729" ca="1" si="214" xml:space="preserve"> IF(Q1666=1, IF(G1666&gt;0, G1666, 0), IF(G1666&gt;0, $X$1*G1666+(1-$X$1)*OFFSET(T1666,-1,0), OFFSET(T1666,-1,0)))</f>
        <v>2.6224000000000007</v>
      </c>
      <c r="U1666" s="8">
        <f t="shared" ref="U1666:U1729" ca="1" si="215" xml:space="preserve"> IF(Q1666=1, 1, IF(G1666&gt;0, $X$1*(R1666-OFFSET(S1666,-1,0))+(1-$X$1)*OFFSET(U1666,-1,0), OFFSET(U1666,-1,0)))</f>
        <v>1.3280000000000003</v>
      </c>
      <c r="V1666" s="8">
        <f ca="1">RawData[[#This Row],[Z (smoothed demand size)]]/RawData[[#This Row],[X (smoothed interval)]]</f>
        <v>1.9746987951807231</v>
      </c>
    </row>
    <row r="1667" spans="1:22">
      <c r="A1667" t="s">
        <v>42</v>
      </c>
      <c r="B1667" t="s">
        <v>39</v>
      </c>
      <c r="C1667">
        <v>32</v>
      </c>
      <c r="D1667" t="s">
        <v>18</v>
      </c>
      <c r="E1667" t="s">
        <v>16</v>
      </c>
      <c r="F1667" s="1">
        <v>43110</v>
      </c>
      <c r="G1667">
        <v>2</v>
      </c>
      <c r="H1667">
        <v>2</v>
      </c>
      <c r="I1667">
        <v>11</v>
      </c>
      <c r="J1667">
        <v>9</v>
      </c>
      <c r="K1667">
        <v>0</v>
      </c>
      <c r="L1667">
        <v>454</v>
      </c>
      <c r="M1667">
        <v>30</v>
      </c>
      <c r="N1667" s="1">
        <f t="shared" si="208"/>
        <v>44938</v>
      </c>
      <c r="O1667" s="1">
        <f t="shared" si="209"/>
        <v>43101</v>
      </c>
      <c r="P1667" s="1">
        <f t="shared" si="210"/>
        <v>43374</v>
      </c>
      <c r="Q1667" s="8">
        <f t="shared" si="211"/>
        <v>0</v>
      </c>
      <c r="R1667" s="8">
        <f t="shared" si="212"/>
        <v>10</v>
      </c>
      <c r="S1667" s="8">
        <f t="shared" ca="1" si="213"/>
        <v>10</v>
      </c>
      <c r="T1667">
        <f t="shared" ca="1" si="214"/>
        <v>2.4979200000000006</v>
      </c>
      <c r="U1667" s="8">
        <f t="shared" ca="1" si="215"/>
        <v>1.4624000000000001</v>
      </c>
      <c r="V1667" s="8">
        <f ca="1">RawData[[#This Row],[Z (smoothed demand size)]]/RawData[[#This Row],[X (smoothed interval)]]</f>
        <v>1.7080962800875277</v>
      </c>
    </row>
    <row r="1668" spans="1:22">
      <c r="A1668" t="s">
        <v>42</v>
      </c>
      <c r="B1668" t="s">
        <v>39</v>
      </c>
      <c r="C1668">
        <v>32</v>
      </c>
      <c r="D1668" t="s">
        <v>18</v>
      </c>
      <c r="E1668" t="s">
        <v>16</v>
      </c>
      <c r="F1668" s="1">
        <v>43111</v>
      </c>
      <c r="G1668">
        <v>0</v>
      </c>
      <c r="H1668">
        <v>0</v>
      </c>
      <c r="I1668">
        <v>9</v>
      </c>
      <c r="J1668">
        <v>9</v>
      </c>
      <c r="K1668">
        <v>0</v>
      </c>
      <c r="L1668">
        <v>451</v>
      </c>
      <c r="M1668">
        <v>15</v>
      </c>
      <c r="N1668" s="1">
        <f t="shared" si="208"/>
        <v>44938</v>
      </c>
      <c r="O1668" s="1">
        <f t="shared" si="209"/>
        <v>43101</v>
      </c>
      <c r="P1668" s="1">
        <f t="shared" si="210"/>
        <v>43405</v>
      </c>
      <c r="Q1668" s="8">
        <f t="shared" si="211"/>
        <v>0</v>
      </c>
      <c r="R1668" s="8">
        <f t="shared" si="212"/>
        <v>11</v>
      </c>
      <c r="S1668" s="8">
        <f t="shared" ca="1" si="213"/>
        <v>10</v>
      </c>
      <c r="T1668">
        <f t="shared" ca="1" si="214"/>
        <v>2.4979200000000006</v>
      </c>
      <c r="U1668" s="8">
        <f t="shared" ca="1" si="215"/>
        <v>1.4624000000000001</v>
      </c>
      <c r="V1668" s="8">
        <f ca="1">RawData[[#This Row],[Z (smoothed demand size)]]/RawData[[#This Row],[X (smoothed interval)]]</f>
        <v>1.7080962800875277</v>
      </c>
    </row>
    <row r="1669" spans="1:22">
      <c r="A1669" t="s">
        <v>42</v>
      </c>
      <c r="B1669" t="s">
        <v>39</v>
      </c>
      <c r="C1669">
        <v>32</v>
      </c>
      <c r="D1669" t="s">
        <v>18</v>
      </c>
      <c r="E1669" t="s">
        <v>16</v>
      </c>
      <c r="F1669" s="1">
        <v>43112</v>
      </c>
      <c r="G1669">
        <v>4</v>
      </c>
      <c r="H1669">
        <v>4</v>
      </c>
      <c r="I1669">
        <v>9</v>
      </c>
      <c r="J1669">
        <v>5</v>
      </c>
      <c r="K1669">
        <v>0</v>
      </c>
      <c r="L1669">
        <v>522</v>
      </c>
      <c r="M1669">
        <v>30</v>
      </c>
      <c r="N1669" s="1">
        <f t="shared" si="208"/>
        <v>44938</v>
      </c>
      <c r="O1669" s="1">
        <f t="shared" si="209"/>
        <v>43101</v>
      </c>
      <c r="P1669" s="1">
        <f t="shared" si="210"/>
        <v>43435</v>
      </c>
      <c r="Q1669" s="8">
        <f t="shared" si="211"/>
        <v>0</v>
      </c>
      <c r="R1669" s="8">
        <f t="shared" si="212"/>
        <v>12</v>
      </c>
      <c r="S1669" s="8">
        <f t="shared" ca="1" si="213"/>
        <v>12</v>
      </c>
      <c r="T1669">
        <f t="shared" ca="1" si="214"/>
        <v>2.7983360000000008</v>
      </c>
      <c r="U1669" s="8">
        <f t="shared" ca="1" si="215"/>
        <v>1.5699200000000002</v>
      </c>
      <c r="V1669" s="8">
        <f ca="1">RawData[[#This Row],[Z (smoothed demand size)]]/RawData[[#This Row],[X (smoothed interval)]]</f>
        <v>1.7824704443538528</v>
      </c>
    </row>
    <row r="1670" spans="1:22">
      <c r="A1670" t="s">
        <v>42</v>
      </c>
      <c r="B1670" t="s">
        <v>39</v>
      </c>
      <c r="C1670">
        <v>32</v>
      </c>
      <c r="D1670" t="s">
        <v>18</v>
      </c>
      <c r="E1670" t="s">
        <v>16</v>
      </c>
      <c r="F1670" s="1">
        <v>43466</v>
      </c>
      <c r="G1670">
        <v>5</v>
      </c>
      <c r="H1670">
        <v>5</v>
      </c>
      <c r="I1670">
        <v>5</v>
      </c>
      <c r="J1670">
        <v>0</v>
      </c>
      <c r="K1670">
        <v>0</v>
      </c>
      <c r="L1670">
        <v>448</v>
      </c>
      <c r="M1670">
        <v>15</v>
      </c>
      <c r="N1670" s="1">
        <f t="shared" si="208"/>
        <v>44938</v>
      </c>
      <c r="O1670" s="1">
        <f t="shared" si="209"/>
        <v>43101</v>
      </c>
      <c r="P1670" s="1">
        <f t="shared" si="210"/>
        <v>43466</v>
      </c>
      <c r="Q1670" s="8">
        <f t="shared" si="211"/>
        <v>0</v>
      </c>
      <c r="R1670" s="8">
        <f t="shared" si="212"/>
        <v>13</v>
      </c>
      <c r="S1670" s="8">
        <f t="shared" ca="1" si="213"/>
        <v>13</v>
      </c>
      <c r="T1670">
        <f t="shared" ca="1" si="214"/>
        <v>3.2386688000000006</v>
      </c>
      <c r="U1670" s="8">
        <f t="shared" ca="1" si="215"/>
        <v>1.4559360000000001</v>
      </c>
      <c r="V1670" s="8">
        <f ca="1">RawData[[#This Row],[Z (smoothed demand size)]]/RawData[[#This Row],[X (smoothed interval)]]</f>
        <v>2.2244582179436461</v>
      </c>
    </row>
    <row r="1671" spans="1:22">
      <c r="A1671" t="s">
        <v>42</v>
      </c>
      <c r="B1671" t="s">
        <v>39</v>
      </c>
      <c r="C1671">
        <v>32</v>
      </c>
      <c r="D1671" t="s">
        <v>18</v>
      </c>
      <c r="E1671" t="s">
        <v>16</v>
      </c>
      <c r="F1671" s="1">
        <v>43467</v>
      </c>
      <c r="G1671">
        <v>3</v>
      </c>
      <c r="H1671">
        <v>3</v>
      </c>
      <c r="I1671">
        <v>10</v>
      </c>
      <c r="J1671">
        <v>7</v>
      </c>
      <c r="K1671">
        <v>0</v>
      </c>
      <c r="L1671">
        <v>439</v>
      </c>
      <c r="M1671">
        <v>30</v>
      </c>
      <c r="N1671" s="1">
        <f t="shared" si="208"/>
        <v>44938</v>
      </c>
      <c r="O1671" s="1">
        <f t="shared" si="209"/>
        <v>43101</v>
      </c>
      <c r="P1671" s="1">
        <f t="shared" si="210"/>
        <v>43497</v>
      </c>
      <c r="Q1671" s="8">
        <f t="shared" si="211"/>
        <v>0</v>
      </c>
      <c r="R1671" s="8">
        <f t="shared" si="212"/>
        <v>14</v>
      </c>
      <c r="S1671" s="8">
        <f t="shared" ca="1" si="213"/>
        <v>14</v>
      </c>
      <c r="T1671">
        <f t="shared" ca="1" si="214"/>
        <v>3.1909350400000007</v>
      </c>
      <c r="U1671" s="8">
        <f t="shared" ca="1" si="215"/>
        <v>1.3647488000000001</v>
      </c>
      <c r="V1671" s="8">
        <f ca="1">RawData[[#This Row],[Z (smoothed demand size)]]/RawData[[#This Row],[X (smoothed interval)]]</f>
        <v>2.3381116290411836</v>
      </c>
    </row>
    <row r="1672" spans="1:22">
      <c r="A1672" t="s">
        <v>42</v>
      </c>
      <c r="B1672" t="s">
        <v>39</v>
      </c>
      <c r="C1672">
        <v>32</v>
      </c>
      <c r="D1672" t="s">
        <v>18</v>
      </c>
      <c r="E1672" t="s">
        <v>16</v>
      </c>
      <c r="F1672" s="1">
        <v>43468</v>
      </c>
      <c r="G1672">
        <v>0</v>
      </c>
      <c r="H1672">
        <v>0</v>
      </c>
      <c r="I1672">
        <v>7</v>
      </c>
      <c r="J1672">
        <v>7</v>
      </c>
      <c r="K1672">
        <v>0</v>
      </c>
      <c r="L1672">
        <v>447</v>
      </c>
      <c r="M1672">
        <v>15</v>
      </c>
      <c r="N1672" s="1">
        <f t="shared" si="208"/>
        <v>44938</v>
      </c>
      <c r="O1672" s="1">
        <f t="shared" si="209"/>
        <v>43101</v>
      </c>
      <c r="P1672" s="1">
        <f t="shared" si="210"/>
        <v>43525</v>
      </c>
      <c r="Q1672" s="8">
        <f t="shared" si="211"/>
        <v>0</v>
      </c>
      <c r="R1672" s="8">
        <f t="shared" si="212"/>
        <v>15</v>
      </c>
      <c r="S1672" s="8">
        <f t="shared" ca="1" si="213"/>
        <v>14</v>
      </c>
      <c r="T1672">
        <f t="shared" ca="1" si="214"/>
        <v>3.1909350400000007</v>
      </c>
      <c r="U1672" s="8">
        <f t="shared" ca="1" si="215"/>
        <v>1.3647488000000001</v>
      </c>
      <c r="V1672" s="8">
        <f ca="1">RawData[[#This Row],[Z (smoothed demand size)]]/RawData[[#This Row],[X (smoothed interval)]]</f>
        <v>2.3381116290411836</v>
      </c>
    </row>
    <row r="1673" spans="1:22">
      <c r="A1673" t="s">
        <v>42</v>
      </c>
      <c r="B1673" t="s">
        <v>39</v>
      </c>
      <c r="C1673">
        <v>32</v>
      </c>
      <c r="D1673" t="s">
        <v>18</v>
      </c>
      <c r="E1673" t="s">
        <v>16</v>
      </c>
      <c r="F1673" s="1">
        <v>43469</v>
      </c>
      <c r="G1673">
        <v>2</v>
      </c>
      <c r="H1673">
        <v>2</v>
      </c>
      <c r="I1673">
        <v>7</v>
      </c>
      <c r="J1673">
        <v>5</v>
      </c>
      <c r="K1673">
        <v>0</v>
      </c>
      <c r="L1673">
        <v>452</v>
      </c>
      <c r="M1673">
        <v>30</v>
      </c>
      <c r="N1673" s="1">
        <f t="shared" si="208"/>
        <v>44938</v>
      </c>
      <c r="O1673" s="1">
        <f t="shared" si="209"/>
        <v>43101</v>
      </c>
      <c r="P1673" s="1">
        <f t="shared" si="210"/>
        <v>43556</v>
      </c>
      <c r="Q1673" s="8">
        <f t="shared" si="211"/>
        <v>0</v>
      </c>
      <c r="R1673" s="8">
        <f t="shared" si="212"/>
        <v>16</v>
      </c>
      <c r="S1673" s="8">
        <f t="shared" ca="1" si="213"/>
        <v>16</v>
      </c>
      <c r="T1673">
        <f t="shared" ca="1" si="214"/>
        <v>2.9527480320000006</v>
      </c>
      <c r="U1673" s="8">
        <f t="shared" ca="1" si="215"/>
        <v>1.4917990400000001</v>
      </c>
      <c r="V1673" s="8">
        <f ca="1">RawData[[#This Row],[Z (smoothed demand size)]]/RawData[[#This Row],[X (smoothed interval)]]</f>
        <v>1.9793202387367137</v>
      </c>
    </row>
    <row r="1674" spans="1:22">
      <c r="A1674" t="s">
        <v>42</v>
      </c>
      <c r="B1674" t="s">
        <v>39</v>
      </c>
      <c r="C1674">
        <v>32</v>
      </c>
      <c r="D1674" t="s">
        <v>18</v>
      </c>
      <c r="E1674" t="s">
        <v>16</v>
      </c>
      <c r="F1674" s="1">
        <v>43470</v>
      </c>
      <c r="G1674">
        <v>1</v>
      </c>
      <c r="H1674">
        <v>1</v>
      </c>
      <c r="I1674">
        <v>5</v>
      </c>
      <c r="J1674">
        <v>4</v>
      </c>
      <c r="K1674">
        <v>0</v>
      </c>
      <c r="L1674">
        <v>457</v>
      </c>
      <c r="M1674">
        <v>45</v>
      </c>
      <c r="N1674" s="1">
        <f t="shared" si="208"/>
        <v>44938</v>
      </c>
      <c r="O1674" s="1">
        <f t="shared" si="209"/>
        <v>43101</v>
      </c>
      <c r="P1674" s="1">
        <f t="shared" si="210"/>
        <v>43586</v>
      </c>
      <c r="Q1674" s="8">
        <f t="shared" si="211"/>
        <v>0</v>
      </c>
      <c r="R1674" s="8">
        <f t="shared" si="212"/>
        <v>17</v>
      </c>
      <c r="S1674" s="8">
        <f t="shared" ca="1" si="213"/>
        <v>17</v>
      </c>
      <c r="T1674">
        <f t="shared" ca="1" si="214"/>
        <v>2.5621984256000006</v>
      </c>
      <c r="U1674" s="8">
        <f t="shared" ca="1" si="215"/>
        <v>1.393439232</v>
      </c>
      <c r="V1674" s="8">
        <f ca="1">RawData[[#This Row],[Z (smoothed demand size)]]/RawData[[#This Row],[X (smoothed interval)]]</f>
        <v>1.838758638884082</v>
      </c>
    </row>
    <row r="1675" spans="1:22">
      <c r="A1675" t="s">
        <v>42</v>
      </c>
      <c r="B1675" t="s">
        <v>39</v>
      </c>
      <c r="C1675">
        <v>32</v>
      </c>
      <c r="D1675" t="s">
        <v>18</v>
      </c>
      <c r="E1675" t="s">
        <v>16</v>
      </c>
      <c r="F1675" s="1">
        <v>43471</v>
      </c>
      <c r="G1675">
        <v>5</v>
      </c>
      <c r="H1675">
        <v>4</v>
      </c>
      <c r="I1675">
        <v>4</v>
      </c>
      <c r="J1675">
        <v>0</v>
      </c>
      <c r="K1675">
        <v>1</v>
      </c>
      <c r="L1675">
        <v>520</v>
      </c>
      <c r="M1675">
        <v>45</v>
      </c>
      <c r="N1675" s="1">
        <f t="shared" si="208"/>
        <v>44938</v>
      </c>
      <c r="O1675" s="1">
        <f t="shared" si="209"/>
        <v>43101</v>
      </c>
      <c r="P1675" s="1">
        <f t="shared" si="210"/>
        <v>43617</v>
      </c>
      <c r="Q1675" s="8">
        <f t="shared" si="211"/>
        <v>0</v>
      </c>
      <c r="R1675" s="8">
        <f t="shared" si="212"/>
        <v>18</v>
      </c>
      <c r="S1675" s="8">
        <f t="shared" ca="1" si="213"/>
        <v>18</v>
      </c>
      <c r="T1675">
        <f t="shared" ca="1" si="214"/>
        <v>3.0497587404800006</v>
      </c>
      <c r="U1675" s="8">
        <f t="shared" ca="1" si="215"/>
        <v>1.3147513855999999</v>
      </c>
      <c r="V1675" s="8">
        <f ca="1">RawData[[#This Row],[Z (smoothed demand size)]]/RawData[[#This Row],[X (smoothed interval)]]</f>
        <v>2.3196467209564586</v>
      </c>
    </row>
    <row r="1676" spans="1:22">
      <c r="A1676" t="s">
        <v>42</v>
      </c>
      <c r="B1676" t="s">
        <v>39</v>
      </c>
      <c r="C1676">
        <v>32</v>
      </c>
      <c r="D1676" t="s">
        <v>18</v>
      </c>
      <c r="E1676" t="s">
        <v>16</v>
      </c>
      <c r="F1676" s="1">
        <v>43472</v>
      </c>
      <c r="G1676">
        <v>2</v>
      </c>
      <c r="H1676">
        <v>0</v>
      </c>
      <c r="I1676">
        <v>0</v>
      </c>
      <c r="J1676">
        <v>0</v>
      </c>
      <c r="K1676">
        <v>1</v>
      </c>
      <c r="L1676">
        <v>526</v>
      </c>
      <c r="M1676">
        <v>45</v>
      </c>
      <c r="N1676" s="1">
        <f t="shared" si="208"/>
        <v>44938</v>
      </c>
      <c r="O1676" s="1">
        <f t="shared" si="209"/>
        <v>43101</v>
      </c>
      <c r="P1676" s="1">
        <f t="shared" si="210"/>
        <v>43647</v>
      </c>
      <c r="Q1676" s="8">
        <f t="shared" si="211"/>
        <v>0</v>
      </c>
      <c r="R1676" s="8">
        <f t="shared" si="212"/>
        <v>19</v>
      </c>
      <c r="S1676" s="8">
        <f t="shared" ca="1" si="213"/>
        <v>19</v>
      </c>
      <c r="T1676">
        <f t="shared" ca="1" si="214"/>
        <v>2.8398069923840006</v>
      </c>
      <c r="U1676" s="8">
        <f t="shared" ca="1" si="215"/>
        <v>1.25180110848</v>
      </c>
      <c r="V1676" s="8">
        <f ca="1">RawData[[#This Row],[Z (smoothed demand size)]]/RawData[[#This Row],[X (smoothed interval)]]</f>
        <v>2.2685768315321573</v>
      </c>
    </row>
    <row r="1677" spans="1:22">
      <c r="A1677" t="s">
        <v>42</v>
      </c>
      <c r="B1677" t="s">
        <v>39</v>
      </c>
      <c r="C1677">
        <v>32</v>
      </c>
      <c r="D1677" t="s">
        <v>18</v>
      </c>
      <c r="E1677" t="s">
        <v>16</v>
      </c>
      <c r="F1677" s="1">
        <v>43473</v>
      </c>
      <c r="G1677">
        <v>1</v>
      </c>
      <c r="H1677">
        <v>1</v>
      </c>
      <c r="I1677">
        <v>7</v>
      </c>
      <c r="J1677">
        <v>6</v>
      </c>
      <c r="K1677">
        <v>0</v>
      </c>
      <c r="L1677">
        <v>516</v>
      </c>
      <c r="M1677">
        <v>30</v>
      </c>
      <c r="N1677" s="1">
        <f t="shared" si="208"/>
        <v>44938</v>
      </c>
      <c r="O1677" s="1">
        <f t="shared" si="209"/>
        <v>43101</v>
      </c>
      <c r="P1677" s="1">
        <f t="shared" si="210"/>
        <v>43678</v>
      </c>
      <c r="Q1677" s="8">
        <f t="shared" si="211"/>
        <v>0</v>
      </c>
      <c r="R1677" s="8">
        <f t="shared" si="212"/>
        <v>20</v>
      </c>
      <c r="S1677" s="8">
        <f t="shared" ca="1" si="213"/>
        <v>20</v>
      </c>
      <c r="T1677">
        <f t="shared" ca="1" si="214"/>
        <v>2.4718455939072008</v>
      </c>
      <c r="U1677" s="8">
        <f t="shared" ca="1" si="215"/>
        <v>1.2014408867840001</v>
      </c>
      <c r="V1677" s="8">
        <f ca="1">RawData[[#This Row],[Z (smoothed demand size)]]/RawData[[#This Row],[X (smoothed interval)]]</f>
        <v>2.0574009267520452</v>
      </c>
    </row>
    <row r="1678" spans="1:22">
      <c r="A1678" t="s">
        <v>42</v>
      </c>
      <c r="B1678" t="s">
        <v>39</v>
      </c>
      <c r="C1678">
        <v>32</v>
      </c>
      <c r="D1678" t="s">
        <v>18</v>
      </c>
      <c r="E1678" t="s">
        <v>16</v>
      </c>
      <c r="F1678" s="1">
        <v>43474</v>
      </c>
      <c r="G1678">
        <v>0</v>
      </c>
      <c r="H1678">
        <v>0</v>
      </c>
      <c r="I1678">
        <v>6</v>
      </c>
      <c r="J1678">
        <v>6</v>
      </c>
      <c r="K1678">
        <v>0</v>
      </c>
      <c r="L1678">
        <v>448</v>
      </c>
      <c r="M1678">
        <v>30</v>
      </c>
      <c r="N1678" s="1">
        <f t="shared" si="208"/>
        <v>44938</v>
      </c>
      <c r="O1678" s="1">
        <f t="shared" si="209"/>
        <v>43101</v>
      </c>
      <c r="P1678" s="1">
        <f t="shared" si="210"/>
        <v>43709</v>
      </c>
      <c r="Q1678" s="8">
        <f t="shared" si="211"/>
        <v>0</v>
      </c>
      <c r="R1678" s="8">
        <f t="shared" si="212"/>
        <v>21</v>
      </c>
      <c r="S1678" s="8">
        <f t="shared" ca="1" si="213"/>
        <v>20</v>
      </c>
      <c r="T1678">
        <f t="shared" ca="1" si="214"/>
        <v>2.4718455939072008</v>
      </c>
      <c r="U1678" s="8">
        <f t="shared" ca="1" si="215"/>
        <v>1.2014408867840001</v>
      </c>
      <c r="V1678" s="8">
        <f ca="1">RawData[[#This Row],[Z (smoothed demand size)]]/RawData[[#This Row],[X (smoothed interval)]]</f>
        <v>2.0574009267520452</v>
      </c>
    </row>
    <row r="1679" spans="1:22">
      <c r="A1679" t="s">
        <v>42</v>
      </c>
      <c r="B1679" t="s">
        <v>39</v>
      </c>
      <c r="C1679">
        <v>32</v>
      </c>
      <c r="D1679" t="s">
        <v>18</v>
      </c>
      <c r="E1679" t="s">
        <v>16</v>
      </c>
      <c r="F1679" s="1">
        <v>43475</v>
      </c>
      <c r="G1679">
        <v>0</v>
      </c>
      <c r="H1679">
        <v>0</v>
      </c>
      <c r="I1679">
        <v>6</v>
      </c>
      <c r="J1679">
        <v>6</v>
      </c>
      <c r="K1679">
        <v>0</v>
      </c>
      <c r="L1679">
        <v>452</v>
      </c>
      <c r="M1679">
        <v>60</v>
      </c>
      <c r="N1679" s="1">
        <f t="shared" si="208"/>
        <v>44938</v>
      </c>
      <c r="O1679" s="1">
        <f t="shared" si="209"/>
        <v>43101</v>
      </c>
      <c r="P1679" s="1">
        <f t="shared" si="210"/>
        <v>43739</v>
      </c>
      <c r="Q1679" s="8">
        <f t="shared" si="211"/>
        <v>0</v>
      </c>
      <c r="R1679" s="8">
        <f t="shared" si="212"/>
        <v>22</v>
      </c>
      <c r="S1679" s="8">
        <f t="shared" ca="1" si="213"/>
        <v>20</v>
      </c>
      <c r="T1679">
        <f t="shared" ca="1" si="214"/>
        <v>2.4718455939072008</v>
      </c>
      <c r="U1679" s="8">
        <f t="shared" ca="1" si="215"/>
        <v>1.2014408867840001</v>
      </c>
      <c r="V1679" s="8">
        <f ca="1">RawData[[#This Row],[Z (smoothed demand size)]]/RawData[[#This Row],[X (smoothed interval)]]</f>
        <v>2.0574009267520452</v>
      </c>
    </row>
    <row r="1680" spans="1:22">
      <c r="A1680" t="s">
        <v>42</v>
      </c>
      <c r="B1680" t="s">
        <v>39</v>
      </c>
      <c r="C1680">
        <v>32</v>
      </c>
      <c r="D1680" t="s">
        <v>18</v>
      </c>
      <c r="E1680" t="s">
        <v>16</v>
      </c>
      <c r="F1680" s="1">
        <v>43476</v>
      </c>
      <c r="G1680">
        <v>0</v>
      </c>
      <c r="H1680">
        <v>0</v>
      </c>
      <c r="I1680">
        <v>6</v>
      </c>
      <c r="J1680">
        <v>6</v>
      </c>
      <c r="K1680">
        <v>0</v>
      </c>
      <c r="L1680">
        <v>449</v>
      </c>
      <c r="M1680">
        <v>60</v>
      </c>
      <c r="N1680" s="1">
        <f t="shared" si="208"/>
        <v>44938</v>
      </c>
      <c r="O1680" s="1">
        <f t="shared" si="209"/>
        <v>43101</v>
      </c>
      <c r="P1680" s="1">
        <f t="shared" si="210"/>
        <v>43770</v>
      </c>
      <c r="Q1680" s="8">
        <f t="shared" si="211"/>
        <v>0</v>
      </c>
      <c r="R1680" s="8">
        <f t="shared" si="212"/>
        <v>23</v>
      </c>
      <c r="S1680" s="8">
        <f t="shared" ca="1" si="213"/>
        <v>20</v>
      </c>
      <c r="T1680">
        <f t="shared" ca="1" si="214"/>
        <v>2.4718455939072008</v>
      </c>
      <c r="U1680" s="8">
        <f t="shared" ca="1" si="215"/>
        <v>1.2014408867840001</v>
      </c>
      <c r="V1680" s="8">
        <f ca="1">RawData[[#This Row],[Z (smoothed demand size)]]/RawData[[#This Row],[X (smoothed interval)]]</f>
        <v>2.0574009267520452</v>
      </c>
    </row>
    <row r="1681" spans="1:22">
      <c r="A1681" t="s">
        <v>42</v>
      </c>
      <c r="B1681" t="s">
        <v>39</v>
      </c>
      <c r="C1681">
        <v>32</v>
      </c>
      <c r="D1681" t="s">
        <v>18</v>
      </c>
      <c r="E1681" t="s">
        <v>16</v>
      </c>
      <c r="F1681" s="1">
        <v>43477</v>
      </c>
      <c r="G1681">
        <v>5</v>
      </c>
      <c r="H1681">
        <v>5</v>
      </c>
      <c r="I1681">
        <v>6</v>
      </c>
      <c r="J1681">
        <v>1</v>
      </c>
      <c r="K1681">
        <v>0</v>
      </c>
      <c r="L1681">
        <v>524</v>
      </c>
      <c r="M1681">
        <v>15</v>
      </c>
      <c r="N1681" s="1">
        <f t="shared" si="208"/>
        <v>44938</v>
      </c>
      <c r="O1681" s="1">
        <f t="shared" si="209"/>
        <v>43101</v>
      </c>
      <c r="P1681" s="1">
        <f t="shared" si="210"/>
        <v>43800</v>
      </c>
      <c r="Q1681" s="8">
        <f t="shared" si="211"/>
        <v>0</v>
      </c>
      <c r="R1681" s="8">
        <f t="shared" si="212"/>
        <v>24</v>
      </c>
      <c r="S1681" s="8">
        <f t="shared" ca="1" si="213"/>
        <v>24</v>
      </c>
      <c r="T1681">
        <f t="shared" ca="1" si="214"/>
        <v>2.9774764751257607</v>
      </c>
      <c r="U1681" s="8">
        <f t="shared" ca="1" si="215"/>
        <v>1.7611527094272001</v>
      </c>
      <c r="V1681" s="8">
        <f ca="1">RawData[[#This Row],[Z (smoothed demand size)]]/RawData[[#This Row],[X (smoothed interval)]]</f>
        <v>1.6906407145659501</v>
      </c>
    </row>
    <row r="1682" spans="1:22">
      <c r="A1682" t="s">
        <v>42</v>
      </c>
      <c r="B1682" t="s">
        <v>39</v>
      </c>
      <c r="C1682">
        <v>32</v>
      </c>
      <c r="D1682" t="s">
        <v>18</v>
      </c>
      <c r="E1682" t="s">
        <v>16</v>
      </c>
      <c r="F1682" s="1">
        <v>43831</v>
      </c>
      <c r="G1682">
        <v>2</v>
      </c>
      <c r="H1682">
        <v>2</v>
      </c>
      <c r="I1682">
        <v>10</v>
      </c>
      <c r="J1682">
        <v>8</v>
      </c>
      <c r="K1682">
        <v>0</v>
      </c>
      <c r="L1682">
        <v>443</v>
      </c>
      <c r="M1682">
        <v>30</v>
      </c>
      <c r="N1682" s="1">
        <f t="shared" si="208"/>
        <v>44938</v>
      </c>
      <c r="O1682" s="1">
        <f t="shared" si="209"/>
        <v>43101</v>
      </c>
      <c r="P1682" s="1">
        <f t="shared" si="210"/>
        <v>43831</v>
      </c>
      <c r="Q1682" s="8">
        <f t="shared" si="211"/>
        <v>0</v>
      </c>
      <c r="R1682" s="8">
        <f t="shared" si="212"/>
        <v>25</v>
      </c>
      <c r="S1682" s="8">
        <f t="shared" ca="1" si="213"/>
        <v>25</v>
      </c>
      <c r="T1682">
        <f t="shared" ca="1" si="214"/>
        <v>2.7819811801006087</v>
      </c>
      <c r="U1682" s="8">
        <f t="shared" ca="1" si="215"/>
        <v>1.6089221675417602</v>
      </c>
      <c r="V1682" s="8">
        <f ca="1">RawData[[#This Row],[Z (smoothed demand size)]]/RawData[[#This Row],[X (smoothed interval)]]</f>
        <v>1.7290961839074799</v>
      </c>
    </row>
    <row r="1683" spans="1:22">
      <c r="A1683" t="s">
        <v>42</v>
      </c>
      <c r="B1683" t="s">
        <v>39</v>
      </c>
      <c r="C1683">
        <v>32</v>
      </c>
      <c r="D1683" t="s">
        <v>18</v>
      </c>
      <c r="E1683" t="s">
        <v>16</v>
      </c>
      <c r="F1683" s="1">
        <v>43832</v>
      </c>
      <c r="G1683">
        <v>2</v>
      </c>
      <c r="H1683">
        <v>2</v>
      </c>
      <c r="I1683">
        <v>8</v>
      </c>
      <c r="J1683">
        <v>6</v>
      </c>
      <c r="K1683">
        <v>0</v>
      </c>
      <c r="L1683">
        <v>453</v>
      </c>
      <c r="M1683">
        <v>45</v>
      </c>
      <c r="N1683" s="1">
        <f t="shared" si="208"/>
        <v>44938</v>
      </c>
      <c r="O1683" s="1">
        <f t="shared" si="209"/>
        <v>43101</v>
      </c>
      <c r="P1683" s="1">
        <f t="shared" si="210"/>
        <v>43862</v>
      </c>
      <c r="Q1683" s="8">
        <f t="shared" si="211"/>
        <v>0</v>
      </c>
      <c r="R1683" s="8">
        <f t="shared" si="212"/>
        <v>26</v>
      </c>
      <c r="S1683" s="8">
        <f t="shared" ca="1" si="213"/>
        <v>26</v>
      </c>
      <c r="T1683">
        <f t="shared" ca="1" si="214"/>
        <v>2.625584944080487</v>
      </c>
      <c r="U1683" s="8">
        <f t="shared" ca="1" si="215"/>
        <v>1.4871377340334082</v>
      </c>
      <c r="V1683" s="8">
        <f ca="1">RawData[[#This Row],[Z (smoothed demand size)]]/RawData[[#This Row],[X (smoothed interval)]]</f>
        <v>1.7655290992848305</v>
      </c>
    </row>
    <row r="1684" spans="1:22">
      <c r="A1684" t="s">
        <v>42</v>
      </c>
      <c r="B1684" t="s">
        <v>39</v>
      </c>
      <c r="C1684">
        <v>32</v>
      </c>
      <c r="D1684" t="s">
        <v>18</v>
      </c>
      <c r="E1684" t="s">
        <v>16</v>
      </c>
      <c r="F1684" s="1">
        <v>43833</v>
      </c>
      <c r="G1684">
        <v>6</v>
      </c>
      <c r="H1684">
        <v>6</v>
      </c>
      <c r="I1684">
        <v>6</v>
      </c>
      <c r="J1684">
        <v>0</v>
      </c>
      <c r="K1684">
        <v>0</v>
      </c>
      <c r="L1684">
        <v>455</v>
      </c>
      <c r="M1684">
        <v>45</v>
      </c>
      <c r="N1684" s="1">
        <f t="shared" si="208"/>
        <v>44938</v>
      </c>
      <c r="O1684" s="1">
        <f t="shared" si="209"/>
        <v>43101</v>
      </c>
      <c r="P1684" s="1">
        <f t="shared" si="210"/>
        <v>43891</v>
      </c>
      <c r="Q1684" s="8">
        <f t="shared" si="211"/>
        <v>0</v>
      </c>
      <c r="R1684" s="8">
        <f t="shared" si="212"/>
        <v>27</v>
      </c>
      <c r="S1684" s="8">
        <f t="shared" ca="1" si="213"/>
        <v>27</v>
      </c>
      <c r="T1684">
        <f t="shared" ca="1" si="214"/>
        <v>3.3004679552643901</v>
      </c>
      <c r="U1684" s="8">
        <f t="shared" ca="1" si="215"/>
        <v>1.3897101872267266</v>
      </c>
      <c r="V1684" s="8">
        <f ca="1">RawData[[#This Row],[Z (smoothed demand size)]]/RawData[[#This Row],[X (smoothed interval)]]</f>
        <v>2.3749325475196574</v>
      </c>
    </row>
    <row r="1685" spans="1:22">
      <c r="A1685" t="s">
        <v>42</v>
      </c>
      <c r="B1685" t="s">
        <v>39</v>
      </c>
      <c r="C1685">
        <v>32</v>
      </c>
      <c r="D1685" t="s">
        <v>18</v>
      </c>
      <c r="E1685" t="s">
        <v>16</v>
      </c>
      <c r="F1685" s="1">
        <v>43834</v>
      </c>
      <c r="G1685">
        <v>2</v>
      </c>
      <c r="H1685">
        <v>0</v>
      </c>
      <c r="I1685">
        <v>0</v>
      </c>
      <c r="J1685">
        <v>0</v>
      </c>
      <c r="K1685">
        <v>1</v>
      </c>
      <c r="L1685">
        <v>451</v>
      </c>
      <c r="M1685">
        <v>45</v>
      </c>
      <c r="N1685" s="1">
        <f t="shared" si="208"/>
        <v>44938</v>
      </c>
      <c r="O1685" s="1">
        <f t="shared" si="209"/>
        <v>43101</v>
      </c>
      <c r="P1685" s="1">
        <f t="shared" si="210"/>
        <v>43922</v>
      </c>
      <c r="Q1685" s="8">
        <f t="shared" si="211"/>
        <v>0</v>
      </c>
      <c r="R1685" s="8">
        <f t="shared" si="212"/>
        <v>28</v>
      </c>
      <c r="S1685" s="8">
        <f t="shared" ca="1" si="213"/>
        <v>28</v>
      </c>
      <c r="T1685">
        <f t="shared" ca="1" si="214"/>
        <v>3.040374364211512</v>
      </c>
      <c r="U1685" s="8">
        <f t="shared" ca="1" si="215"/>
        <v>1.3117681497813813</v>
      </c>
      <c r="V1685" s="8">
        <f ca="1">RawData[[#This Row],[Z (smoothed demand size)]]/RawData[[#This Row],[X (smoothed interval)]]</f>
        <v>2.317768093941158</v>
      </c>
    </row>
    <row r="1686" spans="1:22">
      <c r="A1686" t="s">
        <v>42</v>
      </c>
      <c r="B1686" t="s">
        <v>39</v>
      </c>
      <c r="C1686">
        <v>32</v>
      </c>
      <c r="D1686" t="s">
        <v>18</v>
      </c>
      <c r="E1686" t="s">
        <v>16</v>
      </c>
      <c r="F1686" s="1">
        <v>43835</v>
      </c>
      <c r="G1686">
        <v>2</v>
      </c>
      <c r="H1686">
        <v>2</v>
      </c>
      <c r="I1686">
        <v>9</v>
      </c>
      <c r="J1686">
        <v>7</v>
      </c>
      <c r="K1686">
        <v>0</v>
      </c>
      <c r="L1686">
        <v>453</v>
      </c>
      <c r="M1686">
        <v>45</v>
      </c>
      <c r="N1686" s="1">
        <f t="shared" si="208"/>
        <v>44938</v>
      </c>
      <c r="O1686" s="1">
        <f t="shared" si="209"/>
        <v>43101</v>
      </c>
      <c r="P1686" s="1">
        <f t="shared" si="210"/>
        <v>43952</v>
      </c>
      <c r="Q1686" s="8">
        <f t="shared" si="211"/>
        <v>0</v>
      </c>
      <c r="R1686" s="8">
        <f t="shared" si="212"/>
        <v>29</v>
      </c>
      <c r="S1686" s="8">
        <f t="shared" ca="1" si="213"/>
        <v>29</v>
      </c>
      <c r="T1686">
        <f t="shared" ca="1" si="214"/>
        <v>2.8322994913692097</v>
      </c>
      <c r="U1686" s="8">
        <f t="shared" ca="1" si="215"/>
        <v>1.249414519825105</v>
      </c>
      <c r="V1686" s="8">
        <f ca="1">RawData[[#This Row],[Z (smoothed demand size)]]/RawData[[#This Row],[X (smoothed interval)]]</f>
        <v>2.2669013737455841</v>
      </c>
    </row>
    <row r="1687" spans="1:22">
      <c r="A1687" t="s">
        <v>42</v>
      </c>
      <c r="B1687" t="s">
        <v>39</v>
      </c>
      <c r="C1687">
        <v>32</v>
      </c>
      <c r="D1687" t="s">
        <v>18</v>
      </c>
      <c r="E1687" t="s">
        <v>16</v>
      </c>
      <c r="F1687" s="1">
        <v>43836</v>
      </c>
      <c r="G1687">
        <v>4</v>
      </c>
      <c r="H1687">
        <v>4</v>
      </c>
      <c r="I1687">
        <v>7</v>
      </c>
      <c r="J1687">
        <v>3</v>
      </c>
      <c r="K1687">
        <v>0</v>
      </c>
      <c r="L1687">
        <v>513</v>
      </c>
      <c r="M1687">
        <v>60</v>
      </c>
      <c r="N1687" s="1">
        <f t="shared" si="208"/>
        <v>44938</v>
      </c>
      <c r="O1687" s="1">
        <f t="shared" si="209"/>
        <v>43101</v>
      </c>
      <c r="P1687" s="1">
        <f t="shared" si="210"/>
        <v>43983</v>
      </c>
      <c r="Q1687" s="8">
        <f t="shared" si="211"/>
        <v>0</v>
      </c>
      <c r="R1687" s="8">
        <f t="shared" si="212"/>
        <v>30</v>
      </c>
      <c r="S1687" s="8">
        <f t="shared" ca="1" si="213"/>
        <v>30</v>
      </c>
      <c r="T1687">
        <f t="shared" ca="1" si="214"/>
        <v>3.0658395930953679</v>
      </c>
      <c r="U1687" s="8">
        <f t="shared" ca="1" si="215"/>
        <v>1.1995316158600839</v>
      </c>
      <c r="V1687" s="8">
        <f ca="1">RawData[[#This Row],[Z (smoothed demand size)]]/RawData[[#This Row],[X (smoothed interval)]]</f>
        <v>2.5558639326876853</v>
      </c>
    </row>
    <row r="1688" spans="1:22">
      <c r="A1688" t="s">
        <v>42</v>
      </c>
      <c r="B1688" t="s">
        <v>39</v>
      </c>
      <c r="C1688">
        <v>32</v>
      </c>
      <c r="D1688" t="s">
        <v>18</v>
      </c>
      <c r="E1688" t="s">
        <v>16</v>
      </c>
      <c r="F1688" s="1">
        <v>43837</v>
      </c>
      <c r="G1688">
        <v>0</v>
      </c>
      <c r="H1688">
        <v>0</v>
      </c>
      <c r="I1688">
        <v>3</v>
      </c>
      <c r="J1688">
        <v>3</v>
      </c>
      <c r="K1688">
        <v>0</v>
      </c>
      <c r="L1688">
        <v>512</v>
      </c>
      <c r="M1688">
        <v>30</v>
      </c>
      <c r="N1688" s="1">
        <f t="shared" si="208"/>
        <v>44938</v>
      </c>
      <c r="O1688" s="1">
        <f t="shared" si="209"/>
        <v>43101</v>
      </c>
      <c r="P1688" s="1">
        <f t="shared" si="210"/>
        <v>44013</v>
      </c>
      <c r="Q1688" s="8">
        <f t="shared" si="211"/>
        <v>0</v>
      </c>
      <c r="R1688" s="8">
        <f t="shared" si="212"/>
        <v>31</v>
      </c>
      <c r="S1688" s="8">
        <f t="shared" ca="1" si="213"/>
        <v>30</v>
      </c>
      <c r="T1688">
        <f t="shared" ca="1" si="214"/>
        <v>3.0658395930953679</v>
      </c>
      <c r="U1688" s="8">
        <f t="shared" ca="1" si="215"/>
        <v>1.1995316158600839</v>
      </c>
      <c r="V1688" s="8">
        <f ca="1">RawData[[#This Row],[Z (smoothed demand size)]]/RawData[[#This Row],[X (smoothed interval)]]</f>
        <v>2.5558639326876853</v>
      </c>
    </row>
    <row r="1689" spans="1:22">
      <c r="A1689" t="s">
        <v>42</v>
      </c>
      <c r="B1689" t="s">
        <v>39</v>
      </c>
      <c r="C1689">
        <v>32</v>
      </c>
      <c r="D1689" t="s">
        <v>18</v>
      </c>
      <c r="E1689" t="s">
        <v>16</v>
      </c>
      <c r="F1689" s="1">
        <v>43838</v>
      </c>
      <c r="G1689">
        <v>5</v>
      </c>
      <c r="H1689">
        <v>5</v>
      </c>
      <c r="I1689">
        <v>15</v>
      </c>
      <c r="J1689">
        <v>10</v>
      </c>
      <c r="K1689">
        <v>0</v>
      </c>
      <c r="L1689">
        <v>519</v>
      </c>
      <c r="M1689">
        <v>15</v>
      </c>
      <c r="N1689" s="1">
        <f t="shared" si="208"/>
        <v>44938</v>
      </c>
      <c r="O1689" s="1">
        <f t="shared" si="209"/>
        <v>43101</v>
      </c>
      <c r="P1689" s="1">
        <f t="shared" si="210"/>
        <v>44044</v>
      </c>
      <c r="Q1689" s="8">
        <f t="shared" si="211"/>
        <v>0</v>
      </c>
      <c r="R1689" s="8">
        <f t="shared" si="212"/>
        <v>32</v>
      </c>
      <c r="S1689" s="8">
        <f t="shared" ca="1" si="213"/>
        <v>32</v>
      </c>
      <c r="T1689">
        <f t="shared" ca="1" si="214"/>
        <v>3.4526716744762944</v>
      </c>
      <c r="U1689" s="8">
        <f t="shared" ca="1" si="215"/>
        <v>1.3596252926880672</v>
      </c>
      <c r="V1689" s="8">
        <f ca="1">RawData[[#This Row],[Z (smoothed demand size)]]/RawData[[#This Row],[X (smoothed interval)]]</f>
        <v>2.5394288360509529</v>
      </c>
    </row>
    <row r="1690" spans="1:22">
      <c r="A1690" t="s">
        <v>42</v>
      </c>
      <c r="B1690" t="s">
        <v>39</v>
      </c>
      <c r="C1690">
        <v>32</v>
      </c>
      <c r="D1690" t="s">
        <v>18</v>
      </c>
      <c r="E1690" t="s">
        <v>16</v>
      </c>
      <c r="F1690" s="1">
        <v>43839</v>
      </c>
      <c r="G1690">
        <v>3</v>
      </c>
      <c r="H1690">
        <v>3</v>
      </c>
      <c r="I1690">
        <v>10</v>
      </c>
      <c r="J1690">
        <v>7</v>
      </c>
      <c r="K1690">
        <v>0</v>
      </c>
      <c r="L1690">
        <v>446</v>
      </c>
      <c r="M1690">
        <v>60</v>
      </c>
      <c r="N1690" s="1">
        <f t="shared" si="208"/>
        <v>44938</v>
      </c>
      <c r="O1690" s="1">
        <f t="shared" si="209"/>
        <v>43101</v>
      </c>
      <c r="P1690" s="1">
        <f t="shared" si="210"/>
        <v>44075</v>
      </c>
      <c r="Q1690" s="8">
        <f t="shared" si="211"/>
        <v>0</v>
      </c>
      <c r="R1690" s="8">
        <f t="shared" si="212"/>
        <v>33</v>
      </c>
      <c r="S1690" s="8">
        <f t="shared" ca="1" si="213"/>
        <v>33</v>
      </c>
      <c r="T1690">
        <f t="shared" ca="1" si="214"/>
        <v>3.3621373395810359</v>
      </c>
      <c r="U1690" s="8">
        <f t="shared" ca="1" si="215"/>
        <v>1.2877002341504538</v>
      </c>
      <c r="V1690" s="8">
        <f ca="1">RawData[[#This Row],[Z (smoothed demand size)]]/RawData[[#This Row],[X (smoothed interval)]]</f>
        <v>2.6109627461543248</v>
      </c>
    </row>
    <row r="1691" spans="1:22">
      <c r="A1691" t="s">
        <v>42</v>
      </c>
      <c r="B1691" t="s">
        <v>39</v>
      </c>
      <c r="C1691">
        <v>32</v>
      </c>
      <c r="D1691" t="s">
        <v>18</v>
      </c>
      <c r="E1691" t="s">
        <v>16</v>
      </c>
      <c r="F1691" s="1">
        <v>43840</v>
      </c>
      <c r="G1691">
        <v>2</v>
      </c>
      <c r="H1691">
        <v>2</v>
      </c>
      <c r="I1691">
        <v>7</v>
      </c>
      <c r="J1691">
        <v>5</v>
      </c>
      <c r="K1691">
        <v>0</v>
      </c>
      <c r="L1691">
        <v>451</v>
      </c>
      <c r="M1691">
        <v>30</v>
      </c>
      <c r="N1691" s="1">
        <f t="shared" si="208"/>
        <v>44938</v>
      </c>
      <c r="O1691" s="1">
        <f t="shared" si="209"/>
        <v>43101</v>
      </c>
      <c r="P1691" s="1">
        <f t="shared" si="210"/>
        <v>44105</v>
      </c>
      <c r="Q1691" s="8">
        <f t="shared" si="211"/>
        <v>0</v>
      </c>
      <c r="R1691" s="8">
        <f t="shared" si="212"/>
        <v>34</v>
      </c>
      <c r="S1691" s="8">
        <f t="shared" ca="1" si="213"/>
        <v>34</v>
      </c>
      <c r="T1691">
        <f t="shared" ca="1" si="214"/>
        <v>3.0897098716648288</v>
      </c>
      <c r="U1691" s="8">
        <f t="shared" ca="1" si="215"/>
        <v>1.2301601873203629</v>
      </c>
      <c r="V1691" s="8">
        <f ca="1">RawData[[#This Row],[Z (smoothed demand size)]]/RawData[[#This Row],[X (smoothed interval)]]</f>
        <v>2.5116321463752551</v>
      </c>
    </row>
    <row r="1692" spans="1:22">
      <c r="A1692" t="s">
        <v>42</v>
      </c>
      <c r="B1692" t="s">
        <v>39</v>
      </c>
      <c r="C1692">
        <v>32</v>
      </c>
      <c r="D1692" t="s">
        <v>18</v>
      </c>
      <c r="E1692" t="s">
        <v>16</v>
      </c>
      <c r="F1692" s="1">
        <v>43841</v>
      </c>
      <c r="G1692">
        <v>0</v>
      </c>
      <c r="H1692">
        <v>0</v>
      </c>
      <c r="I1692">
        <v>5</v>
      </c>
      <c r="J1692">
        <v>5</v>
      </c>
      <c r="K1692">
        <v>0</v>
      </c>
      <c r="L1692">
        <v>451</v>
      </c>
      <c r="M1692">
        <v>60</v>
      </c>
      <c r="N1692" s="1">
        <f t="shared" si="208"/>
        <v>44938</v>
      </c>
      <c r="O1692" s="1">
        <f t="shared" si="209"/>
        <v>43101</v>
      </c>
      <c r="P1692" s="1">
        <f t="shared" si="210"/>
        <v>44136</v>
      </c>
      <c r="Q1692" s="8">
        <f t="shared" si="211"/>
        <v>0</v>
      </c>
      <c r="R1692" s="8">
        <f t="shared" si="212"/>
        <v>35</v>
      </c>
      <c r="S1692" s="8">
        <f t="shared" ca="1" si="213"/>
        <v>34</v>
      </c>
      <c r="T1692">
        <f t="shared" ca="1" si="214"/>
        <v>3.0897098716648288</v>
      </c>
      <c r="U1692" s="8">
        <f t="shared" ca="1" si="215"/>
        <v>1.2301601873203629</v>
      </c>
      <c r="V1692" s="8">
        <f ca="1">RawData[[#This Row],[Z (smoothed demand size)]]/RawData[[#This Row],[X (smoothed interval)]]</f>
        <v>2.5116321463752551</v>
      </c>
    </row>
    <row r="1693" spans="1:22">
      <c r="A1693" t="s">
        <v>42</v>
      </c>
      <c r="B1693" t="s">
        <v>39</v>
      </c>
      <c r="C1693">
        <v>32</v>
      </c>
      <c r="D1693" t="s">
        <v>18</v>
      </c>
      <c r="E1693" t="s">
        <v>16</v>
      </c>
      <c r="F1693" s="1">
        <v>43842</v>
      </c>
      <c r="G1693">
        <v>2</v>
      </c>
      <c r="H1693">
        <v>2</v>
      </c>
      <c r="I1693">
        <v>5</v>
      </c>
      <c r="J1693">
        <v>3</v>
      </c>
      <c r="K1693">
        <v>0</v>
      </c>
      <c r="L1693">
        <v>516</v>
      </c>
      <c r="M1693">
        <v>45</v>
      </c>
      <c r="N1693" s="1">
        <f t="shared" si="208"/>
        <v>44938</v>
      </c>
      <c r="O1693" s="1">
        <f t="shared" si="209"/>
        <v>43101</v>
      </c>
      <c r="P1693" s="1">
        <f t="shared" si="210"/>
        <v>44166</v>
      </c>
      <c r="Q1693" s="8">
        <f t="shared" si="211"/>
        <v>0</v>
      </c>
      <c r="R1693" s="8">
        <f t="shared" si="212"/>
        <v>36</v>
      </c>
      <c r="S1693" s="8">
        <f t="shared" ca="1" si="213"/>
        <v>36</v>
      </c>
      <c r="T1693">
        <f t="shared" ca="1" si="214"/>
        <v>2.8717678973318632</v>
      </c>
      <c r="U1693" s="8">
        <f t="shared" ca="1" si="215"/>
        <v>1.3841281498562905</v>
      </c>
      <c r="V1693" s="8">
        <f ca="1">RawData[[#This Row],[Z (smoothed demand size)]]/RawData[[#This Row],[X (smoothed interval)]]</f>
        <v>2.0747846921761033</v>
      </c>
    </row>
    <row r="1694" spans="1:22">
      <c r="A1694" t="s">
        <v>42</v>
      </c>
      <c r="B1694" t="s">
        <v>39</v>
      </c>
      <c r="C1694">
        <v>32</v>
      </c>
      <c r="D1694" t="s">
        <v>18</v>
      </c>
      <c r="E1694" t="s">
        <v>16</v>
      </c>
      <c r="F1694" s="1">
        <v>44197</v>
      </c>
      <c r="G1694">
        <v>1</v>
      </c>
      <c r="H1694">
        <v>1</v>
      </c>
      <c r="I1694">
        <v>3</v>
      </c>
      <c r="J1694">
        <v>2</v>
      </c>
      <c r="K1694">
        <v>0</v>
      </c>
      <c r="L1694">
        <v>449</v>
      </c>
      <c r="M1694">
        <v>60</v>
      </c>
      <c r="N1694" s="1">
        <f t="shared" si="208"/>
        <v>44938</v>
      </c>
      <c r="O1694" s="1">
        <f t="shared" si="209"/>
        <v>43101</v>
      </c>
      <c r="P1694" s="1">
        <f t="shared" si="210"/>
        <v>44197</v>
      </c>
      <c r="Q1694" s="8">
        <f t="shared" si="211"/>
        <v>0</v>
      </c>
      <c r="R1694" s="8">
        <f t="shared" si="212"/>
        <v>37</v>
      </c>
      <c r="S1694" s="8">
        <f t="shared" ca="1" si="213"/>
        <v>37</v>
      </c>
      <c r="T1694">
        <f t="shared" ca="1" si="214"/>
        <v>2.4974143178654908</v>
      </c>
      <c r="U1694" s="8">
        <f t="shared" ca="1" si="215"/>
        <v>1.3073025198850323</v>
      </c>
      <c r="V1694" s="8">
        <f ca="1">RawData[[#This Row],[Z (smoothed demand size)]]/RawData[[#This Row],[X (smoothed interval)]]</f>
        <v>1.9103568453957545</v>
      </c>
    </row>
    <row r="1695" spans="1:22">
      <c r="A1695" t="s">
        <v>42</v>
      </c>
      <c r="B1695" t="s">
        <v>39</v>
      </c>
      <c r="C1695">
        <v>32</v>
      </c>
      <c r="D1695" t="s">
        <v>18</v>
      </c>
      <c r="E1695" t="s">
        <v>16</v>
      </c>
      <c r="F1695" s="1">
        <v>44198</v>
      </c>
      <c r="G1695">
        <v>4</v>
      </c>
      <c r="H1695">
        <v>4</v>
      </c>
      <c r="I1695">
        <v>12</v>
      </c>
      <c r="J1695">
        <v>8</v>
      </c>
      <c r="K1695">
        <v>0</v>
      </c>
      <c r="L1695">
        <v>451</v>
      </c>
      <c r="M1695">
        <v>60</v>
      </c>
      <c r="N1695" s="1">
        <f t="shared" si="208"/>
        <v>44938</v>
      </c>
      <c r="O1695" s="1">
        <f t="shared" si="209"/>
        <v>43101</v>
      </c>
      <c r="P1695" s="1">
        <f t="shared" si="210"/>
        <v>44228</v>
      </c>
      <c r="Q1695" s="8">
        <f t="shared" si="211"/>
        <v>0</v>
      </c>
      <c r="R1695" s="8">
        <f t="shared" si="212"/>
        <v>38</v>
      </c>
      <c r="S1695" s="8">
        <f t="shared" ca="1" si="213"/>
        <v>38</v>
      </c>
      <c r="T1695">
        <f t="shared" ca="1" si="214"/>
        <v>2.7979314542923928</v>
      </c>
      <c r="U1695" s="8">
        <f t="shared" ca="1" si="215"/>
        <v>1.2458420159080259</v>
      </c>
      <c r="V1695" s="8">
        <f ca="1">RawData[[#This Row],[Z (smoothed demand size)]]/RawData[[#This Row],[X (smoothed interval)]]</f>
        <v>2.245815615917508</v>
      </c>
    </row>
    <row r="1696" spans="1:22">
      <c r="A1696" t="s">
        <v>42</v>
      </c>
      <c r="B1696" t="s">
        <v>39</v>
      </c>
      <c r="C1696">
        <v>32</v>
      </c>
      <c r="D1696" t="s">
        <v>18</v>
      </c>
      <c r="E1696" t="s">
        <v>16</v>
      </c>
      <c r="F1696" s="1">
        <v>44199</v>
      </c>
      <c r="G1696">
        <v>2</v>
      </c>
      <c r="H1696">
        <v>2</v>
      </c>
      <c r="I1696">
        <v>8</v>
      </c>
      <c r="J1696">
        <v>6</v>
      </c>
      <c r="K1696">
        <v>0</v>
      </c>
      <c r="L1696">
        <v>447</v>
      </c>
      <c r="M1696">
        <v>45</v>
      </c>
      <c r="N1696" s="1">
        <f t="shared" si="208"/>
        <v>44938</v>
      </c>
      <c r="O1696" s="1">
        <f t="shared" si="209"/>
        <v>43101</v>
      </c>
      <c r="P1696" s="1">
        <f t="shared" si="210"/>
        <v>44256</v>
      </c>
      <c r="Q1696" s="8">
        <f t="shared" si="211"/>
        <v>0</v>
      </c>
      <c r="R1696" s="8">
        <f t="shared" si="212"/>
        <v>39</v>
      </c>
      <c r="S1696" s="8">
        <f t="shared" ca="1" si="213"/>
        <v>39</v>
      </c>
      <c r="T1696">
        <f t="shared" ca="1" si="214"/>
        <v>2.6383451634339141</v>
      </c>
      <c r="U1696" s="8">
        <f t="shared" ca="1" si="215"/>
        <v>1.1966736127264208</v>
      </c>
      <c r="V1696" s="8">
        <f ca="1">RawData[[#This Row],[Z (smoothed demand size)]]/RawData[[#This Row],[X (smoothed interval)]]</f>
        <v>2.204732464538</v>
      </c>
    </row>
    <row r="1697" spans="1:22">
      <c r="A1697" t="s">
        <v>42</v>
      </c>
      <c r="B1697" t="s">
        <v>39</v>
      </c>
      <c r="C1697">
        <v>32</v>
      </c>
      <c r="D1697" t="s">
        <v>18</v>
      </c>
      <c r="E1697" t="s">
        <v>16</v>
      </c>
      <c r="F1697" s="1">
        <v>44200</v>
      </c>
      <c r="G1697">
        <v>0</v>
      </c>
      <c r="H1697">
        <v>0</v>
      </c>
      <c r="I1697">
        <v>6</v>
      </c>
      <c r="J1697">
        <v>6</v>
      </c>
      <c r="K1697">
        <v>0</v>
      </c>
      <c r="L1697">
        <v>446</v>
      </c>
      <c r="M1697">
        <v>45</v>
      </c>
      <c r="N1697" s="1">
        <f t="shared" si="208"/>
        <v>44938</v>
      </c>
      <c r="O1697" s="1">
        <f t="shared" si="209"/>
        <v>43101</v>
      </c>
      <c r="P1697" s="1">
        <f t="shared" si="210"/>
        <v>44287</v>
      </c>
      <c r="Q1697" s="8">
        <f t="shared" si="211"/>
        <v>0</v>
      </c>
      <c r="R1697" s="8">
        <f t="shared" si="212"/>
        <v>40</v>
      </c>
      <c r="S1697" s="8">
        <f t="shared" ca="1" si="213"/>
        <v>39</v>
      </c>
      <c r="T1697">
        <f t="shared" ca="1" si="214"/>
        <v>2.6383451634339141</v>
      </c>
      <c r="U1697" s="8">
        <f t="shared" ca="1" si="215"/>
        <v>1.1966736127264208</v>
      </c>
      <c r="V1697" s="8">
        <f ca="1">RawData[[#This Row],[Z (smoothed demand size)]]/RawData[[#This Row],[X (smoothed interval)]]</f>
        <v>2.204732464538</v>
      </c>
    </row>
    <row r="1698" spans="1:22">
      <c r="A1698" t="s">
        <v>42</v>
      </c>
      <c r="B1698" t="s">
        <v>39</v>
      </c>
      <c r="C1698">
        <v>32</v>
      </c>
      <c r="D1698" t="s">
        <v>18</v>
      </c>
      <c r="E1698" t="s">
        <v>16</v>
      </c>
      <c r="F1698" s="1">
        <v>44201</v>
      </c>
      <c r="G1698">
        <v>2</v>
      </c>
      <c r="H1698">
        <v>2</v>
      </c>
      <c r="I1698">
        <v>6</v>
      </c>
      <c r="J1698">
        <v>4</v>
      </c>
      <c r="K1698">
        <v>0</v>
      </c>
      <c r="L1698">
        <v>452</v>
      </c>
      <c r="M1698">
        <v>15</v>
      </c>
      <c r="N1698" s="1">
        <f t="shared" si="208"/>
        <v>44938</v>
      </c>
      <c r="O1698" s="1">
        <f t="shared" si="209"/>
        <v>43101</v>
      </c>
      <c r="P1698" s="1">
        <f t="shared" si="210"/>
        <v>44317</v>
      </c>
      <c r="Q1698" s="8">
        <f t="shared" si="211"/>
        <v>0</v>
      </c>
      <c r="R1698" s="8">
        <f t="shared" si="212"/>
        <v>41</v>
      </c>
      <c r="S1698" s="8">
        <f t="shared" ca="1" si="213"/>
        <v>41</v>
      </c>
      <c r="T1698">
        <f t="shared" ca="1" si="214"/>
        <v>2.5106761307471315</v>
      </c>
      <c r="U1698" s="8">
        <f t="shared" ca="1" si="215"/>
        <v>1.3573388901811367</v>
      </c>
      <c r="V1698" s="8">
        <f ca="1">RawData[[#This Row],[Z (smoothed demand size)]]/RawData[[#This Row],[X (smoothed interval)]]</f>
        <v>1.8497047044839936</v>
      </c>
    </row>
    <row r="1699" spans="1:22">
      <c r="A1699" t="s">
        <v>42</v>
      </c>
      <c r="B1699" t="s">
        <v>39</v>
      </c>
      <c r="C1699">
        <v>32</v>
      </c>
      <c r="D1699" t="s">
        <v>18</v>
      </c>
      <c r="E1699" t="s">
        <v>16</v>
      </c>
      <c r="F1699" s="1">
        <v>44202</v>
      </c>
      <c r="G1699">
        <v>3</v>
      </c>
      <c r="H1699">
        <v>3</v>
      </c>
      <c r="I1699">
        <v>4</v>
      </c>
      <c r="J1699">
        <v>1</v>
      </c>
      <c r="K1699">
        <v>0</v>
      </c>
      <c r="L1699">
        <v>517</v>
      </c>
      <c r="M1699">
        <v>15</v>
      </c>
      <c r="N1699" s="1">
        <f t="shared" si="208"/>
        <v>44938</v>
      </c>
      <c r="O1699" s="1">
        <f t="shared" si="209"/>
        <v>43101</v>
      </c>
      <c r="P1699" s="1">
        <f t="shared" si="210"/>
        <v>44348</v>
      </c>
      <c r="Q1699" s="8">
        <f t="shared" si="211"/>
        <v>0</v>
      </c>
      <c r="R1699" s="8">
        <f t="shared" si="212"/>
        <v>42</v>
      </c>
      <c r="S1699" s="8">
        <f t="shared" ca="1" si="213"/>
        <v>42</v>
      </c>
      <c r="T1699">
        <f t="shared" ca="1" si="214"/>
        <v>2.6085409045977053</v>
      </c>
      <c r="U1699" s="8">
        <f t="shared" ca="1" si="215"/>
        <v>1.2858711121449093</v>
      </c>
      <c r="V1699" s="8">
        <f ca="1">RawData[[#This Row],[Z (smoothed demand size)]]/RawData[[#This Row],[X (smoothed interval)]]</f>
        <v>2.0286177051185978</v>
      </c>
    </row>
    <row r="1700" spans="1:22">
      <c r="A1700" t="s">
        <v>42</v>
      </c>
      <c r="B1700" t="s">
        <v>39</v>
      </c>
      <c r="C1700">
        <v>32</v>
      </c>
      <c r="D1700" t="s">
        <v>18</v>
      </c>
      <c r="E1700" t="s">
        <v>16</v>
      </c>
      <c r="F1700" s="1">
        <v>44203</v>
      </c>
      <c r="G1700">
        <v>3</v>
      </c>
      <c r="H1700">
        <v>3</v>
      </c>
      <c r="I1700">
        <v>11</v>
      </c>
      <c r="J1700">
        <v>8</v>
      </c>
      <c r="K1700">
        <v>0</v>
      </c>
      <c r="L1700">
        <v>517</v>
      </c>
      <c r="M1700">
        <v>30</v>
      </c>
      <c r="N1700" s="1">
        <f t="shared" si="208"/>
        <v>44938</v>
      </c>
      <c r="O1700" s="1">
        <f t="shared" si="209"/>
        <v>43101</v>
      </c>
      <c r="P1700" s="1">
        <f t="shared" si="210"/>
        <v>44378</v>
      </c>
      <c r="Q1700" s="8">
        <f t="shared" si="211"/>
        <v>0</v>
      </c>
      <c r="R1700" s="8">
        <f t="shared" si="212"/>
        <v>43</v>
      </c>
      <c r="S1700" s="8">
        <f t="shared" ca="1" si="213"/>
        <v>43</v>
      </c>
      <c r="T1700">
        <f t="shared" ca="1" si="214"/>
        <v>2.6868327236781644</v>
      </c>
      <c r="U1700" s="8">
        <f t="shared" ca="1" si="215"/>
        <v>1.2286968897159274</v>
      </c>
      <c r="V1700" s="8">
        <f ca="1">RawData[[#This Row],[Z (smoothed demand size)]]/RawData[[#This Row],[X (smoothed interval)]]</f>
        <v>2.186733559893161</v>
      </c>
    </row>
    <row r="1701" spans="1:22">
      <c r="A1701" t="s">
        <v>42</v>
      </c>
      <c r="B1701" t="s">
        <v>39</v>
      </c>
      <c r="C1701">
        <v>32</v>
      </c>
      <c r="D1701" t="s">
        <v>18</v>
      </c>
      <c r="E1701" t="s">
        <v>16</v>
      </c>
      <c r="F1701" s="1">
        <v>44204</v>
      </c>
      <c r="G1701">
        <v>0</v>
      </c>
      <c r="H1701">
        <v>0</v>
      </c>
      <c r="I1701">
        <v>8</v>
      </c>
      <c r="J1701">
        <v>8</v>
      </c>
      <c r="K1701">
        <v>0</v>
      </c>
      <c r="L1701">
        <v>518</v>
      </c>
      <c r="M1701">
        <v>45</v>
      </c>
      <c r="N1701" s="1">
        <f t="shared" si="208"/>
        <v>44938</v>
      </c>
      <c r="O1701" s="1">
        <f t="shared" si="209"/>
        <v>43101</v>
      </c>
      <c r="P1701" s="1">
        <f t="shared" si="210"/>
        <v>44409</v>
      </c>
      <c r="Q1701" s="8">
        <f t="shared" si="211"/>
        <v>0</v>
      </c>
      <c r="R1701" s="8">
        <f t="shared" si="212"/>
        <v>44</v>
      </c>
      <c r="S1701" s="8">
        <f t="shared" ca="1" si="213"/>
        <v>43</v>
      </c>
      <c r="T1701">
        <f t="shared" ca="1" si="214"/>
        <v>2.6868327236781644</v>
      </c>
      <c r="U1701" s="8">
        <f t="shared" ca="1" si="215"/>
        <v>1.2286968897159274</v>
      </c>
      <c r="V1701" s="8">
        <f ca="1">RawData[[#This Row],[Z (smoothed demand size)]]/RawData[[#This Row],[X (smoothed interval)]]</f>
        <v>2.186733559893161</v>
      </c>
    </row>
    <row r="1702" spans="1:22">
      <c r="A1702" t="s">
        <v>42</v>
      </c>
      <c r="B1702" t="s">
        <v>39</v>
      </c>
      <c r="C1702">
        <v>32</v>
      </c>
      <c r="D1702" t="s">
        <v>18</v>
      </c>
      <c r="E1702" t="s">
        <v>16</v>
      </c>
      <c r="F1702" s="1">
        <v>44205</v>
      </c>
      <c r="G1702">
        <v>2</v>
      </c>
      <c r="H1702">
        <v>2</v>
      </c>
      <c r="I1702">
        <v>8</v>
      </c>
      <c r="J1702">
        <v>6</v>
      </c>
      <c r="K1702">
        <v>0</v>
      </c>
      <c r="L1702">
        <v>449</v>
      </c>
      <c r="M1702">
        <v>45</v>
      </c>
      <c r="N1702" s="1">
        <f t="shared" si="208"/>
        <v>44938</v>
      </c>
      <c r="O1702" s="1">
        <f t="shared" si="209"/>
        <v>43101</v>
      </c>
      <c r="P1702" s="1">
        <f t="shared" si="210"/>
        <v>44440</v>
      </c>
      <c r="Q1702" s="8">
        <f t="shared" si="211"/>
        <v>0</v>
      </c>
      <c r="R1702" s="8">
        <f t="shared" si="212"/>
        <v>45</v>
      </c>
      <c r="S1702" s="8">
        <f t="shared" ca="1" si="213"/>
        <v>45</v>
      </c>
      <c r="T1702">
        <f t="shared" ca="1" si="214"/>
        <v>2.5494661789425317</v>
      </c>
      <c r="U1702" s="8">
        <f t="shared" ca="1" si="215"/>
        <v>1.382957511772742</v>
      </c>
      <c r="V1702" s="8">
        <f ca="1">RawData[[#This Row],[Z (smoothed demand size)]]/RawData[[#This Row],[X (smoothed interval)]]</f>
        <v>1.8434884349227059</v>
      </c>
    </row>
    <row r="1703" spans="1:22">
      <c r="A1703" t="s">
        <v>42</v>
      </c>
      <c r="B1703" t="s">
        <v>39</v>
      </c>
      <c r="C1703">
        <v>32</v>
      </c>
      <c r="D1703" t="s">
        <v>18</v>
      </c>
      <c r="E1703" t="s">
        <v>16</v>
      </c>
      <c r="F1703" s="1">
        <v>44206</v>
      </c>
      <c r="G1703">
        <v>1</v>
      </c>
      <c r="H1703">
        <v>1</v>
      </c>
      <c r="I1703">
        <v>6</v>
      </c>
      <c r="J1703">
        <v>5</v>
      </c>
      <c r="K1703">
        <v>0</v>
      </c>
      <c r="L1703">
        <v>446</v>
      </c>
      <c r="M1703">
        <v>15</v>
      </c>
      <c r="N1703" s="1">
        <f t="shared" si="208"/>
        <v>44938</v>
      </c>
      <c r="O1703" s="1">
        <f t="shared" si="209"/>
        <v>43101</v>
      </c>
      <c r="P1703" s="1">
        <f t="shared" si="210"/>
        <v>44470</v>
      </c>
      <c r="Q1703" s="8">
        <f t="shared" si="211"/>
        <v>0</v>
      </c>
      <c r="R1703" s="8">
        <f t="shared" si="212"/>
        <v>46</v>
      </c>
      <c r="S1703" s="8">
        <f t="shared" ca="1" si="213"/>
        <v>46</v>
      </c>
      <c r="T1703">
        <f t="shared" ca="1" si="214"/>
        <v>2.2395729431540254</v>
      </c>
      <c r="U1703" s="8">
        <f t="shared" ca="1" si="215"/>
        <v>1.3063660094181935</v>
      </c>
      <c r="V1703" s="8">
        <f ca="1">RawData[[#This Row],[Z (smoothed demand size)]]/RawData[[#This Row],[X (smoothed interval)]]</f>
        <v>1.7143533489144036</v>
      </c>
    </row>
    <row r="1704" spans="1:22">
      <c r="A1704" t="s">
        <v>42</v>
      </c>
      <c r="B1704" t="s">
        <v>39</v>
      </c>
      <c r="C1704">
        <v>32</v>
      </c>
      <c r="D1704" t="s">
        <v>18</v>
      </c>
      <c r="E1704" t="s">
        <v>16</v>
      </c>
      <c r="F1704" s="1">
        <v>44207</v>
      </c>
      <c r="G1704">
        <v>0</v>
      </c>
      <c r="H1704">
        <v>0</v>
      </c>
      <c r="I1704">
        <v>5</v>
      </c>
      <c r="J1704">
        <v>5</v>
      </c>
      <c r="K1704">
        <v>0</v>
      </c>
      <c r="L1704">
        <v>445</v>
      </c>
      <c r="M1704">
        <v>15</v>
      </c>
      <c r="N1704" s="1">
        <f t="shared" si="208"/>
        <v>44938</v>
      </c>
      <c r="O1704" s="1">
        <f t="shared" si="209"/>
        <v>43101</v>
      </c>
      <c r="P1704" s="1">
        <f t="shared" si="210"/>
        <v>44501</v>
      </c>
      <c r="Q1704" s="8">
        <f t="shared" si="211"/>
        <v>0</v>
      </c>
      <c r="R1704" s="8">
        <f t="shared" si="212"/>
        <v>47</v>
      </c>
      <c r="S1704" s="8">
        <f t="shared" ca="1" si="213"/>
        <v>46</v>
      </c>
      <c r="T1704">
        <f t="shared" ca="1" si="214"/>
        <v>2.2395729431540254</v>
      </c>
      <c r="U1704" s="8">
        <f t="shared" ca="1" si="215"/>
        <v>1.3063660094181935</v>
      </c>
      <c r="V1704" s="8">
        <f ca="1">RawData[[#This Row],[Z (smoothed demand size)]]/RawData[[#This Row],[X (smoothed interval)]]</f>
        <v>1.7143533489144036</v>
      </c>
    </row>
    <row r="1705" spans="1:22">
      <c r="A1705" t="s">
        <v>42</v>
      </c>
      <c r="B1705" t="s">
        <v>39</v>
      </c>
      <c r="C1705">
        <v>32</v>
      </c>
      <c r="D1705" t="s">
        <v>18</v>
      </c>
      <c r="E1705" t="s">
        <v>16</v>
      </c>
      <c r="F1705" s="1">
        <v>44208</v>
      </c>
      <c r="G1705">
        <v>1</v>
      </c>
      <c r="H1705">
        <v>1</v>
      </c>
      <c r="I1705">
        <v>5</v>
      </c>
      <c r="J1705">
        <v>4</v>
      </c>
      <c r="K1705">
        <v>0</v>
      </c>
      <c r="L1705">
        <v>515</v>
      </c>
      <c r="M1705">
        <v>45</v>
      </c>
      <c r="N1705" s="1">
        <f t="shared" si="208"/>
        <v>44938</v>
      </c>
      <c r="O1705" s="1">
        <f t="shared" si="209"/>
        <v>43101</v>
      </c>
      <c r="P1705" s="1">
        <f t="shared" si="210"/>
        <v>44531</v>
      </c>
      <c r="Q1705" s="8">
        <f t="shared" si="211"/>
        <v>0</v>
      </c>
      <c r="R1705" s="8">
        <f t="shared" si="212"/>
        <v>48</v>
      </c>
      <c r="S1705" s="8">
        <f t="shared" ca="1" si="213"/>
        <v>48</v>
      </c>
      <c r="T1705">
        <f t="shared" ca="1" si="214"/>
        <v>1.9916583545232205</v>
      </c>
      <c r="U1705" s="8">
        <f t="shared" ca="1" si="215"/>
        <v>1.445092807534555</v>
      </c>
      <c r="V1705" s="8">
        <f ca="1">RawData[[#This Row],[Z (smoothed demand size)]]/RawData[[#This Row],[X (smoothed interval)]]</f>
        <v>1.3782217613560408</v>
      </c>
    </row>
    <row r="1706" spans="1:22">
      <c r="A1706" t="s">
        <v>42</v>
      </c>
      <c r="B1706" t="s">
        <v>39</v>
      </c>
      <c r="C1706">
        <v>32</v>
      </c>
      <c r="D1706" t="s">
        <v>18</v>
      </c>
      <c r="E1706" t="s">
        <v>16</v>
      </c>
      <c r="F1706" s="1">
        <v>44562</v>
      </c>
      <c r="G1706">
        <v>0</v>
      </c>
      <c r="H1706">
        <v>0</v>
      </c>
      <c r="I1706">
        <v>4</v>
      </c>
      <c r="J1706">
        <v>4</v>
      </c>
      <c r="K1706">
        <v>0</v>
      </c>
      <c r="L1706">
        <v>449</v>
      </c>
      <c r="M1706">
        <v>60</v>
      </c>
      <c r="N1706" s="1">
        <f t="shared" si="208"/>
        <v>44938</v>
      </c>
      <c r="O1706" s="1">
        <f t="shared" si="209"/>
        <v>43101</v>
      </c>
      <c r="P1706" s="1">
        <f t="shared" si="210"/>
        <v>44562</v>
      </c>
      <c r="Q1706" s="8">
        <f t="shared" si="211"/>
        <v>0</v>
      </c>
      <c r="R1706" s="8">
        <f t="shared" si="212"/>
        <v>49</v>
      </c>
      <c r="S1706" s="8">
        <f t="shared" ca="1" si="213"/>
        <v>48</v>
      </c>
      <c r="T1706">
        <f t="shared" ca="1" si="214"/>
        <v>1.9916583545232205</v>
      </c>
      <c r="U1706" s="8">
        <f t="shared" ca="1" si="215"/>
        <v>1.445092807534555</v>
      </c>
      <c r="V1706" s="8">
        <f ca="1">RawData[[#This Row],[Z (smoothed demand size)]]/RawData[[#This Row],[X (smoothed interval)]]</f>
        <v>1.3782217613560408</v>
      </c>
    </row>
    <row r="1707" spans="1:22">
      <c r="A1707" t="s">
        <v>42</v>
      </c>
      <c r="B1707" t="s">
        <v>39</v>
      </c>
      <c r="C1707">
        <v>32</v>
      </c>
      <c r="D1707" t="s">
        <v>18</v>
      </c>
      <c r="E1707" t="s">
        <v>16</v>
      </c>
      <c r="F1707" s="1">
        <v>44563</v>
      </c>
      <c r="G1707">
        <v>5</v>
      </c>
      <c r="H1707">
        <v>4</v>
      </c>
      <c r="I1707">
        <v>4</v>
      </c>
      <c r="J1707">
        <v>0</v>
      </c>
      <c r="K1707">
        <v>1</v>
      </c>
      <c r="L1707">
        <v>449</v>
      </c>
      <c r="M1707">
        <v>45</v>
      </c>
      <c r="N1707" s="1">
        <f t="shared" si="208"/>
        <v>44938</v>
      </c>
      <c r="O1707" s="1">
        <f t="shared" si="209"/>
        <v>43101</v>
      </c>
      <c r="P1707" s="1">
        <f t="shared" si="210"/>
        <v>44593</v>
      </c>
      <c r="Q1707" s="8">
        <f t="shared" si="211"/>
        <v>0</v>
      </c>
      <c r="R1707" s="8">
        <f t="shared" si="212"/>
        <v>50</v>
      </c>
      <c r="S1707" s="8">
        <f t="shared" ca="1" si="213"/>
        <v>50</v>
      </c>
      <c r="T1707">
        <f t="shared" ca="1" si="214"/>
        <v>2.5933266836185762</v>
      </c>
      <c r="U1707" s="8">
        <f t="shared" ca="1" si="215"/>
        <v>1.5560742460276442</v>
      </c>
      <c r="V1707" s="8">
        <f ca="1">RawData[[#This Row],[Z (smoothed demand size)]]/RawData[[#This Row],[X (smoothed interval)]]</f>
        <v>1.6665828704760306</v>
      </c>
    </row>
    <row r="1708" spans="1:22">
      <c r="A1708" t="s">
        <v>42</v>
      </c>
      <c r="B1708" t="s">
        <v>39</v>
      </c>
      <c r="C1708">
        <v>32</v>
      </c>
      <c r="D1708" t="s">
        <v>18</v>
      </c>
      <c r="E1708" t="s">
        <v>16</v>
      </c>
      <c r="F1708" s="1">
        <v>44564</v>
      </c>
      <c r="G1708">
        <v>2</v>
      </c>
      <c r="H1708">
        <v>0</v>
      </c>
      <c r="I1708">
        <v>0</v>
      </c>
      <c r="J1708">
        <v>0</v>
      </c>
      <c r="K1708">
        <v>1</v>
      </c>
      <c r="L1708">
        <v>447</v>
      </c>
      <c r="M1708">
        <v>30</v>
      </c>
      <c r="N1708" s="1">
        <f t="shared" si="208"/>
        <v>44938</v>
      </c>
      <c r="O1708" s="1">
        <f t="shared" si="209"/>
        <v>43101</v>
      </c>
      <c r="P1708" s="1">
        <f t="shared" si="210"/>
        <v>44621</v>
      </c>
      <c r="Q1708" s="8">
        <f t="shared" si="211"/>
        <v>0</v>
      </c>
      <c r="R1708" s="8">
        <f t="shared" si="212"/>
        <v>51</v>
      </c>
      <c r="S1708" s="8">
        <f t="shared" ca="1" si="213"/>
        <v>51</v>
      </c>
      <c r="T1708">
        <f t="shared" ca="1" si="214"/>
        <v>2.4746613468948611</v>
      </c>
      <c r="U1708" s="8">
        <f t="shared" ca="1" si="215"/>
        <v>1.4448593968221155</v>
      </c>
      <c r="V1708" s="8">
        <f ca="1">RawData[[#This Row],[Z (smoothed demand size)]]/RawData[[#This Row],[X (smoothed interval)]]</f>
        <v>1.7127350608216518</v>
      </c>
    </row>
    <row r="1709" spans="1:22">
      <c r="A1709" t="s">
        <v>42</v>
      </c>
      <c r="B1709" t="s">
        <v>39</v>
      </c>
      <c r="C1709">
        <v>32</v>
      </c>
      <c r="D1709" t="s">
        <v>18</v>
      </c>
      <c r="E1709" t="s">
        <v>16</v>
      </c>
      <c r="F1709" s="1">
        <v>44565</v>
      </c>
      <c r="G1709">
        <v>1</v>
      </c>
      <c r="H1709">
        <v>1</v>
      </c>
      <c r="I1709">
        <v>11</v>
      </c>
      <c r="J1709">
        <v>10</v>
      </c>
      <c r="K1709">
        <v>0</v>
      </c>
      <c r="L1709">
        <v>448</v>
      </c>
      <c r="M1709">
        <v>15</v>
      </c>
      <c r="N1709" s="1">
        <f t="shared" si="208"/>
        <v>44938</v>
      </c>
      <c r="O1709" s="1">
        <f t="shared" si="209"/>
        <v>43101</v>
      </c>
      <c r="P1709" s="1">
        <f t="shared" si="210"/>
        <v>44652</v>
      </c>
      <c r="Q1709" s="8">
        <f t="shared" si="211"/>
        <v>0</v>
      </c>
      <c r="R1709" s="8">
        <f t="shared" si="212"/>
        <v>52</v>
      </c>
      <c r="S1709" s="8">
        <f t="shared" ca="1" si="213"/>
        <v>52</v>
      </c>
      <c r="T1709">
        <f t="shared" ca="1" si="214"/>
        <v>2.1797290775158888</v>
      </c>
      <c r="U1709" s="8">
        <f t="shared" ca="1" si="215"/>
        <v>1.3558875174576923</v>
      </c>
      <c r="V1709" s="8">
        <f ca="1">RawData[[#This Row],[Z (smoothed demand size)]]/RawData[[#This Row],[X (smoothed interval)]]</f>
        <v>1.6076031746371637</v>
      </c>
    </row>
    <row r="1710" spans="1:22">
      <c r="A1710" t="s">
        <v>42</v>
      </c>
      <c r="B1710" t="s">
        <v>39</v>
      </c>
      <c r="C1710">
        <v>32</v>
      </c>
      <c r="D1710" t="s">
        <v>18</v>
      </c>
      <c r="E1710" t="s">
        <v>16</v>
      </c>
      <c r="F1710" s="1">
        <v>44566</v>
      </c>
      <c r="G1710">
        <v>0</v>
      </c>
      <c r="H1710">
        <v>0</v>
      </c>
      <c r="I1710">
        <v>10</v>
      </c>
      <c r="J1710">
        <v>10</v>
      </c>
      <c r="K1710">
        <v>0</v>
      </c>
      <c r="L1710">
        <v>442</v>
      </c>
      <c r="M1710">
        <v>15</v>
      </c>
      <c r="N1710" s="1">
        <f t="shared" si="208"/>
        <v>44938</v>
      </c>
      <c r="O1710" s="1">
        <f t="shared" si="209"/>
        <v>43101</v>
      </c>
      <c r="P1710" s="1">
        <f t="shared" si="210"/>
        <v>44682</v>
      </c>
      <c r="Q1710" s="8">
        <f t="shared" si="211"/>
        <v>0</v>
      </c>
      <c r="R1710" s="8">
        <f t="shared" si="212"/>
        <v>53</v>
      </c>
      <c r="S1710" s="8">
        <f t="shared" ca="1" si="213"/>
        <v>52</v>
      </c>
      <c r="T1710">
        <f t="shared" ca="1" si="214"/>
        <v>2.1797290775158888</v>
      </c>
      <c r="U1710" s="8">
        <f t="shared" ca="1" si="215"/>
        <v>1.3558875174576923</v>
      </c>
      <c r="V1710" s="8">
        <f ca="1">RawData[[#This Row],[Z (smoothed demand size)]]/RawData[[#This Row],[X (smoothed interval)]]</f>
        <v>1.6076031746371637</v>
      </c>
    </row>
    <row r="1711" spans="1:22">
      <c r="A1711" t="s">
        <v>42</v>
      </c>
      <c r="B1711" t="s">
        <v>39</v>
      </c>
      <c r="C1711">
        <v>32</v>
      </c>
      <c r="D1711" t="s">
        <v>18</v>
      </c>
      <c r="E1711" t="s">
        <v>16</v>
      </c>
      <c r="F1711" s="1">
        <v>44567</v>
      </c>
      <c r="G1711">
        <v>0</v>
      </c>
      <c r="H1711">
        <v>0</v>
      </c>
      <c r="I1711">
        <v>10</v>
      </c>
      <c r="J1711">
        <v>10</v>
      </c>
      <c r="K1711">
        <v>0</v>
      </c>
      <c r="L1711">
        <v>511</v>
      </c>
      <c r="M1711">
        <v>60</v>
      </c>
      <c r="N1711" s="1">
        <f t="shared" si="208"/>
        <v>44938</v>
      </c>
      <c r="O1711" s="1">
        <f t="shared" si="209"/>
        <v>43101</v>
      </c>
      <c r="P1711" s="1">
        <f t="shared" si="210"/>
        <v>44713</v>
      </c>
      <c r="Q1711" s="8">
        <f t="shared" si="211"/>
        <v>0</v>
      </c>
      <c r="R1711" s="8">
        <f t="shared" si="212"/>
        <v>54</v>
      </c>
      <c r="S1711" s="8">
        <f t="shared" ca="1" si="213"/>
        <v>52</v>
      </c>
      <c r="T1711">
        <f t="shared" ca="1" si="214"/>
        <v>2.1797290775158888</v>
      </c>
      <c r="U1711" s="8">
        <f t="shared" ca="1" si="215"/>
        <v>1.3558875174576923</v>
      </c>
      <c r="V1711" s="8">
        <f ca="1">RawData[[#This Row],[Z (smoothed demand size)]]/RawData[[#This Row],[X (smoothed interval)]]</f>
        <v>1.6076031746371637</v>
      </c>
    </row>
    <row r="1712" spans="1:22">
      <c r="A1712" t="s">
        <v>42</v>
      </c>
      <c r="B1712" t="s">
        <v>39</v>
      </c>
      <c r="C1712">
        <v>32</v>
      </c>
      <c r="D1712" t="s">
        <v>18</v>
      </c>
      <c r="E1712" t="s">
        <v>16</v>
      </c>
      <c r="F1712" s="1">
        <v>44568</v>
      </c>
      <c r="G1712">
        <v>0</v>
      </c>
      <c r="H1712">
        <v>0</v>
      </c>
      <c r="I1712">
        <v>10</v>
      </c>
      <c r="J1712">
        <v>10</v>
      </c>
      <c r="K1712">
        <v>0</v>
      </c>
      <c r="L1712">
        <v>517</v>
      </c>
      <c r="M1712">
        <v>60</v>
      </c>
      <c r="N1712" s="1">
        <f t="shared" si="208"/>
        <v>44938</v>
      </c>
      <c r="O1712" s="1">
        <f t="shared" si="209"/>
        <v>43101</v>
      </c>
      <c r="P1712" s="1">
        <f t="shared" si="210"/>
        <v>44743</v>
      </c>
      <c r="Q1712" s="8">
        <f t="shared" si="211"/>
        <v>0</v>
      </c>
      <c r="R1712" s="8">
        <f t="shared" si="212"/>
        <v>55</v>
      </c>
      <c r="S1712" s="8">
        <f t="shared" ca="1" si="213"/>
        <v>52</v>
      </c>
      <c r="T1712">
        <f t="shared" ca="1" si="214"/>
        <v>2.1797290775158888</v>
      </c>
      <c r="U1712" s="8">
        <f t="shared" ca="1" si="215"/>
        <v>1.3558875174576923</v>
      </c>
      <c r="V1712" s="8">
        <f ca="1">RawData[[#This Row],[Z (smoothed demand size)]]/RawData[[#This Row],[X (smoothed interval)]]</f>
        <v>1.6076031746371637</v>
      </c>
    </row>
    <row r="1713" spans="1:22">
      <c r="A1713" t="s">
        <v>42</v>
      </c>
      <c r="B1713" t="s">
        <v>39</v>
      </c>
      <c r="C1713">
        <v>32</v>
      </c>
      <c r="D1713" t="s">
        <v>18</v>
      </c>
      <c r="E1713" t="s">
        <v>16</v>
      </c>
      <c r="F1713" s="1">
        <v>44569</v>
      </c>
      <c r="G1713">
        <v>6</v>
      </c>
      <c r="H1713">
        <v>6</v>
      </c>
      <c r="I1713">
        <v>10</v>
      </c>
      <c r="J1713">
        <v>4</v>
      </c>
      <c r="K1713">
        <v>0</v>
      </c>
      <c r="L1713">
        <v>509</v>
      </c>
      <c r="M1713">
        <v>30</v>
      </c>
      <c r="N1713" s="1">
        <f t="shared" si="208"/>
        <v>44938</v>
      </c>
      <c r="O1713" s="1">
        <f t="shared" si="209"/>
        <v>43101</v>
      </c>
      <c r="P1713" s="1">
        <f t="shared" si="210"/>
        <v>44774</v>
      </c>
      <c r="Q1713" s="8">
        <f t="shared" si="211"/>
        <v>0</v>
      </c>
      <c r="R1713" s="8">
        <f t="shared" si="212"/>
        <v>56</v>
      </c>
      <c r="S1713" s="8">
        <f t="shared" ca="1" si="213"/>
        <v>56</v>
      </c>
      <c r="T1713">
        <f t="shared" ca="1" si="214"/>
        <v>2.9437832620127113</v>
      </c>
      <c r="U1713" s="8">
        <f t="shared" ca="1" si="215"/>
        <v>1.8847100139661539</v>
      </c>
      <c r="V1713" s="8">
        <f ca="1">RawData[[#This Row],[Z (smoothed demand size)]]/RawData[[#This Row],[X (smoothed interval)]]</f>
        <v>1.5619290183628094</v>
      </c>
    </row>
    <row r="1714" spans="1:22">
      <c r="A1714" t="s">
        <v>42</v>
      </c>
      <c r="B1714" t="s">
        <v>39</v>
      </c>
      <c r="C1714">
        <v>32</v>
      </c>
      <c r="D1714" t="s">
        <v>18</v>
      </c>
      <c r="E1714" t="s">
        <v>16</v>
      </c>
      <c r="F1714" s="1">
        <v>44570</v>
      </c>
      <c r="G1714">
        <v>0</v>
      </c>
      <c r="H1714">
        <v>0</v>
      </c>
      <c r="I1714">
        <v>4</v>
      </c>
      <c r="J1714">
        <v>4</v>
      </c>
      <c r="K1714">
        <v>0</v>
      </c>
      <c r="L1714">
        <v>447</v>
      </c>
      <c r="M1714">
        <v>15</v>
      </c>
      <c r="N1714" s="1">
        <f t="shared" si="208"/>
        <v>44938</v>
      </c>
      <c r="O1714" s="1">
        <f t="shared" si="209"/>
        <v>43101</v>
      </c>
      <c r="P1714" s="1">
        <f t="shared" si="210"/>
        <v>44805</v>
      </c>
      <c r="Q1714" s="8">
        <f t="shared" si="211"/>
        <v>0</v>
      </c>
      <c r="R1714" s="8">
        <f t="shared" si="212"/>
        <v>57</v>
      </c>
      <c r="S1714" s="8">
        <f t="shared" ca="1" si="213"/>
        <v>56</v>
      </c>
      <c r="T1714">
        <f t="shared" ca="1" si="214"/>
        <v>2.9437832620127113</v>
      </c>
      <c r="U1714" s="8">
        <f t="shared" ca="1" si="215"/>
        <v>1.8847100139661539</v>
      </c>
      <c r="V1714" s="8">
        <f ca="1">RawData[[#This Row],[Z (smoothed demand size)]]/RawData[[#This Row],[X (smoothed interval)]]</f>
        <v>1.5619290183628094</v>
      </c>
    </row>
    <row r="1715" spans="1:22">
      <c r="A1715" t="s">
        <v>42</v>
      </c>
      <c r="B1715" t="s">
        <v>39</v>
      </c>
      <c r="C1715">
        <v>32</v>
      </c>
      <c r="D1715" t="s">
        <v>18</v>
      </c>
      <c r="E1715" t="s">
        <v>16</v>
      </c>
      <c r="F1715" s="1">
        <v>44571</v>
      </c>
      <c r="G1715">
        <v>0</v>
      </c>
      <c r="H1715">
        <v>0</v>
      </c>
      <c r="I1715">
        <v>4</v>
      </c>
      <c r="J1715">
        <v>4</v>
      </c>
      <c r="K1715">
        <v>0</v>
      </c>
      <c r="L1715">
        <v>447</v>
      </c>
      <c r="M1715">
        <v>60</v>
      </c>
      <c r="N1715" s="1">
        <f t="shared" si="208"/>
        <v>44938</v>
      </c>
      <c r="O1715" s="1">
        <f t="shared" si="209"/>
        <v>43101</v>
      </c>
      <c r="P1715" s="1">
        <f t="shared" si="210"/>
        <v>44835</v>
      </c>
      <c r="Q1715" s="8">
        <f t="shared" si="211"/>
        <v>0</v>
      </c>
      <c r="R1715" s="8">
        <f t="shared" si="212"/>
        <v>58</v>
      </c>
      <c r="S1715" s="8">
        <f t="shared" ca="1" si="213"/>
        <v>56</v>
      </c>
      <c r="T1715">
        <f t="shared" ca="1" si="214"/>
        <v>2.9437832620127113</v>
      </c>
      <c r="U1715" s="8">
        <f t="shared" ca="1" si="215"/>
        <v>1.8847100139661539</v>
      </c>
      <c r="V1715" s="8">
        <f ca="1">RawData[[#This Row],[Z (smoothed demand size)]]/RawData[[#This Row],[X (smoothed interval)]]</f>
        <v>1.5619290183628094</v>
      </c>
    </row>
    <row r="1716" spans="1:22">
      <c r="A1716" t="s">
        <v>42</v>
      </c>
      <c r="B1716" t="s">
        <v>39</v>
      </c>
      <c r="C1716">
        <v>32</v>
      </c>
      <c r="D1716" t="s">
        <v>18</v>
      </c>
      <c r="E1716" t="s">
        <v>16</v>
      </c>
      <c r="F1716" s="1">
        <v>44572</v>
      </c>
      <c r="G1716">
        <v>2</v>
      </c>
      <c r="H1716">
        <v>2</v>
      </c>
      <c r="I1716">
        <v>4</v>
      </c>
      <c r="J1716">
        <v>2</v>
      </c>
      <c r="K1716">
        <v>0</v>
      </c>
      <c r="L1716">
        <v>446</v>
      </c>
      <c r="M1716">
        <v>30</v>
      </c>
      <c r="N1716" s="1">
        <f t="shared" si="208"/>
        <v>44938</v>
      </c>
      <c r="O1716" s="1">
        <f t="shared" si="209"/>
        <v>43101</v>
      </c>
      <c r="P1716" s="1">
        <f t="shared" si="210"/>
        <v>44866</v>
      </c>
      <c r="Q1716" s="8">
        <f t="shared" si="211"/>
        <v>0</v>
      </c>
      <c r="R1716" s="8">
        <f t="shared" si="212"/>
        <v>59</v>
      </c>
      <c r="S1716" s="8">
        <f t="shared" ca="1" si="213"/>
        <v>59</v>
      </c>
      <c r="T1716">
        <f t="shared" ca="1" si="214"/>
        <v>2.755026609610169</v>
      </c>
      <c r="U1716" s="8">
        <f t="shared" ca="1" si="215"/>
        <v>2.1077680111729231</v>
      </c>
      <c r="V1716" s="8">
        <f ca="1">RawData[[#This Row],[Z (smoothed demand size)]]/RawData[[#This Row],[X (smoothed interval)]]</f>
        <v>1.3070824659100229</v>
      </c>
    </row>
    <row r="1717" spans="1:22">
      <c r="A1717" t="s">
        <v>42</v>
      </c>
      <c r="B1717" t="s">
        <v>39</v>
      </c>
      <c r="C1717">
        <v>32</v>
      </c>
      <c r="D1717" t="s">
        <v>18</v>
      </c>
      <c r="E1717" t="s">
        <v>16</v>
      </c>
      <c r="F1717" s="1">
        <v>44573</v>
      </c>
      <c r="G1717">
        <v>3</v>
      </c>
      <c r="H1717">
        <v>3</v>
      </c>
      <c r="I1717">
        <v>10</v>
      </c>
      <c r="J1717">
        <v>7</v>
      </c>
      <c r="K1717">
        <v>0</v>
      </c>
      <c r="L1717">
        <v>517</v>
      </c>
      <c r="M1717">
        <v>45</v>
      </c>
      <c r="N1717" s="1">
        <f t="shared" si="208"/>
        <v>44938</v>
      </c>
      <c r="O1717" s="1">
        <f t="shared" si="209"/>
        <v>43101</v>
      </c>
      <c r="P1717" s="1">
        <f t="shared" si="210"/>
        <v>44896</v>
      </c>
      <c r="Q1717" s="8">
        <f t="shared" si="211"/>
        <v>0</v>
      </c>
      <c r="R1717" s="8">
        <f t="shared" si="212"/>
        <v>60</v>
      </c>
      <c r="S1717" s="8">
        <f t="shared" ca="1" si="213"/>
        <v>60</v>
      </c>
      <c r="T1717">
        <f t="shared" ca="1" si="214"/>
        <v>2.8040212876881352</v>
      </c>
      <c r="U1717" s="8">
        <f t="shared" ca="1" si="215"/>
        <v>1.8862144089383386</v>
      </c>
      <c r="V1717" s="8">
        <f ca="1">RawData[[#This Row],[Z (smoothed demand size)]]/RawData[[#This Row],[X (smoothed interval)]]</f>
        <v>1.4865867180319055</v>
      </c>
    </row>
    <row r="1718" spans="1:22">
      <c r="A1718" t="s">
        <v>42</v>
      </c>
      <c r="B1718" t="s">
        <v>39</v>
      </c>
      <c r="C1718">
        <v>32</v>
      </c>
      <c r="D1718" t="s">
        <v>18</v>
      </c>
      <c r="E1718" t="s">
        <v>16</v>
      </c>
      <c r="F1718" s="1">
        <v>44927</v>
      </c>
      <c r="G1718">
        <v>0</v>
      </c>
      <c r="H1718">
        <v>0</v>
      </c>
      <c r="I1718">
        <v>7</v>
      </c>
      <c r="J1718">
        <v>7</v>
      </c>
      <c r="K1718">
        <v>0</v>
      </c>
      <c r="L1718">
        <v>446</v>
      </c>
      <c r="M1718">
        <v>15</v>
      </c>
      <c r="N1718" s="1">
        <f t="shared" si="208"/>
        <v>44938</v>
      </c>
      <c r="O1718" s="1">
        <f t="shared" si="209"/>
        <v>43101</v>
      </c>
      <c r="P1718" s="1">
        <f t="shared" si="210"/>
        <v>44927</v>
      </c>
      <c r="Q1718" s="8">
        <f t="shared" si="211"/>
        <v>0</v>
      </c>
      <c r="R1718" s="8">
        <f t="shared" si="212"/>
        <v>61</v>
      </c>
      <c r="S1718" s="8">
        <f t="shared" ca="1" si="213"/>
        <v>60</v>
      </c>
      <c r="T1718">
        <f t="shared" ca="1" si="214"/>
        <v>2.8040212876881352</v>
      </c>
      <c r="U1718" s="8">
        <f t="shared" ca="1" si="215"/>
        <v>1.8862144089383386</v>
      </c>
      <c r="V1718" s="8">
        <f ca="1">RawData[[#This Row],[Z (smoothed demand size)]]/RawData[[#This Row],[X (smoothed interval)]]</f>
        <v>1.4865867180319055</v>
      </c>
    </row>
    <row r="1719" spans="1:22">
      <c r="A1719" t="s">
        <v>42</v>
      </c>
      <c r="B1719" t="s">
        <v>39</v>
      </c>
      <c r="C1719">
        <v>32</v>
      </c>
      <c r="D1719" t="s">
        <v>18</v>
      </c>
      <c r="E1719" t="s">
        <v>16</v>
      </c>
      <c r="F1719" s="1">
        <v>44928</v>
      </c>
      <c r="G1719">
        <v>0</v>
      </c>
      <c r="H1719">
        <v>0</v>
      </c>
      <c r="I1719">
        <v>7</v>
      </c>
      <c r="J1719">
        <v>7</v>
      </c>
      <c r="K1719">
        <v>0</v>
      </c>
      <c r="L1719">
        <v>440</v>
      </c>
      <c r="M1719">
        <v>15</v>
      </c>
      <c r="N1719" s="1">
        <f t="shared" si="208"/>
        <v>44938</v>
      </c>
      <c r="O1719" s="1">
        <f t="shared" si="209"/>
        <v>43101</v>
      </c>
      <c r="P1719" s="1">
        <f t="shared" si="210"/>
        <v>44958</v>
      </c>
      <c r="Q1719" s="8">
        <f t="shared" si="211"/>
        <v>0</v>
      </c>
      <c r="R1719" s="8">
        <f t="shared" si="212"/>
        <v>62</v>
      </c>
      <c r="S1719" s="8">
        <f t="shared" ca="1" si="213"/>
        <v>60</v>
      </c>
      <c r="T1719">
        <f t="shared" ca="1" si="214"/>
        <v>2.8040212876881352</v>
      </c>
      <c r="U1719" s="8">
        <f t="shared" ca="1" si="215"/>
        <v>1.8862144089383386</v>
      </c>
      <c r="V1719" s="8">
        <f ca="1">RawData[[#This Row],[Z (smoothed demand size)]]/RawData[[#This Row],[X (smoothed interval)]]</f>
        <v>1.4865867180319055</v>
      </c>
    </row>
    <row r="1720" spans="1:22">
      <c r="A1720" t="s">
        <v>42</v>
      </c>
      <c r="B1720" t="s">
        <v>39</v>
      </c>
      <c r="C1720">
        <v>32</v>
      </c>
      <c r="D1720" t="s">
        <v>18</v>
      </c>
      <c r="E1720" t="s">
        <v>16</v>
      </c>
      <c r="F1720" s="1">
        <v>44929</v>
      </c>
      <c r="G1720">
        <v>4</v>
      </c>
      <c r="H1720">
        <v>4</v>
      </c>
      <c r="I1720">
        <v>7</v>
      </c>
      <c r="J1720">
        <v>3</v>
      </c>
      <c r="K1720">
        <v>0</v>
      </c>
      <c r="L1720">
        <v>448</v>
      </c>
      <c r="M1720">
        <v>45</v>
      </c>
      <c r="N1720" s="1">
        <f t="shared" si="208"/>
        <v>44938</v>
      </c>
      <c r="O1720" s="1">
        <f t="shared" si="209"/>
        <v>43101</v>
      </c>
      <c r="P1720" s="1">
        <f t="shared" si="210"/>
        <v>44986</v>
      </c>
      <c r="Q1720" s="8">
        <f t="shared" si="211"/>
        <v>0</v>
      </c>
      <c r="R1720" s="8">
        <f t="shared" si="212"/>
        <v>63</v>
      </c>
      <c r="S1720" s="8">
        <f t="shared" ca="1" si="213"/>
        <v>63</v>
      </c>
      <c r="T1720">
        <f t="shared" ca="1" si="214"/>
        <v>3.0432170301505082</v>
      </c>
      <c r="U1720" s="8">
        <f t="shared" ca="1" si="215"/>
        <v>2.108971527150671</v>
      </c>
      <c r="V1720" s="8">
        <f ca="1">RawData[[#This Row],[Z (smoothed demand size)]]/RawData[[#This Row],[X (smoothed interval)]]</f>
        <v>1.4429863044486195</v>
      </c>
    </row>
    <row r="1721" spans="1:22">
      <c r="A1721" t="s">
        <v>42</v>
      </c>
      <c r="B1721" t="s">
        <v>39</v>
      </c>
      <c r="C1721">
        <v>32</v>
      </c>
      <c r="D1721" t="s">
        <v>18</v>
      </c>
      <c r="E1721" t="s">
        <v>16</v>
      </c>
      <c r="F1721" s="1">
        <v>44930</v>
      </c>
      <c r="G1721">
        <v>4</v>
      </c>
      <c r="H1721">
        <v>3</v>
      </c>
      <c r="I1721">
        <v>3</v>
      </c>
      <c r="J1721">
        <v>0</v>
      </c>
      <c r="K1721">
        <v>1</v>
      </c>
      <c r="L1721">
        <v>443</v>
      </c>
      <c r="M1721">
        <v>60</v>
      </c>
      <c r="N1721" s="1">
        <f t="shared" si="208"/>
        <v>44938</v>
      </c>
      <c r="O1721" s="1">
        <f t="shared" si="209"/>
        <v>43101</v>
      </c>
      <c r="P1721" s="1">
        <f t="shared" si="210"/>
        <v>45017</v>
      </c>
      <c r="Q1721" s="8">
        <f t="shared" si="211"/>
        <v>0</v>
      </c>
      <c r="R1721" s="8">
        <f t="shared" si="212"/>
        <v>64</v>
      </c>
      <c r="S1721" s="8">
        <f t="shared" ca="1" si="213"/>
        <v>64</v>
      </c>
      <c r="T1721">
        <f t="shared" ca="1" si="214"/>
        <v>3.2345736241204071</v>
      </c>
      <c r="U1721" s="8">
        <f t="shared" ca="1" si="215"/>
        <v>1.8871772217205369</v>
      </c>
      <c r="V1721" s="8">
        <f ca="1">RawData[[#This Row],[Z (smoothed demand size)]]/RawData[[#This Row],[X (smoothed interval)]]</f>
        <v>1.7139744942297739</v>
      </c>
    </row>
    <row r="1722" spans="1:22">
      <c r="A1722" t="s">
        <v>42</v>
      </c>
      <c r="B1722" t="s">
        <v>39</v>
      </c>
      <c r="C1722">
        <v>32</v>
      </c>
      <c r="D1722" t="s">
        <v>18</v>
      </c>
      <c r="E1722" t="s">
        <v>16</v>
      </c>
      <c r="F1722" s="1">
        <v>44931</v>
      </c>
      <c r="G1722">
        <v>0</v>
      </c>
      <c r="H1722">
        <v>0</v>
      </c>
      <c r="I1722">
        <v>7</v>
      </c>
      <c r="J1722">
        <v>7</v>
      </c>
      <c r="K1722">
        <v>0</v>
      </c>
      <c r="L1722">
        <v>439</v>
      </c>
      <c r="M1722">
        <v>60</v>
      </c>
      <c r="N1722" s="1">
        <f t="shared" si="208"/>
        <v>44938</v>
      </c>
      <c r="O1722" s="1">
        <f t="shared" si="209"/>
        <v>43101</v>
      </c>
      <c r="P1722" s="1">
        <f t="shared" si="210"/>
        <v>45047</v>
      </c>
      <c r="Q1722" s="8">
        <f t="shared" si="211"/>
        <v>0</v>
      </c>
      <c r="R1722" s="8">
        <f t="shared" si="212"/>
        <v>65</v>
      </c>
      <c r="S1722" s="8">
        <f t="shared" ca="1" si="213"/>
        <v>64</v>
      </c>
      <c r="T1722">
        <f t="shared" ca="1" si="214"/>
        <v>3.2345736241204071</v>
      </c>
      <c r="U1722" s="8">
        <f t="shared" ca="1" si="215"/>
        <v>1.8871772217205369</v>
      </c>
      <c r="V1722" s="8">
        <f ca="1">RawData[[#This Row],[Z (smoothed demand size)]]/RawData[[#This Row],[X (smoothed interval)]]</f>
        <v>1.7139744942297739</v>
      </c>
    </row>
    <row r="1723" spans="1:22">
      <c r="A1723" t="s">
        <v>42</v>
      </c>
      <c r="B1723" t="s">
        <v>39</v>
      </c>
      <c r="C1723">
        <v>32</v>
      </c>
      <c r="D1723" t="s">
        <v>18</v>
      </c>
      <c r="E1723" t="s">
        <v>16</v>
      </c>
      <c r="F1723" s="1">
        <v>44932</v>
      </c>
      <c r="G1723">
        <v>2</v>
      </c>
      <c r="H1723">
        <v>2</v>
      </c>
      <c r="I1723">
        <v>7</v>
      </c>
      <c r="J1723">
        <v>5</v>
      </c>
      <c r="K1723">
        <v>0</v>
      </c>
      <c r="L1723">
        <v>516</v>
      </c>
      <c r="M1723">
        <v>60</v>
      </c>
      <c r="N1723" s="1">
        <f t="shared" si="208"/>
        <v>44938</v>
      </c>
      <c r="O1723" s="1">
        <f t="shared" si="209"/>
        <v>43101</v>
      </c>
      <c r="P1723" s="1">
        <f t="shared" si="210"/>
        <v>45078</v>
      </c>
      <c r="Q1723" s="8">
        <f t="shared" si="211"/>
        <v>0</v>
      </c>
      <c r="R1723" s="8">
        <f t="shared" si="212"/>
        <v>66</v>
      </c>
      <c r="S1723" s="8">
        <f t="shared" ca="1" si="213"/>
        <v>66</v>
      </c>
      <c r="T1723">
        <f t="shared" ca="1" si="214"/>
        <v>2.9876588992963256</v>
      </c>
      <c r="U1723" s="8">
        <f t="shared" ca="1" si="215"/>
        <v>1.9097417773764298</v>
      </c>
      <c r="V1723" s="8">
        <f ca="1">RawData[[#This Row],[Z (smoothed demand size)]]/RawData[[#This Row],[X (smoothed interval)]]</f>
        <v>1.564430822370509</v>
      </c>
    </row>
    <row r="1724" spans="1:22">
      <c r="A1724" t="s">
        <v>42</v>
      </c>
      <c r="B1724" t="s">
        <v>39</v>
      </c>
      <c r="C1724">
        <v>32</v>
      </c>
      <c r="D1724" t="s">
        <v>18</v>
      </c>
      <c r="E1724" t="s">
        <v>16</v>
      </c>
      <c r="F1724" s="1">
        <v>44933</v>
      </c>
      <c r="G1724">
        <v>3</v>
      </c>
      <c r="H1724">
        <v>3</v>
      </c>
      <c r="I1724">
        <v>5</v>
      </c>
      <c r="J1724">
        <v>2</v>
      </c>
      <c r="K1724">
        <v>0</v>
      </c>
      <c r="L1724">
        <v>506</v>
      </c>
      <c r="M1724">
        <v>45</v>
      </c>
      <c r="N1724" s="1">
        <f t="shared" si="208"/>
        <v>44938</v>
      </c>
      <c r="O1724" s="1">
        <f t="shared" si="209"/>
        <v>43101</v>
      </c>
      <c r="P1724" s="1">
        <f t="shared" si="210"/>
        <v>45108</v>
      </c>
      <c r="Q1724" s="8">
        <f t="shared" si="211"/>
        <v>0</v>
      </c>
      <c r="R1724" s="8">
        <f t="shared" si="212"/>
        <v>67</v>
      </c>
      <c r="S1724" s="8">
        <f t="shared" ca="1" si="213"/>
        <v>67</v>
      </c>
      <c r="T1724">
        <f t="shared" ca="1" si="214"/>
        <v>2.9901271194370604</v>
      </c>
      <c r="U1724" s="8">
        <f t="shared" ca="1" si="215"/>
        <v>1.7277934219011439</v>
      </c>
      <c r="V1724" s="8">
        <f ca="1">RawData[[#This Row],[Z (smoothed demand size)]]/RawData[[#This Row],[X (smoothed interval)]]</f>
        <v>1.7306045280268125</v>
      </c>
    </row>
    <row r="1725" spans="1:22">
      <c r="A1725" t="s">
        <v>42</v>
      </c>
      <c r="B1725" t="s">
        <v>39</v>
      </c>
      <c r="C1725">
        <v>32</v>
      </c>
      <c r="D1725" t="s">
        <v>18</v>
      </c>
      <c r="E1725" t="s">
        <v>16</v>
      </c>
      <c r="F1725" s="1">
        <v>44934</v>
      </c>
      <c r="G1725">
        <v>0</v>
      </c>
      <c r="H1725">
        <v>0</v>
      </c>
      <c r="I1725">
        <v>2</v>
      </c>
      <c r="J1725">
        <v>2</v>
      </c>
      <c r="K1725">
        <v>0</v>
      </c>
      <c r="L1725">
        <v>510</v>
      </c>
      <c r="M1725">
        <v>30</v>
      </c>
      <c r="N1725" s="1">
        <f t="shared" si="208"/>
        <v>44938</v>
      </c>
      <c r="O1725" s="1">
        <f t="shared" si="209"/>
        <v>43101</v>
      </c>
      <c r="P1725" s="1">
        <f t="shared" si="210"/>
        <v>45139</v>
      </c>
      <c r="Q1725" s="8">
        <f t="shared" si="211"/>
        <v>0</v>
      </c>
      <c r="R1725" s="8">
        <f t="shared" si="212"/>
        <v>68</v>
      </c>
      <c r="S1725" s="8">
        <f t="shared" ca="1" si="213"/>
        <v>67</v>
      </c>
      <c r="T1725">
        <f t="shared" ca="1" si="214"/>
        <v>2.9901271194370604</v>
      </c>
      <c r="U1725" s="8">
        <f t="shared" ca="1" si="215"/>
        <v>1.7277934219011439</v>
      </c>
      <c r="V1725" s="8">
        <f ca="1">RawData[[#This Row],[Z (smoothed demand size)]]/RawData[[#This Row],[X (smoothed interval)]]</f>
        <v>1.7306045280268125</v>
      </c>
    </row>
    <row r="1726" spans="1:22">
      <c r="A1726" t="s">
        <v>42</v>
      </c>
      <c r="B1726" t="s">
        <v>39</v>
      </c>
      <c r="C1726">
        <v>32</v>
      </c>
      <c r="D1726" t="s">
        <v>18</v>
      </c>
      <c r="E1726" t="s">
        <v>16</v>
      </c>
      <c r="F1726" s="1">
        <v>44935</v>
      </c>
      <c r="G1726">
        <v>2</v>
      </c>
      <c r="H1726">
        <v>2</v>
      </c>
      <c r="I1726">
        <v>12</v>
      </c>
      <c r="J1726">
        <v>10</v>
      </c>
      <c r="K1726">
        <v>0</v>
      </c>
      <c r="L1726">
        <v>447</v>
      </c>
      <c r="M1726">
        <v>15</v>
      </c>
      <c r="N1726" s="1">
        <f t="shared" si="208"/>
        <v>44938</v>
      </c>
      <c r="O1726" s="1">
        <f t="shared" si="209"/>
        <v>43101</v>
      </c>
      <c r="P1726" s="1">
        <f t="shared" si="210"/>
        <v>45170</v>
      </c>
      <c r="Q1726" s="8">
        <f t="shared" si="211"/>
        <v>0</v>
      </c>
      <c r="R1726" s="8">
        <f t="shared" si="212"/>
        <v>69</v>
      </c>
      <c r="S1726" s="8">
        <f t="shared" ca="1" si="213"/>
        <v>69</v>
      </c>
      <c r="T1726">
        <f t="shared" ca="1" si="214"/>
        <v>2.7921016955496483</v>
      </c>
      <c r="U1726" s="8">
        <f t="shared" ca="1" si="215"/>
        <v>1.7822347375209153</v>
      </c>
      <c r="V1726" s="8">
        <f ca="1">RawData[[#This Row],[Z (smoothed demand size)]]/RawData[[#This Row],[X (smoothed interval)]]</f>
        <v>1.5666296008983955</v>
      </c>
    </row>
    <row r="1727" spans="1:22">
      <c r="A1727" t="s">
        <v>42</v>
      </c>
      <c r="B1727" t="s">
        <v>39</v>
      </c>
      <c r="C1727">
        <v>32</v>
      </c>
      <c r="D1727" t="s">
        <v>18</v>
      </c>
      <c r="E1727" t="s">
        <v>16</v>
      </c>
      <c r="F1727" s="1">
        <v>44936</v>
      </c>
      <c r="G1727">
        <v>1</v>
      </c>
      <c r="H1727">
        <v>1</v>
      </c>
      <c r="I1727">
        <v>10</v>
      </c>
      <c r="J1727">
        <v>9</v>
      </c>
      <c r="K1727">
        <v>0</v>
      </c>
      <c r="L1727">
        <v>445</v>
      </c>
      <c r="M1727">
        <v>15</v>
      </c>
      <c r="N1727" s="1">
        <f t="shared" si="208"/>
        <v>44938</v>
      </c>
      <c r="O1727" s="1">
        <f t="shared" si="209"/>
        <v>43101</v>
      </c>
      <c r="P1727" s="1">
        <f t="shared" si="210"/>
        <v>45200</v>
      </c>
      <c r="Q1727" s="8">
        <f t="shared" si="211"/>
        <v>0</v>
      </c>
      <c r="R1727" s="8">
        <f t="shared" si="212"/>
        <v>70</v>
      </c>
      <c r="S1727" s="8">
        <f t="shared" ca="1" si="213"/>
        <v>70</v>
      </c>
      <c r="T1727">
        <f t="shared" ca="1" si="214"/>
        <v>2.4336813564397191</v>
      </c>
      <c r="U1727" s="8">
        <f t="shared" ca="1" si="215"/>
        <v>1.6257877900167323</v>
      </c>
      <c r="V1727" s="8">
        <f ca="1">RawData[[#This Row],[Z (smoothed demand size)]]/RawData[[#This Row],[X (smoothed interval)]]</f>
        <v>1.4969243657652713</v>
      </c>
    </row>
    <row r="1728" spans="1:22">
      <c r="A1728" t="s">
        <v>42</v>
      </c>
      <c r="B1728" t="s">
        <v>39</v>
      </c>
      <c r="C1728">
        <v>32</v>
      </c>
      <c r="D1728" t="s">
        <v>18</v>
      </c>
      <c r="E1728" t="s">
        <v>16</v>
      </c>
      <c r="F1728" s="1">
        <v>44937</v>
      </c>
      <c r="G1728">
        <v>2</v>
      </c>
      <c r="H1728">
        <v>2</v>
      </c>
      <c r="I1728">
        <v>9</v>
      </c>
      <c r="J1728">
        <v>7</v>
      </c>
      <c r="K1728">
        <v>0</v>
      </c>
      <c r="L1728">
        <v>442</v>
      </c>
      <c r="M1728">
        <v>15</v>
      </c>
      <c r="N1728" s="1">
        <f t="shared" si="208"/>
        <v>44938</v>
      </c>
      <c r="O1728" s="1">
        <f t="shared" si="209"/>
        <v>43101</v>
      </c>
      <c r="P1728" s="1">
        <f t="shared" si="210"/>
        <v>45231</v>
      </c>
      <c r="Q1728" s="8">
        <f t="shared" si="211"/>
        <v>0</v>
      </c>
      <c r="R1728" s="8">
        <f t="shared" si="212"/>
        <v>71</v>
      </c>
      <c r="S1728" s="8">
        <f t="shared" ca="1" si="213"/>
        <v>71</v>
      </c>
      <c r="T1728">
        <f t="shared" ca="1" si="214"/>
        <v>2.3469450851517752</v>
      </c>
      <c r="U1728" s="8">
        <f t="shared" ca="1" si="215"/>
        <v>1.500630232013386</v>
      </c>
      <c r="V1728" s="8">
        <f ca="1">RawData[[#This Row],[Z (smoothed demand size)]]/RawData[[#This Row],[X (smoothed interval)]]</f>
        <v>1.5639729462219978</v>
      </c>
    </row>
    <row r="1729" spans="1:22">
      <c r="A1729" t="s">
        <v>42</v>
      </c>
      <c r="B1729" t="s">
        <v>39</v>
      </c>
      <c r="C1729">
        <v>32</v>
      </c>
      <c r="D1729" t="s">
        <v>18</v>
      </c>
      <c r="E1729" t="s">
        <v>16</v>
      </c>
      <c r="F1729" s="1">
        <v>44938</v>
      </c>
      <c r="G1729">
        <v>1</v>
      </c>
      <c r="H1729">
        <v>1</v>
      </c>
      <c r="I1729">
        <v>7</v>
      </c>
      <c r="J1729">
        <v>6</v>
      </c>
      <c r="K1729">
        <v>0</v>
      </c>
      <c r="L1729">
        <v>507</v>
      </c>
      <c r="M1729">
        <v>15</v>
      </c>
      <c r="N1729" s="1">
        <f t="shared" si="208"/>
        <v>44938</v>
      </c>
      <c r="O1729" s="1">
        <f t="shared" si="209"/>
        <v>43101</v>
      </c>
      <c r="P1729" s="1">
        <f t="shared" si="210"/>
        <v>45261</v>
      </c>
      <c r="Q1729" s="8">
        <f t="shared" si="211"/>
        <v>0</v>
      </c>
      <c r="R1729" s="8">
        <f t="shared" si="212"/>
        <v>72</v>
      </c>
      <c r="S1729" s="8">
        <f t="shared" ca="1" si="213"/>
        <v>72</v>
      </c>
      <c r="T1729">
        <f t="shared" ca="1" si="214"/>
        <v>2.0775560681214205</v>
      </c>
      <c r="U1729" s="8">
        <f t="shared" ca="1" si="215"/>
        <v>1.4005041856107088</v>
      </c>
      <c r="V1729" s="8">
        <f ca="1">RawData[[#This Row],[Z (smoothed demand size)]]/RawData[[#This Row],[X (smoothed interval)]]</f>
        <v>1.4834343870350335</v>
      </c>
    </row>
    <row r="1730" spans="1:22">
      <c r="A1730" t="s">
        <v>43</v>
      </c>
      <c r="B1730" t="s">
        <v>39</v>
      </c>
      <c r="C1730">
        <v>21</v>
      </c>
      <c r="D1730" t="s">
        <v>18</v>
      </c>
      <c r="E1730" t="s">
        <v>16</v>
      </c>
      <c r="F1730" s="1">
        <v>43101</v>
      </c>
      <c r="G1730">
        <v>1</v>
      </c>
      <c r="H1730">
        <v>1</v>
      </c>
      <c r="I1730">
        <v>20</v>
      </c>
      <c r="J1730">
        <v>19</v>
      </c>
      <c r="K1730">
        <v>0</v>
      </c>
      <c r="L1730">
        <v>620</v>
      </c>
      <c r="M1730">
        <v>30</v>
      </c>
      <c r="N1730" s="1">
        <f t="shared" ref="N1730:N1793" si="216">MAX(F:F)</f>
        <v>44938</v>
      </c>
      <c r="O1730" s="1">
        <f t="shared" ref="O1730:O1793" si="217">MIN(F:F)</f>
        <v>43101</v>
      </c>
      <c r="P1730" s="1">
        <f t="shared" ref="P1730:P1793" si="218">DATE(YEAR(F1730), DAY(F1730), 1)</f>
        <v>43101</v>
      </c>
      <c r="Q1730" s="8">
        <f t="shared" ref="Q1730:Q1793" si="219" xml:space="preserve"> IF(A1730&lt;&gt;A1729, 1, 0)</f>
        <v>1</v>
      </c>
      <c r="R1730" s="8">
        <f t="shared" ref="R1730:R1793" si="220">IF(Q1730=1,1,R1729+1)</f>
        <v>1</v>
      </c>
      <c r="S1730" s="8">
        <f t="shared" ref="S1730:S1793" ca="1" si="221" xml:space="preserve"> IF(Q1730=1, IF(G1730&gt;0, R1730, 0), IF(G1730&gt;0, R1730, OFFSET(S1730,-1,0)))</f>
        <v>1</v>
      </c>
      <c r="T1730">
        <f t="shared" ref="T1730:T1793" ca="1" si="222" xml:space="preserve"> IF(Q1730=1, IF(G1730&gt;0, G1730, 0), IF(G1730&gt;0, $X$1*G1730+(1-$X$1)*OFFSET(T1730,-1,0), OFFSET(T1730,-1,0)))</f>
        <v>1</v>
      </c>
      <c r="U1730" s="8">
        <f t="shared" ref="U1730:U1793" ca="1" si="223" xml:space="preserve"> IF(Q1730=1, 1, IF(G1730&gt;0, $X$1*(R1730-OFFSET(S1730,-1,0))+(1-$X$1)*OFFSET(U1730,-1,0), OFFSET(U1730,-1,0)))</f>
        <v>1</v>
      </c>
      <c r="V1730" s="8">
        <f ca="1">RawData[[#This Row],[Z (smoothed demand size)]]/RawData[[#This Row],[X (smoothed interval)]]</f>
        <v>1</v>
      </c>
    </row>
    <row r="1731" spans="1:22">
      <c r="A1731" t="s">
        <v>43</v>
      </c>
      <c r="B1731" t="s">
        <v>39</v>
      </c>
      <c r="C1731">
        <v>21</v>
      </c>
      <c r="D1731" t="s">
        <v>18</v>
      </c>
      <c r="E1731" t="s">
        <v>16</v>
      </c>
      <c r="F1731" s="1">
        <v>43102</v>
      </c>
      <c r="G1731">
        <v>2</v>
      </c>
      <c r="H1731">
        <v>2</v>
      </c>
      <c r="I1731">
        <v>19</v>
      </c>
      <c r="J1731">
        <v>17</v>
      </c>
      <c r="K1731">
        <v>0</v>
      </c>
      <c r="L1731">
        <v>620</v>
      </c>
      <c r="M1731">
        <v>15</v>
      </c>
      <c r="N1731" s="1">
        <f t="shared" si="216"/>
        <v>44938</v>
      </c>
      <c r="O1731" s="1">
        <f t="shared" si="217"/>
        <v>43101</v>
      </c>
      <c r="P1731" s="1">
        <f t="shared" si="218"/>
        <v>43132</v>
      </c>
      <c r="Q1731" s="8">
        <f t="shared" si="219"/>
        <v>0</v>
      </c>
      <c r="R1731" s="8">
        <f t="shared" si="220"/>
        <v>2</v>
      </c>
      <c r="S1731" s="8">
        <f t="shared" ca="1" si="221"/>
        <v>2</v>
      </c>
      <c r="T1731">
        <f t="shared" ca="1" si="222"/>
        <v>1.2000000000000002</v>
      </c>
      <c r="U1731" s="8">
        <f t="shared" ca="1" si="223"/>
        <v>1</v>
      </c>
      <c r="V1731" s="8">
        <f ca="1">RawData[[#This Row],[Z (smoothed demand size)]]/RawData[[#This Row],[X (smoothed interval)]]</f>
        <v>1.2000000000000002</v>
      </c>
    </row>
    <row r="1732" spans="1:22">
      <c r="A1732" t="s">
        <v>43</v>
      </c>
      <c r="B1732" t="s">
        <v>39</v>
      </c>
      <c r="C1732">
        <v>21</v>
      </c>
      <c r="D1732" t="s">
        <v>18</v>
      </c>
      <c r="E1732" t="s">
        <v>16</v>
      </c>
      <c r="F1732" s="1">
        <v>43103</v>
      </c>
      <c r="G1732">
        <v>1</v>
      </c>
      <c r="H1732">
        <v>1</v>
      </c>
      <c r="I1732">
        <v>17</v>
      </c>
      <c r="J1732">
        <v>16</v>
      </c>
      <c r="K1732">
        <v>0</v>
      </c>
      <c r="L1732">
        <v>612</v>
      </c>
      <c r="M1732">
        <v>15</v>
      </c>
      <c r="N1732" s="1">
        <f t="shared" si="216"/>
        <v>44938</v>
      </c>
      <c r="O1732" s="1">
        <f t="shared" si="217"/>
        <v>43101</v>
      </c>
      <c r="P1732" s="1">
        <f t="shared" si="218"/>
        <v>43160</v>
      </c>
      <c r="Q1732" s="8">
        <f t="shared" si="219"/>
        <v>0</v>
      </c>
      <c r="R1732" s="8">
        <f t="shared" si="220"/>
        <v>3</v>
      </c>
      <c r="S1732" s="8">
        <f t="shared" ca="1" si="221"/>
        <v>3</v>
      </c>
      <c r="T1732">
        <f t="shared" ca="1" si="222"/>
        <v>1.1600000000000001</v>
      </c>
      <c r="U1732" s="8">
        <f t="shared" ca="1" si="223"/>
        <v>1</v>
      </c>
      <c r="V1732" s="8">
        <f ca="1">RawData[[#This Row],[Z (smoothed demand size)]]/RawData[[#This Row],[X (smoothed interval)]]</f>
        <v>1.1600000000000001</v>
      </c>
    </row>
    <row r="1733" spans="1:22">
      <c r="A1733" t="s">
        <v>43</v>
      </c>
      <c r="B1733" t="s">
        <v>39</v>
      </c>
      <c r="C1733">
        <v>21</v>
      </c>
      <c r="D1733" t="s">
        <v>18</v>
      </c>
      <c r="E1733" t="s">
        <v>16</v>
      </c>
      <c r="F1733" s="1">
        <v>43104</v>
      </c>
      <c r="G1733">
        <v>2</v>
      </c>
      <c r="H1733">
        <v>2</v>
      </c>
      <c r="I1733">
        <v>16</v>
      </c>
      <c r="J1733">
        <v>14</v>
      </c>
      <c r="K1733">
        <v>0</v>
      </c>
      <c r="L1733">
        <v>612</v>
      </c>
      <c r="M1733">
        <v>60</v>
      </c>
      <c r="N1733" s="1">
        <f t="shared" si="216"/>
        <v>44938</v>
      </c>
      <c r="O1733" s="1">
        <f t="shared" si="217"/>
        <v>43101</v>
      </c>
      <c r="P1733" s="1">
        <f t="shared" si="218"/>
        <v>43191</v>
      </c>
      <c r="Q1733" s="8">
        <f t="shared" si="219"/>
        <v>0</v>
      </c>
      <c r="R1733" s="8">
        <f t="shared" si="220"/>
        <v>4</v>
      </c>
      <c r="S1733" s="8">
        <f t="shared" ca="1" si="221"/>
        <v>4</v>
      </c>
      <c r="T1733">
        <f t="shared" ca="1" si="222"/>
        <v>1.3280000000000003</v>
      </c>
      <c r="U1733" s="8">
        <f t="shared" ca="1" si="223"/>
        <v>1</v>
      </c>
      <c r="V1733" s="8">
        <f ca="1">RawData[[#This Row],[Z (smoothed demand size)]]/RawData[[#This Row],[X (smoothed interval)]]</f>
        <v>1.3280000000000003</v>
      </c>
    </row>
    <row r="1734" spans="1:22">
      <c r="A1734" t="s">
        <v>43</v>
      </c>
      <c r="B1734" t="s">
        <v>39</v>
      </c>
      <c r="C1734">
        <v>21</v>
      </c>
      <c r="D1734" t="s">
        <v>18</v>
      </c>
      <c r="E1734" t="s">
        <v>16</v>
      </c>
      <c r="F1734" s="1">
        <v>43105</v>
      </c>
      <c r="G1734">
        <v>0</v>
      </c>
      <c r="H1734">
        <v>0</v>
      </c>
      <c r="I1734">
        <v>14</v>
      </c>
      <c r="J1734">
        <v>14</v>
      </c>
      <c r="K1734">
        <v>0</v>
      </c>
      <c r="L1734">
        <v>615</v>
      </c>
      <c r="M1734">
        <v>15</v>
      </c>
      <c r="N1734" s="1">
        <f t="shared" si="216"/>
        <v>44938</v>
      </c>
      <c r="O1734" s="1">
        <f t="shared" si="217"/>
        <v>43101</v>
      </c>
      <c r="P1734" s="1">
        <f t="shared" si="218"/>
        <v>43221</v>
      </c>
      <c r="Q1734" s="8">
        <f t="shared" si="219"/>
        <v>0</v>
      </c>
      <c r="R1734" s="8">
        <f t="shared" si="220"/>
        <v>5</v>
      </c>
      <c r="S1734" s="8">
        <f t="shared" ca="1" si="221"/>
        <v>4</v>
      </c>
      <c r="T1734">
        <f t="shared" ca="1" si="222"/>
        <v>1.3280000000000003</v>
      </c>
      <c r="U1734" s="8">
        <f t="shared" ca="1" si="223"/>
        <v>1</v>
      </c>
      <c r="V1734" s="8">
        <f ca="1">RawData[[#This Row],[Z (smoothed demand size)]]/RawData[[#This Row],[X (smoothed interval)]]</f>
        <v>1.3280000000000003</v>
      </c>
    </row>
    <row r="1735" spans="1:22">
      <c r="A1735" t="s">
        <v>43</v>
      </c>
      <c r="B1735" t="s">
        <v>39</v>
      </c>
      <c r="C1735">
        <v>21</v>
      </c>
      <c r="D1735" t="s">
        <v>18</v>
      </c>
      <c r="E1735" t="s">
        <v>16</v>
      </c>
      <c r="F1735" s="1">
        <v>43106</v>
      </c>
      <c r="G1735">
        <v>1</v>
      </c>
      <c r="H1735">
        <v>1</v>
      </c>
      <c r="I1735">
        <v>14</v>
      </c>
      <c r="J1735">
        <v>13</v>
      </c>
      <c r="K1735">
        <v>0</v>
      </c>
      <c r="L1735">
        <v>713</v>
      </c>
      <c r="M1735">
        <v>15</v>
      </c>
      <c r="N1735" s="1">
        <f t="shared" si="216"/>
        <v>44938</v>
      </c>
      <c r="O1735" s="1">
        <f t="shared" si="217"/>
        <v>43101</v>
      </c>
      <c r="P1735" s="1">
        <f t="shared" si="218"/>
        <v>43252</v>
      </c>
      <c r="Q1735" s="8">
        <f t="shared" si="219"/>
        <v>0</v>
      </c>
      <c r="R1735" s="8">
        <f t="shared" si="220"/>
        <v>6</v>
      </c>
      <c r="S1735" s="8">
        <f t="shared" ca="1" si="221"/>
        <v>6</v>
      </c>
      <c r="T1735">
        <f t="shared" ca="1" si="222"/>
        <v>1.2624000000000002</v>
      </c>
      <c r="U1735" s="8">
        <f t="shared" ca="1" si="223"/>
        <v>1.2000000000000002</v>
      </c>
      <c r="V1735" s="8">
        <f ca="1">RawData[[#This Row],[Z (smoothed demand size)]]/RawData[[#This Row],[X (smoothed interval)]]</f>
        <v>1.052</v>
      </c>
    </row>
    <row r="1736" spans="1:22">
      <c r="A1736" t="s">
        <v>43</v>
      </c>
      <c r="B1736" t="s">
        <v>39</v>
      </c>
      <c r="C1736">
        <v>21</v>
      </c>
      <c r="D1736" t="s">
        <v>18</v>
      </c>
      <c r="E1736" t="s">
        <v>16</v>
      </c>
      <c r="F1736" s="1">
        <v>43107</v>
      </c>
      <c r="G1736">
        <v>0</v>
      </c>
      <c r="H1736">
        <v>0</v>
      </c>
      <c r="I1736">
        <v>13</v>
      </c>
      <c r="J1736">
        <v>13</v>
      </c>
      <c r="K1736">
        <v>0</v>
      </c>
      <c r="L1736">
        <v>698</v>
      </c>
      <c r="M1736">
        <v>15</v>
      </c>
      <c r="N1736" s="1">
        <f t="shared" si="216"/>
        <v>44938</v>
      </c>
      <c r="O1736" s="1">
        <f t="shared" si="217"/>
        <v>43101</v>
      </c>
      <c r="P1736" s="1">
        <f t="shared" si="218"/>
        <v>43282</v>
      </c>
      <c r="Q1736" s="8">
        <f t="shared" si="219"/>
        <v>0</v>
      </c>
      <c r="R1736" s="8">
        <f t="shared" si="220"/>
        <v>7</v>
      </c>
      <c r="S1736" s="8">
        <f t="shared" ca="1" si="221"/>
        <v>6</v>
      </c>
      <c r="T1736">
        <f t="shared" ca="1" si="222"/>
        <v>1.2624000000000002</v>
      </c>
      <c r="U1736" s="8">
        <f t="shared" ca="1" si="223"/>
        <v>1.2000000000000002</v>
      </c>
      <c r="V1736" s="8">
        <f ca="1">RawData[[#This Row],[Z (smoothed demand size)]]/RawData[[#This Row],[X (smoothed interval)]]</f>
        <v>1.052</v>
      </c>
    </row>
    <row r="1737" spans="1:22">
      <c r="A1737" t="s">
        <v>43</v>
      </c>
      <c r="B1737" t="s">
        <v>39</v>
      </c>
      <c r="C1737">
        <v>21</v>
      </c>
      <c r="D1737" t="s">
        <v>18</v>
      </c>
      <c r="E1737" t="s">
        <v>16</v>
      </c>
      <c r="F1737" s="1">
        <v>43108</v>
      </c>
      <c r="G1737">
        <v>0</v>
      </c>
      <c r="H1737">
        <v>0</v>
      </c>
      <c r="I1737">
        <v>13</v>
      </c>
      <c r="J1737">
        <v>13</v>
      </c>
      <c r="K1737">
        <v>0</v>
      </c>
      <c r="L1737">
        <v>708</v>
      </c>
      <c r="M1737">
        <v>45</v>
      </c>
      <c r="N1737" s="1">
        <f t="shared" si="216"/>
        <v>44938</v>
      </c>
      <c r="O1737" s="1">
        <f t="shared" si="217"/>
        <v>43101</v>
      </c>
      <c r="P1737" s="1">
        <f t="shared" si="218"/>
        <v>43313</v>
      </c>
      <c r="Q1737" s="8">
        <f t="shared" si="219"/>
        <v>0</v>
      </c>
      <c r="R1737" s="8">
        <f t="shared" si="220"/>
        <v>8</v>
      </c>
      <c r="S1737" s="8">
        <f t="shared" ca="1" si="221"/>
        <v>6</v>
      </c>
      <c r="T1737">
        <f t="shared" ca="1" si="222"/>
        <v>1.2624000000000002</v>
      </c>
      <c r="U1737" s="8">
        <f t="shared" ca="1" si="223"/>
        <v>1.2000000000000002</v>
      </c>
      <c r="V1737" s="8">
        <f ca="1">RawData[[#This Row],[Z (smoothed demand size)]]/RawData[[#This Row],[X (smoothed interval)]]</f>
        <v>1.052</v>
      </c>
    </row>
    <row r="1738" spans="1:22">
      <c r="A1738" t="s">
        <v>43</v>
      </c>
      <c r="B1738" t="s">
        <v>39</v>
      </c>
      <c r="C1738">
        <v>21</v>
      </c>
      <c r="D1738" t="s">
        <v>18</v>
      </c>
      <c r="E1738" t="s">
        <v>16</v>
      </c>
      <c r="F1738" s="1">
        <v>43109</v>
      </c>
      <c r="G1738">
        <v>2</v>
      </c>
      <c r="H1738">
        <v>2</v>
      </c>
      <c r="I1738">
        <v>13</v>
      </c>
      <c r="J1738">
        <v>11</v>
      </c>
      <c r="K1738">
        <v>0</v>
      </c>
      <c r="L1738">
        <v>617</v>
      </c>
      <c r="M1738">
        <v>15</v>
      </c>
      <c r="N1738" s="1">
        <f t="shared" si="216"/>
        <v>44938</v>
      </c>
      <c r="O1738" s="1">
        <f t="shared" si="217"/>
        <v>43101</v>
      </c>
      <c r="P1738" s="1">
        <f t="shared" si="218"/>
        <v>43344</v>
      </c>
      <c r="Q1738" s="8">
        <f t="shared" si="219"/>
        <v>0</v>
      </c>
      <c r="R1738" s="8">
        <f t="shared" si="220"/>
        <v>9</v>
      </c>
      <c r="S1738" s="8">
        <f t="shared" ca="1" si="221"/>
        <v>9</v>
      </c>
      <c r="T1738">
        <f t="shared" ca="1" si="222"/>
        <v>1.4099200000000001</v>
      </c>
      <c r="U1738" s="8">
        <f t="shared" ca="1" si="223"/>
        <v>1.5600000000000003</v>
      </c>
      <c r="V1738" s="8">
        <f ca="1">RawData[[#This Row],[Z (smoothed demand size)]]/RawData[[#This Row],[X (smoothed interval)]]</f>
        <v>0.90379487179487172</v>
      </c>
    </row>
    <row r="1739" spans="1:22">
      <c r="A1739" t="s">
        <v>43</v>
      </c>
      <c r="B1739" t="s">
        <v>39</v>
      </c>
      <c r="C1739">
        <v>21</v>
      </c>
      <c r="D1739" t="s">
        <v>18</v>
      </c>
      <c r="E1739" t="s">
        <v>16</v>
      </c>
      <c r="F1739" s="1">
        <v>43110</v>
      </c>
      <c r="G1739">
        <v>4</v>
      </c>
      <c r="H1739">
        <v>4</v>
      </c>
      <c r="I1739">
        <v>11</v>
      </c>
      <c r="J1739">
        <v>7</v>
      </c>
      <c r="K1739">
        <v>0</v>
      </c>
      <c r="L1739">
        <v>614</v>
      </c>
      <c r="M1739">
        <v>45</v>
      </c>
      <c r="N1739" s="1">
        <f t="shared" si="216"/>
        <v>44938</v>
      </c>
      <c r="O1739" s="1">
        <f t="shared" si="217"/>
        <v>43101</v>
      </c>
      <c r="P1739" s="1">
        <f t="shared" si="218"/>
        <v>43374</v>
      </c>
      <c r="Q1739" s="8">
        <f t="shared" si="219"/>
        <v>0</v>
      </c>
      <c r="R1739" s="8">
        <f t="shared" si="220"/>
        <v>10</v>
      </c>
      <c r="S1739" s="8">
        <f t="shared" ca="1" si="221"/>
        <v>10</v>
      </c>
      <c r="T1739">
        <f t="shared" ca="1" si="222"/>
        <v>1.9279360000000001</v>
      </c>
      <c r="U1739" s="8">
        <f t="shared" ca="1" si="223"/>
        <v>1.4480000000000002</v>
      </c>
      <c r="V1739" s="8">
        <f ca="1">RawData[[#This Row],[Z (smoothed demand size)]]/RawData[[#This Row],[X (smoothed interval)]]</f>
        <v>1.3314475138121546</v>
      </c>
    </row>
    <row r="1740" spans="1:22">
      <c r="A1740" t="s">
        <v>43</v>
      </c>
      <c r="B1740" t="s">
        <v>39</v>
      </c>
      <c r="C1740">
        <v>21</v>
      </c>
      <c r="D1740" t="s">
        <v>18</v>
      </c>
      <c r="E1740" t="s">
        <v>16</v>
      </c>
      <c r="F1740" s="1">
        <v>43111</v>
      </c>
      <c r="G1740">
        <v>4</v>
      </c>
      <c r="H1740">
        <v>4</v>
      </c>
      <c r="I1740">
        <v>7</v>
      </c>
      <c r="J1740">
        <v>3</v>
      </c>
      <c r="K1740">
        <v>0</v>
      </c>
      <c r="L1740">
        <v>626</v>
      </c>
      <c r="M1740">
        <v>30</v>
      </c>
      <c r="N1740" s="1">
        <f t="shared" si="216"/>
        <v>44938</v>
      </c>
      <c r="O1740" s="1">
        <f t="shared" si="217"/>
        <v>43101</v>
      </c>
      <c r="P1740" s="1">
        <f t="shared" si="218"/>
        <v>43405</v>
      </c>
      <c r="Q1740" s="8">
        <f t="shared" si="219"/>
        <v>0</v>
      </c>
      <c r="R1740" s="8">
        <f t="shared" si="220"/>
        <v>11</v>
      </c>
      <c r="S1740" s="8">
        <f t="shared" ca="1" si="221"/>
        <v>11</v>
      </c>
      <c r="T1740">
        <f t="shared" ca="1" si="222"/>
        <v>2.3423487999999999</v>
      </c>
      <c r="U1740" s="8">
        <f t="shared" ca="1" si="223"/>
        <v>1.3584000000000001</v>
      </c>
      <c r="V1740" s="8">
        <f ca="1">RawData[[#This Row],[Z (smoothed demand size)]]/RawData[[#This Row],[X (smoothed interval)]]</f>
        <v>1.724343934040047</v>
      </c>
    </row>
    <row r="1741" spans="1:22">
      <c r="A1741" t="s">
        <v>43</v>
      </c>
      <c r="B1741" t="s">
        <v>39</v>
      </c>
      <c r="C1741">
        <v>21</v>
      </c>
      <c r="D1741" t="s">
        <v>18</v>
      </c>
      <c r="E1741" t="s">
        <v>16</v>
      </c>
      <c r="F1741" s="1">
        <v>43112</v>
      </c>
      <c r="G1741">
        <v>3</v>
      </c>
      <c r="H1741">
        <v>3</v>
      </c>
      <c r="I1741">
        <v>11</v>
      </c>
      <c r="J1741">
        <v>8</v>
      </c>
      <c r="K1741">
        <v>0</v>
      </c>
      <c r="L1741">
        <v>718</v>
      </c>
      <c r="M1741">
        <v>15</v>
      </c>
      <c r="N1741" s="1">
        <f t="shared" si="216"/>
        <v>44938</v>
      </c>
      <c r="O1741" s="1">
        <f t="shared" si="217"/>
        <v>43101</v>
      </c>
      <c r="P1741" s="1">
        <f t="shared" si="218"/>
        <v>43435</v>
      </c>
      <c r="Q1741" s="8">
        <f t="shared" si="219"/>
        <v>0</v>
      </c>
      <c r="R1741" s="8">
        <f t="shared" si="220"/>
        <v>12</v>
      </c>
      <c r="S1741" s="8">
        <f t="shared" ca="1" si="221"/>
        <v>12</v>
      </c>
      <c r="T1741">
        <f t="shared" ca="1" si="222"/>
        <v>2.4738790399999999</v>
      </c>
      <c r="U1741" s="8">
        <f t="shared" ca="1" si="223"/>
        <v>1.2867200000000001</v>
      </c>
      <c r="V1741" s="8">
        <f ca="1">RawData[[#This Row],[Z (smoothed demand size)]]/RawData[[#This Row],[X (smoothed interval)]]</f>
        <v>1.9226242228301416</v>
      </c>
    </row>
    <row r="1742" spans="1:22">
      <c r="A1742" t="s">
        <v>43</v>
      </c>
      <c r="B1742" t="s">
        <v>39</v>
      </c>
      <c r="C1742">
        <v>21</v>
      </c>
      <c r="D1742" t="s">
        <v>18</v>
      </c>
      <c r="E1742" t="s">
        <v>16</v>
      </c>
      <c r="F1742" s="1">
        <v>43466</v>
      </c>
      <c r="G1742">
        <v>4</v>
      </c>
      <c r="H1742">
        <v>4</v>
      </c>
      <c r="I1742">
        <v>8</v>
      </c>
      <c r="J1742">
        <v>4</v>
      </c>
      <c r="K1742">
        <v>0</v>
      </c>
      <c r="L1742">
        <v>618</v>
      </c>
      <c r="M1742">
        <v>15</v>
      </c>
      <c r="N1742" s="1">
        <f t="shared" si="216"/>
        <v>44938</v>
      </c>
      <c r="O1742" s="1">
        <f t="shared" si="217"/>
        <v>43101</v>
      </c>
      <c r="P1742" s="1">
        <f t="shared" si="218"/>
        <v>43466</v>
      </c>
      <c r="Q1742" s="8">
        <f t="shared" si="219"/>
        <v>0</v>
      </c>
      <c r="R1742" s="8">
        <f t="shared" si="220"/>
        <v>13</v>
      </c>
      <c r="S1742" s="8">
        <f t="shared" ca="1" si="221"/>
        <v>13</v>
      </c>
      <c r="T1742">
        <f t="shared" ca="1" si="222"/>
        <v>2.7791032319999998</v>
      </c>
      <c r="U1742" s="8">
        <f t="shared" ca="1" si="223"/>
        <v>1.229376</v>
      </c>
      <c r="V1742" s="8">
        <f ca="1">RawData[[#This Row],[Z (smoothed demand size)]]/RawData[[#This Row],[X (smoothed interval)]]</f>
        <v>2.2605803529595501</v>
      </c>
    </row>
    <row r="1743" spans="1:22">
      <c r="A1743" t="s">
        <v>43</v>
      </c>
      <c r="B1743" t="s">
        <v>39</v>
      </c>
      <c r="C1743">
        <v>21</v>
      </c>
      <c r="D1743" t="s">
        <v>18</v>
      </c>
      <c r="E1743" t="s">
        <v>16</v>
      </c>
      <c r="F1743" s="1">
        <v>43467</v>
      </c>
      <c r="G1743">
        <v>5</v>
      </c>
      <c r="H1743">
        <v>4</v>
      </c>
      <c r="I1743">
        <v>4</v>
      </c>
      <c r="J1743">
        <v>0</v>
      </c>
      <c r="K1743">
        <v>1</v>
      </c>
      <c r="L1743">
        <v>626</v>
      </c>
      <c r="M1743">
        <v>15</v>
      </c>
      <c r="N1743" s="1">
        <f t="shared" si="216"/>
        <v>44938</v>
      </c>
      <c r="O1743" s="1">
        <f t="shared" si="217"/>
        <v>43101</v>
      </c>
      <c r="P1743" s="1">
        <f t="shared" si="218"/>
        <v>43497</v>
      </c>
      <c r="Q1743" s="8">
        <f t="shared" si="219"/>
        <v>0</v>
      </c>
      <c r="R1743" s="8">
        <f t="shared" si="220"/>
        <v>14</v>
      </c>
      <c r="S1743" s="8">
        <f t="shared" ca="1" si="221"/>
        <v>14</v>
      </c>
      <c r="T1743">
        <f t="shared" ca="1" si="222"/>
        <v>3.2232825855999998</v>
      </c>
      <c r="U1743" s="8">
        <f t="shared" ca="1" si="223"/>
        <v>1.1835008</v>
      </c>
      <c r="V1743" s="8">
        <f ca="1">RawData[[#This Row],[Z (smoothed demand size)]]/RawData[[#This Row],[X (smoothed interval)]]</f>
        <v>2.7235153416034867</v>
      </c>
    </row>
    <row r="1744" spans="1:22">
      <c r="A1744" t="s">
        <v>43</v>
      </c>
      <c r="B1744" t="s">
        <v>39</v>
      </c>
      <c r="C1744">
        <v>21</v>
      </c>
      <c r="D1744" t="s">
        <v>18</v>
      </c>
      <c r="E1744" t="s">
        <v>16</v>
      </c>
      <c r="F1744" s="1">
        <v>43468</v>
      </c>
      <c r="G1744">
        <v>5</v>
      </c>
      <c r="H1744">
        <v>5</v>
      </c>
      <c r="I1744">
        <v>12</v>
      </c>
      <c r="J1744">
        <v>7</v>
      </c>
      <c r="K1744">
        <v>0</v>
      </c>
      <c r="L1744">
        <v>621</v>
      </c>
      <c r="M1744">
        <v>45</v>
      </c>
      <c r="N1744" s="1">
        <f t="shared" si="216"/>
        <v>44938</v>
      </c>
      <c r="O1744" s="1">
        <f t="shared" si="217"/>
        <v>43101</v>
      </c>
      <c r="P1744" s="1">
        <f t="shared" si="218"/>
        <v>43525</v>
      </c>
      <c r="Q1744" s="8">
        <f t="shared" si="219"/>
        <v>0</v>
      </c>
      <c r="R1744" s="8">
        <f t="shared" si="220"/>
        <v>15</v>
      </c>
      <c r="S1744" s="8">
        <f t="shared" ca="1" si="221"/>
        <v>15</v>
      </c>
      <c r="T1744">
        <f t="shared" ca="1" si="222"/>
        <v>3.5786260684800002</v>
      </c>
      <c r="U1744" s="8">
        <f t="shared" ca="1" si="223"/>
        <v>1.1468006400000001</v>
      </c>
      <c r="V1744" s="8">
        <f ca="1">RawData[[#This Row],[Z (smoothed demand size)]]/RawData[[#This Row],[X (smoothed interval)]]</f>
        <v>3.1205302331188092</v>
      </c>
    </row>
    <row r="1745" spans="1:22">
      <c r="A1745" t="s">
        <v>43</v>
      </c>
      <c r="B1745" t="s">
        <v>39</v>
      </c>
      <c r="C1745">
        <v>21</v>
      </c>
      <c r="D1745" t="s">
        <v>18</v>
      </c>
      <c r="E1745" t="s">
        <v>16</v>
      </c>
      <c r="F1745" s="1">
        <v>43469</v>
      </c>
      <c r="G1745">
        <v>3</v>
      </c>
      <c r="H1745">
        <v>3</v>
      </c>
      <c r="I1745">
        <v>7</v>
      </c>
      <c r="J1745">
        <v>4</v>
      </c>
      <c r="K1745">
        <v>0</v>
      </c>
      <c r="L1745">
        <v>616</v>
      </c>
      <c r="M1745">
        <v>30</v>
      </c>
      <c r="N1745" s="1">
        <f t="shared" si="216"/>
        <v>44938</v>
      </c>
      <c r="O1745" s="1">
        <f t="shared" si="217"/>
        <v>43101</v>
      </c>
      <c r="P1745" s="1">
        <f t="shared" si="218"/>
        <v>43556</v>
      </c>
      <c r="Q1745" s="8">
        <f t="shared" si="219"/>
        <v>0</v>
      </c>
      <c r="R1745" s="8">
        <f t="shared" si="220"/>
        <v>16</v>
      </c>
      <c r="S1745" s="8">
        <f t="shared" ca="1" si="221"/>
        <v>16</v>
      </c>
      <c r="T1745">
        <f t="shared" ca="1" si="222"/>
        <v>3.4629008547840003</v>
      </c>
      <c r="U1745" s="8">
        <f t="shared" ca="1" si="223"/>
        <v>1.1174405120000002</v>
      </c>
      <c r="V1745" s="8">
        <f ca="1">RawData[[#This Row],[Z (smoothed demand size)]]/RawData[[#This Row],[X (smoothed interval)]]</f>
        <v>3.0989576783699069</v>
      </c>
    </row>
    <row r="1746" spans="1:22">
      <c r="A1746" t="s">
        <v>43</v>
      </c>
      <c r="B1746" t="s">
        <v>39</v>
      </c>
      <c r="C1746">
        <v>21</v>
      </c>
      <c r="D1746" t="s">
        <v>18</v>
      </c>
      <c r="E1746" t="s">
        <v>16</v>
      </c>
      <c r="F1746" s="1">
        <v>43470</v>
      </c>
      <c r="G1746">
        <v>4</v>
      </c>
      <c r="H1746">
        <v>4</v>
      </c>
      <c r="I1746">
        <v>4</v>
      </c>
      <c r="J1746">
        <v>0</v>
      </c>
      <c r="K1746">
        <v>0</v>
      </c>
      <c r="L1746">
        <v>612</v>
      </c>
      <c r="M1746">
        <v>60</v>
      </c>
      <c r="N1746" s="1">
        <f t="shared" si="216"/>
        <v>44938</v>
      </c>
      <c r="O1746" s="1">
        <f t="shared" si="217"/>
        <v>43101</v>
      </c>
      <c r="P1746" s="1">
        <f t="shared" si="218"/>
        <v>43586</v>
      </c>
      <c r="Q1746" s="8">
        <f t="shared" si="219"/>
        <v>0</v>
      </c>
      <c r="R1746" s="8">
        <f t="shared" si="220"/>
        <v>17</v>
      </c>
      <c r="S1746" s="8">
        <f t="shared" ca="1" si="221"/>
        <v>17</v>
      </c>
      <c r="T1746">
        <f t="shared" ca="1" si="222"/>
        <v>3.5703206838272008</v>
      </c>
      <c r="U1746" s="8">
        <f t="shared" ca="1" si="223"/>
        <v>1.0939524096000002</v>
      </c>
      <c r="V1746" s="8">
        <f ca="1">RawData[[#This Row],[Z (smoothed demand size)]]/RawData[[#This Row],[X (smoothed interval)]]</f>
        <v>3.2636892176440071</v>
      </c>
    </row>
    <row r="1747" spans="1:22">
      <c r="A1747" t="s">
        <v>43</v>
      </c>
      <c r="B1747" t="s">
        <v>39</v>
      </c>
      <c r="C1747">
        <v>21</v>
      </c>
      <c r="D1747" t="s">
        <v>18</v>
      </c>
      <c r="E1747" t="s">
        <v>16</v>
      </c>
      <c r="F1747" s="1">
        <v>43471</v>
      </c>
      <c r="G1747">
        <v>1</v>
      </c>
      <c r="H1747">
        <v>0</v>
      </c>
      <c r="I1747">
        <v>0</v>
      </c>
      <c r="J1747">
        <v>0</v>
      </c>
      <c r="K1747">
        <v>1</v>
      </c>
      <c r="L1747">
        <v>705</v>
      </c>
      <c r="M1747">
        <v>60</v>
      </c>
      <c r="N1747" s="1">
        <f t="shared" si="216"/>
        <v>44938</v>
      </c>
      <c r="O1747" s="1">
        <f t="shared" si="217"/>
        <v>43101</v>
      </c>
      <c r="P1747" s="1">
        <f t="shared" si="218"/>
        <v>43617</v>
      </c>
      <c r="Q1747" s="8">
        <f t="shared" si="219"/>
        <v>0</v>
      </c>
      <c r="R1747" s="8">
        <f t="shared" si="220"/>
        <v>18</v>
      </c>
      <c r="S1747" s="8">
        <f t="shared" ca="1" si="221"/>
        <v>18</v>
      </c>
      <c r="T1747">
        <f t="shared" ca="1" si="222"/>
        <v>3.0562565470617611</v>
      </c>
      <c r="U1747" s="8">
        <f t="shared" ca="1" si="223"/>
        <v>1.0751619276800002</v>
      </c>
      <c r="V1747" s="8">
        <f ca="1">RawData[[#This Row],[Z (smoothed demand size)]]/RawData[[#This Row],[X (smoothed interval)]]</f>
        <v>2.8426011639535966</v>
      </c>
    </row>
    <row r="1748" spans="1:22">
      <c r="A1748" t="s">
        <v>43</v>
      </c>
      <c r="B1748" t="s">
        <v>39</v>
      </c>
      <c r="C1748">
        <v>21</v>
      </c>
      <c r="D1748" t="s">
        <v>18</v>
      </c>
      <c r="E1748" t="s">
        <v>16</v>
      </c>
      <c r="F1748" s="1">
        <v>43472</v>
      </c>
      <c r="G1748">
        <v>3</v>
      </c>
      <c r="H1748">
        <v>3</v>
      </c>
      <c r="I1748">
        <v>9</v>
      </c>
      <c r="J1748">
        <v>6</v>
      </c>
      <c r="K1748">
        <v>0</v>
      </c>
      <c r="L1748">
        <v>710</v>
      </c>
      <c r="M1748">
        <v>30</v>
      </c>
      <c r="N1748" s="1">
        <f t="shared" si="216"/>
        <v>44938</v>
      </c>
      <c r="O1748" s="1">
        <f t="shared" si="217"/>
        <v>43101</v>
      </c>
      <c r="P1748" s="1">
        <f t="shared" si="218"/>
        <v>43647</v>
      </c>
      <c r="Q1748" s="8">
        <f t="shared" si="219"/>
        <v>0</v>
      </c>
      <c r="R1748" s="8">
        <f t="shared" si="220"/>
        <v>19</v>
      </c>
      <c r="S1748" s="8">
        <f t="shared" ca="1" si="221"/>
        <v>19</v>
      </c>
      <c r="T1748">
        <f t="shared" ca="1" si="222"/>
        <v>3.0450052376494092</v>
      </c>
      <c r="U1748" s="8">
        <f t="shared" ca="1" si="223"/>
        <v>1.0601295421440002</v>
      </c>
      <c r="V1748" s="8">
        <f ca="1">RawData[[#This Row],[Z (smoothed demand size)]]/RawData[[#This Row],[X (smoothed interval)]]</f>
        <v>2.8722954286239464</v>
      </c>
    </row>
    <row r="1749" spans="1:22">
      <c r="A1749" t="s">
        <v>43</v>
      </c>
      <c r="B1749" t="s">
        <v>39</v>
      </c>
      <c r="C1749">
        <v>21</v>
      </c>
      <c r="D1749" t="s">
        <v>18</v>
      </c>
      <c r="E1749" t="s">
        <v>16</v>
      </c>
      <c r="F1749" s="1">
        <v>43473</v>
      </c>
      <c r="G1749">
        <v>0</v>
      </c>
      <c r="H1749">
        <v>0</v>
      </c>
      <c r="I1749">
        <v>6</v>
      </c>
      <c r="J1749">
        <v>6</v>
      </c>
      <c r="K1749">
        <v>0</v>
      </c>
      <c r="L1749">
        <v>705</v>
      </c>
      <c r="M1749">
        <v>60</v>
      </c>
      <c r="N1749" s="1">
        <f t="shared" si="216"/>
        <v>44938</v>
      </c>
      <c r="O1749" s="1">
        <f t="shared" si="217"/>
        <v>43101</v>
      </c>
      <c r="P1749" s="1">
        <f t="shared" si="218"/>
        <v>43678</v>
      </c>
      <c r="Q1749" s="8">
        <f t="shared" si="219"/>
        <v>0</v>
      </c>
      <c r="R1749" s="8">
        <f t="shared" si="220"/>
        <v>20</v>
      </c>
      <c r="S1749" s="8">
        <f t="shared" ca="1" si="221"/>
        <v>19</v>
      </c>
      <c r="T1749">
        <f t="shared" ca="1" si="222"/>
        <v>3.0450052376494092</v>
      </c>
      <c r="U1749" s="8">
        <f t="shared" ca="1" si="223"/>
        <v>1.0601295421440002</v>
      </c>
      <c r="V1749" s="8">
        <f ca="1">RawData[[#This Row],[Z (smoothed demand size)]]/RawData[[#This Row],[X (smoothed interval)]]</f>
        <v>2.8722954286239464</v>
      </c>
    </row>
    <row r="1750" spans="1:22">
      <c r="A1750" t="s">
        <v>43</v>
      </c>
      <c r="B1750" t="s">
        <v>39</v>
      </c>
      <c r="C1750">
        <v>21</v>
      </c>
      <c r="D1750" t="s">
        <v>18</v>
      </c>
      <c r="E1750" t="s">
        <v>16</v>
      </c>
      <c r="F1750" s="1">
        <v>43474</v>
      </c>
      <c r="G1750">
        <v>2</v>
      </c>
      <c r="H1750">
        <v>2</v>
      </c>
      <c r="I1750">
        <v>6</v>
      </c>
      <c r="J1750">
        <v>4</v>
      </c>
      <c r="K1750">
        <v>0</v>
      </c>
      <c r="L1750">
        <v>606</v>
      </c>
      <c r="M1750">
        <v>15</v>
      </c>
      <c r="N1750" s="1">
        <f t="shared" si="216"/>
        <v>44938</v>
      </c>
      <c r="O1750" s="1">
        <f t="shared" si="217"/>
        <v>43101</v>
      </c>
      <c r="P1750" s="1">
        <f t="shared" si="218"/>
        <v>43709</v>
      </c>
      <c r="Q1750" s="8">
        <f t="shared" si="219"/>
        <v>0</v>
      </c>
      <c r="R1750" s="8">
        <f t="shared" si="220"/>
        <v>21</v>
      </c>
      <c r="S1750" s="8">
        <f t="shared" ca="1" si="221"/>
        <v>21</v>
      </c>
      <c r="T1750">
        <f t="shared" ca="1" si="222"/>
        <v>2.8360041901195276</v>
      </c>
      <c r="U1750" s="8">
        <f t="shared" ca="1" si="223"/>
        <v>1.2481036337152003</v>
      </c>
      <c r="V1750" s="8">
        <f ca="1">RawData[[#This Row],[Z (smoothed demand size)]]/RawData[[#This Row],[X (smoothed interval)]]</f>
        <v>2.2722505675892166</v>
      </c>
    </row>
    <row r="1751" spans="1:22">
      <c r="A1751" t="s">
        <v>43</v>
      </c>
      <c r="B1751" t="s">
        <v>39</v>
      </c>
      <c r="C1751">
        <v>21</v>
      </c>
      <c r="D1751" t="s">
        <v>18</v>
      </c>
      <c r="E1751" t="s">
        <v>16</v>
      </c>
      <c r="F1751" s="1">
        <v>43475</v>
      </c>
      <c r="G1751">
        <v>0</v>
      </c>
      <c r="H1751">
        <v>0</v>
      </c>
      <c r="I1751">
        <v>4</v>
      </c>
      <c r="J1751">
        <v>4</v>
      </c>
      <c r="K1751">
        <v>0</v>
      </c>
      <c r="L1751">
        <v>613</v>
      </c>
      <c r="M1751">
        <v>45</v>
      </c>
      <c r="N1751" s="1">
        <f t="shared" si="216"/>
        <v>44938</v>
      </c>
      <c r="O1751" s="1">
        <f t="shared" si="217"/>
        <v>43101</v>
      </c>
      <c r="P1751" s="1">
        <f t="shared" si="218"/>
        <v>43739</v>
      </c>
      <c r="Q1751" s="8">
        <f t="shared" si="219"/>
        <v>0</v>
      </c>
      <c r="R1751" s="8">
        <f t="shared" si="220"/>
        <v>22</v>
      </c>
      <c r="S1751" s="8">
        <f t="shared" ca="1" si="221"/>
        <v>21</v>
      </c>
      <c r="T1751">
        <f t="shared" ca="1" si="222"/>
        <v>2.8360041901195276</v>
      </c>
      <c r="U1751" s="8">
        <f t="shared" ca="1" si="223"/>
        <v>1.2481036337152003</v>
      </c>
      <c r="V1751" s="8">
        <f ca="1">RawData[[#This Row],[Z (smoothed demand size)]]/RawData[[#This Row],[X (smoothed interval)]]</f>
        <v>2.2722505675892166</v>
      </c>
    </row>
    <row r="1752" spans="1:22">
      <c r="A1752" t="s">
        <v>43</v>
      </c>
      <c r="B1752" t="s">
        <v>39</v>
      </c>
      <c r="C1752">
        <v>21</v>
      </c>
      <c r="D1752" t="s">
        <v>18</v>
      </c>
      <c r="E1752" t="s">
        <v>16</v>
      </c>
      <c r="F1752" s="1">
        <v>43476</v>
      </c>
      <c r="G1752">
        <v>5</v>
      </c>
      <c r="H1752">
        <v>4</v>
      </c>
      <c r="I1752">
        <v>4</v>
      </c>
      <c r="J1752">
        <v>0</v>
      </c>
      <c r="K1752">
        <v>1</v>
      </c>
      <c r="L1752">
        <v>621</v>
      </c>
      <c r="M1752">
        <v>30</v>
      </c>
      <c r="N1752" s="1">
        <f t="shared" si="216"/>
        <v>44938</v>
      </c>
      <c r="O1752" s="1">
        <f t="shared" si="217"/>
        <v>43101</v>
      </c>
      <c r="P1752" s="1">
        <f t="shared" si="218"/>
        <v>43770</v>
      </c>
      <c r="Q1752" s="8">
        <f t="shared" si="219"/>
        <v>0</v>
      </c>
      <c r="R1752" s="8">
        <f t="shared" si="220"/>
        <v>23</v>
      </c>
      <c r="S1752" s="8">
        <f t="shared" ca="1" si="221"/>
        <v>23</v>
      </c>
      <c r="T1752">
        <f t="shared" ca="1" si="222"/>
        <v>3.2688033520956221</v>
      </c>
      <c r="U1752" s="8">
        <f t="shared" ca="1" si="223"/>
        <v>1.3984829069721603</v>
      </c>
      <c r="V1752" s="8">
        <f ca="1">RawData[[#This Row],[Z (smoothed demand size)]]/RawData[[#This Row],[X (smoothed interval)]]</f>
        <v>2.3373924241754742</v>
      </c>
    </row>
    <row r="1753" spans="1:22">
      <c r="A1753" t="s">
        <v>43</v>
      </c>
      <c r="B1753" t="s">
        <v>39</v>
      </c>
      <c r="C1753">
        <v>21</v>
      </c>
      <c r="D1753" t="s">
        <v>18</v>
      </c>
      <c r="E1753" t="s">
        <v>16</v>
      </c>
      <c r="F1753" s="1">
        <v>43477</v>
      </c>
      <c r="G1753">
        <v>3</v>
      </c>
      <c r="H1753">
        <v>3</v>
      </c>
      <c r="I1753">
        <v>12</v>
      </c>
      <c r="J1753">
        <v>9</v>
      </c>
      <c r="K1753">
        <v>0</v>
      </c>
      <c r="L1753">
        <v>689</v>
      </c>
      <c r="M1753">
        <v>30</v>
      </c>
      <c r="N1753" s="1">
        <f t="shared" si="216"/>
        <v>44938</v>
      </c>
      <c r="O1753" s="1">
        <f t="shared" si="217"/>
        <v>43101</v>
      </c>
      <c r="P1753" s="1">
        <f t="shared" si="218"/>
        <v>43800</v>
      </c>
      <c r="Q1753" s="8">
        <f t="shared" si="219"/>
        <v>0</v>
      </c>
      <c r="R1753" s="8">
        <f t="shared" si="220"/>
        <v>24</v>
      </c>
      <c r="S1753" s="8">
        <f t="shared" ca="1" si="221"/>
        <v>24</v>
      </c>
      <c r="T1753">
        <f t="shared" ca="1" si="222"/>
        <v>3.2150426816764979</v>
      </c>
      <c r="U1753" s="8">
        <f t="shared" ca="1" si="223"/>
        <v>1.3187863255777281</v>
      </c>
      <c r="V1753" s="8">
        <f ca="1">RawData[[#This Row],[Z (smoothed demand size)]]/RawData[[#This Row],[X (smoothed interval)]]</f>
        <v>2.4378799046676995</v>
      </c>
    </row>
    <row r="1754" spans="1:22">
      <c r="A1754" t="s">
        <v>43</v>
      </c>
      <c r="B1754" t="s">
        <v>39</v>
      </c>
      <c r="C1754">
        <v>21</v>
      </c>
      <c r="D1754" t="s">
        <v>18</v>
      </c>
      <c r="E1754" t="s">
        <v>16</v>
      </c>
      <c r="F1754" s="1">
        <v>43831</v>
      </c>
      <c r="G1754">
        <v>3</v>
      </c>
      <c r="H1754">
        <v>3</v>
      </c>
      <c r="I1754">
        <v>9</v>
      </c>
      <c r="J1754">
        <v>6</v>
      </c>
      <c r="K1754">
        <v>0</v>
      </c>
      <c r="L1754">
        <v>622</v>
      </c>
      <c r="M1754">
        <v>30</v>
      </c>
      <c r="N1754" s="1">
        <f t="shared" si="216"/>
        <v>44938</v>
      </c>
      <c r="O1754" s="1">
        <f t="shared" si="217"/>
        <v>43101</v>
      </c>
      <c r="P1754" s="1">
        <f t="shared" si="218"/>
        <v>43831</v>
      </c>
      <c r="Q1754" s="8">
        <f t="shared" si="219"/>
        <v>0</v>
      </c>
      <c r="R1754" s="8">
        <f t="shared" si="220"/>
        <v>25</v>
      </c>
      <c r="S1754" s="8">
        <f t="shared" ca="1" si="221"/>
        <v>25</v>
      </c>
      <c r="T1754">
        <f t="shared" ca="1" si="222"/>
        <v>3.1720341453411987</v>
      </c>
      <c r="U1754" s="8">
        <f t="shared" ca="1" si="223"/>
        <v>1.2550290604621825</v>
      </c>
      <c r="V1754" s="8">
        <f ca="1">RawData[[#This Row],[Z (smoothed demand size)]]/RawData[[#This Row],[X (smoothed interval)]]</f>
        <v>2.5274587220897109</v>
      </c>
    </row>
    <row r="1755" spans="1:22">
      <c r="A1755" t="s">
        <v>43</v>
      </c>
      <c r="B1755" t="s">
        <v>39</v>
      </c>
      <c r="C1755">
        <v>21</v>
      </c>
      <c r="D1755" t="s">
        <v>18</v>
      </c>
      <c r="E1755" t="s">
        <v>16</v>
      </c>
      <c r="F1755" s="1">
        <v>43832</v>
      </c>
      <c r="G1755">
        <v>1</v>
      </c>
      <c r="H1755">
        <v>1</v>
      </c>
      <c r="I1755">
        <v>6</v>
      </c>
      <c r="J1755">
        <v>5</v>
      </c>
      <c r="K1755">
        <v>0</v>
      </c>
      <c r="L1755">
        <v>617</v>
      </c>
      <c r="M1755">
        <v>30</v>
      </c>
      <c r="N1755" s="1">
        <f t="shared" si="216"/>
        <v>44938</v>
      </c>
      <c r="O1755" s="1">
        <f t="shared" si="217"/>
        <v>43101</v>
      </c>
      <c r="P1755" s="1">
        <f t="shared" si="218"/>
        <v>43862</v>
      </c>
      <c r="Q1755" s="8">
        <f t="shared" si="219"/>
        <v>0</v>
      </c>
      <c r="R1755" s="8">
        <f t="shared" si="220"/>
        <v>26</v>
      </c>
      <c r="S1755" s="8">
        <f t="shared" ca="1" si="221"/>
        <v>26</v>
      </c>
      <c r="T1755">
        <f t="shared" ca="1" si="222"/>
        <v>2.7376273162729592</v>
      </c>
      <c r="U1755" s="8">
        <f t="shared" ca="1" si="223"/>
        <v>1.2040232483697459</v>
      </c>
      <c r="V1755" s="8">
        <f ca="1">RawData[[#This Row],[Z (smoothed demand size)]]/RawData[[#This Row],[X (smoothed interval)]]</f>
        <v>2.2737329366187251</v>
      </c>
    </row>
    <row r="1756" spans="1:22">
      <c r="A1756" t="s">
        <v>43</v>
      </c>
      <c r="B1756" t="s">
        <v>39</v>
      </c>
      <c r="C1756">
        <v>21</v>
      </c>
      <c r="D1756" t="s">
        <v>18</v>
      </c>
      <c r="E1756" t="s">
        <v>16</v>
      </c>
      <c r="F1756" s="1">
        <v>43833</v>
      </c>
      <c r="G1756">
        <v>3</v>
      </c>
      <c r="H1756">
        <v>3</v>
      </c>
      <c r="I1756">
        <v>5</v>
      </c>
      <c r="J1756">
        <v>2</v>
      </c>
      <c r="K1756">
        <v>0</v>
      </c>
      <c r="L1756">
        <v>612</v>
      </c>
      <c r="M1756">
        <v>45</v>
      </c>
      <c r="N1756" s="1">
        <f t="shared" si="216"/>
        <v>44938</v>
      </c>
      <c r="O1756" s="1">
        <f t="shared" si="217"/>
        <v>43101</v>
      </c>
      <c r="P1756" s="1">
        <f t="shared" si="218"/>
        <v>43891</v>
      </c>
      <c r="Q1756" s="8">
        <f t="shared" si="219"/>
        <v>0</v>
      </c>
      <c r="R1756" s="8">
        <f t="shared" si="220"/>
        <v>27</v>
      </c>
      <c r="S1756" s="8">
        <f t="shared" ca="1" si="221"/>
        <v>27</v>
      </c>
      <c r="T1756">
        <f t="shared" ca="1" si="222"/>
        <v>2.7901018530183674</v>
      </c>
      <c r="U1756" s="8">
        <f t="shared" ca="1" si="223"/>
        <v>1.1632185986957968</v>
      </c>
      <c r="V1756" s="8">
        <f ca="1">RawData[[#This Row],[Z (smoothed demand size)]]/RawData[[#This Row],[X (smoothed interval)]]</f>
        <v>2.3986049192702348</v>
      </c>
    </row>
    <row r="1757" spans="1:22">
      <c r="A1757" t="s">
        <v>43</v>
      </c>
      <c r="B1757" t="s">
        <v>39</v>
      </c>
      <c r="C1757">
        <v>21</v>
      </c>
      <c r="D1757" t="s">
        <v>18</v>
      </c>
      <c r="E1757" t="s">
        <v>16</v>
      </c>
      <c r="F1757" s="1">
        <v>43834</v>
      </c>
      <c r="G1757">
        <v>0</v>
      </c>
      <c r="H1757">
        <v>0</v>
      </c>
      <c r="I1757">
        <v>2</v>
      </c>
      <c r="J1757">
        <v>2</v>
      </c>
      <c r="K1757">
        <v>0</v>
      </c>
      <c r="L1757">
        <v>615</v>
      </c>
      <c r="M1757">
        <v>30</v>
      </c>
      <c r="N1757" s="1">
        <f t="shared" si="216"/>
        <v>44938</v>
      </c>
      <c r="O1757" s="1">
        <f t="shared" si="217"/>
        <v>43101</v>
      </c>
      <c r="P1757" s="1">
        <f t="shared" si="218"/>
        <v>43922</v>
      </c>
      <c r="Q1757" s="8">
        <f t="shared" si="219"/>
        <v>0</v>
      </c>
      <c r="R1757" s="8">
        <f t="shared" si="220"/>
        <v>28</v>
      </c>
      <c r="S1757" s="8">
        <f t="shared" ca="1" si="221"/>
        <v>27</v>
      </c>
      <c r="T1757">
        <f t="shared" ca="1" si="222"/>
        <v>2.7901018530183674</v>
      </c>
      <c r="U1757" s="8">
        <f t="shared" ca="1" si="223"/>
        <v>1.1632185986957968</v>
      </c>
      <c r="V1757" s="8">
        <f ca="1">RawData[[#This Row],[Z (smoothed demand size)]]/RawData[[#This Row],[X (smoothed interval)]]</f>
        <v>2.3986049192702348</v>
      </c>
    </row>
    <row r="1758" spans="1:22">
      <c r="A1758" t="s">
        <v>43</v>
      </c>
      <c r="B1758" t="s">
        <v>39</v>
      </c>
      <c r="C1758">
        <v>21</v>
      </c>
      <c r="D1758" t="s">
        <v>18</v>
      </c>
      <c r="E1758" t="s">
        <v>16</v>
      </c>
      <c r="F1758" s="1">
        <v>43835</v>
      </c>
      <c r="G1758">
        <v>0</v>
      </c>
      <c r="H1758">
        <v>0</v>
      </c>
      <c r="I1758">
        <v>10</v>
      </c>
      <c r="J1758">
        <v>10</v>
      </c>
      <c r="K1758">
        <v>0</v>
      </c>
      <c r="L1758">
        <v>619</v>
      </c>
      <c r="M1758">
        <v>45</v>
      </c>
      <c r="N1758" s="1">
        <f t="shared" si="216"/>
        <v>44938</v>
      </c>
      <c r="O1758" s="1">
        <f t="shared" si="217"/>
        <v>43101</v>
      </c>
      <c r="P1758" s="1">
        <f t="shared" si="218"/>
        <v>43952</v>
      </c>
      <c r="Q1758" s="8">
        <f t="shared" si="219"/>
        <v>0</v>
      </c>
      <c r="R1758" s="8">
        <f t="shared" si="220"/>
        <v>29</v>
      </c>
      <c r="S1758" s="8">
        <f t="shared" ca="1" si="221"/>
        <v>27</v>
      </c>
      <c r="T1758">
        <f t="shared" ca="1" si="222"/>
        <v>2.7901018530183674</v>
      </c>
      <c r="U1758" s="8">
        <f t="shared" ca="1" si="223"/>
        <v>1.1632185986957968</v>
      </c>
      <c r="V1758" s="8">
        <f ca="1">RawData[[#This Row],[Z (smoothed demand size)]]/RawData[[#This Row],[X (smoothed interval)]]</f>
        <v>2.3986049192702348</v>
      </c>
    </row>
    <row r="1759" spans="1:22">
      <c r="A1759" t="s">
        <v>43</v>
      </c>
      <c r="B1759" t="s">
        <v>39</v>
      </c>
      <c r="C1759">
        <v>21</v>
      </c>
      <c r="D1759" t="s">
        <v>18</v>
      </c>
      <c r="E1759" t="s">
        <v>16</v>
      </c>
      <c r="F1759" s="1">
        <v>43836</v>
      </c>
      <c r="G1759">
        <v>0</v>
      </c>
      <c r="H1759">
        <v>0</v>
      </c>
      <c r="I1759">
        <v>10</v>
      </c>
      <c r="J1759">
        <v>10</v>
      </c>
      <c r="K1759">
        <v>0</v>
      </c>
      <c r="L1759">
        <v>706</v>
      </c>
      <c r="M1759">
        <v>15</v>
      </c>
      <c r="N1759" s="1">
        <f t="shared" si="216"/>
        <v>44938</v>
      </c>
      <c r="O1759" s="1">
        <f t="shared" si="217"/>
        <v>43101</v>
      </c>
      <c r="P1759" s="1">
        <f t="shared" si="218"/>
        <v>43983</v>
      </c>
      <c r="Q1759" s="8">
        <f t="shared" si="219"/>
        <v>0</v>
      </c>
      <c r="R1759" s="8">
        <f t="shared" si="220"/>
        <v>30</v>
      </c>
      <c r="S1759" s="8">
        <f t="shared" ca="1" si="221"/>
        <v>27</v>
      </c>
      <c r="T1759">
        <f t="shared" ca="1" si="222"/>
        <v>2.7901018530183674</v>
      </c>
      <c r="U1759" s="8">
        <f t="shared" ca="1" si="223"/>
        <v>1.1632185986957968</v>
      </c>
      <c r="V1759" s="8">
        <f ca="1">RawData[[#This Row],[Z (smoothed demand size)]]/RawData[[#This Row],[X (smoothed interval)]]</f>
        <v>2.3986049192702348</v>
      </c>
    </row>
    <row r="1760" spans="1:22">
      <c r="A1760" t="s">
        <v>43</v>
      </c>
      <c r="B1760" t="s">
        <v>39</v>
      </c>
      <c r="C1760">
        <v>21</v>
      </c>
      <c r="D1760" t="s">
        <v>18</v>
      </c>
      <c r="E1760" t="s">
        <v>16</v>
      </c>
      <c r="F1760" s="1">
        <v>43837</v>
      </c>
      <c r="G1760">
        <v>5</v>
      </c>
      <c r="H1760">
        <v>5</v>
      </c>
      <c r="I1760">
        <v>10</v>
      </c>
      <c r="J1760">
        <v>5</v>
      </c>
      <c r="K1760">
        <v>0</v>
      </c>
      <c r="L1760">
        <v>712</v>
      </c>
      <c r="M1760">
        <v>30</v>
      </c>
      <c r="N1760" s="1">
        <f t="shared" si="216"/>
        <v>44938</v>
      </c>
      <c r="O1760" s="1">
        <f t="shared" si="217"/>
        <v>43101</v>
      </c>
      <c r="P1760" s="1">
        <f t="shared" si="218"/>
        <v>44013</v>
      </c>
      <c r="Q1760" s="8">
        <f t="shared" si="219"/>
        <v>0</v>
      </c>
      <c r="R1760" s="8">
        <f t="shared" si="220"/>
        <v>31</v>
      </c>
      <c r="S1760" s="8">
        <f t="shared" ca="1" si="221"/>
        <v>31</v>
      </c>
      <c r="T1760">
        <f t="shared" ca="1" si="222"/>
        <v>3.232081482414694</v>
      </c>
      <c r="U1760" s="8">
        <f t="shared" ca="1" si="223"/>
        <v>1.7305748789566375</v>
      </c>
      <c r="V1760" s="8">
        <f ca="1">RawData[[#This Row],[Z (smoothed demand size)]]/RawData[[#This Row],[X (smoothed interval)]]</f>
        <v>1.8676345772240226</v>
      </c>
    </row>
    <row r="1761" spans="1:22">
      <c r="A1761" t="s">
        <v>43</v>
      </c>
      <c r="B1761" t="s">
        <v>39</v>
      </c>
      <c r="C1761">
        <v>21</v>
      </c>
      <c r="D1761" t="s">
        <v>18</v>
      </c>
      <c r="E1761" t="s">
        <v>16</v>
      </c>
      <c r="F1761" s="1">
        <v>43838</v>
      </c>
      <c r="G1761">
        <v>6</v>
      </c>
      <c r="H1761">
        <v>5</v>
      </c>
      <c r="I1761">
        <v>5</v>
      </c>
      <c r="J1761">
        <v>0</v>
      </c>
      <c r="K1761">
        <v>1</v>
      </c>
      <c r="L1761">
        <v>711</v>
      </c>
      <c r="M1761">
        <v>15</v>
      </c>
      <c r="N1761" s="1">
        <f t="shared" si="216"/>
        <v>44938</v>
      </c>
      <c r="O1761" s="1">
        <f t="shared" si="217"/>
        <v>43101</v>
      </c>
      <c r="P1761" s="1">
        <f t="shared" si="218"/>
        <v>44044</v>
      </c>
      <c r="Q1761" s="8">
        <f t="shared" si="219"/>
        <v>0</v>
      </c>
      <c r="R1761" s="8">
        <f t="shared" si="220"/>
        <v>32</v>
      </c>
      <c r="S1761" s="8">
        <f t="shared" ca="1" si="221"/>
        <v>32</v>
      </c>
      <c r="T1761">
        <f t="shared" ca="1" si="222"/>
        <v>3.7856651859317556</v>
      </c>
      <c r="U1761" s="8">
        <f t="shared" ca="1" si="223"/>
        <v>1.5844599031653102</v>
      </c>
      <c r="V1761" s="8">
        <f ca="1">RawData[[#This Row],[Z (smoothed demand size)]]/RawData[[#This Row],[X (smoothed interval)]]</f>
        <v>2.3892464418752724</v>
      </c>
    </row>
    <row r="1762" spans="1:22">
      <c r="A1762" t="s">
        <v>43</v>
      </c>
      <c r="B1762" t="s">
        <v>39</v>
      </c>
      <c r="C1762">
        <v>21</v>
      </c>
      <c r="D1762" t="s">
        <v>18</v>
      </c>
      <c r="E1762" t="s">
        <v>16</v>
      </c>
      <c r="F1762" s="1">
        <v>43839</v>
      </c>
      <c r="G1762">
        <v>5</v>
      </c>
      <c r="H1762">
        <v>5</v>
      </c>
      <c r="I1762">
        <v>7</v>
      </c>
      <c r="J1762">
        <v>2</v>
      </c>
      <c r="K1762">
        <v>0</v>
      </c>
      <c r="L1762">
        <v>614</v>
      </c>
      <c r="M1762">
        <v>60</v>
      </c>
      <c r="N1762" s="1">
        <f t="shared" si="216"/>
        <v>44938</v>
      </c>
      <c r="O1762" s="1">
        <f t="shared" si="217"/>
        <v>43101</v>
      </c>
      <c r="P1762" s="1">
        <f t="shared" si="218"/>
        <v>44075</v>
      </c>
      <c r="Q1762" s="8">
        <f t="shared" si="219"/>
        <v>0</v>
      </c>
      <c r="R1762" s="8">
        <f t="shared" si="220"/>
        <v>33</v>
      </c>
      <c r="S1762" s="8">
        <f t="shared" ca="1" si="221"/>
        <v>33</v>
      </c>
      <c r="T1762">
        <f t="shared" ca="1" si="222"/>
        <v>4.0285321487454047</v>
      </c>
      <c r="U1762" s="8">
        <f t="shared" ca="1" si="223"/>
        <v>1.4675679225322482</v>
      </c>
      <c r="V1762" s="8">
        <f ca="1">RawData[[#This Row],[Z (smoothed demand size)]]/RawData[[#This Row],[X (smoothed interval)]]</f>
        <v>2.7450396583991035</v>
      </c>
    </row>
    <row r="1763" spans="1:22">
      <c r="A1763" t="s">
        <v>43</v>
      </c>
      <c r="B1763" t="s">
        <v>39</v>
      </c>
      <c r="C1763">
        <v>21</v>
      </c>
      <c r="D1763" t="s">
        <v>18</v>
      </c>
      <c r="E1763" t="s">
        <v>16</v>
      </c>
      <c r="F1763" s="1">
        <v>43840</v>
      </c>
      <c r="G1763">
        <v>0</v>
      </c>
      <c r="H1763">
        <v>0</v>
      </c>
      <c r="I1763">
        <v>2</v>
      </c>
      <c r="J1763">
        <v>2</v>
      </c>
      <c r="K1763">
        <v>0</v>
      </c>
      <c r="L1763">
        <v>606</v>
      </c>
      <c r="M1763">
        <v>15</v>
      </c>
      <c r="N1763" s="1">
        <f t="shared" si="216"/>
        <v>44938</v>
      </c>
      <c r="O1763" s="1">
        <f t="shared" si="217"/>
        <v>43101</v>
      </c>
      <c r="P1763" s="1">
        <f t="shared" si="218"/>
        <v>44105</v>
      </c>
      <c r="Q1763" s="8">
        <f t="shared" si="219"/>
        <v>0</v>
      </c>
      <c r="R1763" s="8">
        <f t="shared" si="220"/>
        <v>34</v>
      </c>
      <c r="S1763" s="8">
        <f t="shared" ca="1" si="221"/>
        <v>33</v>
      </c>
      <c r="T1763">
        <f t="shared" ca="1" si="222"/>
        <v>4.0285321487454047</v>
      </c>
      <c r="U1763" s="8">
        <f t="shared" ca="1" si="223"/>
        <v>1.4675679225322482</v>
      </c>
      <c r="V1763" s="8">
        <f ca="1">RawData[[#This Row],[Z (smoothed demand size)]]/RawData[[#This Row],[X (smoothed interval)]]</f>
        <v>2.7450396583991035</v>
      </c>
    </row>
    <row r="1764" spans="1:22">
      <c r="A1764" t="s">
        <v>43</v>
      </c>
      <c r="B1764" t="s">
        <v>39</v>
      </c>
      <c r="C1764">
        <v>21</v>
      </c>
      <c r="D1764" t="s">
        <v>18</v>
      </c>
      <c r="E1764" t="s">
        <v>16</v>
      </c>
      <c r="F1764" s="1">
        <v>43841</v>
      </c>
      <c r="G1764">
        <v>1</v>
      </c>
      <c r="H1764">
        <v>1</v>
      </c>
      <c r="I1764">
        <v>13</v>
      </c>
      <c r="J1764">
        <v>12</v>
      </c>
      <c r="K1764">
        <v>0</v>
      </c>
      <c r="L1764">
        <v>613</v>
      </c>
      <c r="M1764">
        <v>45</v>
      </c>
      <c r="N1764" s="1">
        <f t="shared" si="216"/>
        <v>44938</v>
      </c>
      <c r="O1764" s="1">
        <f t="shared" si="217"/>
        <v>43101</v>
      </c>
      <c r="P1764" s="1">
        <f t="shared" si="218"/>
        <v>44136</v>
      </c>
      <c r="Q1764" s="8">
        <f t="shared" si="219"/>
        <v>0</v>
      </c>
      <c r="R1764" s="8">
        <f t="shared" si="220"/>
        <v>35</v>
      </c>
      <c r="S1764" s="8">
        <f t="shared" ca="1" si="221"/>
        <v>35</v>
      </c>
      <c r="T1764">
        <f t="shared" ca="1" si="222"/>
        <v>3.4228257189963243</v>
      </c>
      <c r="U1764" s="8">
        <f t="shared" ca="1" si="223"/>
        <v>1.5740543380257987</v>
      </c>
      <c r="V1764" s="8">
        <f ca="1">RawData[[#This Row],[Z (smoothed demand size)]]/RawData[[#This Row],[X (smoothed interval)]]</f>
        <v>2.1745283096702246</v>
      </c>
    </row>
    <row r="1765" spans="1:22">
      <c r="A1765" t="s">
        <v>43</v>
      </c>
      <c r="B1765" t="s">
        <v>39</v>
      </c>
      <c r="C1765">
        <v>21</v>
      </c>
      <c r="D1765" t="s">
        <v>18</v>
      </c>
      <c r="E1765" t="s">
        <v>16</v>
      </c>
      <c r="F1765" s="1">
        <v>43842</v>
      </c>
      <c r="G1765">
        <v>0</v>
      </c>
      <c r="H1765">
        <v>0</v>
      </c>
      <c r="I1765">
        <v>12</v>
      </c>
      <c r="J1765">
        <v>12</v>
      </c>
      <c r="K1765">
        <v>0</v>
      </c>
      <c r="L1765">
        <v>691</v>
      </c>
      <c r="M1765">
        <v>15</v>
      </c>
      <c r="N1765" s="1">
        <f t="shared" si="216"/>
        <v>44938</v>
      </c>
      <c r="O1765" s="1">
        <f t="shared" si="217"/>
        <v>43101</v>
      </c>
      <c r="P1765" s="1">
        <f t="shared" si="218"/>
        <v>44166</v>
      </c>
      <c r="Q1765" s="8">
        <f t="shared" si="219"/>
        <v>0</v>
      </c>
      <c r="R1765" s="8">
        <f t="shared" si="220"/>
        <v>36</v>
      </c>
      <c r="S1765" s="8">
        <f t="shared" ca="1" si="221"/>
        <v>35</v>
      </c>
      <c r="T1765">
        <f t="shared" ca="1" si="222"/>
        <v>3.4228257189963243</v>
      </c>
      <c r="U1765" s="8">
        <f t="shared" ca="1" si="223"/>
        <v>1.5740543380257987</v>
      </c>
      <c r="V1765" s="8">
        <f ca="1">RawData[[#This Row],[Z (smoothed demand size)]]/RawData[[#This Row],[X (smoothed interval)]]</f>
        <v>2.1745283096702246</v>
      </c>
    </row>
    <row r="1766" spans="1:22">
      <c r="A1766" t="s">
        <v>43</v>
      </c>
      <c r="B1766" t="s">
        <v>39</v>
      </c>
      <c r="C1766">
        <v>21</v>
      </c>
      <c r="D1766" t="s">
        <v>18</v>
      </c>
      <c r="E1766" t="s">
        <v>16</v>
      </c>
      <c r="F1766" s="1">
        <v>44197</v>
      </c>
      <c r="G1766">
        <v>1</v>
      </c>
      <c r="H1766">
        <v>1</v>
      </c>
      <c r="I1766">
        <v>12</v>
      </c>
      <c r="J1766">
        <v>11</v>
      </c>
      <c r="K1766">
        <v>0</v>
      </c>
      <c r="L1766">
        <v>614</v>
      </c>
      <c r="M1766">
        <v>60</v>
      </c>
      <c r="N1766" s="1">
        <f t="shared" si="216"/>
        <v>44938</v>
      </c>
      <c r="O1766" s="1">
        <f t="shared" si="217"/>
        <v>43101</v>
      </c>
      <c r="P1766" s="1">
        <f t="shared" si="218"/>
        <v>44197</v>
      </c>
      <c r="Q1766" s="8">
        <f t="shared" si="219"/>
        <v>0</v>
      </c>
      <c r="R1766" s="8">
        <f t="shared" si="220"/>
        <v>37</v>
      </c>
      <c r="S1766" s="8">
        <f t="shared" ca="1" si="221"/>
        <v>37</v>
      </c>
      <c r="T1766">
        <f t="shared" ca="1" si="222"/>
        <v>2.9382605751970599</v>
      </c>
      <c r="U1766" s="8">
        <f t="shared" ca="1" si="223"/>
        <v>1.6592434704206389</v>
      </c>
      <c r="V1766" s="8">
        <f ca="1">RawData[[#This Row],[Z (smoothed demand size)]]/RawData[[#This Row],[X (smoothed interval)]]</f>
        <v>1.7708435365740351</v>
      </c>
    </row>
    <row r="1767" spans="1:22">
      <c r="A1767" t="s">
        <v>43</v>
      </c>
      <c r="B1767" t="s">
        <v>39</v>
      </c>
      <c r="C1767">
        <v>21</v>
      </c>
      <c r="D1767" t="s">
        <v>18</v>
      </c>
      <c r="E1767" t="s">
        <v>16</v>
      </c>
      <c r="F1767" s="1">
        <v>44198</v>
      </c>
      <c r="G1767">
        <v>0</v>
      </c>
      <c r="H1767">
        <v>0</v>
      </c>
      <c r="I1767">
        <v>11</v>
      </c>
      <c r="J1767">
        <v>11</v>
      </c>
      <c r="K1767">
        <v>0</v>
      </c>
      <c r="L1767">
        <v>609</v>
      </c>
      <c r="M1767">
        <v>60</v>
      </c>
      <c r="N1767" s="1">
        <f t="shared" si="216"/>
        <v>44938</v>
      </c>
      <c r="O1767" s="1">
        <f t="shared" si="217"/>
        <v>43101</v>
      </c>
      <c r="P1767" s="1">
        <f t="shared" si="218"/>
        <v>44228</v>
      </c>
      <c r="Q1767" s="8">
        <f t="shared" si="219"/>
        <v>0</v>
      </c>
      <c r="R1767" s="8">
        <f t="shared" si="220"/>
        <v>38</v>
      </c>
      <c r="S1767" s="8">
        <f t="shared" ca="1" si="221"/>
        <v>37</v>
      </c>
      <c r="T1767">
        <f t="shared" ca="1" si="222"/>
        <v>2.9382605751970599</v>
      </c>
      <c r="U1767" s="8">
        <f t="shared" ca="1" si="223"/>
        <v>1.6592434704206389</v>
      </c>
      <c r="V1767" s="8">
        <f ca="1">RawData[[#This Row],[Z (smoothed demand size)]]/RawData[[#This Row],[X (smoothed interval)]]</f>
        <v>1.7708435365740351</v>
      </c>
    </row>
    <row r="1768" spans="1:22">
      <c r="A1768" t="s">
        <v>43</v>
      </c>
      <c r="B1768" t="s">
        <v>39</v>
      </c>
      <c r="C1768">
        <v>21</v>
      </c>
      <c r="D1768" t="s">
        <v>18</v>
      </c>
      <c r="E1768" t="s">
        <v>16</v>
      </c>
      <c r="F1768" s="1">
        <v>44199</v>
      </c>
      <c r="G1768">
        <v>4</v>
      </c>
      <c r="H1768">
        <v>4</v>
      </c>
      <c r="I1768">
        <v>11</v>
      </c>
      <c r="J1768">
        <v>7</v>
      </c>
      <c r="K1768">
        <v>0</v>
      </c>
      <c r="L1768">
        <v>608</v>
      </c>
      <c r="M1768">
        <v>60</v>
      </c>
      <c r="N1768" s="1">
        <f t="shared" si="216"/>
        <v>44938</v>
      </c>
      <c r="O1768" s="1">
        <f t="shared" si="217"/>
        <v>43101</v>
      </c>
      <c r="P1768" s="1">
        <f t="shared" si="218"/>
        <v>44256</v>
      </c>
      <c r="Q1768" s="8">
        <f t="shared" si="219"/>
        <v>0</v>
      </c>
      <c r="R1768" s="8">
        <f t="shared" si="220"/>
        <v>39</v>
      </c>
      <c r="S1768" s="8">
        <f t="shared" ca="1" si="221"/>
        <v>39</v>
      </c>
      <c r="T1768">
        <f t="shared" ca="1" si="222"/>
        <v>3.1506084601576481</v>
      </c>
      <c r="U1768" s="8">
        <f t="shared" ca="1" si="223"/>
        <v>1.7273947763365114</v>
      </c>
      <c r="V1768" s="8">
        <f ca="1">RawData[[#This Row],[Z (smoothed demand size)]]/RawData[[#This Row],[X (smoothed interval)]]</f>
        <v>1.8239075996510263</v>
      </c>
    </row>
    <row r="1769" spans="1:22">
      <c r="A1769" t="s">
        <v>43</v>
      </c>
      <c r="B1769" t="s">
        <v>39</v>
      </c>
      <c r="C1769">
        <v>21</v>
      </c>
      <c r="D1769" t="s">
        <v>18</v>
      </c>
      <c r="E1769" t="s">
        <v>16</v>
      </c>
      <c r="F1769" s="1">
        <v>44200</v>
      </c>
      <c r="G1769">
        <v>0</v>
      </c>
      <c r="H1769">
        <v>0</v>
      </c>
      <c r="I1769">
        <v>7</v>
      </c>
      <c r="J1769">
        <v>7</v>
      </c>
      <c r="K1769">
        <v>0</v>
      </c>
      <c r="L1769">
        <v>615</v>
      </c>
      <c r="M1769">
        <v>30</v>
      </c>
      <c r="N1769" s="1">
        <f t="shared" si="216"/>
        <v>44938</v>
      </c>
      <c r="O1769" s="1">
        <f t="shared" si="217"/>
        <v>43101</v>
      </c>
      <c r="P1769" s="1">
        <f t="shared" si="218"/>
        <v>44287</v>
      </c>
      <c r="Q1769" s="8">
        <f t="shared" si="219"/>
        <v>0</v>
      </c>
      <c r="R1769" s="8">
        <f t="shared" si="220"/>
        <v>40</v>
      </c>
      <c r="S1769" s="8">
        <f t="shared" ca="1" si="221"/>
        <v>39</v>
      </c>
      <c r="T1769">
        <f t="shared" ca="1" si="222"/>
        <v>3.1506084601576481</v>
      </c>
      <c r="U1769" s="8">
        <f t="shared" ca="1" si="223"/>
        <v>1.7273947763365114</v>
      </c>
      <c r="V1769" s="8">
        <f ca="1">RawData[[#This Row],[Z (smoothed demand size)]]/RawData[[#This Row],[X (smoothed interval)]]</f>
        <v>1.8239075996510263</v>
      </c>
    </row>
    <row r="1770" spans="1:22">
      <c r="A1770" t="s">
        <v>43</v>
      </c>
      <c r="B1770" t="s">
        <v>39</v>
      </c>
      <c r="C1770">
        <v>21</v>
      </c>
      <c r="D1770" t="s">
        <v>18</v>
      </c>
      <c r="E1770" t="s">
        <v>16</v>
      </c>
      <c r="F1770" s="1">
        <v>44201</v>
      </c>
      <c r="G1770">
        <v>0</v>
      </c>
      <c r="H1770">
        <v>0</v>
      </c>
      <c r="I1770">
        <v>7</v>
      </c>
      <c r="J1770">
        <v>7</v>
      </c>
      <c r="K1770">
        <v>0</v>
      </c>
      <c r="L1770">
        <v>604</v>
      </c>
      <c r="M1770">
        <v>30</v>
      </c>
      <c r="N1770" s="1">
        <f t="shared" si="216"/>
        <v>44938</v>
      </c>
      <c r="O1770" s="1">
        <f t="shared" si="217"/>
        <v>43101</v>
      </c>
      <c r="P1770" s="1">
        <f t="shared" si="218"/>
        <v>44317</v>
      </c>
      <c r="Q1770" s="8">
        <f t="shared" si="219"/>
        <v>0</v>
      </c>
      <c r="R1770" s="8">
        <f t="shared" si="220"/>
        <v>41</v>
      </c>
      <c r="S1770" s="8">
        <f t="shared" ca="1" si="221"/>
        <v>39</v>
      </c>
      <c r="T1770">
        <f t="shared" ca="1" si="222"/>
        <v>3.1506084601576481</v>
      </c>
      <c r="U1770" s="8">
        <f t="shared" ca="1" si="223"/>
        <v>1.7273947763365114</v>
      </c>
      <c r="V1770" s="8">
        <f ca="1">RawData[[#This Row],[Z (smoothed demand size)]]/RawData[[#This Row],[X (smoothed interval)]]</f>
        <v>1.8239075996510263</v>
      </c>
    </row>
    <row r="1771" spans="1:22">
      <c r="A1771" t="s">
        <v>43</v>
      </c>
      <c r="B1771" t="s">
        <v>39</v>
      </c>
      <c r="C1771">
        <v>21</v>
      </c>
      <c r="D1771" t="s">
        <v>18</v>
      </c>
      <c r="E1771" t="s">
        <v>16</v>
      </c>
      <c r="F1771" s="1">
        <v>44202</v>
      </c>
      <c r="G1771">
        <v>5</v>
      </c>
      <c r="H1771">
        <v>5</v>
      </c>
      <c r="I1771">
        <v>7</v>
      </c>
      <c r="J1771">
        <v>2</v>
      </c>
      <c r="K1771">
        <v>0</v>
      </c>
      <c r="L1771">
        <v>704</v>
      </c>
      <c r="M1771">
        <v>60</v>
      </c>
      <c r="N1771" s="1">
        <f t="shared" si="216"/>
        <v>44938</v>
      </c>
      <c r="O1771" s="1">
        <f t="shared" si="217"/>
        <v>43101</v>
      </c>
      <c r="P1771" s="1">
        <f t="shared" si="218"/>
        <v>44348</v>
      </c>
      <c r="Q1771" s="8">
        <f t="shared" si="219"/>
        <v>0</v>
      </c>
      <c r="R1771" s="8">
        <f t="shared" si="220"/>
        <v>42</v>
      </c>
      <c r="S1771" s="8">
        <f t="shared" ca="1" si="221"/>
        <v>42</v>
      </c>
      <c r="T1771">
        <f t="shared" ca="1" si="222"/>
        <v>3.5204867681261187</v>
      </c>
      <c r="U1771" s="8">
        <f t="shared" ca="1" si="223"/>
        <v>1.9819158210692094</v>
      </c>
      <c r="V1771" s="8">
        <f ca="1">RawData[[#This Row],[Z (smoothed demand size)]]/RawData[[#This Row],[X (smoothed interval)]]</f>
        <v>1.7763048918126487</v>
      </c>
    </row>
    <row r="1772" spans="1:22">
      <c r="A1772" t="s">
        <v>43</v>
      </c>
      <c r="B1772" t="s">
        <v>39</v>
      </c>
      <c r="C1772">
        <v>21</v>
      </c>
      <c r="D1772" t="s">
        <v>18</v>
      </c>
      <c r="E1772" t="s">
        <v>16</v>
      </c>
      <c r="F1772" s="1">
        <v>44203</v>
      </c>
      <c r="G1772">
        <v>0</v>
      </c>
      <c r="H1772">
        <v>0</v>
      </c>
      <c r="I1772">
        <v>2</v>
      </c>
      <c r="J1772">
        <v>2</v>
      </c>
      <c r="K1772">
        <v>0</v>
      </c>
      <c r="L1772">
        <v>701</v>
      </c>
      <c r="M1772">
        <v>45</v>
      </c>
      <c r="N1772" s="1">
        <f t="shared" si="216"/>
        <v>44938</v>
      </c>
      <c r="O1772" s="1">
        <f t="shared" si="217"/>
        <v>43101</v>
      </c>
      <c r="P1772" s="1">
        <f t="shared" si="218"/>
        <v>44378</v>
      </c>
      <c r="Q1772" s="8">
        <f t="shared" si="219"/>
        <v>0</v>
      </c>
      <c r="R1772" s="8">
        <f t="shared" si="220"/>
        <v>43</v>
      </c>
      <c r="S1772" s="8">
        <f t="shared" ca="1" si="221"/>
        <v>42</v>
      </c>
      <c r="T1772">
        <f t="shared" ca="1" si="222"/>
        <v>3.5204867681261187</v>
      </c>
      <c r="U1772" s="8">
        <f t="shared" ca="1" si="223"/>
        <v>1.9819158210692094</v>
      </c>
      <c r="V1772" s="8">
        <f ca="1">RawData[[#This Row],[Z (smoothed demand size)]]/RawData[[#This Row],[X (smoothed interval)]]</f>
        <v>1.7763048918126487</v>
      </c>
    </row>
    <row r="1773" spans="1:22">
      <c r="A1773" t="s">
        <v>43</v>
      </c>
      <c r="B1773" t="s">
        <v>39</v>
      </c>
      <c r="C1773">
        <v>21</v>
      </c>
      <c r="D1773" t="s">
        <v>18</v>
      </c>
      <c r="E1773" t="s">
        <v>16</v>
      </c>
      <c r="F1773" s="1">
        <v>44204</v>
      </c>
      <c r="G1773">
        <v>0</v>
      </c>
      <c r="H1773">
        <v>0</v>
      </c>
      <c r="I1773">
        <v>12</v>
      </c>
      <c r="J1773">
        <v>12</v>
      </c>
      <c r="K1773">
        <v>0</v>
      </c>
      <c r="L1773">
        <v>702</v>
      </c>
      <c r="M1773">
        <v>60</v>
      </c>
      <c r="N1773" s="1">
        <f t="shared" si="216"/>
        <v>44938</v>
      </c>
      <c r="O1773" s="1">
        <f t="shared" si="217"/>
        <v>43101</v>
      </c>
      <c r="P1773" s="1">
        <f t="shared" si="218"/>
        <v>44409</v>
      </c>
      <c r="Q1773" s="8">
        <f t="shared" si="219"/>
        <v>0</v>
      </c>
      <c r="R1773" s="8">
        <f t="shared" si="220"/>
        <v>44</v>
      </c>
      <c r="S1773" s="8">
        <f t="shared" ca="1" si="221"/>
        <v>42</v>
      </c>
      <c r="T1773">
        <f t="shared" ca="1" si="222"/>
        <v>3.5204867681261187</v>
      </c>
      <c r="U1773" s="8">
        <f t="shared" ca="1" si="223"/>
        <v>1.9819158210692094</v>
      </c>
      <c r="V1773" s="8">
        <f ca="1">RawData[[#This Row],[Z (smoothed demand size)]]/RawData[[#This Row],[X (smoothed interval)]]</f>
        <v>1.7763048918126487</v>
      </c>
    </row>
    <row r="1774" spans="1:22">
      <c r="A1774" t="s">
        <v>43</v>
      </c>
      <c r="B1774" t="s">
        <v>39</v>
      </c>
      <c r="C1774">
        <v>21</v>
      </c>
      <c r="D1774" t="s">
        <v>18</v>
      </c>
      <c r="E1774" t="s">
        <v>16</v>
      </c>
      <c r="F1774" s="1">
        <v>44205</v>
      </c>
      <c r="G1774">
        <v>4</v>
      </c>
      <c r="H1774">
        <v>4</v>
      </c>
      <c r="I1774">
        <v>12</v>
      </c>
      <c r="J1774">
        <v>8</v>
      </c>
      <c r="K1774">
        <v>0</v>
      </c>
      <c r="L1774">
        <v>613</v>
      </c>
      <c r="M1774">
        <v>60</v>
      </c>
      <c r="N1774" s="1">
        <f t="shared" si="216"/>
        <v>44938</v>
      </c>
      <c r="O1774" s="1">
        <f t="shared" si="217"/>
        <v>43101</v>
      </c>
      <c r="P1774" s="1">
        <f t="shared" si="218"/>
        <v>44440</v>
      </c>
      <c r="Q1774" s="8">
        <f t="shared" si="219"/>
        <v>0</v>
      </c>
      <c r="R1774" s="8">
        <f t="shared" si="220"/>
        <v>45</v>
      </c>
      <c r="S1774" s="8">
        <f t="shared" ca="1" si="221"/>
        <v>45</v>
      </c>
      <c r="T1774">
        <f t="shared" ca="1" si="222"/>
        <v>3.6163894145008948</v>
      </c>
      <c r="U1774" s="8">
        <f t="shared" ca="1" si="223"/>
        <v>2.1855326568553677</v>
      </c>
      <c r="V1774" s="8">
        <f ca="1">RawData[[#This Row],[Z (smoothed demand size)]]/RawData[[#This Row],[X (smoothed interval)]]</f>
        <v>1.6546947505713785</v>
      </c>
    </row>
    <row r="1775" spans="1:22">
      <c r="A1775" t="s">
        <v>43</v>
      </c>
      <c r="B1775" t="s">
        <v>39</v>
      </c>
      <c r="C1775">
        <v>21</v>
      </c>
      <c r="D1775" t="s">
        <v>18</v>
      </c>
      <c r="E1775" t="s">
        <v>16</v>
      </c>
      <c r="F1775" s="1">
        <v>44206</v>
      </c>
      <c r="G1775">
        <v>4</v>
      </c>
      <c r="H1775">
        <v>4</v>
      </c>
      <c r="I1775">
        <v>8</v>
      </c>
      <c r="J1775">
        <v>4</v>
      </c>
      <c r="K1775">
        <v>0</v>
      </c>
      <c r="L1775">
        <v>623</v>
      </c>
      <c r="M1775">
        <v>30</v>
      </c>
      <c r="N1775" s="1">
        <f t="shared" si="216"/>
        <v>44938</v>
      </c>
      <c r="O1775" s="1">
        <f t="shared" si="217"/>
        <v>43101</v>
      </c>
      <c r="P1775" s="1">
        <f t="shared" si="218"/>
        <v>44470</v>
      </c>
      <c r="Q1775" s="8">
        <f t="shared" si="219"/>
        <v>0</v>
      </c>
      <c r="R1775" s="8">
        <f t="shared" si="220"/>
        <v>46</v>
      </c>
      <c r="S1775" s="8">
        <f t="shared" ca="1" si="221"/>
        <v>46</v>
      </c>
      <c r="T1775">
        <f t="shared" ca="1" si="222"/>
        <v>3.6931115316007164</v>
      </c>
      <c r="U1775" s="8">
        <f t="shared" ca="1" si="223"/>
        <v>1.9484261254842943</v>
      </c>
      <c r="V1775" s="8">
        <f ca="1">RawData[[#This Row],[Z (smoothed demand size)]]/RawData[[#This Row],[X (smoothed interval)]]</f>
        <v>1.8954331823500719</v>
      </c>
    </row>
    <row r="1776" spans="1:22">
      <c r="A1776" t="s">
        <v>43</v>
      </c>
      <c r="B1776" t="s">
        <v>39</v>
      </c>
      <c r="C1776">
        <v>21</v>
      </c>
      <c r="D1776" t="s">
        <v>18</v>
      </c>
      <c r="E1776" t="s">
        <v>16</v>
      </c>
      <c r="F1776" s="1">
        <v>44207</v>
      </c>
      <c r="G1776">
        <v>2</v>
      </c>
      <c r="H1776">
        <v>2</v>
      </c>
      <c r="I1776">
        <v>4</v>
      </c>
      <c r="J1776">
        <v>2</v>
      </c>
      <c r="K1776">
        <v>0</v>
      </c>
      <c r="L1776">
        <v>614</v>
      </c>
      <c r="M1776">
        <v>15</v>
      </c>
      <c r="N1776" s="1">
        <f t="shared" si="216"/>
        <v>44938</v>
      </c>
      <c r="O1776" s="1">
        <f t="shared" si="217"/>
        <v>43101</v>
      </c>
      <c r="P1776" s="1">
        <f t="shared" si="218"/>
        <v>44501</v>
      </c>
      <c r="Q1776" s="8">
        <f t="shared" si="219"/>
        <v>0</v>
      </c>
      <c r="R1776" s="8">
        <f t="shared" si="220"/>
        <v>47</v>
      </c>
      <c r="S1776" s="8">
        <f t="shared" ca="1" si="221"/>
        <v>47</v>
      </c>
      <c r="T1776">
        <f t="shared" ca="1" si="222"/>
        <v>3.3544892252805734</v>
      </c>
      <c r="U1776" s="8">
        <f t="shared" ca="1" si="223"/>
        <v>1.7587409003874355</v>
      </c>
      <c r="V1776" s="8">
        <f ca="1">RawData[[#This Row],[Z (smoothed demand size)]]/RawData[[#This Row],[X (smoothed interval)]]</f>
        <v>1.9073242821279748</v>
      </c>
    </row>
    <row r="1777" spans="1:22">
      <c r="A1777" t="s">
        <v>43</v>
      </c>
      <c r="B1777" t="s">
        <v>39</v>
      </c>
      <c r="C1777">
        <v>21</v>
      </c>
      <c r="D1777" t="s">
        <v>18</v>
      </c>
      <c r="E1777" t="s">
        <v>16</v>
      </c>
      <c r="F1777" s="1">
        <v>44208</v>
      </c>
      <c r="G1777">
        <v>7</v>
      </c>
      <c r="H1777">
        <v>7</v>
      </c>
      <c r="I1777">
        <v>10</v>
      </c>
      <c r="J1777">
        <v>3</v>
      </c>
      <c r="K1777">
        <v>0</v>
      </c>
      <c r="L1777">
        <v>713</v>
      </c>
      <c r="M1777">
        <v>60</v>
      </c>
      <c r="N1777" s="1">
        <f t="shared" si="216"/>
        <v>44938</v>
      </c>
      <c r="O1777" s="1">
        <f t="shared" si="217"/>
        <v>43101</v>
      </c>
      <c r="P1777" s="1">
        <f t="shared" si="218"/>
        <v>44531</v>
      </c>
      <c r="Q1777" s="8">
        <f t="shared" si="219"/>
        <v>0</v>
      </c>
      <c r="R1777" s="8">
        <f t="shared" si="220"/>
        <v>48</v>
      </c>
      <c r="S1777" s="8">
        <f t="shared" ca="1" si="221"/>
        <v>48</v>
      </c>
      <c r="T1777">
        <f t="shared" ca="1" si="222"/>
        <v>4.0835913802244592</v>
      </c>
      <c r="U1777" s="8">
        <f t="shared" ca="1" si="223"/>
        <v>1.6069927203099483</v>
      </c>
      <c r="V1777" s="8">
        <f ca="1">RawData[[#This Row],[Z (smoothed demand size)]]/RawData[[#This Row],[X (smoothed interval)]]</f>
        <v>2.5411386925491719</v>
      </c>
    </row>
    <row r="1778" spans="1:22">
      <c r="A1778" t="s">
        <v>43</v>
      </c>
      <c r="B1778" t="s">
        <v>39</v>
      </c>
      <c r="C1778">
        <v>21</v>
      </c>
      <c r="D1778" t="s">
        <v>18</v>
      </c>
      <c r="E1778" t="s">
        <v>16</v>
      </c>
      <c r="F1778" s="1">
        <v>44562</v>
      </c>
      <c r="G1778">
        <v>2</v>
      </c>
      <c r="H1778">
        <v>2</v>
      </c>
      <c r="I1778">
        <v>3</v>
      </c>
      <c r="J1778">
        <v>1</v>
      </c>
      <c r="K1778">
        <v>0</v>
      </c>
      <c r="L1778">
        <v>618</v>
      </c>
      <c r="M1778">
        <v>30</v>
      </c>
      <c r="N1778" s="1">
        <f t="shared" si="216"/>
        <v>44938</v>
      </c>
      <c r="O1778" s="1">
        <f t="shared" si="217"/>
        <v>43101</v>
      </c>
      <c r="P1778" s="1">
        <f t="shared" si="218"/>
        <v>44562</v>
      </c>
      <c r="Q1778" s="8">
        <f t="shared" si="219"/>
        <v>0</v>
      </c>
      <c r="R1778" s="8">
        <f t="shared" si="220"/>
        <v>49</v>
      </c>
      <c r="S1778" s="8">
        <f t="shared" ca="1" si="221"/>
        <v>49</v>
      </c>
      <c r="T1778">
        <f t="shared" ca="1" si="222"/>
        <v>3.6668731041795675</v>
      </c>
      <c r="U1778" s="8">
        <f t="shared" ca="1" si="223"/>
        <v>1.4855941762479588</v>
      </c>
      <c r="V1778" s="8">
        <f ca="1">RawData[[#This Row],[Z (smoothed demand size)]]/RawData[[#This Row],[X (smoothed interval)]]</f>
        <v>2.4682872097955331</v>
      </c>
    </row>
    <row r="1779" spans="1:22">
      <c r="A1779" t="s">
        <v>43</v>
      </c>
      <c r="B1779" t="s">
        <v>39</v>
      </c>
      <c r="C1779">
        <v>21</v>
      </c>
      <c r="D1779" t="s">
        <v>18</v>
      </c>
      <c r="E1779" t="s">
        <v>16</v>
      </c>
      <c r="F1779" s="1">
        <v>44563</v>
      </c>
      <c r="G1779">
        <v>2</v>
      </c>
      <c r="H1779">
        <v>2</v>
      </c>
      <c r="I1779">
        <v>8</v>
      </c>
      <c r="J1779">
        <v>6</v>
      </c>
      <c r="K1779">
        <v>0</v>
      </c>
      <c r="L1779">
        <v>614</v>
      </c>
      <c r="M1779">
        <v>60</v>
      </c>
      <c r="N1779" s="1">
        <f t="shared" si="216"/>
        <v>44938</v>
      </c>
      <c r="O1779" s="1">
        <f t="shared" si="217"/>
        <v>43101</v>
      </c>
      <c r="P1779" s="1">
        <f t="shared" si="218"/>
        <v>44593</v>
      </c>
      <c r="Q1779" s="8">
        <f t="shared" si="219"/>
        <v>0</v>
      </c>
      <c r="R1779" s="8">
        <f t="shared" si="220"/>
        <v>50</v>
      </c>
      <c r="S1779" s="8">
        <f t="shared" ca="1" si="221"/>
        <v>50</v>
      </c>
      <c r="T1779">
        <f t="shared" ca="1" si="222"/>
        <v>3.3334984833436541</v>
      </c>
      <c r="U1779" s="8">
        <f t="shared" ca="1" si="223"/>
        <v>1.388475340998367</v>
      </c>
      <c r="V1779" s="8">
        <f ca="1">RawData[[#This Row],[Z (smoothed demand size)]]/RawData[[#This Row],[X (smoothed interval)]]</f>
        <v>2.4008337670201194</v>
      </c>
    </row>
    <row r="1780" spans="1:22">
      <c r="A1780" t="s">
        <v>43</v>
      </c>
      <c r="B1780" t="s">
        <v>39</v>
      </c>
      <c r="C1780">
        <v>21</v>
      </c>
      <c r="D1780" t="s">
        <v>18</v>
      </c>
      <c r="E1780" t="s">
        <v>16</v>
      </c>
      <c r="F1780" s="1">
        <v>44564</v>
      </c>
      <c r="G1780">
        <v>1</v>
      </c>
      <c r="H1780">
        <v>1</v>
      </c>
      <c r="I1780">
        <v>6</v>
      </c>
      <c r="J1780">
        <v>5</v>
      </c>
      <c r="K1780">
        <v>0</v>
      </c>
      <c r="L1780">
        <v>598</v>
      </c>
      <c r="M1780">
        <v>30</v>
      </c>
      <c r="N1780" s="1">
        <f t="shared" si="216"/>
        <v>44938</v>
      </c>
      <c r="O1780" s="1">
        <f t="shared" si="217"/>
        <v>43101</v>
      </c>
      <c r="P1780" s="1">
        <f t="shared" si="218"/>
        <v>44621</v>
      </c>
      <c r="Q1780" s="8">
        <f t="shared" si="219"/>
        <v>0</v>
      </c>
      <c r="R1780" s="8">
        <f t="shared" si="220"/>
        <v>51</v>
      </c>
      <c r="S1780" s="8">
        <f t="shared" ca="1" si="221"/>
        <v>51</v>
      </c>
      <c r="T1780">
        <f t="shared" ca="1" si="222"/>
        <v>2.8667987866749236</v>
      </c>
      <c r="U1780" s="8">
        <f t="shared" ca="1" si="223"/>
        <v>1.3107802727986937</v>
      </c>
      <c r="V1780" s="8">
        <f ca="1">RawData[[#This Row],[Z (smoothed demand size)]]/RawData[[#This Row],[X (smoothed interval)]]</f>
        <v>2.1870933261407113</v>
      </c>
    </row>
    <row r="1781" spans="1:22">
      <c r="A1781" t="s">
        <v>43</v>
      </c>
      <c r="B1781" t="s">
        <v>39</v>
      </c>
      <c r="C1781">
        <v>21</v>
      </c>
      <c r="D1781" t="s">
        <v>18</v>
      </c>
      <c r="E1781" t="s">
        <v>16</v>
      </c>
      <c r="F1781" s="1">
        <v>44565</v>
      </c>
      <c r="G1781">
        <v>0</v>
      </c>
      <c r="H1781">
        <v>0</v>
      </c>
      <c r="I1781">
        <v>5</v>
      </c>
      <c r="J1781">
        <v>5</v>
      </c>
      <c r="K1781">
        <v>0</v>
      </c>
      <c r="L1781">
        <v>608</v>
      </c>
      <c r="M1781">
        <v>15</v>
      </c>
      <c r="N1781" s="1">
        <f t="shared" si="216"/>
        <v>44938</v>
      </c>
      <c r="O1781" s="1">
        <f t="shared" si="217"/>
        <v>43101</v>
      </c>
      <c r="P1781" s="1">
        <f t="shared" si="218"/>
        <v>44652</v>
      </c>
      <c r="Q1781" s="8">
        <f t="shared" si="219"/>
        <v>0</v>
      </c>
      <c r="R1781" s="8">
        <f t="shared" si="220"/>
        <v>52</v>
      </c>
      <c r="S1781" s="8">
        <f t="shared" ca="1" si="221"/>
        <v>51</v>
      </c>
      <c r="T1781">
        <f t="shared" ca="1" si="222"/>
        <v>2.8667987866749236</v>
      </c>
      <c r="U1781" s="8">
        <f t="shared" ca="1" si="223"/>
        <v>1.3107802727986937</v>
      </c>
      <c r="V1781" s="8">
        <f ca="1">RawData[[#This Row],[Z (smoothed demand size)]]/RawData[[#This Row],[X (smoothed interval)]]</f>
        <v>2.1870933261407113</v>
      </c>
    </row>
    <row r="1782" spans="1:22">
      <c r="A1782" t="s">
        <v>43</v>
      </c>
      <c r="B1782" t="s">
        <v>39</v>
      </c>
      <c r="C1782">
        <v>21</v>
      </c>
      <c r="D1782" t="s">
        <v>18</v>
      </c>
      <c r="E1782" t="s">
        <v>16</v>
      </c>
      <c r="F1782" s="1">
        <v>44566</v>
      </c>
      <c r="G1782">
        <v>0</v>
      </c>
      <c r="H1782">
        <v>0</v>
      </c>
      <c r="I1782">
        <v>5</v>
      </c>
      <c r="J1782">
        <v>5</v>
      </c>
      <c r="K1782">
        <v>0</v>
      </c>
      <c r="L1782">
        <v>603</v>
      </c>
      <c r="M1782">
        <v>45</v>
      </c>
      <c r="N1782" s="1">
        <f t="shared" si="216"/>
        <v>44938</v>
      </c>
      <c r="O1782" s="1">
        <f t="shared" si="217"/>
        <v>43101</v>
      </c>
      <c r="P1782" s="1">
        <f t="shared" si="218"/>
        <v>44682</v>
      </c>
      <c r="Q1782" s="8">
        <f t="shared" si="219"/>
        <v>0</v>
      </c>
      <c r="R1782" s="8">
        <f t="shared" si="220"/>
        <v>53</v>
      </c>
      <c r="S1782" s="8">
        <f t="shared" ca="1" si="221"/>
        <v>51</v>
      </c>
      <c r="T1782">
        <f t="shared" ca="1" si="222"/>
        <v>2.8667987866749236</v>
      </c>
      <c r="U1782" s="8">
        <f t="shared" ca="1" si="223"/>
        <v>1.3107802727986937</v>
      </c>
      <c r="V1782" s="8">
        <f ca="1">RawData[[#This Row],[Z (smoothed demand size)]]/RawData[[#This Row],[X (smoothed interval)]]</f>
        <v>2.1870933261407113</v>
      </c>
    </row>
    <row r="1783" spans="1:22">
      <c r="A1783" t="s">
        <v>43</v>
      </c>
      <c r="B1783" t="s">
        <v>39</v>
      </c>
      <c r="C1783">
        <v>21</v>
      </c>
      <c r="D1783" t="s">
        <v>18</v>
      </c>
      <c r="E1783" t="s">
        <v>16</v>
      </c>
      <c r="F1783" s="1">
        <v>44567</v>
      </c>
      <c r="G1783">
        <v>6</v>
      </c>
      <c r="H1783">
        <v>5</v>
      </c>
      <c r="I1783">
        <v>5</v>
      </c>
      <c r="J1783">
        <v>0</v>
      </c>
      <c r="K1783">
        <v>1</v>
      </c>
      <c r="L1783">
        <v>721</v>
      </c>
      <c r="M1783">
        <v>60</v>
      </c>
      <c r="N1783" s="1">
        <f t="shared" si="216"/>
        <v>44938</v>
      </c>
      <c r="O1783" s="1">
        <f t="shared" si="217"/>
        <v>43101</v>
      </c>
      <c r="P1783" s="1">
        <f t="shared" si="218"/>
        <v>44713</v>
      </c>
      <c r="Q1783" s="8">
        <f t="shared" si="219"/>
        <v>0</v>
      </c>
      <c r="R1783" s="8">
        <f t="shared" si="220"/>
        <v>54</v>
      </c>
      <c r="S1783" s="8">
        <f t="shared" ca="1" si="221"/>
        <v>54</v>
      </c>
      <c r="T1783">
        <f t="shared" ca="1" si="222"/>
        <v>3.4934390293399393</v>
      </c>
      <c r="U1783" s="8">
        <f t="shared" ca="1" si="223"/>
        <v>1.648624218238955</v>
      </c>
      <c r="V1783" s="8">
        <f ca="1">RawData[[#This Row],[Z (smoothed demand size)]]/RawData[[#This Row],[X (smoothed interval)]]</f>
        <v>2.1190026148418455</v>
      </c>
    </row>
    <row r="1784" spans="1:22">
      <c r="A1784" t="s">
        <v>43</v>
      </c>
      <c r="B1784" t="s">
        <v>39</v>
      </c>
      <c r="C1784">
        <v>21</v>
      </c>
      <c r="D1784" t="s">
        <v>18</v>
      </c>
      <c r="E1784" t="s">
        <v>16</v>
      </c>
      <c r="F1784" s="1">
        <v>44568</v>
      </c>
      <c r="G1784">
        <v>3</v>
      </c>
      <c r="H1784">
        <v>0</v>
      </c>
      <c r="I1784">
        <v>0</v>
      </c>
      <c r="J1784">
        <v>0</v>
      </c>
      <c r="K1784">
        <v>1</v>
      </c>
      <c r="L1784">
        <v>694</v>
      </c>
      <c r="M1784">
        <v>45</v>
      </c>
      <c r="N1784" s="1">
        <f t="shared" si="216"/>
        <v>44938</v>
      </c>
      <c r="O1784" s="1">
        <f t="shared" si="217"/>
        <v>43101</v>
      </c>
      <c r="P1784" s="1">
        <f t="shared" si="218"/>
        <v>44743</v>
      </c>
      <c r="Q1784" s="8">
        <f t="shared" si="219"/>
        <v>0</v>
      </c>
      <c r="R1784" s="8">
        <f t="shared" si="220"/>
        <v>55</v>
      </c>
      <c r="S1784" s="8">
        <f t="shared" ca="1" si="221"/>
        <v>55</v>
      </c>
      <c r="T1784">
        <f t="shared" ca="1" si="222"/>
        <v>3.3947512234719519</v>
      </c>
      <c r="U1784" s="8">
        <f t="shared" ca="1" si="223"/>
        <v>1.5188993745911641</v>
      </c>
      <c r="V1784" s="8">
        <f ca="1">RawData[[#This Row],[Z (smoothed demand size)]]/RawData[[#This Row],[X (smoothed interval)]]</f>
        <v>2.2350073219206528</v>
      </c>
    </row>
    <row r="1785" spans="1:22">
      <c r="A1785" t="s">
        <v>43</v>
      </c>
      <c r="B1785" t="s">
        <v>39</v>
      </c>
      <c r="C1785">
        <v>21</v>
      </c>
      <c r="D1785" t="s">
        <v>18</v>
      </c>
      <c r="E1785" t="s">
        <v>16</v>
      </c>
      <c r="F1785" s="1">
        <v>44569</v>
      </c>
      <c r="G1785">
        <v>3</v>
      </c>
      <c r="H1785">
        <v>3</v>
      </c>
      <c r="I1785">
        <v>8</v>
      </c>
      <c r="J1785">
        <v>5</v>
      </c>
      <c r="K1785">
        <v>0</v>
      </c>
      <c r="L1785">
        <v>691</v>
      </c>
      <c r="M1785">
        <v>60</v>
      </c>
      <c r="N1785" s="1">
        <f t="shared" si="216"/>
        <v>44938</v>
      </c>
      <c r="O1785" s="1">
        <f t="shared" si="217"/>
        <v>43101</v>
      </c>
      <c r="P1785" s="1">
        <f t="shared" si="218"/>
        <v>44774</v>
      </c>
      <c r="Q1785" s="8">
        <f t="shared" si="219"/>
        <v>0</v>
      </c>
      <c r="R1785" s="8">
        <f t="shared" si="220"/>
        <v>56</v>
      </c>
      <c r="S1785" s="8">
        <f t="shared" ca="1" si="221"/>
        <v>56</v>
      </c>
      <c r="T1785">
        <f t="shared" ca="1" si="222"/>
        <v>3.315800978777562</v>
      </c>
      <c r="U1785" s="8">
        <f t="shared" ca="1" si="223"/>
        <v>1.4151194996729313</v>
      </c>
      <c r="V1785" s="8">
        <f ca="1">RawData[[#This Row],[Z (smoothed demand size)]]/RawData[[#This Row],[X (smoothed interval)]]</f>
        <v>2.3431243647931672</v>
      </c>
    </row>
    <row r="1786" spans="1:22">
      <c r="A1786" t="s">
        <v>43</v>
      </c>
      <c r="B1786" t="s">
        <v>39</v>
      </c>
      <c r="C1786">
        <v>21</v>
      </c>
      <c r="D1786" t="s">
        <v>18</v>
      </c>
      <c r="E1786" t="s">
        <v>16</v>
      </c>
      <c r="F1786" s="1">
        <v>44570</v>
      </c>
      <c r="G1786">
        <v>0</v>
      </c>
      <c r="H1786">
        <v>0</v>
      </c>
      <c r="I1786">
        <v>5</v>
      </c>
      <c r="J1786">
        <v>5</v>
      </c>
      <c r="K1786">
        <v>0</v>
      </c>
      <c r="L1786">
        <v>593</v>
      </c>
      <c r="M1786">
        <v>45</v>
      </c>
      <c r="N1786" s="1">
        <f t="shared" si="216"/>
        <v>44938</v>
      </c>
      <c r="O1786" s="1">
        <f t="shared" si="217"/>
        <v>43101</v>
      </c>
      <c r="P1786" s="1">
        <f t="shared" si="218"/>
        <v>44805</v>
      </c>
      <c r="Q1786" s="8">
        <f t="shared" si="219"/>
        <v>0</v>
      </c>
      <c r="R1786" s="8">
        <f t="shared" si="220"/>
        <v>57</v>
      </c>
      <c r="S1786" s="8">
        <f t="shared" ca="1" si="221"/>
        <v>56</v>
      </c>
      <c r="T1786">
        <f t="shared" ca="1" si="222"/>
        <v>3.315800978777562</v>
      </c>
      <c r="U1786" s="8">
        <f t="shared" ca="1" si="223"/>
        <v>1.4151194996729313</v>
      </c>
      <c r="V1786" s="8">
        <f ca="1">RawData[[#This Row],[Z (smoothed demand size)]]/RawData[[#This Row],[X (smoothed interval)]]</f>
        <v>2.3431243647931672</v>
      </c>
    </row>
    <row r="1787" spans="1:22">
      <c r="A1787" t="s">
        <v>43</v>
      </c>
      <c r="B1787" t="s">
        <v>39</v>
      </c>
      <c r="C1787">
        <v>21</v>
      </c>
      <c r="D1787" t="s">
        <v>18</v>
      </c>
      <c r="E1787" t="s">
        <v>16</v>
      </c>
      <c r="F1787" s="1">
        <v>44571</v>
      </c>
      <c r="G1787">
        <v>3</v>
      </c>
      <c r="H1787">
        <v>3</v>
      </c>
      <c r="I1787">
        <v>5</v>
      </c>
      <c r="J1787">
        <v>2</v>
      </c>
      <c r="K1787">
        <v>0</v>
      </c>
      <c r="L1787">
        <v>603</v>
      </c>
      <c r="M1787">
        <v>60</v>
      </c>
      <c r="N1787" s="1">
        <f t="shared" si="216"/>
        <v>44938</v>
      </c>
      <c r="O1787" s="1">
        <f t="shared" si="217"/>
        <v>43101</v>
      </c>
      <c r="P1787" s="1">
        <f t="shared" si="218"/>
        <v>44835</v>
      </c>
      <c r="Q1787" s="8">
        <f t="shared" si="219"/>
        <v>0</v>
      </c>
      <c r="R1787" s="8">
        <f t="shared" si="220"/>
        <v>58</v>
      </c>
      <c r="S1787" s="8">
        <f t="shared" ca="1" si="221"/>
        <v>58</v>
      </c>
      <c r="T1787">
        <f t="shared" ca="1" si="222"/>
        <v>3.2526407830220498</v>
      </c>
      <c r="U1787" s="8">
        <f t="shared" ca="1" si="223"/>
        <v>1.5320955997383452</v>
      </c>
      <c r="V1787" s="8">
        <f ca="1">RawData[[#This Row],[Z (smoothed demand size)]]/RawData[[#This Row],[X (smoothed interval)]]</f>
        <v>2.1230011910337341</v>
      </c>
    </row>
    <row r="1788" spans="1:22">
      <c r="A1788" t="s">
        <v>43</v>
      </c>
      <c r="B1788" t="s">
        <v>39</v>
      </c>
      <c r="C1788">
        <v>21</v>
      </c>
      <c r="D1788" t="s">
        <v>18</v>
      </c>
      <c r="E1788" t="s">
        <v>16</v>
      </c>
      <c r="F1788" s="1">
        <v>44572</v>
      </c>
      <c r="G1788">
        <v>4</v>
      </c>
      <c r="H1788">
        <v>2</v>
      </c>
      <c r="I1788">
        <v>2</v>
      </c>
      <c r="J1788">
        <v>0</v>
      </c>
      <c r="K1788">
        <v>1</v>
      </c>
      <c r="L1788">
        <v>610</v>
      </c>
      <c r="M1788">
        <v>60</v>
      </c>
      <c r="N1788" s="1">
        <f t="shared" si="216"/>
        <v>44938</v>
      </c>
      <c r="O1788" s="1">
        <f t="shared" si="217"/>
        <v>43101</v>
      </c>
      <c r="P1788" s="1">
        <f t="shared" si="218"/>
        <v>44866</v>
      </c>
      <c r="Q1788" s="8">
        <f t="shared" si="219"/>
        <v>0</v>
      </c>
      <c r="R1788" s="8">
        <f t="shared" si="220"/>
        <v>59</v>
      </c>
      <c r="S1788" s="8">
        <f t="shared" ca="1" si="221"/>
        <v>59</v>
      </c>
      <c r="T1788">
        <f t="shared" ca="1" si="222"/>
        <v>3.4021126264176402</v>
      </c>
      <c r="U1788" s="8">
        <f t="shared" ca="1" si="223"/>
        <v>1.4256764797906762</v>
      </c>
      <c r="V1788" s="8">
        <f ca="1">RawData[[#This Row],[Z (smoothed demand size)]]/RawData[[#This Row],[X (smoothed interval)]]</f>
        <v>2.3863146195111198</v>
      </c>
    </row>
    <row r="1789" spans="1:22">
      <c r="A1789" t="s">
        <v>43</v>
      </c>
      <c r="B1789" t="s">
        <v>39</v>
      </c>
      <c r="C1789">
        <v>21</v>
      </c>
      <c r="D1789" t="s">
        <v>18</v>
      </c>
      <c r="E1789" t="s">
        <v>16</v>
      </c>
      <c r="F1789" s="1">
        <v>44573</v>
      </c>
      <c r="G1789">
        <v>7</v>
      </c>
      <c r="H1789">
        <v>7</v>
      </c>
      <c r="I1789">
        <v>9</v>
      </c>
      <c r="J1789">
        <v>2</v>
      </c>
      <c r="K1789">
        <v>0</v>
      </c>
      <c r="L1789">
        <v>709</v>
      </c>
      <c r="M1789">
        <v>30</v>
      </c>
      <c r="N1789" s="1">
        <f t="shared" si="216"/>
        <v>44938</v>
      </c>
      <c r="O1789" s="1">
        <f t="shared" si="217"/>
        <v>43101</v>
      </c>
      <c r="P1789" s="1">
        <f t="shared" si="218"/>
        <v>44896</v>
      </c>
      <c r="Q1789" s="8">
        <f t="shared" si="219"/>
        <v>0</v>
      </c>
      <c r="R1789" s="8">
        <f t="shared" si="220"/>
        <v>60</v>
      </c>
      <c r="S1789" s="8">
        <f t="shared" ca="1" si="221"/>
        <v>60</v>
      </c>
      <c r="T1789">
        <f t="shared" ca="1" si="222"/>
        <v>4.1216901011341127</v>
      </c>
      <c r="U1789" s="8">
        <f t="shared" ca="1" si="223"/>
        <v>1.340541183832541</v>
      </c>
      <c r="V1789" s="8">
        <f ca="1">RawData[[#This Row],[Z (smoothed demand size)]]/RawData[[#This Row],[X (smoothed interval)]]</f>
        <v>3.0746463822546688</v>
      </c>
    </row>
    <row r="1790" spans="1:22">
      <c r="A1790" t="s">
        <v>43</v>
      </c>
      <c r="B1790" t="s">
        <v>39</v>
      </c>
      <c r="C1790">
        <v>21</v>
      </c>
      <c r="D1790" t="s">
        <v>18</v>
      </c>
      <c r="E1790" t="s">
        <v>16</v>
      </c>
      <c r="F1790" s="1">
        <v>44927</v>
      </c>
      <c r="G1790">
        <v>3</v>
      </c>
      <c r="H1790">
        <v>3</v>
      </c>
      <c r="I1790">
        <v>9</v>
      </c>
      <c r="J1790">
        <v>6</v>
      </c>
      <c r="K1790">
        <v>0</v>
      </c>
      <c r="L1790">
        <v>601</v>
      </c>
      <c r="M1790">
        <v>30</v>
      </c>
      <c r="N1790" s="1">
        <f t="shared" si="216"/>
        <v>44938</v>
      </c>
      <c r="O1790" s="1">
        <f t="shared" si="217"/>
        <v>43101</v>
      </c>
      <c r="P1790" s="1">
        <f t="shared" si="218"/>
        <v>44927</v>
      </c>
      <c r="Q1790" s="8">
        <f t="shared" si="219"/>
        <v>0</v>
      </c>
      <c r="R1790" s="8">
        <f t="shared" si="220"/>
        <v>61</v>
      </c>
      <c r="S1790" s="8">
        <f t="shared" ca="1" si="221"/>
        <v>61</v>
      </c>
      <c r="T1790">
        <f t="shared" ca="1" si="222"/>
        <v>3.8973520809072904</v>
      </c>
      <c r="U1790" s="8">
        <f t="shared" ca="1" si="223"/>
        <v>1.2724329470660327</v>
      </c>
      <c r="V1790" s="8">
        <f ca="1">RawData[[#This Row],[Z (smoothed demand size)]]/RawData[[#This Row],[X (smoothed interval)]]</f>
        <v>3.0629135231791809</v>
      </c>
    </row>
    <row r="1791" spans="1:22">
      <c r="A1791" t="s">
        <v>43</v>
      </c>
      <c r="B1791" t="s">
        <v>39</v>
      </c>
      <c r="C1791">
        <v>21</v>
      </c>
      <c r="D1791" t="s">
        <v>18</v>
      </c>
      <c r="E1791" t="s">
        <v>16</v>
      </c>
      <c r="F1791" s="1">
        <v>44928</v>
      </c>
      <c r="G1791">
        <v>4</v>
      </c>
      <c r="H1791">
        <v>4</v>
      </c>
      <c r="I1791">
        <v>6</v>
      </c>
      <c r="J1791">
        <v>2</v>
      </c>
      <c r="K1791">
        <v>0</v>
      </c>
      <c r="L1791">
        <v>615</v>
      </c>
      <c r="M1791">
        <v>15</v>
      </c>
      <c r="N1791" s="1">
        <f t="shared" si="216"/>
        <v>44938</v>
      </c>
      <c r="O1791" s="1">
        <f t="shared" si="217"/>
        <v>43101</v>
      </c>
      <c r="P1791" s="1">
        <f t="shared" si="218"/>
        <v>44958</v>
      </c>
      <c r="Q1791" s="8">
        <f t="shared" si="219"/>
        <v>0</v>
      </c>
      <c r="R1791" s="8">
        <f t="shared" si="220"/>
        <v>62</v>
      </c>
      <c r="S1791" s="8">
        <f t="shared" ca="1" si="221"/>
        <v>62</v>
      </c>
      <c r="T1791">
        <f t="shared" ca="1" si="222"/>
        <v>3.9178816647258321</v>
      </c>
      <c r="U1791" s="8">
        <f t="shared" ca="1" si="223"/>
        <v>1.2179463576528262</v>
      </c>
      <c r="V1791" s="8">
        <f ca="1">RawData[[#This Row],[Z (smoothed demand size)]]/RawData[[#This Row],[X (smoothed interval)]]</f>
        <v>3.2167932849491048</v>
      </c>
    </row>
    <row r="1792" spans="1:22">
      <c r="A1792" t="s">
        <v>43</v>
      </c>
      <c r="B1792" t="s">
        <v>39</v>
      </c>
      <c r="C1792">
        <v>21</v>
      </c>
      <c r="D1792" t="s">
        <v>18</v>
      </c>
      <c r="E1792" t="s">
        <v>16</v>
      </c>
      <c r="F1792" s="1">
        <v>44929</v>
      </c>
      <c r="G1792">
        <v>3</v>
      </c>
      <c r="H1792">
        <v>3</v>
      </c>
      <c r="I1792">
        <v>13</v>
      </c>
      <c r="J1792">
        <v>10</v>
      </c>
      <c r="K1792">
        <v>0</v>
      </c>
      <c r="L1792">
        <v>607</v>
      </c>
      <c r="M1792">
        <v>30</v>
      </c>
      <c r="N1792" s="1">
        <f t="shared" si="216"/>
        <v>44938</v>
      </c>
      <c r="O1792" s="1">
        <f t="shared" si="217"/>
        <v>43101</v>
      </c>
      <c r="P1792" s="1">
        <f t="shared" si="218"/>
        <v>44986</v>
      </c>
      <c r="Q1792" s="8">
        <f t="shared" si="219"/>
        <v>0</v>
      </c>
      <c r="R1792" s="8">
        <f t="shared" si="220"/>
        <v>63</v>
      </c>
      <c r="S1792" s="8">
        <f t="shared" ca="1" si="221"/>
        <v>63</v>
      </c>
      <c r="T1792">
        <f t="shared" ca="1" si="222"/>
        <v>3.734305331780666</v>
      </c>
      <c r="U1792" s="8">
        <f t="shared" ca="1" si="223"/>
        <v>1.174357086122261</v>
      </c>
      <c r="V1792" s="8">
        <f ca="1">RawData[[#This Row],[Z (smoothed demand size)]]/RawData[[#This Row],[X (smoothed interval)]]</f>
        <v>3.1798720984529334</v>
      </c>
    </row>
    <row r="1793" spans="1:22">
      <c r="A1793" t="s">
        <v>43</v>
      </c>
      <c r="B1793" t="s">
        <v>39</v>
      </c>
      <c r="C1793">
        <v>21</v>
      </c>
      <c r="D1793" t="s">
        <v>18</v>
      </c>
      <c r="E1793" t="s">
        <v>16</v>
      </c>
      <c r="F1793" s="1">
        <v>44930</v>
      </c>
      <c r="G1793">
        <v>2</v>
      </c>
      <c r="H1793">
        <v>2</v>
      </c>
      <c r="I1793">
        <v>10</v>
      </c>
      <c r="J1793">
        <v>8</v>
      </c>
      <c r="K1793">
        <v>0</v>
      </c>
      <c r="L1793">
        <v>605</v>
      </c>
      <c r="M1793">
        <v>45</v>
      </c>
      <c r="N1793" s="1">
        <f t="shared" si="216"/>
        <v>44938</v>
      </c>
      <c r="O1793" s="1">
        <f t="shared" si="217"/>
        <v>43101</v>
      </c>
      <c r="P1793" s="1">
        <f t="shared" si="218"/>
        <v>45017</v>
      </c>
      <c r="Q1793" s="8">
        <f t="shared" si="219"/>
        <v>0</v>
      </c>
      <c r="R1793" s="8">
        <f t="shared" si="220"/>
        <v>64</v>
      </c>
      <c r="S1793" s="8">
        <f t="shared" ca="1" si="221"/>
        <v>64</v>
      </c>
      <c r="T1793">
        <f t="shared" ca="1" si="222"/>
        <v>3.3874442654245329</v>
      </c>
      <c r="U1793" s="8">
        <f t="shared" ca="1" si="223"/>
        <v>1.1394856688978088</v>
      </c>
      <c r="V1793" s="8">
        <f ca="1">RawData[[#This Row],[Z (smoothed demand size)]]/RawData[[#This Row],[X (smoothed interval)]]</f>
        <v>2.9727835618161911</v>
      </c>
    </row>
    <row r="1794" spans="1:22">
      <c r="A1794" t="s">
        <v>43</v>
      </c>
      <c r="B1794" t="s">
        <v>39</v>
      </c>
      <c r="C1794">
        <v>21</v>
      </c>
      <c r="D1794" t="s">
        <v>18</v>
      </c>
      <c r="E1794" t="s">
        <v>16</v>
      </c>
      <c r="F1794" s="1">
        <v>44931</v>
      </c>
      <c r="G1794">
        <v>5</v>
      </c>
      <c r="H1794">
        <v>5</v>
      </c>
      <c r="I1794">
        <v>8</v>
      </c>
      <c r="J1794">
        <v>3</v>
      </c>
      <c r="K1794">
        <v>0</v>
      </c>
      <c r="L1794">
        <v>609</v>
      </c>
      <c r="M1794">
        <v>45</v>
      </c>
      <c r="N1794" s="1">
        <f t="shared" ref="N1794:N1857" si="224">MAX(F:F)</f>
        <v>44938</v>
      </c>
      <c r="O1794" s="1">
        <f t="shared" ref="O1794:O1857" si="225">MIN(F:F)</f>
        <v>43101</v>
      </c>
      <c r="P1794" s="1">
        <f t="shared" ref="P1794:P1857" si="226">DATE(YEAR(F1794), DAY(F1794), 1)</f>
        <v>45047</v>
      </c>
      <c r="Q1794" s="8">
        <f t="shared" ref="Q1794:Q1857" si="227" xml:space="preserve"> IF(A1794&lt;&gt;A1793, 1, 0)</f>
        <v>0</v>
      </c>
      <c r="R1794" s="8">
        <f t="shared" ref="R1794:R1857" si="228">IF(Q1794=1,1,R1793+1)</f>
        <v>65</v>
      </c>
      <c r="S1794" s="8">
        <f t="shared" ref="S1794:S1857" ca="1" si="229" xml:space="preserve"> IF(Q1794=1, IF(G1794&gt;0, R1794, 0), IF(G1794&gt;0, R1794, OFFSET(S1794,-1,0)))</f>
        <v>65</v>
      </c>
      <c r="T1794">
        <f t="shared" ref="T1794:T1857" ca="1" si="230" xml:space="preserve"> IF(Q1794=1, IF(G1794&gt;0, G1794, 0), IF(G1794&gt;0, $X$1*G1794+(1-$X$1)*OFFSET(T1794,-1,0), OFFSET(T1794,-1,0)))</f>
        <v>3.7099554123396263</v>
      </c>
      <c r="U1794" s="8">
        <f t="shared" ref="U1794:U1857" ca="1" si="231" xml:space="preserve"> IF(Q1794=1, 1, IF(G1794&gt;0, $X$1*(R1794-OFFSET(S1794,-1,0))+(1-$X$1)*OFFSET(U1794,-1,0), OFFSET(U1794,-1,0)))</f>
        <v>1.1115885351182471</v>
      </c>
      <c r="V1794" s="8">
        <f ca="1">RawData[[#This Row],[Z (smoothed demand size)]]/RawData[[#This Row],[X (smoothed interval)]]</f>
        <v>3.3375257976594495</v>
      </c>
    </row>
    <row r="1795" spans="1:22">
      <c r="A1795" t="s">
        <v>43</v>
      </c>
      <c r="B1795" t="s">
        <v>39</v>
      </c>
      <c r="C1795">
        <v>21</v>
      </c>
      <c r="D1795" t="s">
        <v>18</v>
      </c>
      <c r="E1795" t="s">
        <v>16</v>
      </c>
      <c r="F1795" s="1">
        <v>44932</v>
      </c>
      <c r="G1795">
        <v>5</v>
      </c>
      <c r="H1795">
        <v>3</v>
      </c>
      <c r="I1795">
        <v>3</v>
      </c>
      <c r="J1795">
        <v>0</v>
      </c>
      <c r="K1795">
        <v>1</v>
      </c>
      <c r="L1795">
        <v>709</v>
      </c>
      <c r="M1795">
        <v>60</v>
      </c>
      <c r="N1795" s="1">
        <f t="shared" si="224"/>
        <v>44938</v>
      </c>
      <c r="O1795" s="1">
        <f t="shared" si="225"/>
        <v>43101</v>
      </c>
      <c r="P1795" s="1">
        <f t="shared" si="226"/>
        <v>45078</v>
      </c>
      <c r="Q1795" s="8">
        <f t="shared" si="227"/>
        <v>0</v>
      </c>
      <c r="R1795" s="8">
        <f t="shared" si="228"/>
        <v>66</v>
      </c>
      <c r="S1795" s="8">
        <f t="shared" ca="1" si="229"/>
        <v>66</v>
      </c>
      <c r="T1795">
        <f t="shared" ca="1" si="230"/>
        <v>3.9679643298717013</v>
      </c>
      <c r="U1795" s="8">
        <f t="shared" ca="1" si="231"/>
        <v>1.0892708280945977</v>
      </c>
      <c r="V1795" s="8">
        <f ca="1">RawData[[#This Row],[Z (smoothed demand size)]]/RawData[[#This Row],[X (smoothed interval)]]</f>
        <v>3.6427711341656379</v>
      </c>
    </row>
    <row r="1796" spans="1:22">
      <c r="A1796" t="s">
        <v>43</v>
      </c>
      <c r="B1796" t="s">
        <v>39</v>
      </c>
      <c r="C1796">
        <v>21</v>
      </c>
      <c r="D1796" t="s">
        <v>18</v>
      </c>
      <c r="E1796" t="s">
        <v>16</v>
      </c>
      <c r="F1796" s="1">
        <v>44933</v>
      </c>
      <c r="G1796">
        <v>0</v>
      </c>
      <c r="H1796">
        <v>0</v>
      </c>
      <c r="I1796">
        <v>10</v>
      </c>
      <c r="J1796">
        <v>10</v>
      </c>
      <c r="K1796">
        <v>0</v>
      </c>
      <c r="L1796">
        <v>699</v>
      </c>
      <c r="M1796">
        <v>30</v>
      </c>
      <c r="N1796" s="1">
        <f t="shared" si="224"/>
        <v>44938</v>
      </c>
      <c r="O1796" s="1">
        <f t="shared" si="225"/>
        <v>43101</v>
      </c>
      <c r="P1796" s="1">
        <f t="shared" si="226"/>
        <v>45108</v>
      </c>
      <c r="Q1796" s="8">
        <f t="shared" si="227"/>
        <v>0</v>
      </c>
      <c r="R1796" s="8">
        <f t="shared" si="228"/>
        <v>67</v>
      </c>
      <c r="S1796" s="8">
        <f t="shared" ca="1" si="229"/>
        <v>66</v>
      </c>
      <c r="T1796">
        <f t="shared" ca="1" si="230"/>
        <v>3.9679643298717013</v>
      </c>
      <c r="U1796" s="8">
        <f t="shared" ca="1" si="231"/>
        <v>1.0892708280945977</v>
      </c>
      <c r="V1796" s="8">
        <f ca="1">RawData[[#This Row],[Z (smoothed demand size)]]/RawData[[#This Row],[X (smoothed interval)]]</f>
        <v>3.6427711341656379</v>
      </c>
    </row>
    <row r="1797" spans="1:22">
      <c r="A1797" t="s">
        <v>43</v>
      </c>
      <c r="B1797" t="s">
        <v>39</v>
      </c>
      <c r="C1797">
        <v>21</v>
      </c>
      <c r="D1797" t="s">
        <v>18</v>
      </c>
      <c r="E1797" t="s">
        <v>16</v>
      </c>
      <c r="F1797" s="1">
        <v>44934</v>
      </c>
      <c r="G1797">
        <v>6</v>
      </c>
      <c r="H1797">
        <v>6</v>
      </c>
      <c r="I1797">
        <v>10</v>
      </c>
      <c r="J1797">
        <v>4</v>
      </c>
      <c r="K1797">
        <v>0</v>
      </c>
      <c r="L1797">
        <v>691</v>
      </c>
      <c r="M1797">
        <v>45</v>
      </c>
      <c r="N1797" s="1">
        <f t="shared" si="224"/>
        <v>44938</v>
      </c>
      <c r="O1797" s="1">
        <f t="shared" si="225"/>
        <v>43101</v>
      </c>
      <c r="P1797" s="1">
        <f t="shared" si="226"/>
        <v>45139</v>
      </c>
      <c r="Q1797" s="8">
        <f t="shared" si="227"/>
        <v>0</v>
      </c>
      <c r="R1797" s="8">
        <f t="shared" si="228"/>
        <v>68</v>
      </c>
      <c r="S1797" s="8">
        <f t="shared" ca="1" si="229"/>
        <v>68</v>
      </c>
      <c r="T1797">
        <f t="shared" ca="1" si="230"/>
        <v>4.3743714638973614</v>
      </c>
      <c r="U1797" s="8">
        <f t="shared" ca="1" si="231"/>
        <v>1.2714166624756782</v>
      </c>
      <c r="V1797" s="8">
        <f ca="1">RawData[[#This Row],[Z (smoothed demand size)]]/RawData[[#This Row],[X (smoothed interval)]]</f>
        <v>3.4405491079373376</v>
      </c>
    </row>
    <row r="1798" spans="1:22">
      <c r="A1798" t="s">
        <v>43</v>
      </c>
      <c r="B1798" t="s">
        <v>39</v>
      </c>
      <c r="C1798">
        <v>21</v>
      </c>
      <c r="D1798" t="s">
        <v>18</v>
      </c>
      <c r="E1798" t="s">
        <v>16</v>
      </c>
      <c r="F1798" s="1">
        <v>44935</v>
      </c>
      <c r="G1798">
        <v>1</v>
      </c>
      <c r="H1798">
        <v>1</v>
      </c>
      <c r="I1798">
        <v>4</v>
      </c>
      <c r="J1798">
        <v>3</v>
      </c>
      <c r="K1798">
        <v>0</v>
      </c>
      <c r="L1798">
        <v>610</v>
      </c>
      <c r="M1798">
        <v>45</v>
      </c>
      <c r="N1798" s="1">
        <f t="shared" si="224"/>
        <v>44938</v>
      </c>
      <c r="O1798" s="1">
        <f t="shared" si="225"/>
        <v>43101</v>
      </c>
      <c r="P1798" s="1">
        <f t="shared" si="226"/>
        <v>45170</v>
      </c>
      <c r="Q1798" s="8">
        <f t="shared" si="227"/>
        <v>0</v>
      </c>
      <c r="R1798" s="8">
        <f t="shared" si="228"/>
        <v>69</v>
      </c>
      <c r="S1798" s="8">
        <f t="shared" ca="1" si="229"/>
        <v>69</v>
      </c>
      <c r="T1798">
        <f t="shared" ca="1" si="230"/>
        <v>3.6994971711178897</v>
      </c>
      <c r="U1798" s="8">
        <f t="shared" ca="1" si="231"/>
        <v>1.2171333299805425</v>
      </c>
      <c r="V1798" s="8">
        <f ca="1">RawData[[#This Row],[Z (smoothed demand size)]]/RawData[[#This Row],[X (smoothed interval)]]</f>
        <v>3.039516772724506</v>
      </c>
    </row>
    <row r="1799" spans="1:22">
      <c r="A1799" t="s">
        <v>43</v>
      </c>
      <c r="B1799" t="s">
        <v>39</v>
      </c>
      <c r="C1799">
        <v>21</v>
      </c>
      <c r="D1799" t="s">
        <v>18</v>
      </c>
      <c r="E1799" t="s">
        <v>16</v>
      </c>
      <c r="F1799" s="1">
        <v>44936</v>
      </c>
      <c r="G1799">
        <v>1</v>
      </c>
      <c r="H1799">
        <v>1</v>
      </c>
      <c r="I1799">
        <v>3</v>
      </c>
      <c r="J1799">
        <v>2</v>
      </c>
      <c r="K1799">
        <v>0</v>
      </c>
      <c r="L1799">
        <v>610</v>
      </c>
      <c r="M1799">
        <v>30</v>
      </c>
      <c r="N1799" s="1">
        <f t="shared" si="224"/>
        <v>44938</v>
      </c>
      <c r="O1799" s="1">
        <f t="shared" si="225"/>
        <v>43101</v>
      </c>
      <c r="P1799" s="1">
        <f t="shared" si="226"/>
        <v>45200</v>
      </c>
      <c r="Q1799" s="8">
        <f t="shared" si="227"/>
        <v>0</v>
      </c>
      <c r="R1799" s="8">
        <f t="shared" si="228"/>
        <v>70</v>
      </c>
      <c r="S1799" s="8">
        <f t="shared" ca="1" si="229"/>
        <v>70</v>
      </c>
      <c r="T1799">
        <f t="shared" ca="1" si="230"/>
        <v>3.159597736894312</v>
      </c>
      <c r="U1799" s="8">
        <f t="shared" ca="1" si="231"/>
        <v>1.173706663984434</v>
      </c>
      <c r="V1799" s="8">
        <f ca="1">RawData[[#This Row],[Z (smoothed demand size)]]/RawData[[#This Row],[X (smoothed interval)]]</f>
        <v>2.6919824465921369</v>
      </c>
    </row>
    <row r="1800" spans="1:22">
      <c r="A1800" t="s">
        <v>43</v>
      </c>
      <c r="B1800" t="s">
        <v>39</v>
      </c>
      <c r="C1800">
        <v>21</v>
      </c>
      <c r="D1800" t="s">
        <v>18</v>
      </c>
      <c r="E1800" t="s">
        <v>16</v>
      </c>
      <c r="F1800" s="1">
        <v>44937</v>
      </c>
      <c r="G1800">
        <v>4</v>
      </c>
      <c r="H1800">
        <v>4</v>
      </c>
      <c r="I1800">
        <v>13</v>
      </c>
      <c r="J1800">
        <v>9</v>
      </c>
      <c r="K1800">
        <v>0</v>
      </c>
      <c r="L1800">
        <v>607</v>
      </c>
      <c r="M1800">
        <v>30</v>
      </c>
      <c r="N1800" s="1">
        <f t="shared" si="224"/>
        <v>44938</v>
      </c>
      <c r="O1800" s="1">
        <f t="shared" si="225"/>
        <v>43101</v>
      </c>
      <c r="P1800" s="1">
        <f t="shared" si="226"/>
        <v>45231</v>
      </c>
      <c r="Q1800" s="8">
        <f t="shared" si="227"/>
        <v>0</v>
      </c>
      <c r="R1800" s="8">
        <f t="shared" si="228"/>
        <v>71</v>
      </c>
      <c r="S1800" s="8">
        <f t="shared" ca="1" si="229"/>
        <v>71</v>
      </c>
      <c r="T1800">
        <f t="shared" ca="1" si="230"/>
        <v>3.3276781895154501</v>
      </c>
      <c r="U1800" s="8">
        <f t="shared" ca="1" si="231"/>
        <v>1.1389653311875472</v>
      </c>
      <c r="V1800" s="8">
        <f ca="1">RawData[[#This Row],[Z (smoothed demand size)]]/RawData[[#This Row],[X (smoothed interval)]]</f>
        <v>2.921667673629567</v>
      </c>
    </row>
    <row r="1801" spans="1:22">
      <c r="A1801" t="s">
        <v>43</v>
      </c>
      <c r="B1801" t="s">
        <v>39</v>
      </c>
      <c r="C1801">
        <v>21</v>
      </c>
      <c r="D1801" t="s">
        <v>18</v>
      </c>
      <c r="E1801" t="s">
        <v>16</v>
      </c>
      <c r="F1801" s="1">
        <v>44938</v>
      </c>
      <c r="G1801">
        <v>0</v>
      </c>
      <c r="H1801">
        <v>0</v>
      </c>
      <c r="I1801">
        <v>9</v>
      </c>
      <c r="J1801">
        <v>9</v>
      </c>
      <c r="K1801">
        <v>0</v>
      </c>
      <c r="L1801">
        <v>706</v>
      </c>
      <c r="M1801">
        <v>60</v>
      </c>
      <c r="N1801" s="1">
        <f t="shared" si="224"/>
        <v>44938</v>
      </c>
      <c r="O1801" s="1">
        <f t="shared" si="225"/>
        <v>43101</v>
      </c>
      <c r="P1801" s="1">
        <f t="shared" si="226"/>
        <v>45261</v>
      </c>
      <c r="Q1801" s="8">
        <f t="shared" si="227"/>
        <v>0</v>
      </c>
      <c r="R1801" s="8">
        <f t="shared" si="228"/>
        <v>72</v>
      </c>
      <c r="S1801" s="8">
        <f t="shared" ca="1" si="229"/>
        <v>71</v>
      </c>
      <c r="T1801">
        <f t="shared" ca="1" si="230"/>
        <v>3.3276781895154501</v>
      </c>
      <c r="U1801" s="8">
        <f t="shared" ca="1" si="231"/>
        <v>1.1389653311875472</v>
      </c>
      <c r="V1801" s="8">
        <f ca="1">RawData[[#This Row],[Z (smoothed demand size)]]/RawData[[#This Row],[X (smoothed interval)]]</f>
        <v>2.921667673629567</v>
      </c>
    </row>
    <row r="1802" spans="1:22">
      <c r="A1802" t="s">
        <v>44</v>
      </c>
      <c r="B1802" t="s">
        <v>39</v>
      </c>
      <c r="C1802">
        <v>24</v>
      </c>
      <c r="D1802" t="s">
        <v>18</v>
      </c>
      <c r="E1802" t="s">
        <v>16</v>
      </c>
      <c r="F1802" s="1">
        <v>43101</v>
      </c>
      <c r="G1802">
        <v>3</v>
      </c>
      <c r="H1802">
        <v>3</v>
      </c>
      <c r="I1802">
        <v>25</v>
      </c>
      <c r="J1802">
        <v>22</v>
      </c>
      <c r="K1802">
        <v>0</v>
      </c>
      <c r="L1802">
        <v>468</v>
      </c>
      <c r="M1802">
        <v>15</v>
      </c>
      <c r="N1802" s="1">
        <f t="shared" si="224"/>
        <v>44938</v>
      </c>
      <c r="O1802" s="1">
        <f t="shared" si="225"/>
        <v>43101</v>
      </c>
      <c r="P1802" s="1">
        <f t="shared" si="226"/>
        <v>43101</v>
      </c>
      <c r="Q1802" s="8">
        <f t="shared" si="227"/>
        <v>1</v>
      </c>
      <c r="R1802" s="8">
        <f t="shared" si="228"/>
        <v>1</v>
      </c>
      <c r="S1802" s="8">
        <f t="shared" ca="1" si="229"/>
        <v>1</v>
      </c>
      <c r="T1802">
        <f t="shared" ca="1" si="230"/>
        <v>3</v>
      </c>
      <c r="U1802" s="8">
        <f t="shared" ca="1" si="231"/>
        <v>1</v>
      </c>
      <c r="V1802" s="8">
        <f ca="1">RawData[[#This Row],[Z (smoothed demand size)]]/RawData[[#This Row],[X (smoothed interval)]]</f>
        <v>3</v>
      </c>
    </row>
    <row r="1803" spans="1:22">
      <c r="A1803" t="s">
        <v>44</v>
      </c>
      <c r="B1803" t="s">
        <v>39</v>
      </c>
      <c r="C1803">
        <v>24</v>
      </c>
      <c r="D1803" t="s">
        <v>18</v>
      </c>
      <c r="E1803" t="s">
        <v>16</v>
      </c>
      <c r="F1803" s="1">
        <v>43102</v>
      </c>
      <c r="G1803">
        <v>0</v>
      </c>
      <c r="H1803">
        <v>0</v>
      </c>
      <c r="I1803">
        <v>22</v>
      </c>
      <c r="J1803">
        <v>22</v>
      </c>
      <c r="K1803">
        <v>0</v>
      </c>
      <c r="L1803">
        <v>467</v>
      </c>
      <c r="M1803">
        <v>45</v>
      </c>
      <c r="N1803" s="1">
        <f t="shared" si="224"/>
        <v>44938</v>
      </c>
      <c r="O1803" s="1">
        <f t="shared" si="225"/>
        <v>43101</v>
      </c>
      <c r="P1803" s="1">
        <f t="shared" si="226"/>
        <v>43132</v>
      </c>
      <c r="Q1803" s="8">
        <f t="shared" si="227"/>
        <v>0</v>
      </c>
      <c r="R1803" s="8">
        <f t="shared" si="228"/>
        <v>2</v>
      </c>
      <c r="S1803" s="8">
        <f t="shared" ca="1" si="229"/>
        <v>1</v>
      </c>
      <c r="T1803">
        <f t="shared" ca="1" si="230"/>
        <v>3</v>
      </c>
      <c r="U1803" s="8">
        <f t="shared" ca="1" si="231"/>
        <v>1</v>
      </c>
      <c r="V1803" s="8">
        <f ca="1">RawData[[#This Row],[Z (smoothed demand size)]]/RawData[[#This Row],[X (smoothed interval)]]</f>
        <v>3</v>
      </c>
    </row>
    <row r="1804" spans="1:22">
      <c r="A1804" t="s">
        <v>44</v>
      </c>
      <c r="B1804" t="s">
        <v>39</v>
      </c>
      <c r="C1804">
        <v>24</v>
      </c>
      <c r="D1804" t="s">
        <v>18</v>
      </c>
      <c r="E1804" t="s">
        <v>16</v>
      </c>
      <c r="F1804" s="1">
        <v>43103</v>
      </c>
      <c r="G1804">
        <v>6</v>
      </c>
      <c r="H1804">
        <v>6</v>
      </c>
      <c r="I1804">
        <v>22</v>
      </c>
      <c r="J1804">
        <v>16</v>
      </c>
      <c r="K1804">
        <v>0</v>
      </c>
      <c r="L1804">
        <v>464</v>
      </c>
      <c r="M1804">
        <v>30</v>
      </c>
      <c r="N1804" s="1">
        <f t="shared" si="224"/>
        <v>44938</v>
      </c>
      <c r="O1804" s="1">
        <f t="shared" si="225"/>
        <v>43101</v>
      </c>
      <c r="P1804" s="1">
        <f t="shared" si="226"/>
        <v>43160</v>
      </c>
      <c r="Q1804" s="8">
        <f t="shared" si="227"/>
        <v>0</v>
      </c>
      <c r="R1804" s="8">
        <f t="shared" si="228"/>
        <v>3</v>
      </c>
      <c r="S1804" s="8">
        <f t="shared" ca="1" si="229"/>
        <v>3</v>
      </c>
      <c r="T1804">
        <f t="shared" ca="1" si="230"/>
        <v>3.6000000000000005</v>
      </c>
      <c r="U1804" s="8">
        <f t="shared" ca="1" si="231"/>
        <v>1.2000000000000002</v>
      </c>
      <c r="V1804" s="8">
        <f ca="1">RawData[[#This Row],[Z (smoothed demand size)]]/RawData[[#This Row],[X (smoothed interval)]]</f>
        <v>3</v>
      </c>
    </row>
    <row r="1805" spans="1:22">
      <c r="A1805" t="s">
        <v>44</v>
      </c>
      <c r="B1805" t="s">
        <v>39</v>
      </c>
      <c r="C1805">
        <v>24</v>
      </c>
      <c r="D1805" t="s">
        <v>18</v>
      </c>
      <c r="E1805" t="s">
        <v>16</v>
      </c>
      <c r="F1805" s="1">
        <v>43104</v>
      </c>
      <c r="G1805">
        <v>4</v>
      </c>
      <c r="H1805">
        <v>4</v>
      </c>
      <c r="I1805">
        <v>16</v>
      </c>
      <c r="J1805">
        <v>12</v>
      </c>
      <c r="K1805">
        <v>0</v>
      </c>
      <c r="L1805">
        <v>465</v>
      </c>
      <c r="M1805">
        <v>60</v>
      </c>
      <c r="N1805" s="1">
        <f t="shared" si="224"/>
        <v>44938</v>
      </c>
      <c r="O1805" s="1">
        <f t="shared" si="225"/>
        <v>43101</v>
      </c>
      <c r="P1805" s="1">
        <f t="shared" si="226"/>
        <v>43191</v>
      </c>
      <c r="Q1805" s="8">
        <f t="shared" si="227"/>
        <v>0</v>
      </c>
      <c r="R1805" s="8">
        <f t="shared" si="228"/>
        <v>4</v>
      </c>
      <c r="S1805" s="8">
        <f t="shared" ca="1" si="229"/>
        <v>4</v>
      </c>
      <c r="T1805">
        <f t="shared" ca="1" si="230"/>
        <v>3.6800000000000006</v>
      </c>
      <c r="U1805" s="8">
        <f t="shared" ca="1" si="231"/>
        <v>1.1600000000000001</v>
      </c>
      <c r="V1805" s="8">
        <f ca="1">RawData[[#This Row],[Z (smoothed demand size)]]/RawData[[#This Row],[X (smoothed interval)]]</f>
        <v>3.1724137931034484</v>
      </c>
    </row>
    <row r="1806" spans="1:22">
      <c r="A1806" t="s">
        <v>44</v>
      </c>
      <c r="B1806" t="s">
        <v>39</v>
      </c>
      <c r="C1806">
        <v>24</v>
      </c>
      <c r="D1806" t="s">
        <v>18</v>
      </c>
      <c r="E1806" t="s">
        <v>16</v>
      </c>
      <c r="F1806" s="1">
        <v>43105</v>
      </c>
      <c r="G1806">
        <v>3</v>
      </c>
      <c r="H1806">
        <v>3</v>
      </c>
      <c r="I1806">
        <v>12</v>
      </c>
      <c r="J1806">
        <v>9</v>
      </c>
      <c r="K1806">
        <v>0</v>
      </c>
      <c r="L1806">
        <v>465</v>
      </c>
      <c r="M1806">
        <v>60</v>
      </c>
      <c r="N1806" s="1">
        <f t="shared" si="224"/>
        <v>44938</v>
      </c>
      <c r="O1806" s="1">
        <f t="shared" si="225"/>
        <v>43101</v>
      </c>
      <c r="P1806" s="1">
        <f t="shared" si="226"/>
        <v>43221</v>
      </c>
      <c r="Q1806" s="8">
        <f t="shared" si="227"/>
        <v>0</v>
      </c>
      <c r="R1806" s="8">
        <f t="shared" si="228"/>
        <v>5</v>
      </c>
      <c r="S1806" s="8">
        <f t="shared" ca="1" si="229"/>
        <v>5</v>
      </c>
      <c r="T1806">
        <f t="shared" ca="1" si="230"/>
        <v>3.5440000000000009</v>
      </c>
      <c r="U1806" s="8">
        <f t="shared" ca="1" si="231"/>
        <v>1.1280000000000001</v>
      </c>
      <c r="V1806" s="8">
        <f ca="1">RawData[[#This Row],[Z (smoothed demand size)]]/RawData[[#This Row],[X (smoothed interval)]]</f>
        <v>3.1418439716312063</v>
      </c>
    </row>
    <row r="1807" spans="1:22">
      <c r="A1807" t="s">
        <v>44</v>
      </c>
      <c r="B1807" t="s">
        <v>39</v>
      </c>
      <c r="C1807">
        <v>24</v>
      </c>
      <c r="D1807" t="s">
        <v>18</v>
      </c>
      <c r="E1807" t="s">
        <v>16</v>
      </c>
      <c r="F1807" s="1">
        <v>43106</v>
      </c>
      <c r="G1807">
        <v>5</v>
      </c>
      <c r="H1807">
        <v>5</v>
      </c>
      <c r="I1807">
        <v>9</v>
      </c>
      <c r="J1807">
        <v>4</v>
      </c>
      <c r="K1807">
        <v>0</v>
      </c>
      <c r="L1807">
        <v>537</v>
      </c>
      <c r="M1807">
        <v>45</v>
      </c>
      <c r="N1807" s="1">
        <f t="shared" si="224"/>
        <v>44938</v>
      </c>
      <c r="O1807" s="1">
        <f t="shared" si="225"/>
        <v>43101</v>
      </c>
      <c r="P1807" s="1">
        <f t="shared" si="226"/>
        <v>43252</v>
      </c>
      <c r="Q1807" s="8">
        <f t="shared" si="227"/>
        <v>0</v>
      </c>
      <c r="R1807" s="8">
        <f t="shared" si="228"/>
        <v>6</v>
      </c>
      <c r="S1807" s="8">
        <f t="shared" ca="1" si="229"/>
        <v>6</v>
      </c>
      <c r="T1807">
        <f t="shared" ca="1" si="230"/>
        <v>3.8352000000000008</v>
      </c>
      <c r="U1807" s="8">
        <f t="shared" ca="1" si="231"/>
        <v>1.1024</v>
      </c>
      <c r="V1807" s="8">
        <f ca="1">RawData[[#This Row],[Z (smoothed demand size)]]/RawData[[#This Row],[X (smoothed interval)]]</f>
        <v>3.4789550072568947</v>
      </c>
    </row>
    <row r="1808" spans="1:22">
      <c r="A1808" t="s">
        <v>44</v>
      </c>
      <c r="B1808" t="s">
        <v>39</v>
      </c>
      <c r="C1808">
        <v>24</v>
      </c>
      <c r="D1808" t="s">
        <v>18</v>
      </c>
      <c r="E1808" t="s">
        <v>16</v>
      </c>
      <c r="F1808" s="1">
        <v>43107</v>
      </c>
      <c r="G1808">
        <v>2</v>
      </c>
      <c r="H1808">
        <v>2</v>
      </c>
      <c r="I1808">
        <v>4</v>
      </c>
      <c r="J1808">
        <v>2</v>
      </c>
      <c r="K1808">
        <v>0</v>
      </c>
      <c r="L1808">
        <v>539</v>
      </c>
      <c r="M1808">
        <v>45</v>
      </c>
      <c r="N1808" s="1">
        <f t="shared" si="224"/>
        <v>44938</v>
      </c>
      <c r="O1808" s="1">
        <f t="shared" si="225"/>
        <v>43101</v>
      </c>
      <c r="P1808" s="1">
        <f t="shared" si="226"/>
        <v>43282</v>
      </c>
      <c r="Q1808" s="8">
        <f t="shared" si="227"/>
        <v>0</v>
      </c>
      <c r="R1808" s="8">
        <f t="shared" si="228"/>
        <v>7</v>
      </c>
      <c r="S1808" s="8">
        <f t="shared" ca="1" si="229"/>
        <v>7</v>
      </c>
      <c r="T1808">
        <f t="shared" ca="1" si="230"/>
        <v>3.4681600000000006</v>
      </c>
      <c r="U1808" s="8">
        <f t="shared" ca="1" si="231"/>
        <v>1.08192</v>
      </c>
      <c r="V1808" s="8">
        <f ca="1">RawData[[#This Row],[Z (smoothed demand size)]]/RawData[[#This Row],[X (smoothed interval)]]</f>
        <v>3.2055604850635913</v>
      </c>
    </row>
    <row r="1809" spans="1:22">
      <c r="A1809" t="s">
        <v>44</v>
      </c>
      <c r="B1809" t="s">
        <v>39</v>
      </c>
      <c r="C1809">
        <v>24</v>
      </c>
      <c r="D1809" t="s">
        <v>18</v>
      </c>
      <c r="E1809" t="s">
        <v>16</v>
      </c>
      <c r="F1809" s="1">
        <v>43108</v>
      </c>
      <c r="G1809">
        <v>0</v>
      </c>
      <c r="H1809">
        <v>0</v>
      </c>
      <c r="I1809">
        <v>2</v>
      </c>
      <c r="J1809">
        <v>2</v>
      </c>
      <c r="K1809">
        <v>0</v>
      </c>
      <c r="L1809">
        <v>550</v>
      </c>
      <c r="M1809">
        <v>30</v>
      </c>
      <c r="N1809" s="1">
        <f t="shared" si="224"/>
        <v>44938</v>
      </c>
      <c r="O1809" s="1">
        <f t="shared" si="225"/>
        <v>43101</v>
      </c>
      <c r="P1809" s="1">
        <f t="shared" si="226"/>
        <v>43313</v>
      </c>
      <c r="Q1809" s="8">
        <f t="shared" si="227"/>
        <v>0</v>
      </c>
      <c r="R1809" s="8">
        <f t="shared" si="228"/>
        <v>8</v>
      </c>
      <c r="S1809" s="8">
        <f t="shared" ca="1" si="229"/>
        <v>7</v>
      </c>
      <c r="T1809">
        <f t="shared" ca="1" si="230"/>
        <v>3.4681600000000006</v>
      </c>
      <c r="U1809" s="8">
        <f t="shared" ca="1" si="231"/>
        <v>1.08192</v>
      </c>
      <c r="V1809" s="8">
        <f ca="1">RawData[[#This Row],[Z (smoothed demand size)]]/RawData[[#This Row],[X (smoothed interval)]]</f>
        <v>3.2055604850635913</v>
      </c>
    </row>
    <row r="1810" spans="1:22">
      <c r="A1810" t="s">
        <v>44</v>
      </c>
      <c r="B1810" t="s">
        <v>39</v>
      </c>
      <c r="C1810">
        <v>24</v>
      </c>
      <c r="D1810" t="s">
        <v>18</v>
      </c>
      <c r="E1810" t="s">
        <v>16</v>
      </c>
      <c r="F1810" s="1">
        <v>43109</v>
      </c>
      <c r="G1810">
        <v>2</v>
      </c>
      <c r="H1810">
        <v>2</v>
      </c>
      <c r="I1810">
        <v>11</v>
      </c>
      <c r="J1810">
        <v>9</v>
      </c>
      <c r="K1810">
        <v>0</v>
      </c>
      <c r="L1810">
        <v>466</v>
      </c>
      <c r="M1810">
        <v>45</v>
      </c>
      <c r="N1810" s="1">
        <f t="shared" si="224"/>
        <v>44938</v>
      </c>
      <c r="O1810" s="1">
        <f t="shared" si="225"/>
        <v>43101</v>
      </c>
      <c r="P1810" s="1">
        <f t="shared" si="226"/>
        <v>43344</v>
      </c>
      <c r="Q1810" s="8">
        <f t="shared" si="227"/>
        <v>0</v>
      </c>
      <c r="R1810" s="8">
        <f t="shared" si="228"/>
        <v>9</v>
      </c>
      <c r="S1810" s="8">
        <f t="shared" ca="1" si="229"/>
        <v>9</v>
      </c>
      <c r="T1810">
        <f t="shared" ca="1" si="230"/>
        <v>3.1745280000000005</v>
      </c>
      <c r="U1810" s="8">
        <f t="shared" ca="1" si="231"/>
        <v>1.265536</v>
      </c>
      <c r="V1810" s="8">
        <f ca="1">RawData[[#This Row],[Z (smoothed demand size)]]/RawData[[#This Row],[X (smoothed interval)]]</f>
        <v>2.5084454333973909</v>
      </c>
    </row>
    <row r="1811" spans="1:22">
      <c r="A1811" t="s">
        <v>44</v>
      </c>
      <c r="B1811" t="s">
        <v>39</v>
      </c>
      <c r="C1811">
        <v>24</v>
      </c>
      <c r="D1811" t="s">
        <v>18</v>
      </c>
      <c r="E1811" t="s">
        <v>16</v>
      </c>
      <c r="F1811" s="1">
        <v>43110</v>
      </c>
      <c r="G1811">
        <v>4</v>
      </c>
      <c r="H1811">
        <v>4</v>
      </c>
      <c r="I1811">
        <v>9</v>
      </c>
      <c r="J1811">
        <v>5</v>
      </c>
      <c r="K1811">
        <v>0</v>
      </c>
      <c r="L1811">
        <v>462</v>
      </c>
      <c r="M1811">
        <v>15</v>
      </c>
      <c r="N1811" s="1">
        <f t="shared" si="224"/>
        <v>44938</v>
      </c>
      <c r="O1811" s="1">
        <f t="shared" si="225"/>
        <v>43101</v>
      </c>
      <c r="P1811" s="1">
        <f t="shared" si="226"/>
        <v>43374</v>
      </c>
      <c r="Q1811" s="8">
        <f t="shared" si="227"/>
        <v>0</v>
      </c>
      <c r="R1811" s="8">
        <f t="shared" si="228"/>
        <v>10</v>
      </c>
      <c r="S1811" s="8">
        <f t="shared" ca="1" si="229"/>
        <v>10</v>
      </c>
      <c r="T1811">
        <f t="shared" ca="1" si="230"/>
        <v>3.3396224000000005</v>
      </c>
      <c r="U1811" s="8">
        <f t="shared" ca="1" si="231"/>
        <v>1.2124288000000001</v>
      </c>
      <c r="V1811" s="8">
        <f ca="1">RawData[[#This Row],[Z (smoothed demand size)]]/RawData[[#This Row],[X (smoothed interval)]]</f>
        <v>2.7544895007442913</v>
      </c>
    </row>
    <row r="1812" spans="1:22">
      <c r="A1812" t="s">
        <v>44</v>
      </c>
      <c r="B1812" t="s">
        <v>39</v>
      </c>
      <c r="C1812">
        <v>24</v>
      </c>
      <c r="D1812" t="s">
        <v>18</v>
      </c>
      <c r="E1812" t="s">
        <v>16</v>
      </c>
      <c r="F1812" s="1">
        <v>43111</v>
      </c>
      <c r="G1812">
        <v>2</v>
      </c>
      <c r="H1812">
        <v>2</v>
      </c>
      <c r="I1812">
        <v>5</v>
      </c>
      <c r="J1812">
        <v>3</v>
      </c>
      <c r="K1812">
        <v>0</v>
      </c>
      <c r="L1812">
        <v>456</v>
      </c>
      <c r="M1812">
        <v>60</v>
      </c>
      <c r="N1812" s="1">
        <f t="shared" si="224"/>
        <v>44938</v>
      </c>
      <c r="O1812" s="1">
        <f t="shared" si="225"/>
        <v>43101</v>
      </c>
      <c r="P1812" s="1">
        <f t="shared" si="226"/>
        <v>43405</v>
      </c>
      <c r="Q1812" s="8">
        <f t="shared" si="227"/>
        <v>0</v>
      </c>
      <c r="R1812" s="8">
        <f t="shared" si="228"/>
        <v>11</v>
      </c>
      <c r="S1812" s="8">
        <f t="shared" ca="1" si="229"/>
        <v>11</v>
      </c>
      <c r="T1812">
        <f t="shared" ca="1" si="230"/>
        <v>3.0716979200000005</v>
      </c>
      <c r="U1812" s="8">
        <f t="shared" ca="1" si="231"/>
        <v>1.1699430400000002</v>
      </c>
      <c r="V1812" s="8">
        <f ca="1">RawData[[#This Row],[Z (smoothed demand size)]]/RawData[[#This Row],[X (smoothed interval)]]</f>
        <v>2.6255106573393521</v>
      </c>
    </row>
    <row r="1813" spans="1:22">
      <c r="A1813" t="s">
        <v>44</v>
      </c>
      <c r="B1813" t="s">
        <v>39</v>
      </c>
      <c r="C1813">
        <v>24</v>
      </c>
      <c r="D1813" t="s">
        <v>18</v>
      </c>
      <c r="E1813" t="s">
        <v>16</v>
      </c>
      <c r="F1813" s="1">
        <v>43112</v>
      </c>
      <c r="G1813">
        <v>0</v>
      </c>
      <c r="H1813">
        <v>0</v>
      </c>
      <c r="I1813">
        <v>3</v>
      </c>
      <c r="J1813">
        <v>3</v>
      </c>
      <c r="K1813">
        <v>0</v>
      </c>
      <c r="L1813">
        <v>527</v>
      </c>
      <c r="M1813">
        <v>15</v>
      </c>
      <c r="N1813" s="1">
        <f t="shared" si="224"/>
        <v>44938</v>
      </c>
      <c r="O1813" s="1">
        <f t="shared" si="225"/>
        <v>43101</v>
      </c>
      <c r="P1813" s="1">
        <f t="shared" si="226"/>
        <v>43435</v>
      </c>
      <c r="Q1813" s="8">
        <f t="shared" si="227"/>
        <v>0</v>
      </c>
      <c r="R1813" s="8">
        <f t="shared" si="228"/>
        <v>12</v>
      </c>
      <c r="S1813" s="8">
        <f t="shared" ca="1" si="229"/>
        <v>11</v>
      </c>
      <c r="T1813">
        <f t="shared" ca="1" si="230"/>
        <v>3.0716979200000005</v>
      </c>
      <c r="U1813" s="8">
        <f t="shared" ca="1" si="231"/>
        <v>1.1699430400000002</v>
      </c>
      <c r="V1813" s="8">
        <f ca="1">RawData[[#This Row],[Z (smoothed demand size)]]/RawData[[#This Row],[X (smoothed interval)]]</f>
        <v>2.6255106573393521</v>
      </c>
    </row>
    <row r="1814" spans="1:22">
      <c r="A1814" t="s">
        <v>44</v>
      </c>
      <c r="B1814" t="s">
        <v>39</v>
      </c>
      <c r="C1814">
        <v>24</v>
      </c>
      <c r="D1814" t="s">
        <v>18</v>
      </c>
      <c r="E1814" t="s">
        <v>16</v>
      </c>
      <c r="F1814" s="1">
        <v>43466</v>
      </c>
      <c r="G1814">
        <v>3</v>
      </c>
      <c r="H1814">
        <v>3</v>
      </c>
      <c r="I1814">
        <v>14</v>
      </c>
      <c r="J1814">
        <v>11</v>
      </c>
      <c r="K1814">
        <v>0</v>
      </c>
      <c r="L1814">
        <v>460</v>
      </c>
      <c r="M1814">
        <v>15</v>
      </c>
      <c r="N1814" s="1">
        <f t="shared" si="224"/>
        <v>44938</v>
      </c>
      <c r="O1814" s="1">
        <f t="shared" si="225"/>
        <v>43101</v>
      </c>
      <c r="P1814" s="1">
        <f t="shared" si="226"/>
        <v>43466</v>
      </c>
      <c r="Q1814" s="8">
        <f t="shared" si="227"/>
        <v>0</v>
      </c>
      <c r="R1814" s="8">
        <f t="shared" si="228"/>
        <v>13</v>
      </c>
      <c r="S1814" s="8">
        <f t="shared" ca="1" si="229"/>
        <v>13</v>
      </c>
      <c r="T1814">
        <f t="shared" ca="1" si="230"/>
        <v>3.0573583360000005</v>
      </c>
      <c r="U1814" s="8">
        <f t="shared" ca="1" si="231"/>
        <v>1.3359544320000003</v>
      </c>
      <c r="V1814" s="8">
        <f ca="1">RawData[[#This Row],[Z (smoothed demand size)]]/RawData[[#This Row],[X (smoothed interval)]]</f>
        <v>2.2885199246077277</v>
      </c>
    </row>
    <row r="1815" spans="1:22">
      <c r="A1815" t="s">
        <v>44</v>
      </c>
      <c r="B1815" t="s">
        <v>39</v>
      </c>
      <c r="C1815">
        <v>24</v>
      </c>
      <c r="D1815" t="s">
        <v>18</v>
      </c>
      <c r="E1815" t="s">
        <v>16</v>
      </c>
      <c r="F1815" s="1">
        <v>43467</v>
      </c>
      <c r="G1815">
        <v>4</v>
      </c>
      <c r="H1815">
        <v>4</v>
      </c>
      <c r="I1815">
        <v>11</v>
      </c>
      <c r="J1815">
        <v>7</v>
      </c>
      <c r="K1815">
        <v>0</v>
      </c>
      <c r="L1815">
        <v>467</v>
      </c>
      <c r="M1815">
        <v>15</v>
      </c>
      <c r="N1815" s="1">
        <f t="shared" si="224"/>
        <v>44938</v>
      </c>
      <c r="O1815" s="1">
        <f t="shared" si="225"/>
        <v>43101</v>
      </c>
      <c r="P1815" s="1">
        <f t="shared" si="226"/>
        <v>43497</v>
      </c>
      <c r="Q1815" s="8">
        <f t="shared" si="227"/>
        <v>0</v>
      </c>
      <c r="R1815" s="8">
        <f t="shared" si="228"/>
        <v>14</v>
      </c>
      <c r="S1815" s="8">
        <f t="shared" ca="1" si="229"/>
        <v>14</v>
      </c>
      <c r="T1815">
        <f t="shared" ca="1" si="230"/>
        <v>3.2458866688000008</v>
      </c>
      <c r="U1815" s="8">
        <f t="shared" ca="1" si="231"/>
        <v>1.2687635456000002</v>
      </c>
      <c r="V1815" s="8">
        <f ca="1">RawData[[#This Row],[Z (smoothed demand size)]]/RawData[[#This Row],[X (smoothed interval)]]</f>
        <v>2.558307006893878</v>
      </c>
    </row>
    <row r="1816" spans="1:22">
      <c r="A1816" t="s">
        <v>44</v>
      </c>
      <c r="B1816" t="s">
        <v>39</v>
      </c>
      <c r="C1816">
        <v>24</v>
      </c>
      <c r="D1816" t="s">
        <v>18</v>
      </c>
      <c r="E1816" t="s">
        <v>16</v>
      </c>
      <c r="F1816" s="1">
        <v>43468</v>
      </c>
      <c r="G1816">
        <v>6</v>
      </c>
      <c r="H1816">
        <v>6</v>
      </c>
      <c r="I1816">
        <v>7</v>
      </c>
      <c r="J1816">
        <v>1</v>
      </c>
      <c r="K1816">
        <v>0</v>
      </c>
      <c r="L1816">
        <v>462</v>
      </c>
      <c r="M1816">
        <v>45</v>
      </c>
      <c r="N1816" s="1">
        <f t="shared" si="224"/>
        <v>44938</v>
      </c>
      <c r="O1816" s="1">
        <f t="shared" si="225"/>
        <v>43101</v>
      </c>
      <c r="P1816" s="1">
        <f t="shared" si="226"/>
        <v>43525</v>
      </c>
      <c r="Q1816" s="8">
        <f t="shared" si="227"/>
        <v>0</v>
      </c>
      <c r="R1816" s="8">
        <f t="shared" si="228"/>
        <v>15</v>
      </c>
      <c r="S1816" s="8">
        <f t="shared" ca="1" si="229"/>
        <v>15</v>
      </c>
      <c r="T1816">
        <f t="shared" ca="1" si="230"/>
        <v>3.796709335040001</v>
      </c>
      <c r="U1816" s="8">
        <f t="shared" ca="1" si="231"/>
        <v>1.2150108364800001</v>
      </c>
      <c r="V1816" s="8">
        <f ca="1">RawData[[#This Row],[Z (smoothed demand size)]]/RawData[[#This Row],[X (smoothed interval)]]</f>
        <v>3.1248357800984086</v>
      </c>
    </row>
    <row r="1817" spans="1:22">
      <c r="A1817" t="s">
        <v>44</v>
      </c>
      <c r="B1817" t="s">
        <v>39</v>
      </c>
      <c r="C1817">
        <v>24</v>
      </c>
      <c r="D1817" t="s">
        <v>18</v>
      </c>
      <c r="E1817" t="s">
        <v>16</v>
      </c>
      <c r="F1817" s="1">
        <v>43469</v>
      </c>
      <c r="G1817">
        <v>0</v>
      </c>
      <c r="H1817">
        <v>0</v>
      </c>
      <c r="I1817">
        <v>1</v>
      </c>
      <c r="J1817">
        <v>1</v>
      </c>
      <c r="K1817">
        <v>0</v>
      </c>
      <c r="L1817">
        <v>465</v>
      </c>
      <c r="M1817">
        <v>45</v>
      </c>
      <c r="N1817" s="1">
        <f t="shared" si="224"/>
        <v>44938</v>
      </c>
      <c r="O1817" s="1">
        <f t="shared" si="225"/>
        <v>43101</v>
      </c>
      <c r="P1817" s="1">
        <f t="shared" si="226"/>
        <v>43556</v>
      </c>
      <c r="Q1817" s="8">
        <f t="shared" si="227"/>
        <v>0</v>
      </c>
      <c r="R1817" s="8">
        <f t="shared" si="228"/>
        <v>16</v>
      </c>
      <c r="S1817" s="8">
        <f t="shared" ca="1" si="229"/>
        <v>15</v>
      </c>
      <c r="T1817">
        <f t="shared" ca="1" si="230"/>
        <v>3.796709335040001</v>
      </c>
      <c r="U1817" s="8">
        <f t="shared" ca="1" si="231"/>
        <v>1.2150108364800001</v>
      </c>
      <c r="V1817" s="8">
        <f ca="1">RawData[[#This Row],[Z (smoothed demand size)]]/RawData[[#This Row],[X (smoothed interval)]]</f>
        <v>3.1248357800984086</v>
      </c>
    </row>
    <row r="1818" spans="1:22">
      <c r="A1818" t="s">
        <v>44</v>
      </c>
      <c r="B1818" t="s">
        <v>39</v>
      </c>
      <c r="C1818">
        <v>24</v>
      </c>
      <c r="D1818" t="s">
        <v>18</v>
      </c>
      <c r="E1818" t="s">
        <v>16</v>
      </c>
      <c r="F1818" s="1">
        <v>43470</v>
      </c>
      <c r="G1818">
        <v>4</v>
      </c>
      <c r="H1818">
        <v>4</v>
      </c>
      <c r="I1818">
        <v>11</v>
      </c>
      <c r="J1818">
        <v>7</v>
      </c>
      <c r="K1818">
        <v>0</v>
      </c>
      <c r="L1818">
        <v>460</v>
      </c>
      <c r="M1818">
        <v>15</v>
      </c>
      <c r="N1818" s="1">
        <f t="shared" si="224"/>
        <v>44938</v>
      </c>
      <c r="O1818" s="1">
        <f t="shared" si="225"/>
        <v>43101</v>
      </c>
      <c r="P1818" s="1">
        <f t="shared" si="226"/>
        <v>43586</v>
      </c>
      <c r="Q1818" s="8">
        <f t="shared" si="227"/>
        <v>0</v>
      </c>
      <c r="R1818" s="8">
        <f t="shared" si="228"/>
        <v>17</v>
      </c>
      <c r="S1818" s="8">
        <f t="shared" ca="1" si="229"/>
        <v>17</v>
      </c>
      <c r="T1818">
        <f t="shared" ca="1" si="230"/>
        <v>3.8373674680320011</v>
      </c>
      <c r="U1818" s="8">
        <f t="shared" ca="1" si="231"/>
        <v>1.3720086691840001</v>
      </c>
      <c r="V1818" s="8">
        <f ca="1">RawData[[#This Row],[Z (smoothed demand size)]]/RawData[[#This Row],[X (smoothed interval)]]</f>
        <v>2.7968973915553095</v>
      </c>
    </row>
    <row r="1819" spans="1:22">
      <c r="A1819" t="s">
        <v>44</v>
      </c>
      <c r="B1819" t="s">
        <v>39</v>
      </c>
      <c r="C1819">
        <v>24</v>
      </c>
      <c r="D1819" t="s">
        <v>18</v>
      </c>
      <c r="E1819" t="s">
        <v>16</v>
      </c>
      <c r="F1819" s="1">
        <v>43471</v>
      </c>
      <c r="G1819">
        <v>0</v>
      </c>
      <c r="H1819">
        <v>0</v>
      </c>
      <c r="I1819">
        <v>7</v>
      </c>
      <c r="J1819">
        <v>7</v>
      </c>
      <c r="K1819">
        <v>0</v>
      </c>
      <c r="L1819">
        <v>536</v>
      </c>
      <c r="M1819">
        <v>15</v>
      </c>
      <c r="N1819" s="1">
        <f t="shared" si="224"/>
        <v>44938</v>
      </c>
      <c r="O1819" s="1">
        <f t="shared" si="225"/>
        <v>43101</v>
      </c>
      <c r="P1819" s="1">
        <f t="shared" si="226"/>
        <v>43617</v>
      </c>
      <c r="Q1819" s="8">
        <f t="shared" si="227"/>
        <v>0</v>
      </c>
      <c r="R1819" s="8">
        <f t="shared" si="228"/>
        <v>18</v>
      </c>
      <c r="S1819" s="8">
        <f t="shared" ca="1" si="229"/>
        <v>17</v>
      </c>
      <c r="T1819">
        <f t="shared" ca="1" si="230"/>
        <v>3.8373674680320011</v>
      </c>
      <c r="U1819" s="8">
        <f t="shared" ca="1" si="231"/>
        <v>1.3720086691840001</v>
      </c>
      <c r="V1819" s="8">
        <f ca="1">RawData[[#This Row],[Z (smoothed demand size)]]/RawData[[#This Row],[X (smoothed interval)]]</f>
        <v>2.7968973915553095</v>
      </c>
    </row>
    <row r="1820" spans="1:22">
      <c r="A1820" t="s">
        <v>44</v>
      </c>
      <c r="B1820" t="s">
        <v>39</v>
      </c>
      <c r="C1820">
        <v>24</v>
      </c>
      <c r="D1820" t="s">
        <v>18</v>
      </c>
      <c r="E1820" t="s">
        <v>16</v>
      </c>
      <c r="F1820" s="1">
        <v>43472</v>
      </c>
      <c r="G1820">
        <v>4</v>
      </c>
      <c r="H1820">
        <v>4</v>
      </c>
      <c r="I1820">
        <v>7</v>
      </c>
      <c r="J1820">
        <v>3</v>
      </c>
      <c r="K1820">
        <v>0</v>
      </c>
      <c r="L1820">
        <v>538</v>
      </c>
      <c r="M1820">
        <v>60</v>
      </c>
      <c r="N1820" s="1">
        <f t="shared" si="224"/>
        <v>44938</v>
      </c>
      <c r="O1820" s="1">
        <f t="shared" si="225"/>
        <v>43101</v>
      </c>
      <c r="P1820" s="1">
        <f t="shared" si="226"/>
        <v>43647</v>
      </c>
      <c r="Q1820" s="8">
        <f t="shared" si="227"/>
        <v>0</v>
      </c>
      <c r="R1820" s="8">
        <f t="shared" si="228"/>
        <v>19</v>
      </c>
      <c r="S1820" s="8">
        <f t="shared" ca="1" si="229"/>
        <v>19</v>
      </c>
      <c r="T1820">
        <f t="shared" ca="1" si="230"/>
        <v>3.8698939744256009</v>
      </c>
      <c r="U1820" s="8">
        <f t="shared" ca="1" si="231"/>
        <v>1.4976069353472004</v>
      </c>
      <c r="V1820" s="8">
        <f ca="1">RawData[[#This Row],[Z (smoothed demand size)]]/RawData[[#This Row],[X (smoothed interval)]]</f>
        <v>2.5840518517152948</v>
      </c>
    </row>
    <row r="1821" spans="1:22">
      <c r="A1821" t="s">
        <v>44</v>
      </c>
      <c r="B1821" t="s">
        <v>39</v>
      </c>
      <c r="C1821">
        <v>24</v>
      </c>
      <c r="D1821" t="s">
        <v>18</v>
      </c>
      <c r="E1821" t="s">
        <v>16</v>
      </c>
      <c r="F1821" s="1">
        <v>43473</v>
      </c>
      <c r="G1821">
        <v>2</v>
      </c>
      <c r="H1821">
        <v>2</v>
      </c>
      <c r="I1821">
        <v>3</v>
      </c>
      <c r="J1821">
        <v>1</v>
      </c>
      <c r="K1821">
        <v>0</v>
      </c>
      <c r="L1821">
        <v>531</v>
      </c>
      <c r="M1821">
        <v>30</v>
      </c>
      <c r="N1821" s="1">
        <f t="shared" si="224"/>
        <v>44938</v>
      </c>
      <c r="O1821" s="1">
        <f t="shared" si="225"/>
        <v>43101</v>
      </c>
      <c r="P1821" s="1">
        <f t="shared" si="226"/>
        <v>43678</v>
      </c>
      <c r="Q1821" s="8">
        <f t="shared" si="227"/>
        <v>0</v>
      </c>
      <c r="R1821" s="8">
        <f t="shared" si="228"/>
        <v>20</v>
      </c>
      <c r="S1821" s="8">
        <f t="shared" ca="1" si="229"/>
        <v>20</v>
      </c>
      <c r="T1821">
        <f t="shared" ca="1" si="230"/>
        <v>3.4959151795404808</v>
      </c>
      <c r="U1821" s="8">
        <f t="shared" ca="1" si="231"/>
        <v>1.3980855482777603</v>
      </c>
      <c r="V1821" s="8">
        <f ca="1">RawData[[#This Row],[Z (smoothed demand size)]]/RawData[[#This Row],[X (smoothed interval)]]</f>
        <v>2.5005016208392568</v>
      </c>
    </row>
    <row r="1822" spans="1:22">
      <c r="A1822" t="s">
        <v>44</v>
      </c>
      <c r="B1822" t="s">
        <v>39</v>
      </c>
      <c r="C1822">
        <v>24</v>
      </c>
      <c r="D1822" t="s">
        <v>18</v>
      </c>
      <c r="E1822" t="s">
        <v>16</v>
      </c>
      <c r="F1822" s="1">
        <v>43474</v>
      </c>
      <c r="G1822">
        <v>3</v>
      </c>
      <c r="H1822">
        <v>3</v>
      </c>
      <c r="I1822">
        <v>10</v>
      </c>
      <c r="J1822">
        <v>7</v>
      </c>
      <c r="K1822">
        <v>0</v>
      </c>
      <c r="L1822">
        <v>466</v>
      </c>
      <c r="M1822">
        <v>15</v>
      </c>
      <c r="N1822" s="1">
        <f t="shared" si="224"/>
        <v>44938</v>
      </c>
      <c r="O1822" s="1">
        <f t="shared" si="225"/>
        <v>43101</v>
      </c>
      <c r="P1822" s="1">
        <f t="shared" si="226"/>
        <v>43709</v>
      </c>
      <c r="Q1822" s="8">
        <f t="shared" si="227"/>
        <v>0</v>
      </c>
      <c r="R1822" s="8">
        <f t="shared" si="228"/>
        <v>21</v>
      </c>
      <c r="S1822" s="8">
        <f t="shared" ca="1" si="229"/>
        <v>21</v>
      </c>
      <c r="T1822">
        <f t="shared" ca="1" si="230"/>
        <v>3.3967321436323847</v>
      </c>
      <c r="U1822" s="8">
        <f t="shared" ca="1" si="231"/>
        <v>1.3184684386222083</v>
      </c>
      <c r="V1822" s="8">
        <f ca="1">RawData[[#This Row],[Z (smoothed demand size)]]/RawData[[#This Row],[X (smoothed interval)]]</f>
        <v>2.5762711067865602</v>
      </c>
    </row>
    <row r="1823" spans="1:22">
      <c r="A1823" t="s">
        <v>44</v>
      </c>
      <c r="B1823" t="s">
        <v>39</v>
      </c>
      <c r="C1823">
        <v>24</v>
      </c>
      <c r="D1823" t="s">
        <v>18</v>
      </c>
      <c r="E1823" t="s">
        <v>16</v>
      </c>
      <c r="F1823" s="1">
        <v>43475</v>
      </c>
      <c r="G1823">
        <v>0</v>
      </c>
      <c r="H1823">
        <v>0</v>
      </c>
      <c r="I1823">
        <v>7</v>
      </c>
      <c r="J1823">
        <v>7</v>
      </c>
      <c r="K1823">
        <v>0</v>
      </c>
      <c r="L1823">
        <v>462</v>
      </c>
      <c r="M1823">
        <v>15</v>
      </c>
      <c r="N1823" s="1">
        <f t="shared" si="224"/>
        <v>44938</v>
      </c>
      <c r="O1823" s="1">
        <f t="shared" si="225"/>
        <v>43101</v>
      </c>
      <c r="P1823" s="1">
        <f t="shared" si="226"/>
        <v>43739</v>
      </c>
      <c r="Q1823" s="8">
        <f t="shared" si="227"/>
        <v>0</v>
      </c>
      <c r="R1823" s="8">
        <f t="shared" si="228"/>
        <v>22</v>
      </c>
      <c r="S1823" s="8">
        <f t="shared" ca="1" si="229"/>
        <v>21</v>
      </c>
      <c r="T1823">
        <f t="shared" ca="1" si="230"/>
        <v>3.3967321436323847</v>
      </c>
      <c r="U1823" s="8">
        <f t="shared" ca="1" si="231"/>
        <v>1.3184684386222083</v>
      </c>
      <c r="V1823" s="8">
        <f ca="1">RawData[[#This Row],[Z (smoothed demand size)]]/RawData[[#This Row],[X (smoothed interval)]]</f>
        <v>2.5762711067865602</v>
      </c>
    </row>
    <row r="1824" spans="1:22">
      <c r="A1824" t="s">
        <v>44</v>
      </c>
      <c r="B1824" t="s">
        <v>39</v>
      </c>
      <c r="C1824">
        <v>24</v>
      </c>
      <c r="D1824" t="s">
        <v>18</v>
      </c>
      <c r="E1824" t="s">
        <v>16</v>
      </c>
      <c r="F1824" s="1">
        <v>43476</v>
      </c>
      <c r="G1824">
        <v>1</v>
      </c>
      <c r="H1824">
        <v>1</v>
      </c>
      <c r="I1824">
        <v>7</v>
      </c>
      <c r="J1824">
        <v>6</v>
      </c>
      <c r="K1824">
        <v>0</v>
      </c>
      <c r="L1824">
        <v>458</v>
      </c>
      <c r="M1824">
        <v>45</v>
      </c>
      <c r="N1824" s="1">
        <f t="shared" si="224"/>
        <v>44938</v>
      </c>
      <c r="O1824" s="1">
        <f t="shared" si="225"/>
        <v>43101</v>
      </c>
      <c r="P1824" s="1">
        <f t="shared" si="226"/>
        <v>43770</v>
      </c>
      <c r="Q1824" s="8">
        <f t="shared" si="227"/>
        <v>0</v>
      </c>
      <c r="R1824" s="8">
        <f t="shared" si="228"/>
        <v>23</v>
      </c>
      <c r="S1824" s="8">
        <f t="shared" ca="1" si="229"/>
        <v>23</v>
      </c>
      <c r="T1824">
        <f t="shared" ca="1" si="230"/>
        <v>2.9173857149059081</v>
      </c>
      <c r="U1824" s="8">
        <f t="shared" ca="1" si="231"/>
        <v>1.4547747508977666</v>
      </c>
      <c r="V1824" s="8">
        <f ca="1">RawData[[#This Row],[Z (smoothed demand size)]]/RawData[[#This Row],[X (smoothed interval)]]</f>
        <v>2.0053865473713639</v>
      </c>
    </row>
    <row r="1825" spans="1:22">
      <c r="A1825" t="s">
        <v>44</v>
      </c>
      <c r="B1825" t="s">
        <v>39</v>
      </c>
      <c r="C1825">
        <v>24</v>
      </c>
      <c r="D1825" t="s">
        <v>18</v>
      </c>
      <c r="E1825" t="s">
        <v>16</v>
      </c>
      <c r="F1825" s="1">
        <v>43477</v>
      </c>
      <c r="G1825">
        <v>0</v>
      </c>
      <c r="H1825">
        <v>0</v>
      </c>
      <c r="I1825">
        <v>6</v>
      </c>
      <c r="J1825">
        <v>6</v>
      </c>
      <c r="K1825">
        <v>0</v>
      </c>
      <c r="L1825">
        <v>536</v>
      </c>
      <c r="M1825">
        <v>60</v>
      </c>
      <c r="N1825" s="1">
        <f t="shared" si="224"/>
        <v>44938</v>
      </c>
      <c r="O1825" s="1">
        <f t="shared" si="225"/>
        <v>43101</v>
      </c>
      <c r="P1825" s="1">
        <f t="shared" si="226"/>
        <v>43800</v>
      </c>
      <c r="Q1825" s="8">
        <f t="shared" si="227"/>
        <v>0</v>
      </c>
      <c r="R1825" s="8">
        <f t="shared" si="228"/>
        <v>24</v>
      </c>
      <c r="S1825" s="8">
        <f t="shared" ca="1" si="229"/>
        <v>23</v>
      </c>
      <c r="T1825">
        <f t="shared" ca="1" si="230"/>
        <v>2.9173857149059081</v>
      </c>
      <c r="U1825" s="8">
        <f t="shared" ca="1" si="231"/>
        <v>1.4547747508977666</v>
      </c>
      <c r="V1825" s="8">
        <f ca="1">RawData[[#This Row],[Z (smoothed demand size)]]/RawData[[#This Row],[X (smoothed interval)]]</f>
        <v>2.0053865473713639</v>
      </c>
    </row>
    <row r="1826" spans="1:22">
      <c r="A1826" t="s">
        <v>44</v>
      </c>
      <c r="B1826" t="s">
        <v>39</v>
      </c>
      <c r="C1826">
        <v>24</v>
      </c>
      <c r="D1826" t="s">
        <v>18</v>
      </c>
      <c r="E1826" t="s">
        <v>16</v>
      </c>
      <c r="F1826" s="1">
        <v>43831</v>
      </c>
      <c r="G1826">
        <v>3</v>
      </c>
      <c r="H1826">
        <v>3</v>
      </c>
      <c r="I1826">
        <v>6</v>
      </c>
      <c r="J1826">
        <v>3</v>
      </c>
      <c r="K1826">
        <v>0</v>
      </c>
      <c r="L1826">
        <v>464</v>
      </c>
      <c r="M1826">
        <v>30</v>
      </c>
      <c r="N1826" s="1">
        <f t="shared" si="224"/>
        <v>44938</v>
      </c>
      <c r="O1826" s="1">
        <f t="shared" si="225"/>
        <v>43101</v>
      </c>
      <c r="P1826" s="1">
        <f t="shared" si="226"/>
        <v>43831</v>
      </c>
      <c r="Q1826" s="8">
        <f t="shared" si="227"/>
        <v>0</v>
      </c>
      <c r="R1826" s="8">
        <f t="shared" si="228"/>
        <v>25</v>
      </c>
      <c r="S1826" s="8">
        <f t="shared" ca="1" si="229"/>
        <v>25</v>
      </c>
      <c r="T1826">
        <f t="shared" ca="1" si="230"/>
        <v>2.9339085719247269</v>
      </c>
      <c r="U1826" s="8">
        <f t="shared" ca="1" si="231"/>
        <v>1.5638198007182136</v>
      </c>
      <c r="V1826" s="8">
        <f ca="1">RawData[[#This Row],[Z (smoothed demand size)]]/RawData[[#This Row],[X (smoothed interval)]]</f>
        <v>1.8761167818550926</v>
      </c>
    </row>
    <row r="1827" spans="1:22">
      <c r="A1827" t="s">
        <v>44</v>
      </c>
      <c r="B1827" t="s">
        <v>39</v>
      </c>
      <c r="C1827">
        <v>24</v>
      </c>
      <c r="D1827" t="s">
        <v>18</v>
      </c>
      <c r="E1827" t="s">
        <v>16</v>
      </c>
      <c r="F1827" s="1">
        <v>43832</v>
      </c>
      <c r="G1827">
        <v>0</v>
      </c>
      <c r="H1827">
        <v>0</v>
      </c>
      <c r="I1827">
        <v>11</v>
      </c>
      <c r="J1827">
        <v>11</v>
      </c>
      <c r="K1827">
        <v>0</v>
      </c>
      <c r="L1827">
        <v>465</v>
      </c>
      <c r="M1827">
        <v>30</v>
      </c>
      <c r="N1827" s="1">
        <f t="shared" si="224"/>
        <v>44938</v>
      </c>
      <c r="O1827" s="1">
        <f t="shared" si="225"/>
        <v>43101</v>
      </c>
      <c r="P1827" s="1">
        <f t="shared" si="226"/>
        <v>43862</v>
      </c>
      <c r="Q1827" s="8">
        <f t="shared" si="227"/>
        <v>0</v>
      </c>
      <c r="R1827" s="8">
        <f t="shared" si="228"/>
        <v>26</v>
      </c>
      <c r="S1827" s="8">
        <f t="shared" ca="1" si="229"/>
        <v>25</v>
      </c>
      <c r="T1827">
        <f t="shared" ca="1" si="230"/>
        <v>2.9339085719247269</v>
      </c>
      <c r="U1827" s="8">
        <f t="shared" ca="1" si="231"/>
        <v>1.5638198007182136</v>
      </c>
      <c r="V1827" s="8">
        <f ca="1">RawData[[#This Row],[Z (smoothed demand size)]]/RawData[[#This Row],[X (smoothed interval)]]</f>
        <v>1.8761167818550926</v>
      </c>
    </row>
    <row r="1828" spans="1:22">
      <c r="A1828" t="s">
        <v>44</v>
      </c>
      <c r="B1828" t="s">
        <v>39</v>
      </c>
      <c r="C1828">
        <v>24</v>
      </c>
      <c r="D1828" t="s">
        <v>18</v>
      </c>
      <c r="E1828" t="s">
        <v>16</v>
      </c>
      <c r="F1828" s="1">
        <v>43833</v>
      </c>
      <c r="G1828">
        <v>1</v>
      </c>
      <c r="H1828">
        <v>1</v>
      </c>
      <c r="I1828">
        <v>11</v>
      </c>
      <c r="J1828">
        <v>10</v>
      </c>
      <c r="K1828">
        <v>0</v>
      </c>
      <c r="L1828">
        <v>467</v>
      </c>
      <c r="M1828">
        <v>30</v>
      </c>
      <c r="N1828" s="1">
        <f t="shared" si="224"/>
        <v>44938</v>
      </c>
      <c r="O1828" s="1">
        <f t="shared" si="225"/>
        <v>43101</v>
      </c>
      <c r="P1828" s="1">
        <f t="shared" si="226"/>
        <v>43891</v>
      </c>
      <c r="Q1828" s="8">
        <f t="shared" si="227"/>
        <v>0</v>
      </c>
      <c r="R1828" s="8">
        <f t="shared" si="228"/>
        <v>27</v>
      </c>
      <c r="S1828" s="8">
        <f t="shared" ca="1" si="229"/>
        <v>27</v>
      </c>
      <c r="T1828">
        <f t="shared" ca="1" si="230"/>
        <v>2.5471268575397819</v>
      </c>
      <c r="U1828" s="8">
        <f t="shared" ca="1" si="231"/>
        <v>1.6510558405745708</v>
      </c>
      <c r="V1828" s="8">
        <f ca="1">RawData[[#This Row],[Z (smoothed demand size)]]/RawData[[#This Row],[X (smoothed interval)]]</f>
        <v>1.5427260513813854</v>
      </c>
    </row>
    <row r="1829" spans="1:22">
      <c r="A1829" t="s">
        <v>44</v>
      </c>
      <c r="B1829" t="s">
        <v>39</v>
      </c>
      <c r="C1829">
        <v>24</v>
      </c>
      <c r="D1829" t="s">
        <v>18</v>
      </c>
      <c r="E1829" t="s">
        <v>16</v>
      </c>
      <c r="F1829" s="1">
        <v>43834</v>
      </c>
      <c r="G1829">
        <v>4</v>
      </c>
      <c r="H1829">
        <v>4</v>
      </c>
      <c r="I1829">
        <v>10</v>
      </c>
      <c r="J1829">
        <v>6</v>
      </c>
      <c r="K1829">
        <v>0</v>
      </c>
      <c r="L1829">
        <v>461</v>
      </c>
      <c r="M1829">
        <v>60</v>
      </c>
      <c r="N1829" s="1">
        <f t="shared" si="224"/>
        <v>44938</v>
      </c>
      <c r="O1829" s="1">
        <f t="shared" si="225"/>
        <v>43101</v>
      </c>
      <c r="P1829" s="1">
        <f t="shared" si="226"/>
        <v>43922</v>
      </c>
      <c r="Q1829" s="8">
        <f t="shared" si="227"/>
        <v>0</v>
      </c>
      <c r="R1829" s="8">
        <f t="shared" si="228"/>
        <v>28</v>
      </c>
      <c r="S1829" s="8">
        <f t="shared" ca="1" si="229"/>
        <v>28</v>
      </c>
      <c r="T1829">
        <f t="shared" ca="1" si="230"/>
        <v>2.8377014860318255</v>
      </c>
      <c r="U1829" s="8">
        <f t="shared" ca="1" si="231"/>
        <v>1.5208446724596567</v>
      </c>
      <c r="V1829" s="8">
        <f ca="1">RawData[[#This Row],[Z (smoothed demand size)]]/RawData[[#This Row],[X (smoothed interval)]]</f>
        <v>1.8658719969360322</v>
      </c>
    </row>
    <row r="1830" spans="1:22">
      <c r="A1830" t="s">
        <v>44</v>
      </c>
      <c r="B1830" t="s">
        <v>39</v>
      </c>
      <c r="C1830">
        <v>24</v>
      </c>
      <c r="D1830" t="s">
        <v>18</v>
      </c>
      <c r="E1830" t="s">
        <v>16</v>
      </c>
      <c r="F1830" s="1">
        <v>43835</v>
      </c>
      <c r="G1830">
        <v>4</v>
      </c>
      <c r="H1830">
        <v>4</v>
      </c>
      <c r="I1830">
        <v>6</v>
      </c>
      <c r="J1830">
        <v>2</v>
      </c>
      <c r="K1830">
        <v>0</v>
      </c>
      <c r="L1830">
        <v>461</v>
      </c>
      <c r="M1830">
        <v>30</v>
      </c>
      <c r="N1830" s="1">
        <f t="shared" si="224"/>
        <v>44938</v>
      </c>
      <c r="O1830" s="1">
        <f t="shared" si="225"/>
        <v>43101</v>
      </c>
      <c r="P1830" s="1">
        <f t="shared" si="226"/>
        <v>43952</v>
      </c>
      <c r="Q1830" s="8">
        <f t="shared" si="227"/>
        <v>0</v>
      </c>
      <c r="R1830" s="8">
        <f t="shared" si="228"/>
        <v>29</v>
      </c>
      <c r="S1830" s="8">
        <f t="shared" ca="1" si="229"/>
        <v>29</v>
      </c>
      <c r="T1830">
        <f t="shared" ca="1" si="230"/>
        <v>3.0701611888254607</v>
      </c>
      <c r="U1830" s="8">
        <f t="shared" ca="1" si="231"/>
        <v>1.4166757379677255</v>
      </c>
      <c r="V1830" s="8">
        <f ca="1">RawData[[#This Row],[Z (smoothed demand size)]]/RawData[[#This Row],[X (smoothed interval)]]</f>
        <v>2.1671587269714396</v>
      </c>
    </row>
    <row r="1831" spans="1:22">
      <c r="A1831" t="s">
        <v>44</v>
      </c>
      <c r="B1831" t="s">
        <v>39</v>
      </c>
      <c r="C1831">
        <v>24</v>
      </c>
      <c r="D1831" t="s">
        <v>18</v>
      </c>
      <c r="E1831" t="s">
        <v>16</v>
      </c>
      <c r="F1831" s="1">
        <v>43836</v>
      </c>
      <c r="G1831">
        <v>0</v>
      </c>
      <c r="H1831">
        <v>0</v>
      </c>
      <c r="I1831">
        <v>13</v>
      </c>
      <c r="J1831">
        <v>13</v>
      </c>
      <c r="K1831">
        <v>0</v>
      </c>
      <c r="L1831">
        <v>530</v>
      </c>
      <c r="M1831">
        <v>60</v>
      </c>
      <c r="N1831" s="1">
        <f t="shared" si="224"/>
        <v>44938</v>
      </c>
      <c r="O1831" s="1">
        <f t="shared" si="225"/>
        <v>43101</v>
      </c>
      <c r="P1831" s="1">
        <f t="shared" si="226"/>
        <v>43983</v>
      </c>
      <c r="Q1831" s="8">
        <f t="shared" si="227"/>
        <v>0</v>
      </c>
      <c r="R1831" s="8">
        <f t="shared" si="228"/>
        <v>30</v>
      </c>
      <c r="S1831" s="8">
        <f t="shared" ca="1" si="229"/>
        <v>29</v>
      </c>
      <c r="T1831">
        <f t="shared" ca="1" si="230"/>
        <v>3.0701611888254607</v>
      </c>
      <c r="U1831" s="8">
        <f t="shared" ca="1" si="231"/>
        <v>1.4166757379677255</v>
      </c>
      <c r="V1831" s="8">
        <f ca="1">RawData[[#This Row],[Z (smoothed demand size)]]/RawData[[#This Row],[X (smoothed interval)]]</f>
        <v>2.1671587269714396</v>
      </c>
    </row>
    <row r="1832" spans="1:22">
      <c r="A1832" t="s">
        <v>44</v>
      </c>
      <c r="B1832" t="s">
        <v>39</v>
      </c>
      <c r="C1832">
        <v>24</v>
      </c>
      <c r="D1832" t="s">
        <v>18</v>
      </c>
      <c r="E1832" t="s">
        <v>16</v>
      </c>
      <c r="F1832" s="1">
        <v>43837</v>
      </c>
      <c r="G1832">
        <v>0</v>
      </c>
      <c r="H1832">
        <v>0</v>
      </c>
      <c r="I1832">
        <v>13</v>
      </c>
      <c r="J1832">
        <v>13</v>
      </c>
      <c r="K1832">
        <v>0</v>
      </c>
      <c r="L1832">
        <v>533</v>
      </c>
      <c r="M1832">
        <v>45</v>
      </c>
      <c r="N1832" s="1">
        <f t="shared" si="224"/>
        <v>44938</v>
      </c>
      <c r="O1832" s="1">
        <f t="shared" si="225"/>
        <v>43101</v>
      </c>
      <c r="P1832" s="1">
        <f t="shared" si="226"/>
        <v>44013</v>
      </c>
      <c r="Q1832" s="8">
        <f t="shared" si="227"/>
        <v>0</v>
      </c>
      <c r="R1832" s="8">
        <f t="shared" si="228"/>
        <v>31</v>
      </c>
      <c r="S1832" s="8">
        <f t="shared" ca="1" si="229"/>
        <v>29</v>
      </c>
      <c r="T1832">
        <f t="shared" ca="1" si="230"/>
        <v>3.0701611888254607</v>
      </c>
      <c r="U1832" s="8">
        <f t="shared" ca="1" si="231"/>
        <v>1.4166757379677255</v>
      </c>
      <c r="V1832" s="8">
        <f ca="1">RawData[[#This Row],[Z (smoothed demand size)]]/RawData[[#This Row],[X (smoothed interval)]]</f>
        <v>2.1671587269714396</v>
      </c>
    </row>
    <row r="1833" spans="1:22">
      <c r="A1833" t="s">
        <v>44</v>
      </c>
      <c r="B1833" t="s">
        <v>39</v>
      </c>
      <c r="C1833">
        <v>24</v>
      </c>
      <c r="D1833" t="s">
        <v>18</v>
      </c>
      <c r="E1833" t="s">
        <v>16</v>
      </c>
      <c r="F1833" s="1">
        <v>43838</v>
      </c>
      <c r="G1833">
        <v>3</v>
      </c>
      <c r="H1833">
        <v>3</v>
      </c>
      <c r="I1833">
        <v>13</v>
      </c>
      <c r="J1833">
        <v>10</v>
      </c>
      <c r="K1833">
        <v>0</v>
      </c>
      <c r="L1833">
        <v>531</v>
      </c>
      <c r="M1833">
        <v>30</v>
      </c>
      <c r="N1833" s="1">
        <f t="shared" si="224"/>
        <v>44938</v>
      </c>
      <c r="O1833" s="1">
        <f t="shared" si="225"/>
        <v>43101</v>
      </c>
      <c r="P1833" s="1">
        <f t="shared" si="226"/>
        <v>44044</v>
      </c>
      <c r="Q1833" s="8">
        <f t="shared" si="227"/>
        <v>0</v>
      </c>
      <c r="R1833" s="8">
        <f t="shared" si="228"/>
        <v>32</v>
      </c>
      <c r="S1833" s="8">
        <f t="shared" ca="1" si="229"/>
        <v>32</v>
      </c>
      <c r="T1833">
        <f t="shared" ca="1" si="230"/>
        <v>3.0561289510603689</v>
      </c>
      <c r="U1833" s="8">
        <f t="shared" ca="1" si="231"/>
        <v>1.7333405903741805</v>
      </c>
      <c r="V1833" s="8">
        <f ca="1">RawData[[#This Row],[Z (smoothed demand size)]]/RawData[[#This Row],[X (smoothed interval)]]</f>
        <v>1.7631439360689261</v>
      </c>
    </row>
    <row r="1834" spans="1:22">
      <c r="A1834" t="s">
        <v>44</v>
      </c>
      <c r="B1834" t="s">
        <v>39</v>
      </c>
      <c r="C1834">
        <v>24</v>
      </c>
      <c r="D1834" t="s">
        <v>18</v>
      </c>
      <c r="E1834" t="s">
        <v>16</v>
      </c>
      <c r="F1834" s="1">
        <v>43839</v>
      </c>
      <c r="G1834">
        <v>0</v>
      </c>
      <c r="H1834">
        <v>0</v>
      </c>
      <c r="I1834">
        <v>10</v>
      </c>
      <c r="J1834">
        <v>10</v>
      </c>
      <c r="K1834">
        <v>0</v>
      </c>
      <c r="L1834">
        <v>463</v>
      </c>
      <c r="M1834">
        <v>60</v>
      </c>
      <c r="N1834" s="1">
        <f t="shared" si="224"/>
        <v>44938</v>
      </c>
      <c r="O1834" s="1">
        <f t="shared" si="225"/>
        <v>43101</v>
      </c>
      <c r="P1834" s="1">
        <f t="shared" si="226"/>
        <v>44075</v>
      </c>
      <c r="Q1834" s="8">
        <f t="shared" si="227"/>
        <v>0</v>
      </c>
      <c r="R1834" s="8">
        <f t="shared" si="228"/>
        <v>33</v>
      </c>
      <c r="S1834" s="8">
        <f t="shared" ca="1" si="229"/>
        <v>32</v>
      </c>
      <c r="T1834">
        <f t="shared" ca="1" si="230"/>
        <v>3.0561289510603689</v>
      </c>
      <c r="U1834" s="8">
        <f t="shared" ca="1" si="231"/>
        <v>1.7333405903741805</v>
      </c>
      <c r="V1834" s="8">
        <f ca="1">RawData[[#This Row],[Z (smoothed demand size)]]/RawData[[#This Row],[X (smoothed interval)]]</f>
        <v>1.7631439360689261</v>
      </c>
    </row>
    <row r="1835" spans="1:22">
      <c r="A1835" t="s">
        <v>44</v>
      </c>
      <c r="B1835" t="s">
        <v>39</v>
      </c>
      <c r="C1835">
        <v>24</v>
      </c>
      <c r="D1835" t="s">
        <v>18</v>
      </c>
      <c r="E1835" t="s">
        <v>16</v>
      </c>
      <c r="F1835" s="1">
        <v>43840</v>
      </c>
      <c r="G1835">
        <v>4</v>
      </c>
      <c r="H1835">
        <v>4</v>
      </c>
      <c r="I1835">
        <v>10</v>
      </c>
      <c r="J1835">
        <v>6</v>
      </c>
      <c r="K1835">
        <v>0</v>
      </c>
      <c r="L1835">
        <v>459</v>
      </c>
      <c r="M1835">
        <v>45</v>
      </c>
      <c r="N1835" s="1">
        <f t="shared" si="224"/>
        <v>44938</v>
      </c>
      <c r="O1835" s="1">
        <f t="shared" si="225"/>
        <v>43101</v>
      </c>
      <c r="P1835" s="1">
        <f t="shared" si="226"/>
        <v>44105</v>
      </c>
      <c r="Q1835" s="8">
        <f t="shared" si="227"/>
        <v>0</v>
      </c>
      <c r="R1835" s="8">
        <f t="shared" si="228"/>
        <v>34</v>
      </c>
      <c r="S1835" s="8">
        <f t="shared" ca="1" si="229"/>
        <v>34</v>
      </c>
      <c r="T1835">
        <f t="shared" ca="1" si="230"/>
        <v>3.2449031608482954</v>
      </c>
      <c r="U1835" s="8">
        <f t="shared" ca="1" si="231"/>
        <v>1.7866724722993443</v>
      </c>
      <c r="V1835" s="8">
        <f ca="1">RawData[[#This Row],[Z (smoothed demand size)]]/RawData[[#This Row],[X (smoothed interval)]]</f>
        <v>1.8161712407603685</v>
      </c>
    </row>
    <row r="1836" spans="1:22">
      <c r="A1836" t="s">
        <v>44</v>
      </c>
      <c r="B1836" t="s">
        <v>39</v>
      </c>
      <c r="C1836">
        <v>24</v>
      </c>
      <c r="D1836" t="s">
        <v>18</v>
      </c>
      <c r="E1836" t="s">
        <v>16</v>
      </c>
      <c r="F1836" s="1">
        <v>43841</v>
      </c>
      <c r="G1836">
        <v>1</v>
      </c>
      <c r="H1836">
        <v>1</v>
      </c>
      <c r="I1836">
        <v>6</v>
      </c>
      <c r="J1836">
        <v>5</v>
      </c>
      <c r="K1836">
        <v>0</v>
      </c>
      <c r="L1836">
        <v>457</v>
      </c>
      <c r="M1836">
        <v>45</v>
      </c>
      <c r="N1836" s="1">
        <f t="shared" si="224"/>
        <v>44938</v>
      </c>
      <c r="O1836" s="1">
        <f t="shared" si="225"/>
        <v>43101</v>
      </c>
      <c r="P1836" s="1">
        <f t="shared" si="226"/>
        <v>44136</v>
      </c>
      <c r="Q1836" s="8">
        <f t="shared" si="227"/>
        <v>0</v>
      </c>
      <c r="R1836" s="8">
        <f t="shared" si="228"/>
        <v>35</v>
      </c>
      <c r="S1836" s="8">
        <f t="shared" ca="1" si="229"/>
        <v>35</v>
      </c>
      <c r="T1836">
        <f t="shared" ca="1" si="230"/>
        <v>2.7959225286786369</v>
      </c>
      <c r="U1836" s="8">
        <f t="shared" ca="1" si="231"/>
        <v>1.6293379778394754</v>
      </c>
      <c r="V1836" s="8">
        <f ca="1">RawData[[#This Row],[Z (smoothed demand size)]]/RawData[[#This Row],[X (smoothed interval)]]</f>
        <v>1.7159868404872443</v>
      </c>
    </row>
    <row r="1837" spans="1:22">
      <c r="A1837" t="s">
        <v>44</v>
      </c>
      <c r="B1837" t="s">
        <v>39</v>
      </c>
      <c r="C1837">
        <v>24</v>
      </c>
      <c r="D1837" t="s">
        <v>18</v>
      </c>
      <c r="E1837" t="s">
        <v>16</v>
      </c>
      <c r="F1837" s="1">
        <v>43842</v>
      </c>
      <c r="G1837">
        <v>0</v>
      </c>
      <c r="H1837">
        <v>0</v>
      </c>
      <c r="I1837">
        <v>5</v>
      </c>
      <c r="J1837">
        <v>5</v>
      </c>
      <c r="K1837">
        <v>0</v>
      </c>
      <c r="L1837">
        <v>527</v>
      </c>
      <c r="M1837">
        <v>60</v>
      </c>
      <c r="N1837" s="1">
        <f t="shared" si="224"/>
        <v>44938</v>
      </c>
      <c r="O1837" s="1">
        <f t="shared" si="225"/>
        <v>43101</v>
      </c>
      <c r="P1837" s="1">
        <f t="shared" si="226"/>
        <v>44166</v>
      </c>
      <c r="Q1837" s="8">
        <f t="shared" si="227"/>
        <v>0</v>
      </c>
      <c r="R1837" s="8">
        <f t="shared" si="228"/>
        <v>36</v>
      </c>
      <c r="S1837" s="8">
        <f t="shared" ca="1" si="229"/>
        <v>35</v>
      </c>
      <c r="T1837">
        <f t="shared" ca="1" si="230"/>
        <v>2.7959225286786369</v>
      </c>
      <c r="U1837" s="8">
        <f t="shared" ca="1" si="231"/>
        <v>1.6293379778394754</v>
      </c>
      <c r="V1837" s="8">
        <f ca="1">RawData[[#This Row],[Z (smoothed demand size)]]/RawData[[#This Row],[X (smoothed interval)]]</f>
        <v>1.7159868404872443</v>
      </c>
    </row>
    <row r="1838" spans="1:22">
      <c r="A1838" t="s">
        <v>44</v>
      </c>
      <c r="B1838" t="s">
        <v>39</v>
      </c>
      <c r="C1838">
        <v>24</v>
      </c>
      <c r="D1838" t="s">
        <v>18</v>
      </c>
      <c r="E1838" t="s">
        <v>16</v>
      </c>
      <c r="F1838" s="1">
        <v>44197</v>
      </c>
      <c r="G1838">
        <v>3</v>
      </c>
      <c r="H1838">
        <v>3</v>
      </c>
      <c r="I1838">
        <v>5</v>
      </c>
      <c r="J1838">
        <v>2</v>
      </c>
      <c r="K1838">
        <v>0</v>
      </c>
      <c r="L1838">
        <v>463</v>
      </c>
      <c r="M1838">
        <v>45</v>
      </c>
      <c r="N1838" s="1">
        <f t="shared" si="224"/>
        <v>44938</v>
      </c>
      <c r="O1838" s="1">
        <f t="shared" si="225"/>
        <v>43101</v>
      </c>
      <c r="P1838" s="1">
        <f t="shared" si="226"/>
        <v>44197</v>
      </c>
      <c r="Q1838" s="8">
        <f t="shared" si="227"/>
        <v>0</v>
      </c>
      <c r="R1838" s="8">
        <f t="shared" si="228"/>
        <v>37</v>
      </c>
      <c r="S1838" s="8">
        <f t="shared" ca="1" si="229"/>
        <v>37</v>
      </c>
      <c r="T1838">
        <f t="shared" ca="1" si="230"/>
        <v>2.8367380229429098</v>
      </c>
      <c r="U1838" s="8">
        <f t="shared" ca="1" si="231"/>
        <v>1.7034703822715804</v>
      </c>
      <c r="V1838" s="8">
        <f ca="1">RawData[[#This Row],[Z (smoothed demand size)]]/RawData[[#This Row],[X (smoothed interval)]]</f>
        <v>1.6652699409778497</v>
      </c>
    </row>
    <row r="1839" spans="1:22">
      <c r="A1839" t="s">
        <v>44</v>
      </c>
      <c r="B1839" t="s">
        <v>39</v>
      </c>
      <c r="C1839">
        <v>24</v>
      </c>
      <c r="D1839" t="s">
        <v>18</v>
      </c>
      <c r="E1839" t="s">
        <v>16</v>
      </c>
      <c r="F1839" s="1">
        <v>44198</v>
      </c>
      <c r="G1839">
        <v>1</v>
      </c>
      <c r="H1839">
        <v>1</v>
      </c>
      <c r="I1839">
        <v>2</v>
      </c>
      <c r="J1839">
        <v>1</v>
      </c>
      <c r="K1839">
        <v>0</v>
      </c>
      <c r="L1839">
        <v>461</v>
      </c>
      <c r="M1839">
        <v>60</v>
      </c>
      <c r="N1839" s="1">
        <f t="shared" si="224"/>
        <v>44938</v>
      </c>
      <c r="O1839" s="1">
        <f t="shared" si="225"/>
        <v>43101</v>
      </c>
      <c r="P1839" s="1">
        <f t="shared" si="226"/>
        <v>44228</v>
      </c>
      <c r="Q1839" s="8">
        <f t="shared" si="227"/>
        <v>0</v>
      </c>
      <c r="R1839" s="8">
        <f t="shared" si="228"/>
        <v>38</v>
      </c>
      <c r="S1839" s="8">
        <f t="shared" ca="1" si="229"/>
        <v>38</v>
      </c>
      <c r="T1839">
        <f t="shared" ca="1" si="230"/>
        <v>2.4693904183543283</v>
      </c>
      <c r="U1839" s="8">
        <f t="shared" ca="1" si="231"/>
        <v>1.5627763058172643</v>
      </c>
      <c r="V1839" s="8">
        <f ca="1">RawData[[#This Row],[Z (smoothed demand size)]]/RawData[[#This Row],[X (smoothed interval)]]</f>
        <v>1.5801304442371513</v>
      </c>
    </row>
    <row r="1840" spans="1:22">
      <c r="A1840" t="s">
        <v>44</v>
      </c>
      <c r="B1840" t="s">
        <v>39</v>
      </c>
      <c r="C1840">
        <v>24</v>
      </c>
      <c r="D1840" t="s">
        <v>18</v>
      </c>
      <c r="E1840" t="s">
        <v>16</v>
      </c>
      <c r="F1840" s="1">
        <v>44199</v>
      </c>
      <c r="G1840">
        <v>2</v>
      </c>
      <c r="H1840">
        <v>2</v>
      </c>
      <c r="I1840">
        <v>11</v>
      </c>
      <c r="J1840">
        <v>9</v>
      </c>
      <c r="K1840">
        <v>0</v>
      </c>
      <c r="L1840">
        <v>459</v>
      </c>
      <c r="M1840">
        <v>15</v>
      </c>
      <c r="N1840" s="1">
        <f t="shared" si="224"/>
        <v>44938</v>
      </c>
      <c r="O1840" s="1">
        <f t="shared" si="225"/>
        <v>43101</v>
      </c>
      <c r="P1840" s="1">
        <f t="shared" si="226"/>
        <v>44256</v>
      </c>
      <c r="Q1840" s="8">
        <f t="shared" si="227"/>
        <v>0</v>
      </c>
      <c r="R1840" s="8">
        <f t="shared" si="228"/>
        <v>39</v>
      </c>
      <c r="S1840" s="8">
        <f t="shared" ca="1" si="229"/>
        <v>39</v>
      </c>
      <c r="T1840">
        <f t="shared" ca="1" si="230"/>
        <v>2.3755123346834628</v>
      </c>
      <c r="U1840" s="8">
        <f t="shared" ca="1" si="231"/>
        <v>1.4502210446538115</v>
      </c>
      <c r="V1840" s="8">
        <f ca="1">RawData[[#This Row],[Z (smoothed demand size)]]/RawData[[#This Row],[X (smoothed interval)]]</f>
        <v>1.6380346592270916</v>
      </c>
    </row>
    <row r="1841" spans="1:22">
      <c r="A1841" t="s">
        <v>44</v>
      </c>
      <c r="B1841" t="s">
        <v>39</v>
      </c>
      <c r="C1841">
        <v>24</v>
      </c>
      <c r="D1841" t="s">
        <v>18</v>
      </c>
      <c r="E1841" t="s">
        <v>16</v>
      </c>
      <c r="F1841" s="1">
        <v>44200</v>
      </c>
      <c r="G1841">
        <v>2</v>
      </c>
      <c r="H1841">
        <v>2</v>
      </c>
      <c r="I1841">
        <v>9</v>
      </c>
      <c r="J1841">
        <v>7</v>
      </c>
      <c r="K1841">
        <v>0</v>
      </c>
      <c r="L1841">
        <v>464</v>
      </c>
      <c r="M1841">
        <v>60</v>
      </c>
      <c r="N1841" s="1">
        <f t="shared" si="224"/>
        <v>44938</v>
      </c>
      <c r="O1841" s="1">
        <f t="shared" si="225"/>
        <v>43101</v>
      </c>
      <c r="P1841" s="1">
        <f t="shared" si="226"/>
        <v>44287</v>
      </c>
      <c r="Q1841" s="8">
        <f t="shared" si="227"/>
        <v>0</v>
      </c>
      <c r="R1841" s="8">
        <f t="shared" si="228"/>
        <v>40</v>
      </c>
      <c r="S1841" s="8">
        <f t="shared" ca="1" si="229"/>
        <v>40</v>
      </c>
      <c r="T1841">
        <f t="shared" ca="1" si="230"/>
        <v>2.3004098677467701</v>
      </c>
      <c r="U1841" s="8">
        <f t="shared" ca="1" si="231"/>
        <v>1.3601768357230493</v>
      </c>
      <c r="V1841" s="8">
        <f ca="1">RawData[[#This Row],[Z (smoothed demand size)]]/RawData[[#This Row],[X (smoothed interval)]]</f>
        <v>1.6912579359755875</v>
      </c>
    </row>
    <row r="1842" spans="1:22">
      <c r="A1842" t="s">
        <v>44</v>
      </c>
      <c r="B1842" t="s">
        <v>39</v>
      </c>
      <c r="C1842">
        <v>24</v>
      </c>
      <c r="D1842" t="s">
        <v>18</v>
      </c>
      <c r="E1842" t="s">
        <v>16</v>
      </c>
      <c r="F1842" s="1">
        <v>44201</v>
      </c>
      <c r="G1842">
        <v>2</v>
      </c>
      <c r="H1842">
        <v>2</v>
      </c>
      <c r="I1842">
        <v>7</v>
      </c>
      <c r="J1842">
        <v>5</v>
      </c>
      <c r="K1842">
        <v>0</v>
      </c>
      <c r="L1842">
        <v>468</v>
      </c>
      <c r="M1842">
        <v>30</v>
      </c>
      <c r="N1842" s="1">
        <f t="shared" si="224"/>
        <v>44938</v>
      </c>
      <c r="O1842" s="1">
        <f t="shared" si="225"/>
        <v>43101</v>
      </c>
      <c r="P1842" s="1">
        <f t="shared" si="226"/>
        <v>44317</v>
      </c>
      <c r="Q1842" s="8">
        <f t="shared" si="227"/>
        <v>0</v>
      </c>
      <c r="R1842" s="8">
        <f t="shared" si="228"/>
        <v>41</v>
      </c>
      <c r="S1842" s="8">
        <f t="shared" ca="1" si="229"/>
        <v>41</v>
      </c>
      <c r="T1842">
        <f t="shared" ca="1" si="230"/>
        <v>2.2403278941974163</v>
      </c>
      <c r="U1842" s="8">
        <f t="shared" ca="1" si="231"/>
        <v>1.2881414685784394</v>
      </c>
      <c r="V1842" s="8">
        <f ca="1">RawData[[#This Row],[Z (smoothed demand size)]]/RawData[[#This Row],[X (smoothed interval)]]</f>
        <v>1.7391939851682487</v>
      </c>
    </row>
    <row r="1843" spans="1:22">
      <c r="A1843" t="s">
        <v>44</v>
      </c>
      <c r="B1843" t="s">
        <v>39</v>
      </c>
      <c r="C1843">
        <v>24</v>
      </c>
      <c r="D1843" t="s">
        <v>18</v>
      </c>
      <c r="E1843" t="s">
        <v>16</v>
      </c>
      <c r="F1843" s="1">
        <v>44202</v>
      </c>
      <c r="G1843">
        <v>0</v>
      </c>
      <c r="H1843">
        <v>0</v>
      </c>
      <c r="I1843">
        <v>5</v>
      </c>
      <c r="J1843">
        <v>5</v>
      </c>
      <c r="K1843">
        <v>0</v>
      </c>
      <c r="L1843">
        <v>527</v>
      </c>
      <c r="M1843">
        <v>60</v>
      </c>
      <c r="N1843" s="1">
        <f t="shared" si="224"/>
        <v>44938</v>
      </c>
      <c r="O1843" s="1">
        <f t="shared" si="225"/>
        <v>43101</v>
      </c>
      <c r="P1843" s="1">
        <f t="shared" si="226"/>
        <v>44348</v>
      </c>
      <c r="Q1843" s="8">
        <f t="shared" si="227"/>
        <v>0</v>
      </c>
      <c r="R1843" s="8">
        <f t="shared" si="228"/>
        <v>42</v>
      </c>
      <c r="S1843" s="8">
        <f t="shared" ca="1" si="229"/>
        <v>41</v>
      </c>
      <c r="T1843">
        <f t="shared" ca="1" si="230"/>
        <v>2.2403278941974163</v>
      </c>
      <c r="U1843" s="8">
        <f t="shared" ca="1" si="231"/>
        <v>1.2881414685784394</v>
      </c>
      <c r="V1843" s="8">
        <f ca="1">RawData[[#This Row],[Z (smoothed demand size)]]/RawData[[#This Row],[X (smoothed interval)]]</f>
        <v>1.7391939851682487</v>
      </c>
    </row>
    <row r="1844" spans="1:22">
      <c r="A1844" t="s">
        <v>44</v>
      </c>
      <c r="B1844" t="s">
        <v>39</v>
      </c>
      <c r="C1844">
        <v>24</v>
      </c>
      <c r="D1844" t="s">
        <v>18</v>
      </c>
      <c r="E1844" t="s">
        <v>16</v>
      </c>
      <c r="F1844" s="1">
        <v>44203</v>
      </c>
      <c r="G1844">
        <v>1</v>
      </c>
      <c r="H1844">
        <v>1</v>
      </c>
      <c r="I1844">
        <v>5</v>
      </c>
      <c r="J1844">
        <v>4</v>
      </c>
      <c r="K1844">
        <v>0</v>
      </c>
      <c r="L1844">
        <v>524</v>
      </c>
      <c r="M1844">
        <v>45</v>
      </c>
      <c r="N1844" s="1">
        <f t="shared" si="224"/>
        <v>44938</v>
      </c>
      <c r="O1844" s="1">
        <f t="shared" si="225"/>
        <v>43101</v>
      </c>
      <c r="P1844" s="1">
        <f t="shared" si="226"/>
        <v>44378</v>
      </c>
      <c r="Q1844" s="8">
        <f t="shared" si="227"/>
        <v>0</v>
      </c>
      <c r="R1844" s="8">
        <f t="shared" si="228"/>
        <v>43</v>
      </c>
      <c r="S1844" s="8">
        <f t="shared" ca="1" si="229"/>
        <v>43</v>
      </c>
      <c r="T1844">
        <f t="shared" ca="1" si="230"/>
        <v>1.9922623153579331</v>
      </c>
      <c r="U1844" s="8">
        <f t="shared" ca="1" si="231"/>
        <v>1.4305131748627518</v>
      </c>
      <c r="V1844" s="8">
        <f ca="1">RawData[[#This Row],[Z (smoothed demand size)]]/RawData[[#This Row],[X (smoothed interval)]]</f>
        <v>1.3926906444249123</v>
      </c>
    </row>
    <row r="1845" spans="1:22">
      <c r="A1845" t="s">
        <v>44</v>
      </c>
      <c r="B1845" t="s">
        <v>39</v>
      </c>
      <c r="C1845">
        <v>24</v>
      </c>
      <c r="D1845" t="s">
        <v>18</v>
      </c>
      <c r="E1845" t="s">
        <v>16</v>
      </c>
      <c r="F1845" s="1">
        <v>44204</v>
      </c>
      <c r="G1845">
        <v>0</v>
      </c>
      <c r="H1845">
        <v>0</v>
      </c>
      <c r="I1845">
        <v>4</v>
      </c>
      <c r="J1845">
        <v>4</v>
      </c>
      <c r="K1845">
        <v>0</v>
      </c>
      <c r="L1845">
        <v>535</v>
      </c>
      <c r="M1845">
        <v>60</v>
      </c>
      <c r="N1845" s="1">
        <f t="shared" si="224"/>
        <v>44938</v>
      </c>
      <c r="O1845" s="1">
        <f t="shared" si="225"/>
        <v>43101</v>
      </c>
      <c r="P1845" s="1">
        <f t="shared" si="226"/>
        <v>44409</v>
      </c>
      <c r="Q1845" s="8">
        <f t="shared" si="227"/>
        <v>0</v>
      </c>
      <c r="R1845" s="8">
        <f t="shared" si="228"/>
        <v>44</v>
      </c>
      <c r="S1845" s="8">
        <f t="shared" ca="1" si="229"/>
        <v>43</v>
      </c>
      <c r="T1845">
        <f t="shared" ca="1" si="230"/>
        <v>1.9922623153579331</v>
      </c>
      <c r="U1845" s="8">
        <f t="shared" ca="1" si="231"/>
        <v>1.4305131748627518</v>
      </c>
      <c r="V1845" s="8">
        <f ca="1">RawData[[#This Row],[Z (smoothed demand size)]]/RawData[[#This Row],[X (smoothed interval)]]</f>
        <v>1.3926906444249123</v>
      </c>
    </row>
    <row r="1846" spans="1:22">
      <c r="A1846" t="s">
        <v>44</v>
      </c>
      <c r="B1846" t="s">
        <v>39</v>
      </c>
      <c r="C1846">
        <v>24</v>
      </c>
      <c r="D1846" t="s">
        <v>18</v>
      </c>
      <c r="E1846" t="s">
        <v>16</v>
      </c>
      <c r="F1846" s="1">
        <v>44205</v>
      </c>
      <c r="G1846">
        <v>2</v>
      </c>
      <c r="H1846">
        <v>2</v>
      </c>
      <c r="I1846">
        <v>4</v>
      </c>
      <c r="J1846">
        <v>2</v>
      </c>
      <c r="K1846">
        <v>0</v>
      </c>
      <c r="L1846">
        <v>461</v>
      </c>
      <c r="M1846">
        <v>30</v>
      </c>
      <c r="N1846" s="1">
        <f t="shared" si="224"/>
        <v>44938</v>
      </c>
      <c r="O1846" s="1">
        <f t="shared" si="225"/>
        <v>43101</v>
      </c>
      <c r="P1846" s="1">
        <f t="shared" si="226"/>
        <v>44440</v>
      </c>
      <c r="Q1846" s="8">
        <f t="shared" si="227"/>
        <v>0</v>
      </c>
      <c r="R1846" s="8">
        <f t="shared" si="228"/>
        <v>45</v>
      </c>
      <c r="S1846" s="8">
        <f t="shared" ca="1" si="229"/>
        <v>45</v>
      </c>
      <c r="T1846">
        <f t="shared" ca="1" si="230"/>
        <v>1.9938098522863466</v>
      </c>
      <c r="U1846" s="8">
        <f t="shared" ca="1" si="231"/>
        <v>1.5444105398902015</v>
      </c>
      <c r="V1846" s="8">
        <f ca="1">RawData[[#This Row],[Z (smoothed demand size)]]/RawData[[#This Row],[X (smoothed interval)]]</f>
        <v>1.2909843599151394</v>
      </c>
    </row>
    <row r="1847" spans="1:22">
      <c r="A1847" t="s">
        <v>44</v>
      </c>
      <c r="B1847" t="s">
        <v>39</v>
      </c>
      <c r="C1847">
        <v>24</v>
      </c>
      <c r="D1847" t="s">
        <v>18</v>
      </c>
      <c r="E1847" t="s">
        <v>16</v>
      </c>
      <c r="F1847" s="1">
        <v>44206</v>
      </c>
      <c r="G1847">
        <v>1</v>
      </c>
      <c r="H1847">
        <v>1</v>
      </c>
      <c r="I1847">
        <v>13</v>
      </c>
      <c r="J1847">
        <v>12</v>
      </c>
      <c r="K1847">
        <v>0</v>
      </c>
      <c r="L1847">
        <v>460</v>
      </c>
      <c r="M1847">
        <v>45</v>
      </c>
      <c r="N1847" s="1">
        <f t="shared" si="224"/>
        <v>44938</v>
      </c>
      <c r="O1847" s="1">
        <f t="shared" si="225"/>
        <v>43101</v>
      </c>
      <c r="P1847" s="1">
        <f t="shared" si="226"/>
        <v>44470</v>
      </c>
      <c r="Q1847" s="8">
        <f t="shared" si="227"/>
        <v>0</v>
      </c>
      <c r="R1847" s="8">
        <f t="shared" si="228"/>
        <v>46</v>
      </c>
      <c r="S1847" s="8">
        <f t="shared" ca="1" si="229"/>
        <v>46</v>
      </c>
      <c r="T1847">
        <f t="shared" ca="1" si="230"/>
        <v>1.7950478818290774</v>
      </c>
      <c r="U1847" s="8">
        <f t="shared" ca="1" si="231"/>
        <v>1.4355284319121613</v>
      </c>
      <c r="V1847" s="8">
        <f ca="1">RawData[[#This Row],[Z (smoothed demand size)]]/RawData[[#This Row],[X (smoothed interval)]]</f>
        <v>1.2504439772314553</v>
      </c>
    </row>
    <row r="1848" spans="1:22">
      <c r="A1848" t="s">
        <v>44</v>
      </c>
      <c r="B1848" t="s">
        <v>39</v>
      </c>
      <c r="C1848">
        <v>24</v>
      </c>
      <c r="D1848" t="s">
        <v>18</v>
      </c>
      <c r="E1848" t="s">
        <v>16</v>
      </c>
      <c r="F1848" s="1">
        <v>44207</v>
      </c>
      <c r="G1848">
        <v>2</v>
      </c>
      <c r="H1848">
        <v>2</v>
      </c>
      <c r="I1848">
        <v>12</v>
      </c>
      <c r="J1848">
        <v>10</v>
      </c>
      <c r="K1848">
        <v>0</v>
      </c>
      <c r="L1848">
        <v>466</v>
      </c>
      <c r="M1848">
        <v>45</v>
      </c>
      <c r="N1848" s="1">
        <f t="shared" si="224"/>
        <v>44938</v>
      </c>
      <c r="O1848" s="1">
        <f t="shared" si="225"/>
        <v>43101</v>
      </c>
      <c r="P1848" s="1">
        <f t="shared" si="226"/>
        <v>44501</v>
      </c>
      <c r="Q1848" s="8">
        <f t="shared" si="227"/>
        <v>0</v>
      </c>
      <c r="R1848" s="8">
        <f t="shared" si="228"/>
        <v>47</v>
      </c>
      <c r="S1848" s="8">
        <f t="shared" ca="1" si="229"/>
        <v>47</v>
      </c>
      <c r="T1848">
        <f t="shared" ca="1" si="230"/>
        <v>1.8360383054632621</v>
      </c>
      <c r="U1848" s="8">
        <f t="shared" ca="1" si="231"/>
        <v>1.3484227455297291</v>
      </c>
      <c r="V1848" s="8">
        <f ca="1">RawData[[#This Row],[Z (smoothed demand size)]]/RawData[[#This Row],[X (smoothed interval)]]</f>
        <v>1.3616192040293511</v>
      </c>
    </row>
    <row r="1849" spans="1:22">
      <c r="A1849" t="s">
        <v>44</v>
      </c>
      <c r="B1849" t="s">
        <v>39</v>
      </c>
      <c r="C1849">
        <v>24</v>
      </c>
      <c r="D1849" t="s">
        <v>18</v>
      </c>
      <c r="E1849" t="s">
        <v>16</v>
      </c>
      <c r="F1849" s="1">
        <v>44208</v>
      </c>
      <c r="G1849">
        <v>2</v>
      </c>
      <c r="H1849">
        <v>2</v>
      </c>
      <c r="I1849">
        <v>10</v>
      </c>
      <c r="J1849">
        <v>8</v>
      </c>
      <c r="K1849">
        <v>0</v>
      </c>
      <c r="L1849">
        <v>529</v>
      </c>
      <c r="M1849">
        <v>45</v>
      </c>
      <c r="N1849" s="1">
        <f t="shared" si="224"/>
        <v>44938</v>
      </c>
      <c r="O1849" s="1">
        <f t="shared" si="225"/>
        <v>43101</v>
      </c>
      <c r="P1849" s="1">
        <f t="shared" si="226"/>
        <v>44531</v>
      </c>
      <c r="Q1849" s="8">
        <f t="shared" si="227"/>
        <v>0</v>
      </c>
      <c r="R1849" s="8">
        <f t="shared" si="228"/>
        <v>48</v>
      </c>
      <c r="S1849" s="8">
        <f t="shared" ca="1" si="229"/>
        <v>48</v>
      </c>
      <c r="T1849">
        <f t="shared" ca="1" si="230"/>
        <v>1.8688306443706098</v>
      </c>
      <c r="U1849" s="8">
        <f t="shared" ca="1" si="231"/>
        <v>1.2787381964237832</v>
      </c>
      <c r="V1849" s="8">
        <f ca="1">RawData[[#This Row],[Z (smoothed demand size)]]/RawData[[#This Row],[X (smoothed interval)]]</f>
        <v>1.4614646294269806</v>
      </c>
    </row>
    <row r="1850" spans="1:22">
      <c r="A1850" t="s">
        <v>44</v>
      </c>
      <c r="B1850" t="s">
        <v>39</v>
      </c>
      <c r="C1850">
        <v>24</v>
      </c>
      <c r="D1850" t="s">
        <v>18</v>
      </c>
      <c r="E1850" t="s">
        <v>16</v>
      </c>
      <c r="F1850" s="1">
        <v>44562</v>
      </c>
      <c r="G1850">
        <v>4</v>
      </c>
      <c r="H1850">
        <v>4</v>
      </c>
      <c r="I1850">
        <v>8</v>
      </c>
      <c r="J1850">
        <v>4</v>
      </c>
      <c r="K1850">
        <v>0</v>
      </c>
      <c r="L1850">
        <v>461</v>
      </c>
      <c r="M1850">
        <v>60</v>
      </c>
      <c r="N1850" s="1">
        <f t="shared" si="224"/>
        <v>44938</v>
      </c>
      <c r="O1850" s="1">
        <f t="shared" si="225"/>
        <v>43101</v>
      </c>
      <c r="P1850" s="1">
        <f t="shared" si="226"/>
        <v>44562</v>
      </c>
      <c r="Q1850" s="8">
        <f t="shared" si="227"/>
        <v>0</v>
      </c>
      <c r="R1850" s="8">
        <f t="shared" si="228"/>
        <v>49</v>
      </c>
      <c r="S1850" s="8">
        <f t="shared" ca="1" si="229"/>
        <v>49</v>
      </c>
      <c r="T1850">
        <f t="shared" ca="1" si="230"/>
        <v>2.2950645154964882</v>
      </c>
      <c r="U1850" s="8">
        <f t="shared" ca="1" si="231"/>
        <v>1.2229905571390265</v>
      </c>
      <c r="V1850" s="8">
        <f ca="1">RawData[[#This Row],[Z (smoothed demand size)]]/RawData[[#This Row],[X (smoothed interval)]]</f>
        <v>1.8766003564781335</v>
      </c>
    </row>
    <row r="1851" spans="1:22">
      <c r="A1851" t="s">
        <v>44</v>
      </c>
      <c r="B1851" t="s">
        <v>39</v>
      </c>
      <c r="C1851">
        <v>24</v>
      </c>
      <c r="D1851" t="s">
        <v>18</v>
      </c>
      <c r="E1851" t="s">
        <v>16</v>
      </c>
      <c r="F1851" s="1">
        <v>44563</v>
      </c>
      <c r="G1851">
        <v>0</v>
      </c>
      <c r="H1851">
        <v>0</v>
      </c>
      <c r="I1851">
        <v>4</v>
      </c>
      <c r="J1851">
        <v>4</v>
      </c>
      <c r="K1851">
        <v>0</v>
      </c>
      <c r="L1851">
        <v>460</v>
      </c>
      <c r="M1851">
        <v>45</v>
      </c>
      <c r="N1851" s="1">
        <f t="shared" si="224"/>
        <v>44938</v>
      </c>
      <c r="O1851" s="1">
        <f t="shared" si="225"/>
        <v>43101</v>
      </c>
      <c r="P1851" s="1">
        <f t="shared" si="226"/>
        <v>44593</v>
      </c>
      <c r="Q1851" s="8">
        <f t="shared" si="227"/>
        <v>0</v>
      </c>
      <c r="R1851" s="8">
        <f t="shared" si="228"/>
        <v>50</v>
      </c>
      <c r="S1851" s="8">
        <f t="shared" ca="1" si="229"/>
        <v>49</v>
      </c>
      <c r="T1851">
        <f t="shared" ca="1" si="230"/>
        <v>2.2950645154964882</v>
      </c>
      <c r="U1851" s="8">
        <f t="shared" ca="1" si="231"/>
        <v>1.2229905571390265</v>
      </c>
      <c r="V1851" s="8">
        <f ca="1">RawData[[#This Row],[Z (smoothed demand size)]]/RawData[[#This Row],[X (smoothed interval)]]</f>
        <v>1.8766003564781335</v>
      </c>
    </row>
    <row r="1852" spans="1:22">
      <c r="A1852" t="s">
        <v>44</v>
      </c>
      <c r="B1852" t="s">
        <v>39</v>
      </c>
      <c r="C1852">
        <v>24</v>
      </c>
      <c r="D1852" t="s">
        <v>18</v>
      </c>
      <c r="E1852" t="s">
        <v>16</v>
      </c>
      <c r="F1852" s="1">
        <v>44564</v>
      </c>
      <c r="G1852">
        <v>2</v>
      </c>
      <c r="H1852">
        <v>2</v>
      </c>
      <c r="I1852">
        <v>4</v>
      </c>
      <c r="J1852">
        <v>2</v>
      </c>
      <c r="K1852">
        <v>0</v>
      </c>
      <c r="L1852">
        <v>474</v>
      </c>
      <c r="M1852">
        <v>30</v>
      </c>
      <c r="N1852" s="1">
        <f t="shared" si="224"/>
        <v>44938</v>
      </c>
      <c r="O1852" s="1">
        <f t="shared" si="225"/>
        <v>43101</v>
      </c>
      <c r="P1852" s="1">
        <f t="shared" si="226"/>
        <v>44621</v>
      </c>
      <c r="Q1852" s="8">
        <f t="shared" si="227"/>
        <v>0</v>
      </c>
      <c r="R1852" s="8">
        <f t="shared" si="228"/>
        <v>51</v>
      </c>
      <c r="S1852" s="8">
        <f t="shared" ca="1" si="229"/>
        <v>51</v>
      </c>
      <c r="T1852">
        <f t="shared" ca="1" si="230"/>
        <v>2.2360516123971905</v>
      </c>
      <c r="U1852" s="8">
        <f t="shared" ca="1" si="231"/>
        <v>1.3783924457112211</v>
      </c>
      <c r="V1852" s="8">
        <f ca="1">RawData[[#This Row],[Z (smoothed demand size)]]/RawData[[#This Row],[X (smoothed interval)]]</f>
        <v>1.6222169668402642</v>
      </c>
    </row>
    <row r="1853" spans="1:22">
      <c r="A1853" t="s">
        <v>44</v>
      </c>
      <c r="B1853" t="s">
        <v>39</v>
      </c>
      <c r="C1853">
        <v>24</v>
      </c>
      <c r="D1853" t="s">
        <v>18</v>
      </c>
      <c r="E1853" t="s">
        <v>16</v>
      </c>
      <c r="F1853" s="1">
        <v>44565</v>
      </c>
      <c r="G1853">
        <v>1</v>
      </c>
      <c r="H1853">
        <v>1</v>
      </c>
      <c r="I1853">
        <v>12</v>
      </c>
      <c r="J1853">
        <v>11</v>
      </c>
      <c r="K1853">
        <v>0</v>
      </c>
      <c r="L1853">
        <v>459</v>
      </c>
      <c r="M1853">
        <v>30</v>
      </c>
      <c r="N1853" s="1">
        <f t="shared" si="224"/>
        <v>44938</v>
      </c>
      <c r="O1853" s="1">
        <f t="shared" si="225"/>
        <v>43101</v>
      </c>
      <c r="P1853" s="1">
        <f t="shared" si="226"/>
        <v>44652</v>
      </c>
      <c r="Q1853" s="8">
        <f t="shared" si="227"/>
        <v>0</v>
      </c>
      <c r="R1853" s="8">
        <f t="shared" si="228"/>
        <v>52</v>
      </c>
      <c r="S1853" s="8">
        <f t="shared" ca="1" si="229"/>
        <v>52</v>
      </c>
      <c r="T1853">
        <f t="shared" ca="1" si="230"/>
        <v>1.9888412899177526</v>
      </c>
      <c r="U1853" s="8">
        <f t="shared" ca="1" si="231"/>
        <v>1.3027139565689769</v>
      </c>
      <c r="V1853" s="8">
        <f ca="1">RawData[[#This Row],[Z (smoothed demand size)]]/RawData[[#This Row],[X (smoothed interval)]]</f>
        <v>1.526690705882866</v>
      </c>
    </row>
    <row r="1854" spans="1:22">
      <c r="A1854" t="s">
        <v>44</v>
      </c>
      <c r="B1854" t="s">
        <v>39</v>
      </c>
      <c r="C1854">
        <v>24</v>
      </c>
      <c r="D1854" t="s">
        <v>18</v>
      </c>
      <c r="E1854" t="s">
        <v>16</v>
      </c>
      <c r="F1854" s="1">
        <v>44566</v>
      </c>
      <c r="G1854">
        <v>2</v>
      </c>
      <c r="H1854">
        <v>2</v>
      </c>
      <c r="I1854">
        <v>11</v>
      </c>
      <c r="J1854">
        <v>9</v>
      </c>
      <c r="K1854">
        <v>0</v>
      </c>
      <c r="L1854">
        <v>464</v>
      </c>
      <c r="M1854">
        <v>45</v>
      </c>
      <c r="N1854" s="1">
        <f t="shared" si="224"/>
        <v>44938</v>
      </c>
      <c r="O1854" s="1">
        <f t="shared" si="225"/>
        <v>43101</v>
      </c>
      <c r="P1854" s="1">
        <f t="shared" si="226"/>
        <v>44682</v>
      </c>
      <c r="Q1854" s="8">
        <f t="shared" si="227"/>
        <v>0</v>
      </c>
      <c r="R1854" s="8">
        <f t="shared" si="228"/>
        <v>53</v>
      </c>
      <c r="S1854" s="8">
        <f t="shared" ca="1" si="229"/>
        <v>53</v>
      </c>
      <c r="T1854">
        <f t="shared" ca="1" si="230"/>
        <v>1.991073031934202</v>
      </c>
      <c r="U1854" s="8">
        <f t="shared" ca="1" si="231"/>
        <v>1.2421711652551815</v>
      </c>
      <c r="V1854" s="8">
        <f ca="1">RawData[[#This Row],[Z (smoothed demand size)]]/RawData[[#This Row],[X (smoothed interval)]]</f>
        <v>1.6028974811415562</v>
      </c>
    </row>
    <row r="1855" spans="1:22">
      <c r="A1855" t="s">
        <v>44</v>
      </c>
      <c r="B1855" t="s">
        <v>39</v>
      </c>
      <c r="C1855">
        <v>24</v>
      </c>
      <c r="D1855" t="s">
        <v>18</v>
      </c>
      <c r="E1855" t="s">
        <v>16</v>
      </c>
      <c r="F1855" s="1">
        <v>44567</v>
      </c>
      <c r="G1855">
        <v>4</v>
      </c>
      <c r="H1855">
        <v>4</v>
      </c>
      <c r="I1855">
        <v>9</v>
      </c>
      <c r="J1855">
        <v>5</v>
      </c>
      <c r="K1855">
        <v>0</v>
      </c>
      <c r="L1855">
        <v>527</v>
      </c>
      <c r="M1855">
        <v>30</v>
      </c>
      <c r="N1855" s="1">
        <f t="shared" si="224"/>
        <v>44938</v>
      </c>
      <c r="O1855" s="1">
        <f t="shared" si="225"/>
        <v>43101</v>
      </c>
      <c r="P1855" s="1">
        <f t="shared" si="226"/>
        <v>44713</v>
      </c>
      <c r="Q1855" s="8">
        <f t="shared" si="227"/>
        <v>0</v>
      </c>
      <c r="R1855" s="8">
        <f t="shared" si="228"/>
        <v>54</v>
      </c>
      <c r="S1855" s="8">
        <f t="shared" ca="1" si="229"/>
        <v>54</v>
      </c>
      <c r="T1855">
        <f t="shared" ca="1" si="230"/>
        <v>2.3928584255473617</v>
      </c>
      <c r="U1855" s="8">
        <f t="shared" ca="1" si="231"/>
        <v>1.1937369322041451</v>
      </c>
      <c r="V1855" s="8">
        <f ca="1">RawData[[#This Row],[Z (smoothed demand size)]]/RawData[[#This Row],[X (smoothed interval)]]</f>
        <v>2.0045106765098817</v>
      </c>
    </row>
    <row r="1856" spans="1:22">
      <c r="A1856" t="s">
        <v>44</v>
      </c>
      <c r="B1856" t="s">
        <v>39</v>
      </c>
      <c r="C1856">
        <v>24</v>
      </c>
      <c r="D1856" t="s">
        <v>18</v>
      </c>
      <c r="E1856" t="s">
        <v>16</v>
      </c>
      <c r="F1856" s="1">
        <v>44568</v>
      </c>
      <c r="G1856">
        <v>0</v>
      </c>
      <c r="H1856">
        <v>0</v>
      </c>
      <c r="I1856">
        <v>5</v>
      </c>
      <c r="J1856">
        <v>5</v>
      </c>
      <c r="K1856">
        <v>0</v>
      </c>
      <c r="L1856">
        <v>531</v>
      </c>
      <c r="M1856">
        <v>15</v>
      </c>
      <c r="N1856" s="1">
        <f t="shared" si="224"/>
        <v>44938</v>
      </c>
      <c r="O1856" s="1">
        <f t="shared" si="225"/>
        <v>43101</v>
      </c>
      <c r="P1856" s="1">
        <f t="shared" si="226"/>
        <v>44743</v>
      </c>
      <c r="Q1856" s="8">
        <f t="shared" si="227"/>
        <v>0</v>
      </c>
      <c r="R1856" s="8">
        <f t="shared" si="228"/>
        <v>55</v>
      </c>
      <c r="S1856" s="8">
        <f t="shared" ca="1" si="229"/>
        <v>54</v>
      </c>
      <c r="T1856">
        <f t="shared" ca="1" si="230"/>
        <v>2.3928584255473617</v>
      </c>
      <c r="U1856" s="8">
        <f t="shared" ca="1" si="231"/>
        <v>1.1937369322041451</v>
      </c>
      <c r="V1856" s="8">
        <f ca="1">RawData[[#This Row],[Z (smoothed demand size)]]/RawData[[#This Row],[X (smoothed interval)]]</f>
        <v>2.0045106765098817</v>
      </c>
    </row>
    <row r="1857" spans="1:22">
      <c r="A1857" t="s">
        <v>44</v>
      </c>
      <c r="B1857" t="s">
        <v>39</v>
      </c>
      <c r="C1857">
        <v>24</v>
      </c>
      <c r="D1857" t="s">
        <v>18</v>
      </c>
      <c r="E1857" t="s">
        <v>16</v>
      </c>
      <c r="F1857" s="1">
        <v>44569</v>
      </c>
      <c r="G1857">
        <v>0</v>
      </c>
      <c r="H1857">
        <v>0</v>
      </c>
      <c r="I1857">
        <v>5</v>
      </c>
      <c r="J1857">
        <v>5</v>
      </c>
      <c r="K1857">
        <v>0</v>
      </c>
      <c r="L1857">
        <v>527</v>
      </c>
      <c r="M1857">
        <v>15</v>
      </c>
      <c r="N1857" s="1">
        <f t="shared" si="224"/>
        <v>44938</v>
      </c>
      <c r="O1857" s="1">
        <f t="shared" si="225"/>
        <v>43101</v>
      </c>
      <c r="P1857" s="1">
        <f t="shared" si="226"/>
        <v>44774</v>
      </c>
      <c r="Q1857" s="8">
        <f t="shared" si="227"/>
        <v>0</v>
      </c>
      <c r="R1857" s="8">
        <f t="shared" si="228"/>
        <v>56</v>
      </c>
      <c r="S1857" s="8">
        <f t="shared" ca="1" si="229"/>
        <v>54</v>
      </c>
      <c r="T1857">
        <f t="shared" ca="1" si="230"/>
        <v>2.3928584255473617</v>
      </c>
      <c r="U1857" s="8">
        <f t="shared" ca="1" si="231"/>
        <v>1.1937369322041451</v>
      </c>
      <c r="V1857" s="8">
        <f ca="1">RawData[[#This Row],[Z (smoothed demand size)]]/RawData[[#This Row],[X (smoothed interval)]]</f>
        <v>2.0045106765098817</v>
      </c>
    </row>
    <row r="1858" spans="1:22">
      <c r="A1858" t="s">
        <v>44</v>
      </c>
      <c r="B1858" t="s">
        <v>39</v>
      </c>
      <c r="C1858">
        <v>24</v>
      </c>
      <c r="D1858" t="s">
        <v>18</v>
      </c>
      <c r="E1858" t="s">
        <v>16</v>
      </c>
      <c r="F1858" s="1">
        <v>44570</v>
      </c>
      <c r="G1858">
        <v>0</v>
      </c>
      <c r="H1858">
        <v>0</v>
      </c>
      <c r="I1858">
        <v>5</v>
      </c>
      <c r="J1858">
        <v>5</v>
      </c>
      <c r="K1858">
        <v>0</v>
      </c>
      <c r="L1858">
        <v>463</v>
      </c>
      <c r="M1858">
        <v>30</v>
      </c>
      <c r="N1858" s="1">
        <f t="shared" ref="N1858:N1921" si="232">MAX(F:F)</f>
        <v>44938</v>
      </c>
      <c r="O1858" s="1">
        <f t="shared" ref="O1858:O1921" si="233">MIN(F:F)</f>
        <v>43101</v>
      </c>
      <c r="P1858" s="1">
        <f t="shared" ref="P1858:P1921" si="234">DATE(YEAR(F1858), DAY(F1858), 1)</f>
        <v>44805</v>
      </c>
      <c r="Q1858" s="8">
        <f t="shared" ref="Q1858:Q1921" si="235" xml:space="preserve"> IF(A1858&lt;&gt;A1857, 1, 0)</f>
        <v>0</v>
      </c>
      <c r="R1858" s="8">
        <f t="shared" ref="R1858:R1921" si="236">IF(Q1858=1,1,R1857+1)</f>
        <v>57</v>
      </c>
      <c r="S1858" s="8">
        <f t="shared" ref="S1858:S1921" ca="1" si="237" xml:space="preserve"> IF(Q1858=1, IF(G1858&gt;0, R1858, 0), IF(G1858&gt;0, R1858, OFFSET(S1858,-1,0)))</f>
        <v>54</v>
      </c>
      <c r="T1858">
        <f t="shared" ref="T1858:T1921" ca="1" si="238" xml:space="preserve"> IF(Q1858=1, IF(G1858&gt;0, G1858, 0), IF(G1858&gt;0, $X$1*G1858+(1-$X$1)*OFFSET(T1858,-1,0), OFFSET(T1858,-1,0)))</f>
        <v>2.3928584255473617</v>
      </c>
      <c r="U1858" s="8">
        <f t="shared" ref="U1858:U1921" ca="1" si="239" xml:space="preserve"> IF(Q1858=1, 1, IF(G1858&gt;0, $X$1*(R1858-OFFSET(S1858,-1,0))+(1-$X$1)*OFFSET(U1858,-1,0), OFFSET(U1858,-1,0)))</f>
        <v>1.1937369322041451</v>
      </c>
      <c r="V1858" s="8">
        <f ca="1">RawData[[#This Row],[Z (smoothed demand size)]]/RawData[[#This Row],[X (smoothed interval)]]</f>
        <v>2.0045106765098817</v>
      </c>
    </row>
    <row r="1859" spans="1:22">
      <c r="A1859" t="s">
        <v>44</v>
      </c>
      <c r="B1859" t="s">
        <v>39</v>
      </c>
      <c r="C1859">
        <v>24</v>
      </c>
      <c r="D1859" t="s">
        <v>18</v>
      </c>
      <c r="E1859" t="s">
        <v>16</v>
      </c>
      <c r="F1859" s="1">
        <v>44571</v>
      </c>
      <c r="G1859">
        <v>0</v>
      </c>
      <c r="H1859">
        <v>0</v>
      </c>
      <c r="I1859">
        <v>5</v>
      </c>
      <c r="J1859">
        <v>5</v>
      </c>
      <c r="K1859">
        <v>0</v>
      </c>
      <c r="L1859">
        <v>459</v>
      </c>
      <c r="M1859">
        <v>30</v>
      </c>
      <c r="N1859" s="1">
        <f t="shared" si="232"/>
        <v>44938</v>
      </c>
      <c r="O1859" s="1">
        <f t="shared" si="233"/>
        <v>43101</v>
      </c>
      <c r="P1859" s="1">
        <f t="shared" si="234"/>
        <v>44835</v>
      </c>
      <c r="Q1859" s="8">
        <f t="shared" si="235"/>
        <v>0</v>
      </c>
      <c r="R1859" s="8">
        <f t="shared" si="236"/>
        <v>58</v>
      </c>
      <c r="S1859" s="8">
        <f t="shared" ca="1" si="237"/>
        <v>54</v>
      </c>
      <c r="T1859">
        <f t="shared" ca="1" si="238"/>
        <v>2.3928584255473617</v>
      </c>
      <c r="U1859" s="8">
        <f t="shared" ca="1" si="239"/>
        <v>1.1937369322041451</v>
      </c>
      <c r="V1859" s="8">
        <f ca="1">RawData[[#This Row],[Z (smoothed demand size)]]/RawData[[#This Row],[X (smoothed interval)]]</f>
        <v>2.0045106765098817</v>
      </c>
    </row>
    <row r="1860" spans="1:22">
      <c r="A1860" t="s">
        <v>44</v>
      </c>
      <c r="B1860" t="s">
        <v>39</v>
      </c>
      <c r="C1860">
        <v>24</v>
      </c>
      <c r="D1860" t="s">
        <v>18</v>
      </c>
      <c r="E1860" t="s">
        <v>16</v>
      </c>
      <c r="F1860" s="1">
        <v>44572</v>
      </c>
      <c r="G1860">
        <v>0</v>
      </c>
      <c r="H1860">
        <v>0</v>
      </c>
      <c r="I1860">
        <v>5</v>
      </c>
      <c r="J1860">
        <v>5</v>
      </c>
      <c r="K1860">
        <v>0</v>
      </c>
      <c r="L1860">
        <v>462</v>
      </c>
      <c r="M1860">
        <v>60</v>
      </c>
      <c r="N1860" s="1">
        <f t="shared" si="232"/>
        <v>44938</v>
      </c>
      <c r="O1860" s="1">
        <f t="shared" si="233"/>
        <v>43101</v>
      </c>
      <c r="P1860" s="1">
        <f t="shared" si="234"/>
        <v>44866</v>
      </c>
      <c r="Q1860" s="8">
        <f t="shared" si="235"/>
        <v>0</v>
      </c>
      <c r="R1860" s="8">
        <f t="shared" si="236"/>
        <v>59</v>
      </c>
      <c r="S1860" s="8">
        <f t="shared" ca="1" si="237"/>
        <v>54</v>
      </c>
      <c r="T1860">
        <f t="shared" ca="1" si="238"/>
        <v>2.3928584255473617</v>
      </c>
      <c r="U1860" s="8">
        <f t="shared" ca="1" si="239"/>
        <v>1.1937369322041451</v>
      </c>
      <c r="V1860" s="8">
        <f ca="1">RawData[[#This Row],[Z (smoothed demand size)]]/RawData[[#This Row],[X (smoothed interval)]]</f>
        <v>2.0045106765098817</v>
      </c>
    </row>
    <row r="1861" spans="1:22">
      <c r="A1861" t="s">
        <v>44</v>
      </c>
      <c r="B1861" t="s">
        <v>39</v>
      </c>
      <c r="C1861">
        <v>24</v>
      </c>
      <c r="D1861" t="s">
        <v>18</v>
      </c>
      <c r="E1861" t="s">
        <v>16</v>
      </c>
      <c r="F1861" s="1">
        <v>44573</v>
      </c>
      <c r="G1861">
        <v>0</v>
      </c>
      <c r="H1861">
        <v>0</v>
      </c>
      <c r="I1861">
        <v>5</v>
      </c>
      <c r="J1861">
        <v>5</v>
      </c>
      <c r="K1861">
        <v>0</v>
      </c>
      <c r="L1861">
        <v>524</v>
      </c>
      <c r="M1861">
        <v>45</v>
      </c>
      <c r="N1861" s="1">
        <f t="shared" si="232"/>
        <v>44938</v>
      </c>
      <c r="O1861" s="1">
        <f t="shared" si="233"/>
        <v>43101</v>
      </c>
      <c r="P1861" s="1">
        <f t="shared" si="234"/>
        <v>44896</v>
      </c>
      <c r="Q1861" s="8">
        <f t="shared" si="235"/>
        <v>0</v>
      </c>
      <c r="R1861" s="8">
        <f t="shared" si="236"/>
        <v>60</v>
      </c>
      <c r="S1861" s="8">
        <f t="shared" ca="1" si="237"/>
        <v>54</v>
      </c>
      <c r="T1861">
        <f t="shared" ca="1" si="238"/>
        <v>2.3928584255473617</v>
      </c>
      <c r="U1861" s="8">
        <f t="shared" ca="1" si="239"/>
        <v>1.1937369322041451</v>
      </c>
      <c r="V1861" s="8">
        <f ca="1">RawData[[#This Row],[Z (smoothed demand size)]]/RawData[[#This Row],[X (smoothed interval)]]</f>
        <v>2.0045106765098817</v>
      </c>
    </row>
    <row r="1862" spans="1:22">
      <c r="A1862" t="s">
        <v>44</v>
      </c>
      <c r="B1862" t="s">
        <v>39</v>
      </c>
      <c r="C1862">
        <v>24</v>
      </c>
      <c r="D1862" t="s">
        <v>18</v>
      </c>
      <c r="E1862" t="s">
        <v>16</v>
      </c>
      <c r="F1862" s="1">
        <v>44927</v>
      </c>
      <c r="G1862">
        <v>0</v>
      </c>
      <c r="H1862">
        <v>0</v>
      </c>
      <c r="I1862">
        <v>5</v>
      </c>
      <c r="J1862">
        <v>5</v>
      </c>
      <c r="K1862">
        <v>0</v>
      </c>
      <c r="L1862">
        <v>454</v>
      </c>
      <c r="M1862">
        <v>60</v>
      </c>
      <c r="N1862" s="1">
        <f t="shared" si="232"/>
        <v>44938</v>
      </c>
      <c r="O1862" s="1">
        <f t="shared" si="233"/>
        <v>43101</v>
      </c>
      <c r="P1862" s="1">
        <f t="shared" si="234"/>
        <v>44927</v>
      </c>
      <c r="Q1862" s="8">
        <f t="shared" si="235"/>
        <v>0</v>
      </c>
      <c r="R1862" s="8">
        <f t="shared" si="236"/>
        <v>61</v>
      </c>
      <c r="S1862" s="8">
        <f t="shared" ca="1" si="237"/>
        <v>54</v>
      </c>
      <c r="T1862">
        <f t="shared" ca="1" si="238"/>
        <v>2.3928584255473617</v>
      </c>
      <c r="U1862" s="8">
        <f t="shared" ca="1" si="239"/>
        <v>1.1937369322041451</v>
      </c>
      <c r="V1862" s="8">
        <f ca="1">RawData[[#This Row],[Z (smoothed demand size)]]/RawData[[#This Row],[X (smoothed interval)]]</f>
        <v>2.0045106765098817</v>
      </c>
    </row>
    <row r="1863" spans="1:22">
      <c r="A1863" t="s">
        <v>44</v>
      </c>
      <c r="B1863" t="s">
        <v>39</v>
      </c>
      <c r="C1863">
        <v>24</v>
      </c>
      <c r="D1863" t="s">
        <v>18</v>
      </c>
      <c r="E1863" t="s">
        <v>16</v>
      </c>
      <c r="F1863" s="1">
        <v>44928</v>
      </c>
      <c r="G1863">
        <v>0</v>
      </c>
      <c r="H1863">
        <v>0</v>
      </c>
      <c r="I1863">
        <v>5</v>
      </c>
      <c r="J1863">
        <v>5</v>
      </c>
      <c r="K1863">
        <v>0</v>
      </c>
      <c r="L1863">
        <v>449</v>
      </c>
      <c r="M1863">
        <v>15</v>
      </c>
      <c r="N1863" s="1">
        <f t="shared" si="232"/>
        <v>44938</v>
      </c>
      <c r="O1863" s="1">
        <f t="shared" si="233"/>
        <v>43101</v>
      </c>
      <c r="P1863" s="1">
        <f t="shared" si="234"/>
        <v>44958</v>
      </c>
      <c r="Q1863" s="8">
        <f t="shared" si="235"/>
        <v>0</v>
      </c>
      <c r="R1863" s="8">
        <f t="shared" si="236"/>
        <v>62</v>
      </c>
      <c r="S1863" s="8">
        <f t="shared" ca="1" si="237"/>
        <v>54</v>
      </c>
      <c r="T1863">
        <f t="shared" ca="1" si="238"/>
        <v>2.3928584255473617</v>
      </c>
      <c r="U1863" s="8">
        <f t="shared" ca="1" si="239"/>
        <v>1.1937369322041451</v>
      </c>
      <c r="V1863" s="8">
        <f ca="1">RawData[[#This Row],[Z (smoothed demand size)]]/RawData[[#This Row],[X (smoothed interval)]]</f>
        <v>2.0045106765098817</v>
      </c>
    </row>
    <row r="1864" spans="1:22">
      <c r="A1864" t="s">
        <v>44</v>
      </c>
      <c r="B1864" t="s">
        <v>39</v>
      </c>
      <c r="C1864">
        <v>24</v>
      </c>
      <c r="D1864" t="s">
        <v>18</v>
      </c>
      <c r="E1864" t="s">
        <v>16</v>
      </c>
      <c r="F1864" s="1">
        <v>44929</v>
      </c>
      <c r="G1864">
        <v>1</v>
      </c>
      <c r="H1864">
        <v>1</v>
      </c>
      <c r="I1864">
        <v>5</v>
      </c>
      <c r="J1864">
        <v>4</v>
      </c>
      <c r="K1864">
        <v>0</v>
      </c>
      <c r="L1864">
        <v>460</v>
      </c>
      <c r="M1864">
        <v>15</v>
      </c>
      <c r="N1864" s="1">
        <f t="shared" si="232"/>
        <v>44938</v>
      </c>
      <c r="O1864" s="1">
        <f t="shared" si="233"/>
        <v>43101</v>
      </c>
      <c r="P1864" s="1">
        <f t="shared" si="234"/>
        <v>44986</v>
      </c>
      <c r="Q1864" s="8">
        <f t="shared" si="235"/>
        <v>0</v>
      </c>
      <c r="R1864" s="8">
        <f t="shared" si="236"/>
        <v>63</v>
      </c>
      <c r="S1864" s="8">
        <f t="shared" ca="1" si="237"/>
        <v>63</v>
      </c>
      <c r="T1864">
        <f t="shared" ca="1" si="238"/>
        <v>2.1142867404378896</v>
      </c>
      <c r="U1864" s="8">
        <f t="shared" ca="1" si="239"/>
        <v>2.7549895457633164</v>
      </c>
      <c r="V1864" s="8">
        <f ca="1">RawData[[#This Row],[Z (smoothed demand size)]]/RawData[[#This Row],[X (smoothed interval)]]</f>
        <v>0.76743911558186717</v>
      </c>
    </row>
    <row r="1865" spans="1:22">
      <c r="A1865" t="s">
        <v>44</v>
      </c>
      <c r="B1865" t="s">
        <v>39</v>
      </c>
      <c r="C1865">
        <v>24</v>
      </c>
      <c r="D1865" t="s">
        <v>18</v>
      </c>
      <c r="E1865" t="s">
        <v>16</v>
      </c>
      <c r="F1865" s="1">
        <v>44930</v>
      </c>
      <c r="G1865">
        <v>0</v>
      </c>
      <c r="H1865">
        <v>0</v>
      </c>
      <c r="I1865">
        <v>4</v>
      </c>
      <c r="J1865">
        <v>4</v>
      </c>
      <c r="K1865">
        <v>0</v>
      </c>
      <c r="L1865">
        <v>455</v>
      </c>
      <c r="M1865">
        <v>15</v>
      </c>
      <c r="N1865" s="1">
        <f t="shared" si="232"/>
        <v>44938</v>
      </c>
      <c r="O1865" s="1">
        <f t="shared" si="233"/>
        <v>43101</v>
      </c>
      <c r="P1865" s="1">
        <f t="shared" si="234"/>
        <v>45017</v>
      </c>
      <c r="Q1865" s="8">
        <f t="shared" si="235"/>
        <v>0</v>
      </c>
      <c r="R1865" s="8">
        <f t="shared" si="236"/>
        <v>64</v>
      </c>
      <c r="S1865" s="8">
        <f t="shared" ca="1" si="237"/>
        <v>63</v>
      </c>
      <c r="T1865">
        <f t="shared" ca="1" si="238"/>
        <v>2.1142867404378896</v>
      </c>
      <c r="U1865" s="8">
        <f t="shared" ca="1" si="239"/>
        <v>2.7549895457633164</v>
      </c>
      <c r="V1865" s="8">
        <f ca="1">RawData[[#This Row],[Z (smoothed demand size)]]/RawData[[#This Row],[X (smoothed interval)]]</f>
        <v>0.76743911558186717</v>
      </c>
    </row>
    <row r="1866" spans="1:22">
      <c r="A1866" t="s">
        <v>44</v>
      </c>
      <c r="B1866" t="s">
        <v>39</v>
      </c>
      <c r="C1866">
        <v>24</v>
      </c>
      <c r="D1866" t="s">
        <v>18</v>
      </c>
      <c r="E1866" t="s">
        <v>16</v>
      </c>
      <c r="F1866" s="1">
        <v>44931</v>
      </c>
      <c r="G1866">
        <v>4</v>
      </c>
      <c r="H1866">
        <v>4</v>
      </c>
      <c r="I1866">
        <v>4</v>
      </c>
      <c r="J1866">
        <v>0</v>
      </c>
      <c r="K1866">
        <v>0</v>
      </c>
      <c r="L1866">
        <v>468</v>
      </c>
      <c r="M1866">
        <v>15</v>
      </c>
      <c r="N1866" s="1">
        <f t="shared" si="232"/>
        <v>44938</v>
      </c>
      <c r="O1866" s="1">
        <f t="shared" si="233"/>
        <v>43101</v>
      </c>
      <c r="P1866" s="1">
        <f t="shared" si="234"/>
        <v>45047</v>
      </c>
      <c r="Q1866" s="8">
        <f t="shared" si="235"/>
        <v>0</v>
      </c>
      <c r="R1866" s="8">
        <f t="shared" si="236"/>
        <v>65</v>
      </c>
      <c r="S1866" s="8">
        <f t="shared" ca="1" si="237"/>
        <v>65</v>
      </c>
      <c r="T1866">
        <f t="shared" ca="1" si="238"/>
        <v>2.4914293923503115</v>
      </c>
      <c r="U1866" s="8">
        <f t="shared" ca="1" si="239"/>
        <v>2.6039916366106532</v>
      </c>
      <c r="V1866" s="8">
        <f ca="1">RawData[[#This Row],[Z (smoothed demand size)]]/RawData[[#This Row],[X (smoothed interval)]]</f>
        <v>0.95677319286368656</v>
      </c>
    </row>
    <row r="1867" spans="1:22">
      <c r="A1867" t="s">
        <v>44</v>
      </c>
      <c r="B1867" t="s">
        <v>39</v>
      </c>
      <c r="C1867">
        <v>24</v>
      </c>
      <c r="D1867" t="s">
        <v>18</v>
      </c>
      <c r="E1867" t="s">
        <v>16</v>
      </c>
      <c r="F1867" s="1">
        <v>44932</v>
      </c>
      <c r="G1867">
        <v>2</v>
      </c>
      <c r="H1867">
        <v>2</v>
      </c>
      <c r="I1867">
        <v>7</v>
      </c>
      <c r="J1867">
        <v>5</v>
      </c>
      <c r="K1867">
        <v>0</v>
      </c>
      <c r="L1867">
        <v>524</v>
      </c>
      <c r="M1867">
        <v>45</v>
      </c>
      <c r="N1867" s="1">
        <f t="shared" si="232"/>
        <v>44938</v>
      </c>
      <c r="O1867" s="1">
        <f t="shared" si="233"/>
        <v>43101</v>
      </c>
      <c r="P1867" s="1">
        <f t="shared" si="234"/>
        <v>45078</v>
      </c>
      <c r="Q1867" s="8">
        <f t="shared" si="235"/>
        <v>0</v>
      </c>
      <c r="R1867" s="8">
        <f t="shared" si="236"/>
        <v>66</v>
      </c>
      <c r="S1867" s="8">
        <f t="shared" ca="1" si="237"/>
        <v>66</v>
      </c>
      <c r="T1867">
        <f t="shared" ca="1" si="238"/>
        <v>2.3931435138802493</v>
      </c>
      <c r="U1867" s="8">
        <f t="shared" ca="1" si="239"/>
        <v>2.283193309288523</v>
      </c>
      <c r="V1867" s="8">
        <f ca="1">RawData[[#This Row],[Z (smoothed demand size)]]/RawData[[#This Row],[X (smoothed interval)]]</f>
        <v>1.0481563274315955</v>
      </c>
    </row>
    <row r="1868" spans="1:22">
      <c r="A1868" t="s">
        <v>44</v>
      </c>
      <c r="B1868" t="s">
        <v>39</v>
      </c>
      <c r="C1868">
        <v>24</v>
      </c>
      <c r="D1868" t="s">
        <v>18</v>
      </c>
      <c r="E1868" t="s">
        <v>16</v>
      </c>
      <c r="F1868" s="1">
        <v>44933</v>
      </c>
      <c r="G1868">
        <v>3</v>
      </c>
      <c r="H1868">
        <v>3</v>
      </c>
      <c r="I1868">
        <v>5</v>
      </c>
      <c r="J1868">
        <v>2</v>
      </c>
      <c r="K1868">
        <v>0</v>
      </c>
      <c r="L1868">
        <v>533</v>
      </c>
      <c r="M1868">
        <v>30</v>
      </c>
      <c r="N1868" s="1">
        <f t="shared" si="232"/>
        <v>44938</v>
      </c>
      <c r="O1868" s="1">
        <f t="shared" si="233"/>
        <v>43101</v>
      </c>
      <c r="P1868" s="1">
        <f t="shared" si="234"/>
        <v>45108</v>
      </c>
      <c r="Q1868" s="8">
        <f t="shared" si="235"/>
        <v>0</v>
      </c>
      <c r="R1868" s="8">
        <f t="shared" si="236"/>
        <v>67</v>
      </c>
      <c r="S1868" s="8">
        <f t="shared" ca="1" si="237"/>
        <v>67</v>
      </c>
      <c r="T1868">
        <f t="shared" ca="1" si="238"/>
        <v>2.5145148111041995</v>
      </c>
      <c r="U1868" s="8">
        <f t="shared" ca="1" si="239"/>
        <v>2.0265546474308187</v>
      </c>
      <c r="V1868" s="8">
        <f ca="1">RawData[[#This Row],[Z (smoothed demand size)]]/RawData[[#This Row],[X (smoothed interval)]]</f>
        <v>1.2407831263232878</v>
      </c>
    </row>
    <row r="1869" spans="1:22">
      <c r="A1869" t="s">
        <v>44</v>
      </c>
      <c r="B1869" t="s">
        <v>39</v>
      </c>
      <c r="C1869">
        <v>24</v>
      </c>
      <c r="D1869" t="s">
        <v>18</v>
      </c>
      <c r="E1869" t="s">
        <v>16</v>
      </c>
      <c r="F1869" s="1">
        <v>44934</v>
      </c>
      <c r="G1869">
        <v>0</v>
      </c>
      <c r="H1869">
        <v>0</v>
      </c>
      <c r="I1869">
        <v>11</v>
      </c>
      <c r="J1869">
        <v>11</v>
      </c>
      <c r="K1869">
        <v>0</v>
      </c>
      <c r="L1869">
        <v>533</v>
      </c>
      <c r="M1869">
        <v>45</v>
      </c>
      <c r="N1869" s="1">
        <f t="shared" si="232"/>
        <v>44938</v>
      </c>
      <c r="O1869" s="1">
        <f t="shared" si="233"/>
        <v>43101</v>
      </c>
      <c r="P1869" s="1">
        <f t="shared" si="234"/>
        <v>45139</v>
      </c>
      <c r="Q1869" s="8">
        <f t="shared" si="235"/>
        <v>0</v>
      </c>
      <c r="R1869" s="8">
        <f t="shared" si="236"/>
        <v>68</v>
      </c>
      <c r="S1869" s="8">
        <f t="shared" ca="1" si="237"/>
        <v>67</v>
      </c>
      <c r="T1869">
        <f t="shared" ca="1" si="238"/>
        <v>2.5145148111041995</v>
      </c>
      <c r="U1869" s="8">
        <f t="shared" ca="1" si="239"/>
        <v>2.0265546474308187</v>
      </c>
      <c r="V1869" s="8">
        <f ca="1">RawData[[#This Row],[Z (smoothed demand size)]]/RawData[[#This Row],[X (smoothed interval)]]</f>
        <v>1.2407831263232878</v>
      </c>
    </row>
    <row r="1870" spans="1:22">
      <c r="A1870" t="s">
        <v>44</v>
      </c>
      <c r="B1870" t="s">
        <v>39</v>
      </c>
      <c r="C1870">
        <v>24</v>
      </c>
      <c r="D1870" t="s">
        <v>18</v>
      </c>
      <c r="E1870" t="s">
        <v>16</v>
      </c>
      <c r="F1870" s="1">
        <v>44935</v>
      </c>
      <c r="G1870">
        <v>3</v>
      </c>
      <c r="H1870">
        <v>3</v>
      </c>
      <c r="I1870">
        <v>11</v>
      </c>
      <c r="J1870">
        <v>8</v>
      </c>
      <c r="K1870">
        <v>0</v>
      </c>
      <c r="L1870">
        <v>457</v>
      </c>
      <c r="M1870">
        <v>30</v>
      </c>
      <c r="N1870" s="1">
        <f t="shared" si="232"/>
        <v>44938</v>
      </c>
      <c r="O1870" s="1">
        <f t="shared" si="233"/>
        <v>43101</v>
      </c>
      <c r="P1870" s="1">
        <f t="shared" si="234"/>
        <v>45170</v>
      </c>
      <c r="Q1870" s="8">
        <f t="shared" si="235"/>
        <v>0</v>
      </c>
      <c r="R1870" s="8">
        <f t="shared" si="236"/>
        <v>69</v>
      </c>
      <c r="S1870" s="8">
        <f t="shared" ca="1" si="237"/>
        <v>69</v>
      </c>
      <c r="T1870">
        <f t="shared" ca="1" si="238"/>
        <v>2.61161184888336</v>
      </c>
      <c r="U1870" s="8">
        <f t="shared" ca="1" si="239"/>
        <v>2.021243717944655</v>
      </c>
      <c r="V1870" s="8">
        <f ca="1">RawData[[#This Row],[Z (smoothed demand size)]]/RawData[[#This Row],[X (smoothed interval)]]</f>
        <v>1.2920816157385679</v>
      </c>
    </row>
    <row r="1871" spans="1:22">
      <c r="A1871" t="s">
        <v>44</v>
      </c>
      <c r="B1871" t="s">
        <v>39</v>
      </c>
      <c r="C1871">
        <v>24</v>
      </c>
      <c r="D1871" t="s">
        <v>18</v>
      </c>
      <c r="E1871" t="s">
        <v>16</v>
      </c>
      <c r="F1871" s="1">
        <v>44936</v>
      </c>
      <c r="G1871">
        <v>2</v>
      </c>
      <c r="H1871">
        <v>2</v>
      </c>
      <c r="I1871">
        <v>8</v>
      </c>
      <c r="J1871">
        <v>6</v>
      </c>
      <c r="K1871">
        <v>0</v>
      </c>
      <c r="L1871">
        <v>455</v>
      </c>
      <c r="M1871">
        <v>15</v>
      </c>
      <c r="N1871" s="1">
        <f t="shared" si="232"/>
        <v>44938</v>
      </c>
      <c r="O1871" s="1">
        <f t="shared" si="233"/>
        <v>43101</v>
      </c>
      <c r="P1871" s="1">
        <f t="shared" si="234"/>
        <v>45200</v>
      </c>
      <c r="Q1871" s="8">
        <f t="shared" si="235"/>
        <v>0</v>
      </c>
      <c r="R1871" s="8">
        <f t="shared" si="236"/>
        <v>70</v>
      </c>
      <c r="S1871" s="8">
        <f t="shared" ca="1" si="237"/>
        <v>70</v>
      </c>
      <c r="T1871">
        <f t="shared" ca="1" si="238"/>
        <v>2.489289479106688</v>
      </c>
      <c r="U1871" s="8">
        <f t="shared" ca="1" si="239"/>
        <v>1.8169949743557241</v>
      </c>
      <c r="V1871" s="8">
        <f ca="1">RawData[[#This Row],[Z (smoothed demand size)]]/RawData[[#This Row],[X (smoothed interval)]]</f>
        <v>1.3700035026180235</v>
      </c>
    </row>
    <row r="1872" spans="1:22">
      <c r="A1872" t="s">
        <v>44</v>
      </c>
      <c r="B1872" t="s">
        <v>39</v>
      </c>
      <c r="C1872">
        <v>24</v>
      </c>
      <c r="D1872" t="s">
        <v>18</v>
      </c>
      <c r="E1872" t="s">
        <v>16</v>
      </c>
      <c r="F1872" s="1">
        <v>44937</v>
      </c>
      <c r="G1872">
        <v>0</v>
      </c>
      <c r="H1872">
        <v>0</v>
      </c>
      <c r="I1872">
        <v>6</v>
      </c>
      <c r="J1872">
        <v>6</v>
      </c>
      <c r="K1872">
        <v>0</v>
      </c>
      <c r="L1872">
        <v>457</v>
      </c>
      <c r="M1872">
        <v>15</v>
      </c>
      <c r="N1872" s="1">
        <f t="shared" si="232"/>
        <v>44938</v>
      </c>
      <c r="O1872" s="1">
        <f t="shared" si="233"/>
        <v>43101</v>
      </c>
      <c r="P1872" s="1">
        <f t="shared" si="234"/>
        <v>45231</v>
      </c>
      <c r="Q1872" s="8">
        <f t="shared" si="235"/>
        <v>0</v>
      </c>
      <c r="R1872" s="8">
        <f t="shared" si="236"/>
        <v>71</v>
      </c>
      <c r="S1872" s="8">
        <f t="shared" ca="1" si="237"/>
        <v>70</v>
      </c>
      <c r="T1872">
        <f t="shared" ca="1" si="238"/>
        <v>2.489289479106688</v>
      </c>
      <c r="U1872" s="8">
        <f t="shared" ca="1" si="239"/>
        <v>1.8169949743557241</v>
      </c>
      <c r="V1872" s="8">
        <f ca="1">RawData[[#This Row],[Z (smoothed demand size)]]/RawData[[#This Row],[X (smoothed interval)]]</f>
        <v>1.3700035026180235</v>
      </c>
    </row>
    <row r="1873" spans="1:22">
      <c r="A1873" t="s">
        <v>44</v>
      </c>
      <c r="B1873" t="s">
        <v>39</v>
      </c>
      <c r="C1873">
        <v>24</v>
      </c>
      <c r="D1873" t="s">
        <v>18</v>
      </c>
      <c r="E1873" t="s">
        <v>16</v>
      </c>
      <c r="F1873" s="1">
        <v>44938</v>
      </c>
      <c r="G1873">
        <v>6</v>
      </c>
      <c r="H1873">
        <v>6</v>
      </c>
      <c r="I1873">
        <v>6</v>
      </c>
      <c r="J1873">
        <v>0</v>
      </c>
      <c r="K1873">
        <v>0</v>
      </c>
      <c r="L1873">
        <v>533</v>
      </c>
      <c r="M1873">
        <v>15</v>
      </c>
      <c r="N1873" s="1">
        <f t="shared" si="232"/>
        <v>44938</v>
      </c>
      <c r="O1873" s="1">
        <f t="shared" si="233"/>
        <v>43101</v>
      </c>
      <c r="P1873" s="1">
        <f t="shared" si="234"/>
        <v>45261</v>
      </c>
      <c r="Q1873" s="8">
        <f t="shared" si="235"/>
        <v>0</v>
      </c>
      <c r="R1873" s="8">
        <f t="shared" si="236"/>
        <v>72</v>
      </c>
      <c r="S1873" s="8">
        <f t="shared" ca="1" si="237"/>
        <v>72</v>
      </c>
      <c r="T1873">
        <f t="shared" ca="1" si="238"/>
        <v>3.1914315832853504</v>
      </c>
      <c r="U1873" s="8">
        <f t="shared" ca="1" si="239"/>
        <v>1.8535959794845795</v>
      </c>
      <c r="V1873" s="8">
        <f ca="1">RawData[[#This Row],[Z (smoothed demand size)]]/RawData[[#This Row],[X (smoothed interval)]]</f>
        <v>1.7217514596534549</v>
      </c>
    </row>
    <row r="1874" spans="1:22">
      <c r="A1874" t="s">
        <v>45</v>
      </c>
      <c r="B1874" t="s">
        <v>39</v>
      </c>
      <c r="C1874">
        <v>32</v>
      </c>
      <c r="D1874" t="s">
        <v>18</v>
      </c>
      <c r="E1874" t="s">
        <v>16</v>
      </c>
      <c r="F1874" s="1">
        <v>43101</v>
      </c>
      <c r="G1874">
        <v>3</v>
      </c>
      <c r="H1874">
        <v>3</v>
      </c>
      <c r="I1874">
        <v>22</v>
      </c>
      <c r="J1874">
        <v>19</v>
      </c>
      <c r="K1874">
        <v>0</v>
      </c>
      <c r="L1874">
        <v>695</v>
      </c>
      <c r="M1874">
        <v>30</v>
      </c>
      <c r="N1874" s="1">
        <f t="shared" si="232"/>
        <v>44938</v>
      </c>
      <c r="O1874" s="1">
        <f t="shared" si="233"/>
        <v>43101</v>
      </c>
      <c r="P1874" s="1">
        <f t="shared" si="234"/>
        <v>43101</v>
      </c>
      <c r="Q1874" s="8">
        <f t="shared" si="235"/>
        <v>1</v>
      </c>
      <c r="R1874" s="8">
        <f t="shared" si="236"/>
        <v>1</v>
      </c>
      <c r="S1874" s="8">
        <f t="shared" ca="1" si="237"/>
        <v>1</v>
      </c>
      <c r="T1874">
        <f t="shared" ca="1" si="238"/>
        <v>3</v>
      </c>
      <c r="U1874" s="8">
        <f t="shared" ca="1" si="239"/>
        <v>1</v>
      </c>
      <c r="V1874" s="8">
        <f ca="1">RawData[[#This Row],[Z (smoothed demand size)]]/RawData[[#This Row],[X (smoothed interval)]]</f>
        <v>3</v>
      </c>
    </row>
    <row r="1875" spans="1:22">
      <c r="A1875" t="s">
        <v>45</v>
      </c>
      <c r="B1875" t="s">
        <v>39</v>
      </c>
      <c r="C1875">
        <v>32</v>
      </c>
      <c r="D1875" t="s">
        <v>18</v>
      </c>
      <c r="E1875" t="s">
        <v>16</v>
      </c>
      <c r="F1875" s="1">
        <v>43102</v>
      </c>
      <c r="G1875">
        <v>0</v>
      </c>
      <c r="H1875">
        <v>0</v>
      </c>
      <c r="I1875">
        <v>19</v>
      </c>
      <c r="J1875">
        <v>19</v>
      </c>
      <c r="K1875">
        <v>0</v>
      </c>
      <c r="L1875">
        <v>697</v>
      </c>
      <c r="M1875">
        <v>30</v>
      </c>
      <c r="N1875" s="1">
        <f t="shared" si="232"/>
        <v>44938</v>
      </c>
      <c r="O1875" s="1">
        <f t="shared" si="233"/>
        <v>43101</v>
      </c>
      <c r="P1875" s="1">
        <f t="shared" si="234"/>
        <v>43132</v>
      </c>
      <c r="Q1875" s="8">
        <f t="shared" si="235"/>
        <v>0</v>
      </c>
      <c r="R1875" s="8">
        <f t="shared" si="236"/>
        <v>2</v>
      </c>
      <c r="S1875" s="8">
        <f t="shared" ca="1" si="237"/>
        <v>1</v>
      </c>
      <c r="T1875">
        <f t="shared" ca="1" si="238"/>
        <v>3</v>
      </c>
      <c r="U1875" s="8">
        <f t="shared" ca="1" si="239"/>
        <v>1</v>
      </c>
      <c r="V1875" s="8">
        <f ca="1">RawData[[#This Row],[Z (smoothed demand size)]]/RawData[[#This Row],[X (smoothed interval)]]</f>
        <v>3</v>
      </c>
    </row>
    <row r="1876" spans="1:22">
      <c r="A1876" t="s">
        <v>45</v>
      </c>
      <c r="B1876" t="s">
        <v>39</v>
      </c>
      <c r="C1876">
        <v>32</v>
      </c>
      <c r="D1876" t="s">
        <v>18</v>
      </c>
      <c r="E1876" t="s">
        <v>16</v>
      </c>
      <c r="F1876" s="1">
        <v>43103</v>
      </c>
      <c r="G1876">
        <v>0</v>
      </c>
      <c r="H1876">
        <v>0</v>
      </c>
      <c r="I1876">
        <v>19</v>
      </c>
      <c r="J1876">
        <v>19</v>
      </c>
      <c r="K1876">
        <v>0</v>
      </c>
      <c r="L1876">
        <v>699</v>
      </c>
      <c r="M1876">
        <v>60</v>
      </c>
      <c r="N1876" s="1">
        <f t="shared" si="232"/>
        <v>44938</v>
      </c>
      <c r="O1876" s="1">
        <f t="shared" si="233"/>
        <v>43101</v>
      </c>
      <c r="P1876" s="1">
        <f t="shared" si="234"/>
        <v>43160</v>
      </c>
      <c r="Q1876" s="8">
        <f t="shared" si="235"/>
        <v>0</v>
      </c>
      <c r="R1876" s="8">
        <f t="shared" si="236"/>
        <v>3</v>
      </c>
      <c r="S1876" s="8">
        <f t="shared" ca="1" si="237"/>
        <v>1</v>
      </c>
      <c r="T1876">
        <f t="shared" ca="1" si="238"/>
        <v>3</v>
      </c>
      <c r="U1876" s="8">
        <f t="shared" ca="1" si="239"/>
        <v>1</v>
      </c>
      <c r="V1876" s="8">
        <f ca="1">RawData[[#This Row],[Z (smoothed demand size)]]/RawData[[#This Row],[X (smoothed interval)]]</f>
        <v>3</v>
      </c>
    </row>
    <row r="1877" spans="1:22">
      <c r="A1877" t="s">
        <v>45</v>
      </c>
      <c r="B1877" t="s">
        <v>39</v>
      </c>
      <c r="C1877">
        <v>32</v>
      </c>
      <c r="D1877" t="s">
        <v>18</v>
      </c>
      <c r="E1877" t="s">
        <v>16</v>
      </c>
      <c r="F1877" s="1">
        <v>43104</v>
      </c>
      <c r="G1877">
        <v>0</v>
      </c>
      <c r="H1877">
        <v>0</v>
      </c>
      <c r="I1877">
        <v>19</v>
      </c>
      <c r="J1877">
        <v>19</v>
      </c>
      <c r="K1877">
        <v>0</v>
      </c>
      <c r="L1877">
        <v>711</v>
      </c>
      <c r="M1877">
        <v>30</v>
      </c>
      <c r="N1877" s="1">
        <f t="shared" si="232"/>
        <v>44938</v>
      </c>
      <c r="O1877" s="1">
        <f t="shared" si="233"/>
        <v>43101</v>
      </c>
      <c r="P1877" s="1">
        <f t="shared" si="234"/>
        <v>43191</v>
      </c>
      <c r="Q1877" s="8">
        <f t="shared" si="235"/>
        <v>0</v>
      </c>
      <c r="R1877" s="8">
        <f t="shared" si="236"/>
        <v>4</v>
      </c>
      <c r="S1877" s="8">
        <f t="shared" ca="1" si="237"/>
        <v>1</v>
      </c>
      <c r="T1877">
        <f t="shared" ca="1" si="238"/>
        <v>3</v>
      </c>
      <c r="U1877" s="8">
        <f t="shared" ca="1" si="239"/>
        <v>1</v>
      </c>
      <c r="V1877" s="8">
        <f ca="1">RawData[[#This Row],[Z (smoothed demand size)]]/RawData[[#This Row],[X (smoothed interval)]]</f>
        <v>3</v>
      </c>
    </row>
    <row r="1878" spans="1:22">
      <c r="A1878" t="s">
        <v>45</v>
      </c>
      <c r="B1878" t="s">
        <v>39</v>
      </c>
      <c r="C1878">
        <v>32</v>
      </c>
      <c r="D1878" t="s">
        <v>18</v>
      </c>
      <c r="E1878" t="s">
        <v>16</v>
      </c>
      <c r="F1878" s="1">
        <v>43105</v>
      </c>
      <c r="G1878">
        <v>4</v>
      </c>
      <c r="H1878">
        <v>4</v>
      </c>
      <c r="I1878">
        <v>19</v>
      </c>
      <c r="J1878">
        <v>15</v>
      </c>
      <c r="K1878">
        <v>0</v>
      </c>
      <c r="L1878">
        <v>700</v>
      </c>
      <c r="M1878">
        <v>30</v>
      </c>
      <c r="N1878" s="1">
        <f t="shared" si="232"/>
        <v>44938</v>
      </c>
      <c r="O1878" s="1">
        <f t="shared" si="233"/>
        <v>43101</v>
      </c>
      <c r="P1878" s="1">
        <f t="shared" si="234"/>
        <v>43221</v>
      </c>
      <c r="Q1878" s="8">
        <f t="shared" si="235"/>
        <v>0</v>
      </c>
      <c r="R1878" s="8">
        <f t="shared" si="236"/>
        <v>5</v>
      </c>
      <c r="S1878" s="8">
        <f t="shared" ca="1" si="237"/>
        <v>5</v>
      </c>
      <c r="T1878">
        <f t="shared" ca="1" si="238"/>
        <v>3.2</v>
      </c>
      <c r="U1878" s="8">
        <f t="shared" ca="1" si="239"/>
        <v>1.6</v>
      </c>
      <c r="V1878" s="8">
        <f ca="1">RawData[[#This Row],[Z (smoothed demand size)]]/RawData[[#This Row],[X (smoothed interval)]]</f>
        <v>2</v>
      </c>
    </row>
    <row r="1879" spans="1:22">
      <c r="A1879" t="s">
        <v>45</v>
      </c>
      <c r="B1879" t="s">
        <v>39</v>
      </c>
      <c r="C1879">
        <v>32</v>
      </c>
      <c r="D1879" t="s">
        <v>18</v>
      </c>
      <c r="E1879" t="s">
        <v>16</v>
      </c>
      <c r="F1879" s="1">
        <v>43106</v>
      </c>
      <c r="G1879">
        <v>2</v>
      </c>
      <c r="H1879">
        <v>2</v>
      </c>
      <c r="I1879">
        <v>15</v>
      </c>
      <c r="J1879">
        <v>13</v>
      </c>
      <c r="K1879">
        <v>0</v>
      </c>
      <c r="L1879">
        <v>833</v>
      </c>
      <c r="M1879">
        <v>15</v>
      </c>
      <c r="N1879" s="1">
        <f t="shared" si="232"/>
        <v>44938</v>
      </c>
      <c r="O1879" s="1">
        <f t="shared" si="233"/>
        <v>43101</v>
      </c>
      <c r="P1879" s="1">
        <f t="shared" si="234"/>
        <v>43252</v>
      </c>
      <c r="Q1879" s="8">
        <f t="shared" si="235"/>
        <v>0</v>
      </c>
      <c r="R1879" s="8">
        <f t="shared" si="236"/>
        <v>6</v>
      </c>
      <c r="S1879" s="8">
        <f t="shared" ca="1" si="237"/>
        <v>6</v>
      </c>
      <c r="T1879">
        <f t="shared" ca="1" si="238"/>
        <v>2.9600000000000004</v>
      </c>
      <c r="U1879" s="8">
        <f t="shared" ca="1" si="239"/>
        <v>1.4800000000000002</v>
      </c>
      <c r="V1879" s="8">
        <f ca="1">RawData[[#This Row],[Z (smoothed demand size)]]/RawData[[#This Row],[X (smoothed interval)]]</f>
        <v>2</v>
      </c>
    </row>
    <row r="1880" spans="1:22">
      <c r="A1880" t="s">
        <v>45</v>
      </c>
      <c r="B1880" t="s">
        <v>39</v>
      </c>
      <c r="C1880">
        <v>32</v>
      </c>
      <c r="D1880" t="s">
        <v>18</v>
      </c>
      <c r="E1880" t="s">
        <v>16</v>
      </c>
      <c r="F1880" s="1">
        <v>43107</v>
      </c>
      <c r="G1880">
        <v>6</v>
      </c>
      <c r="H1880">
        <v>6</v>
      </c>
      <c r="I1880">
        <v>13</v>
      </c>
      <c r="J1880">
        <v>7</v>
      </c>
      <c r="K1880">
        <v>0</v>
      </c>
      <c r="L1880">
        <v>804</v>
      </c>
      <c r="M1880">
        <v>15</v>
      </c>
      <c r="N1880" s="1">
        <f t="shared" si="232"/>
        <v>44938</v>
      </c>
      <c r="O1880" s="1">
        <f t="shared" si="233"/>
        <v>43101</v>
      </c>
      <c r="P1880" s="1">
        <f t="shared" si="234"/>
        <v>43282</v>
      </c>
      <c r="Q1880" s="8">
        <f t="shared" si="235"/>
        <v>0</v>
      </c>
      <c r="R1880" s="8">
        <f t="shared" si="236"/>
        <v>7</v>
      </c>
      <c r="S1880" s="8">
        <f t="shared" ca="1" si="237"/>
        <v>7</v>
      </c>
      <c r="T1880">
        <f t="shared" ca="1" si="238"/>
        <v>3.5680000000000005</v>
      </c>
      <c r="U1880" s="8">
        <f t="shared" ca="1" si="239"/>
        <v>1.3840000000000001</v>
      </c>
      <c r="V1880" s="8">
        <f ca="1">RawData[[#This Row],[Z (smoothed demand size)]]/RawData[[#This Row],[X (smoothed interval)]]</f>
        <v>2.5780346820809248</v>
      </c>
    </row>
    <row r="1881" spans="1:22">
      <c r="A1881" t="s">
        <v>45</v>
      </c>
      <c r="B1881" t="s">
        <v>39</v>
      </c>
      <c r="C1881">
        <v>32</v>
      </c>
      <c r="D1881" t="s">
        <v>18</v>
      </c>
      <c r="E1881" t="s">
        <v>16</v>
      </c>
      <c r="F1881" s="1">
        <v>43108</v>
      </c>
      <c r="G1881">
        <v>0</v>
      </c>
      <c r="H1881">
        <v>0</v>
      </c>
      <c r="I1881">
        <v>7</v>
      </c>
      <c r="J1881">
        <v>7</v>
      </c>
      <c r="K1881">
        <v>0</v>
      </c>
      <c r="L1881">
        <v>793</v>
      </c>
      <c r="M1881">
        <v>30</v>
      </c>
      <c r="N1881" s="1">
        <f t="shared" si="232"/>
        <v>44938</v>
      </c>
      <c r="O1881" s="1">
        <f t="shared" si="233"/>
        <v>43101</v>
      </c>
      <c r="P1881" s="1">
        <f t="shared" si="234"/>
        <v>43313</v>
      </c>
      <c r="Q1881" s="8">
        <f t="shared" si="235"/>
        <v>0</v>
      </c>
      <c r="R1881" s="8">
        <f t="shared" si="236"/>
        <v>8</v>
      </c>
      <c r="S1881" s="8">
        <f t="shared" ca="1" si="237"/>
        <v>7</v>
      </c>
      <c r="T1881">
        <f t="shared" ca="1" si="238"/>
        <v>3.5680000000000005</v>
      </c>
      <c r="U1881" s="8">
        <f t="shared" ca="1" si="239"/>
        <v>1.3840000000000001</v>
      </c>
      <c r="V1881" s="8">
        <f ca="1">RawData[[#This Row],[Z (smoothed demand size)]]/RawData[[#This Row],[X (smoothed interval)]]</f>
        <v>2.5780346820809248</v>
      </c>
    </row>
    <row r="1882" spans="1:22">
      <c r="A1882" t="s">
        <v>45</v>
      </c>
      <c r="B1882" t="s">
        <v>39</v>
      </c>
      <c r="C1882">
        <v>32</v>
      </c>
      <c r="D1882" t="s">
        <v>18</v>
      </c>
      <c r="E1882" t="s">
        <v>16</v>
      </c>
      <c r="F1882" s="1">
        <v>43109</v>
      </c>
      <c r="G1882">
        <v>0</v>
      </c>
      <c r="H1882">
        <v>0</v>
      </c>
      <c r="I1882">
        <v>7</v>
      </c>
      <c r="J1882">
        <v>7</v>
      </c>
      <c r="K1882">
        <v>0</v>
      </c>
      <c r="L1882">
        <v>703</v>
      </c>
      <c r="M1882">
        <v>30</v>
      </c>
      <c r="N1882" s="1">
        <f t="shared" si="232"/>
        <v>44938</v>
      </c>
      <c r="O1882" s="1">
        <f t="shared" si="233"/>
        <v>43101</v>
      </c>
      <c r="P1882" s="1">
        <f t="shared" si="234"/>
        <v>43344</v>
      </c>
      <c r="Q1882" s="8">
        <f t="shared" si="235"/>
        <v>0</v>
      </c>
      <c r="R1882" s="8">
        <f t="shared" si="236"/>
        <v>9</v>
      </c>
      <c r="S1882" s="8">
        <f t="shared" ca="1" si="237"/>
        <v>7</v>
      </c>
      <c r="T1882">
        <f t="shared" ca="1" si="238"/>
        <v>3.5680000000000005</v>
      </c>
      <c r="U1882" s="8">
        <f t="shared" ca="1" si="239"/>
        <v>1.3840000000000001</v>
      </c>
      <c r="V1882" s="8">
        <f ca="1">RawData[[#This Row],[Z (smoothed demand size)]]/RawData[[#This Row],[X (smoothed interval)]]</f>
        <v>2.5780346820809248</v>
      </c>
    </row>
    <row r="1883" spans="1:22">
      <c r="A1883" t="s">
        <v>45</v>
      </c>
      <c r="B1883" t="s">
        <v>39</v>
      </c>
      <c r="C1883">
        <v>32</v>
      </c>
      <c r="D1883" t="s">
        <v>18</v>
      </c>
      <c r="E1883" t="s">
        <v>16</v>
      </c>
      <c r="F1883" s="1">
        <v>43110</v>
      </c>
      <c r="G1883">
        <v>0</v>
      </c>
      <c r="H1883">
        <v>0</v>
      </c>
      <c r="I1883">
        <v>7</v>
      </c>
      <c r="J1883">
        <v>7</v>
      </c>
      <c r="K1883">
        <v>0</v>
      </c>
      <c r="L1883">
        <v>708</v>
      </c>
      <c r="M1883">
        <v>45</v>
      </c>
      <c r="N1883" s="1">
        <f t="shared" si="232"/>
        <v>44938</v>
      </c>
      <c r="O1883" s="1">
        <f t="shared" si="233"/>
        <v>43101</v>
      </c>
      <c r="P1883" s="1">
        <f t="shared" si="234"/>
        <v>43374</v>
      </c>
      <c r="Q1883" s="8">
        <f t="shared" si="235"/>
        <v>0</v>
      </c>
      <c r="R1883" s="8">
        <f t="shared" si="236"/>
        <v>10</v>
      </c>
      <c r="S1883" s="8">
        <f t="shared" ca="1" si="237"/>
        <v>7</v>
      </c>
      <c r="T1883">
        <f t="shared" ca="1" si="238"/>
        <v>3.5680000000000005</v>
      </c>
      <c r="U1883" s="8">
        <f t="shared" ca="1" si="239"/>
        <v>1.3840000000000001</v>
      </c>
      <c r="V1883" s="8">
        <f ca="1">RawData[[#This Row],[Z (smoothed demand size)]]/RawData[[#This Row],[X (smoothed interval)]]</f>
        <v>2.5780346820809248</v>
      </c>
    </row>
    <row r="1884" spans="1:22">
      <c r="A1884" t="s">
        <v>45</v>
      </c>
      <c r="B1884" t="s">
        <v>39</v>
      </c>
      <c r="C1884">
        <v>32</v>
      </c>
      <c r="D1884" t="s">
        <v>18</v>
      </c>
      <c r="E1884" t="s">
        <v>16</v>
      </c>
      <c r="F1884" s="1">
        <v>43111</v>
      </c>
      <c r="G1884">
        <v>0</v>
      </c>
      <c r="H1884">
        <v>0</v>
      </c>
      <c r="I1884">
        <v>7</v>
      </c>
      <c r="J1884">
        <v>7</v>
      </c>
      <c r="K1884">
        <v>0</v>
      </c>
      <c r="L1884">
        <v>704</v>
      </c>
      <c r="M1884">
        <v>60</v>
      </c>
      <c r="N1884" s="1">
        <f t="shared" si="232"/>
        <v>44938</v>
      </c>
      <c r="O1884" s="1">
        <f t="shared" si="233"/>
        <v>43101</v>
      </c>
      <c r="P1884" s="1">
        <f t="shared" si="234"/>
        <v>43405</v>
      </c>
      <c r="Q1884" s="8">
        <f t="shared" si="235"/>
        <v>0</v>
      </c>
      <c r="R1884" s="8">
        <f t="shared" si="236"/>
        <v>11</v>
      </c>
      <c r="S1884" s="8">
        <f t="shared" ca="1" si="237"/>
        <v>7</v>
      </c>
      <c r="T1884">
        <f t="shared" ca="1" si="238"/>
        <v>3.5680000000000005</v>
      </c>
      <c r="U1884" s="8">
        <f t="shared" ca="1" si="239"/>
        <v>1.3840000000000001</v>
      </c>
      <c r="V1884" s="8">
        <f ca="1">RawData[[#This Row],[Z (smoothed demand size)]]/RawData[[#This Row],[X (smoothed interval)]]</f>
        <v>2.5780346820809248</v>
      </c>
    </row>
    <row r="1885" spans="1:22">
      <c r="A1885" t="s">
        <v>45</v>
      </c>
      <c r="B1885" t="s">
        <v>39</v>
      </c>
      <c r="C1885">
        <v>32</v>
      </c>
      <c r="D1885" t="s">
        <v>18</v>
      </c>
      <c r="E1885" t="s">
        <v>16</v>
      </c>
      <c r="F1885" s="1">
        <v>43112</v>
      </c>
      <c r="G1885">
        <v>5</v>
      </c>
      <c r="H1885">
        <v>5</v>
      </c>
      <c r="I1885">
        <v>7</v>
      </c>
      <c r="J1885">
        <v>2</v>
      </c>
      <c r="K1885">
        <v>0</v>
      </c>
      <c r="L1885">
        <v>808</v>
      </c>
      <c r="M1885">
        <v>15</v>
      </c>
      <c r="N1885" s="1">
        <f t="shared" si="232"/>
        <v>44938</v>
      </c>
      <c r="O1885" s="1">
        <f t="shared" si="233"/>
        <v>43101</v>
      </c>
      <c r="P1885" s="1">
        <f t="shared" si="234"/>
        <v>43435</v>
      </c>
      <c r="Q1885" s="8">
        <f t="shared" si="235"/>
        <v>0</v>
      </c>
      <c r="R1885" s="8">
        <f t="shared" si="236"/>
        <v>12</v>
      </c>
      <c r="S1885" s="8">
        <f t="shared" ca="1" si="237"/>
        <v>12</v>
      </c>
      <c r="T1885">
        <f t="shared" ca="1" si="238"/>
        <v>3.8544000000000005</v>
      </c>
      <c r="U1885" s="8">
        <f t="shared" ca="1" si="239"/>
        <v>2.1072000000000002</v>
      </c>
      <c r="V1885" s="8">
        <f ca="1">RawData[[#This Row],[Z (smoothed demand size)]]/RawData[[#This Row],[X (smoothed interval)]]</f>
        <v>1.8291571753986333</v>
      </c>
    </row>
    <row r="1886" spans="1:22">
      <c r="A1886" t="s">
        <v>45</v>
      </c>
      <c r="B1886" t="s">
        <v>39</v>
      </c>
      <c r="C1886">
        <v>32</v>
      </c>
      <c r="D1886" t="s">
        <v>18</v>
      </c>
      <c r="E1886" t="s">
        <v>16</v>
      </c>
      <c r="F1886" s="1">
        <v>43466</v>
      </c>
      <c r="G1886">
        <v>0</v>
      </c>
      <c r="H1886">
        <v>0</v>
      </c>
      <c r="I1886">
        <v>9</v>
      </c>
      <c r="J1886">
        <v>9</v>
      </c>
      <c r="K1886">
        <v>0</v>
      </c>
      <c r="L1886">
        <v>696</v>
      </c>
      <c r="M1886">
        <v>45</v>
      </c>
      <c r="N1886" s="1">
        <f t="shared" si="232"/>
        <v>44938</v>
      </c>
      <c r="O1886" s="1">
        <f t="shared" si="233"/>
        <v>43101</v>
      </c>
      <c r="P1886" s="1">
        <f t="shared" si="234"/>
        <v>43466</v>
      </c>
      <c r="Q1886" s="8">
        <f t="shared" si="235"/>
        <v>0</v>
      </c>
      <c r="R1886" s="8">
        <f t="shared" si="236"/>
        <v>13</v>
      </c>
      <c r="S1886" s="8">
        <f t="shared" ca="1" si="237"/>
        <v>12</v>
      </c>
      <c r="T1886">
        <f t="shared" ca="1" si="238"/>
        <v>3.8544000000000005</v>
      </c>
      <c r="U1886" s="8">
        <f t="shared" ca="1" si="239"/>
        <v>2.1072000000000002</v>
      </c>
      <c r="V1886" s="8">
        <f ca="1">RawData[[#This Row],[Z (smoothed demand size)]]/RawData[[#This Row],[X (smoothed interval)]]</f>
        <v>1.8291571753986333</v>
      </c>
    </row>
    <row r="1887" spans="1:22">
      <c r="A1887" t="s">
        <v>45</v>
      </c>
      <c r="B1887" t="s">
        <v>39</v>
      </c>
      <c r="C1887">
        <v>32</v>
      </c>
      <c r="D1887" t="s">
        <v>18</v>
      </c>
      <c r="E1887" t="s">
        <v>16</v>
      </c>
      <c r="F1887" s="1">
        <v>43467</v>
      </c>
      <c r="G1887">
        <v>0</v>
      </c>
      <c r="H1887">
        <v>0</v>
      </c>
      <c r="I1887">
        <v>9</v>
      </c>
      <c r="J1887">
        <v>9</v>
      </c>
      <c r="K1887">
        <v>0</v>
      </c>
      <c r="L1887">
        <v>697</v>
      </c>
      <c r="M1887">
        <v>15</v>
      </c>
      <c r="N1887" s="1">
        <f t="shared" si="232"/>
        <v>44938</v>
      </c>
      <c r="O1887" s="1">
        <f t="shared" si="233"/>
        <v>43101</v>
      </c>
      <c r="P1887" s="1">
        <f t="shared" si="234"/>
        <v>43497</v>
      </c>
      <c r="Q1887" s="8">
        <f t="shared" si="235"/>
        <v>0</v>
      </c>
      <c r="R1887" s="8">
        <f t="shared" si="236"/>
        <v>14</v>
      </c>
      <c r="S1887" s="8">
        <f t="shared" ca="1" si="237"/>
        <v>12</v>
      </c>
      <c r="T1887">
        <f t="shared" ca="1" si="238"/>
        <v>3.8544000000000005</v>
      </c>
      <c r="U1887" s="8">
        <f t="shared" ca="1" si="239"/>
        <v>2.1072000000000002</v>
      </c>
      <c r="V1887" s="8">
        <f ca="1">RawData[[#This Row],[Z (smoothed demand size)]]/RawData[[#This Row],[X (smoothed interval)]]</f>
        <v>1.8291571753986333</v>
      </c>
    </row>
    <row r="1888" spans="1:22">
      <c r="A1888" t="s">
        <v>45</v>
      </c>
      <c r="B1888" t="s">
        <v>39</v>
      </c>
      <c r="C1888">
        <v>32</v>
      </c>
      <c r="D1888" t="s">
        <v>18</v>
      </c>
      <c r="E1888" t="s">
        <v>16</v>
      </c>
      <c r="F1888" s="1">
        <v>43468</v>
      </c>
      <c r="G1888">
        <v>0</v>
      </c>
      <c r="H1888">
        <v>0</v>
      </c>
      <c r="I1888">
        <v>9</v>
      </c>
      <c r="J1888">
        <v>9</v>
      </c>
      <c r="K1888">
        <v>0</v>
      </c>
      <c r="L1888">
        <v>683</v>
      </c>
      <c r="M1888">
        <v>30</v>
      </c>
      <c r="N1888" s="1">
        <f t="shared" si="232"/>
        <v>44938</v>
      </c>
      <c r="O1888" s="1">
        <f t="shared" si="233"/>
        <v>43101</v>
      </c>
      <c r="P1888" s="1">
        <f t="shared" si="234"/>
        <v>43525</v>
      </c>
      <c r="Q1888" s="8">
        <f t="shared" si="235"/>
        <v>0</v>
      </c>
      <c r="R1888" s="8">
        <f t="shared" si="236"/>
        <v>15</v>
      </c>
      <c r="S1888" s="8">
        <f t="shared" ca="1" si="237"/>
        <v>12</v>
      </c>
      <c r="T1888">
        <f t="shared" ca="1" si="238"/>
        <v>3.8544000000000005</v>
      </c>
      <c r="U1888" s="8">
        <f t="shared" ca="1" si="239"/>
        <v>2.1072000000000002</v>
      </c>
      <c r="V1888" s="8">
        <f ca="1">RawData[[#This Row],[Z (smoothed demand size)]]/RawData[[#This Row],[X (smoothed interval)]]</f>
        <v>1.8291571753986333</v>
      </c>
    </row>
    <row r="1889" spans="1:22">
      <c r="A1889" t="s">
        <v>45</v>
      </c>
      <c r="B1889" t="s">
        <v>39</v>
      </c>
      <c r="C1889">
        <v>32</v>
      </c>
      <c r="D1889" t="s">
        <v>18</v>
      </c>
      <c r="E1889" t="s">
        <v>16</v>
      </c>
      <c r="F1889" s="1">
        <v>43469</v>
      </c>
      <c r="G1889">
        <v>0</v>
      </c>
      <c r="H1889">
        <v>0</v>
      </c>
      <c r="I1889">
        <v>9</v>
      </c>
      <c r="J1889">
        <v>9</v>
      </c>
      <c r="K1889">
        <v>0</v>
      </c>
      <c r="L1889">
        <v>705</v>
      </c>
      <c r="M1889">
        <v>45</v>
      </c>
      <c r="N1889" s="1">
        <f t="shared" si="232"/>
        <v>44938</v>
      </c>
      <c r="O1889" s="1">
        <f t="shared" si="233"/>
        <v>43101</v>
      </c>
      <c r="P1889" s="1">
        <f t="shared" si="234"/>
        <v>43556</v>
      </c>
      <c r="Q1889" s="8">
        <f t="shared" si="235"/>
        <v>0</v>
      </c>
      <c r="R1889" s="8">
        <f t="shared" si="236"/>
        <v>16</v>
      </c>
      <c r="S1889" s="8">
        <f t="shared" ca="1" si="237"/>
        <v>12</v>
      </c>
      <c r="T1889">
        <f t="shared" ca="1" si="238"/>
        <v>3.8544000000000005</v>
      </c>
      <c r="U1889" s="8">
        <f t="shared" ca="1" si="239"/>
        <v>2.1072000000000002</v>
      </c>
      <c r="V1889" s="8">
        <f ca="1">RawData[[#This Row],[Z (smoothed demand size)]]/RawData[[#This Row],[X (smoothed interval)]]</f>
        <v>1.8291571753986333</v>
      </c>
    </row>
    <row r="1890" spans="1:22">
      <c r="A1890" t="s">
        <v>45</v>
      </c>
      <c r="B1890" t="s">
        <v>39</v>
      </c>
      <c r="C1890">
        <v>32</v>
      </c>
      <c r="D1890" t="s">
        <v>18</v>
      </c>
      <c r="E1890" t="s">
        <v>16</v>
      </c>
      <c r="F1890" s="1">
        <v>43470</v>
      </c>
      <c r="G1890">
        <v>2</v>
      </c>
      <c r="H1890">
        <v>2</v>
      </c>
      <c r="I1890">
        <v>9</v>
      </c>
      <c r="J1890">
        <v>7</v>
      </c>
      <c r="K1890">
        <v>0</v>
      </c>
      <c r="L1890">
        <v>696</v>
      </c>
      <c r="M1890">
        <v>15</v>
      </c>
      <c r="N1890" s="1">
        <f t="shared" si="232"/>
        <v>44938</v>
      </c>
      <c r="O1890" s="1">
        <f t="shared" si="233"/>
        <v>43101</v>
      </c>
      <c r="P1890" s="1">
        <f t="shared" si="234"/>
        <v>43586</v>
      </c>
      <c r="Q1890" s="8">
        <f t="shared" si="235"/>
        <v>0</v>
      </c>
      <c r="R1890" s="8">
        <f t="shared" si="236"/>
        <v>17</v>
      </c>
      <c r="S1890" s="8">
        <f t="shared" ca="1" si="237"/>
        <v>17</v>
      </c>
      <c r="T1890">
        <f t="shared" ca="1" si="238"/>
        <v>3.4835200000000004</v>
      </c>
      <c r="U1890" s="8">
        <f t="shared" ca="1" si="239"/>
        <v>2.6857600000000001</v>
      </c>
      <c r="V1890" s="8">
        <f ca="1">RawData[[#This Row],[Z (smoothed demand size)]]/RawData[[#This Row],[X (smoothed interval)]]</f>
        <v>1.2970332419873705</v>
      </c>
    </row>
    <row r="1891" spans="1:22">
      <c r="A1891" t="s">
        <v>45</v>
      </c>
      <c r="B1891" t="s">
        <v>39</v>
      </c>
      <c r="C1891">
        <v>32</v>
      </c>
      <c r="D1891" t="s">
        <v>18</v>
      </c>
      <c r="E1891" t="s">
        <v>16</v>
      </c>
      <c r="F1891" s="1">
        <v>43471</v>
      </c>
      <c r="G1891">
        <v>0</v>
      </c>
      <c r="H1891">
        <v>0</v>
      </c>
      <c r="I1891">
        <v>7</v>
      </c>
      <c r="J1891">
        <v>7</v>
      </c>
      <c r="K1891">
        <v>0</v>
      </c>
      <c r="L1891">
        <v>813</v>
      </c>
      <c r="M1891">
        <v>45</v>
      </c>
      <c r="N1891" s="1">
        <f t="shared" si="232"/>
        <v>44938</v>
      </c>
      <c r="O1891" s="1">
        <f t="shared" si="233"/>
        <v>43101</v>
      </c>
      <c r="P1891" s="1">
        <f t="shared" si="234"/>
        <v>43617</v>
      </c>
      <c r="Q1891" s="8">
        <f t="shared" si="235"/>
        <v>0</v>
      </c>
      <c r="R1891" s="8">
        <f t="shared" si="236"/>
        <v>18</v>
      </c>
      <c r="S1891" s="8">
        <f t="shared" ca="1" si="237"/>
        <v>17</v>
      </c>
      <c r="T1891">
        <f t="shared" ca="1" si="238"/>
        <v>3.4835200000000004</v>
      </c>
      <c r="U1891" s="8">
        <f t="shared" ca="1" si="239"/>
        <v>2.6857600000000001</v>
      </c>
      <c r="V1891" s="8">
        <f ca="1">RawData[[#This Row],[Z (smoothed demand size)]]/RawData[[#This Row],[X (smoothed interval)]]</f>
        <v>1.2970332419873705</v>
      </c>
    </row>
    <row r="1892" spans="1:22">
      <c r="A1892" t="s">
        <v>45</v>
      </c>
      <c r="B1892" t="s">
        <v>39</v>
      </c>
      <c r="C1892">
        <v>32</v>
      </c>
      <c r="D1892" t="s">
        <v>18</v>
      </c>
      <c r="E1892" t="s">
        <v>16</v>
      </c>
      <c r="F1892" s="1">
        <v>43472</v>
      </c>
      <c r="G1892">
        <v>3</v>
      </c>
      <c r="H1892">
        <v>3</v>
      </c>
      <c r="I1892">
        <v>7</v>
      </c>
      <c r="J1892">
        <v>4</v>
      </c>
      <c r="K1892">
        <v>0</v>
      </c>
      <c r="L1892">
        <v>799</v>
      </c>
      <c r="M1892">
        <v>15</v>
      </c>
      <c r="N1892" s="1">
        <f t="shared" si="232"/>
        <v>44938</v>
      </c>
      <c r="O1892" s="1">
        <f t="shared" si="233"/>
        <v>43101</v>
      </c>
      <c r="P1892" s="1">
        <f t="shared" si="234"/>
        <v>43647</v>
      </c>
      <c r="Q1892" s="8">
        <f t="shared" si="235"/>
        <v>0</v>
      </c>
      <c r="R1892" s="8">
        <f t="shared" si="236"/>
        <v>19</v>
      </c>
      <c r="S1892" s="8">
        <f t="shared" ca="1" si="237"/>
        <v>19</v>
      </c>
      <c r="T1892">
        <f t="shared" ca="1" si="238"/>
        <v>3.3868160000000005</v>
      </c>
      <c r="U1892" s="8">
        <f t="shared" ca="1" si="239"/>
        <v>2.5486080000000002</v>
      </c>
      <c r="V1892" s="8">
        <f ca="1">RawData[[#This Row],[Z (smoothed demand size)]]/RawData[[#This Row],[X (smoothed interval)]]</f>
        <v>1.3288885540655919</v>
      </c>
    </row>
    <row r="1893" spans="1:22">
      <c r="A1893" t="s">
        <v>45</v>
      </c>
      <c r="B1893" t="s">
        <v>39</v>
      </c>
      <c r="C1893">
        <v>32</v>
      </c>
      <c r="D1893" t="s">
        <v>18</v>
      </c>
      <c r="E1893" t="s">
        <v>16</v>
      </c>
      <c r="F1893" s="1">
        <v>43473</v>
      </c>
      <c r="G1893">
        <v>3</v>
      </c>
      <c r="H1893">
        <v>3</v>
      </c>
      <c r="I1893">
        <v>4</v>
      </c>
      <c r="J1893">
        <v>1</v>
      </c>
      <c r="K1893">
        <v>0</v>
      </c>
      <c r="L1893">
        <v>803</v>
      </c>
      <c r="M1893">
        <v>60</v>
      </c>
      <c r="N1893" s="1">
        <f t="shared" si="232"/>
        <v>44938</v>
      </c>
      <c r="O1893" s="1">
        <f t="shared" si="233"/>
        <v>43101</v>
      </c>
      <c r="P1893" s="1">
        <f t="shared" si="234"/>
        <v>43678</v>
      </c>
      <c r="Q1893" s="8">
        <f t="shared" si="235"/>
        <v>0</v>
      </c>
      <c r="R1893" s="8">
        <f t="shared" si="236"/>
        <v>20</v>
      </c>
      <c r="S1893" s="8">
        <f t="shared" ca="1" si="237"/>
        <v>20</v>
      </c>
      <c r="T1893">
        <f t="shared" ca="1" si="238"/>
        <v>3.3094528000000007</v>
      </c>
      <c r="U1893" s="8">
        <f t="shared" ca="1" si="239"/>
        <v>2.2388864000000006</v>
      </c>
      <c r="V1893" s="8">
        <f ca="1">RawData[[#This Row],[Z (smoothed demand size)]]/RawData[[#This Row],[X (smoothed interval)]]</f>
        <v>1.4781691469473395</v>
      </c>
    </row>
    <row r="1894" spans="1:22">
      <c r="A1894" t="s">
        <v>45</v>
      </c>
      <c r="B1894" t="s">
        <v>39</v>
      </c>
      <c r="C1894">
        <v>32</v>
      </c>
      <c r="D1894" t="s">
        <v>18</v>
      </c>
      <c r="E1894" t="s">
        <v>16</v>
      </c>
      <c r="F1894" s="1">
        <v>43474</v>
      </c>
      <c r="G1894">
        <v>0</v>
      </c>
      <c r="H1894">
        <v>0</v>
      </c>
      <c r="I1894">
        <v>1</v>
      </c>
      <c r="J1894">
        <v>1</v>
      </c>
      <c r="K1894">
        <v>0</v>
      </c>
      <c r="L1894">
        <v>708</v>
      </c>
      <c r="M1894">
        <v>15</v>
      </c>
      <c r="N1894" s="1">
        <f t="shared" si="232"/>
        <v>44938</v>
      </c>
      <c r="O1894" s="1">
        <f t="shared" si="233"/>
        <v>43101</v>
      </c>
      <c r="P1894" s="1">
        <f t="shared" si="234"/>
        <v>43709</v>
      </c>
      <c r="Q1894" s="8">
        <f t="shared" si="235"/>
        <v>0</v>
      </c>
      <c r="R1894" s="8">
        <f t="shared" si="236"/>
        <v>21</v>
      </c>
      <c r="S1894" s="8">
        <f t="shared" ca="1" si="237"/>
        <v>20</v>
      </c>
      <c r="T1894">
        <f t="shared" ca="1" si="238"/>
        <v>3.3094528000000007</v>
      </c>
      <c r="U1894" s="8">
        <f t="shared" ca="1" si="239"/>
        <v>2.2388864000000006</v>
      </c>
      <c r="V1894" s="8">
        <f ca="1">RawData[[#This Row],[Z (smoothed demand size)]]/RawData[[#This Row],[X (smoothed interval)]]</f>
        <v>1.4781691469473395</v>
      </c>
    </row>
    <row r="1895" spans="1:22">
      <c r="A1895" t="s">
        <v>45</v>
      </c>
      <c r="B1895" t="s">
        <v>39</v>
      </c>
      <c r="C1895">
        <v>32</v>
      </c>
      <c r="D1895" t="s">
        <v>18</v>
      </c>
      <c r="E1895" t="s">
        <v>16</v>
      </c>
      <c r="F1895" s="1">
        <v>43475</v>
      </c>
      <c r="G1895">
        <v>0</v>
      </c>
      <c r="H1895">
        <v>0</v>
      </c>
      <c r="I1895">
        <v>12</v>
      </c>
      <c r="J1895">
        <v>12</v>
      </c>
      <c r="K1895">
        <v>0</v>
      </c>
      <c r="L1895">
        <v>708</v>
      </c>
      <c r="M1895">
        <v>45</v>
      </c>
      <c r="N1895" s="1">
        <f t="shared" si="232"/>
        <v>44938</v>
      </c>
      <c r="O1895" s="1">
        <f t="shared" si="233"/>
        <v>43101</v>
      </c>
      <c r="P1895" s="1">
        <f t="shared" si="234"/>
        <v>43739</v>
      </c>
      <c r="Q1895" s="8">
        <f t="shared" si="235"/>
        <v>0</v>
      </c>
      <c r="R1895" s="8">
        <f t="shared" si="236"/>
        <v>22</v>
      </c>
      <c r="S1895" s="8">
        <f t="shared" ca="1" si="237"/>
        <v>20</v>
      </c>
      <c r="T1895">
        <f t="shared" ca="1" si="238"/>
        <v>3.3094528000000007</v>
      </c>
      <c r="U1895" s="8">
        <f t="shared" ca="1" si="239"/>
        <v>2.2388864000000006</v>
      </c>
      <c r="V1895" s="8">
        <f ca="1">RawData[[#This Row],[Z (smoothed demand size)]]/RawData[[#This Row],[X (smoothed interval)]]</f>
        <v>1.4781691469473395</v>
      </c>
    </row>
    <row r="1896" spans="1:22">
      <c r="A1896" t="s">
        <v>45</v>
      </c>
      <c r="B1896" t="s">
        <v>39</v>
      </c>
      <c r="C1896">
        <v>32</v>
      </c>
      <c r="D1896" t="s">
        <v>18</v>
      </c>
      <c r="E1896" t="s">
        <v>16</v>
      </c>
      <c r="F1896" s="1">
        <v>43476</v>
      </c>
      <c r="G1896">
        <v>0</v>
      </c>
      <c r="H1896">
        <v>0</v>
      </c>
      <c r="I1896">
        <v>12</v>
      </c>
      <c r="J1896">
        <v>12</v>
      </c>
      <c r="K1896">
        <v>0</v>
      </c>
      <c r="L1896">
        <v>705</v>
      </c>
      <c r="M1896">
        <v>30</v>
      </c>
      <c r="N1896" s="1">
        <f t="shared" si="232"/>
        <v>44938</v>
      </c>
      <c r="O1896" s="1">
        <f t="shared" si="233"/>
        <v>43101</v>
      </c>
      <c r="P1896" s="1">
        <f t="shared" si="234"/>
        <v>43770</v>
      </c>
      <c r="Q1896" s="8">
        <f t="shared" si="235"/>
        <v>0</v>
      </c>
      <c r="R1896" s="8">
        <f t="shared" si="236"/>
        <v>23</v>
      </c>
      <c r="S1896" s="8">
        <f t="shared" ca="1" si="237"/>
        <v>20</v>
      </c>
      <c r="T1896">
        <f t="shared" ca="1" si="238"/>
        <v>3.3094528000000007</v>
      </c>
      <c r="U1896" s="8">
        <f t="shared" ca="1" si="239"/>
        <v>2.2388864000000006</v>
      </c>
      <c r="V1896" s="8">
        <f ca="1">RawData[[#This Row],[Z (smoothed demand size)]]/RawData[[#This Row],[X (smoothed interval)]]</f>
        <v>1.4781691469473395</v>
      </c>
    </row>
    <row r="1897" spans="1:22">
      <c r="A1897" t="s">
        <v>45</v>
      </c>
      <c r="B1897" t="s">
        <v>39</v>
      </c>
      <c r="C1897">
        <v>32</v>
      </c>
      <c r="D1897" t="s">
        <v>18</v>
      </c>
      <c r="E1897" t="s">
        <v>16</v>
      </c>
      <c r="F1897" s="1">
        <v>43477</v>
      </c>
      <c r="G1897">
        <v>0</v>
      </c>
      <c r="H1897">
        <v>0</v>
      </c>
      <c r="I1897">
        <v>12</v>
      </c>
      <c r="J1897">
        <v>12</v>
      </c>
      <c r="K1897">
        <v>0</v>
      </c>
      <c r="L1897">
        <v>789</v>
      </c>
      <c r="M1897">
        <v>60</v>
      </c>
      <c r="N1897" s="1">
        <f t="shared" si="232"/>
        <v>44938</v>
      </c>
      <c r="O1897" s="1">
        <f t="shared" si="233"/>
        <v>43101</v>
      </c>
      <c r="P1897" s="1">
        <f t="shared" si="234"/>
        <v>43800</v>
      </c>
      <c r="Q1897" s="8">
        <f t="shared" si="235"/>
        <v>0</v>
      </c>
      <c r="R1897" s="8">
        <f t="shared" si="236"/>
        <v>24</v>
      </c>
      <c r="S1897" s="8">
        <f t="shared" ca="1" si="237"/>
        <v>20</v>
      </c>
      <c r="T1897">
        <f t="shared" ca="1" si="238"/>
        <v>3.3094528000000007</v>
      </c>
      <c r="U1897" s="8">
        <f t="shared" ca="1" si="239"/>
        <v>2.2388864000000006</v>
      </c>
      <c r="V1897" s="8">
        <f ca="1">RawData[[#This Row],[Z (smoothed demand size)]]/RawData[[#This Row],[X (smoothed interval)]]</f>
        <v>1.4781691469473395</v>
      </c>
    </row>
    <row r="1898" spans="1:22">
      <c r="A1898" t="s">
        <v>45</v>
      </c>
      <c r="B1898" t="s">
        <v>39</v>
      </c>
      <c r="C1898">
        <v>32</v>
      </c>
      <c r="D1898" t="s">
        <v>18</v>
      </c>
      <c r="E1898" t="s">
        <v>16</v>
      </c>
      <c r="F1898" s="1">
        <v>43831</v>
      </c>
      <c r="G1898">
        <v>0</v>
      </c>
      <c r="H1898">
        <v>0</v>
      </c>
      <c r="I1898">
        <v>12</v>
      </c>
      <c r="J1898">
        <v>12</v>
      </c>
      <c r="K1898">
        <v>0</v>
      </c>
      <c r="L1898">
        <v>688</v>
      </c>
      <c r="M1898">
        <v>15</v>
      </c>
      <c r="N1898" s="1">
        <f t="shared" si="232"/>
        <v>44938</v>
      </c>
      <c r="O1898" s="1">
        <f t="shared" si="233"/>
        <v>43101</v>
      </c>
      <c r="P1898" s="1">
        <f t="shared" si="234"/>
        <v>43831</v>
      </c>
      <c r="Q1898" s="8">
        <f t="shared" si="235"/>
        <v>0</v>
      </c>
      <c r="R1898" s="8">
        <f t="shared" si="236"/>
        <v>25</v>
      </c>
      <c r="S1898" s="8">
        <f t="shared" ca="1" si="237"/>
        <v>20</v>
      </c>
      <c r="T1898">
        <f t="shared" ca="1" si="238"/>
        <v>3.3094528000000007</v>
      </c>
      <c r="U1898" s="8">
        <f t="shared" ca="1" si="239"/>
        <v>2.2388864000000006</v>
      </c>
      <c r="V1898" s="8">
        <f ca="1">RawData[[#This Row],[Z (smoothed demand size)]]/RawData[[#This Row],[X (smoothed interval)]]</f>
        <v>1.4781691469473395</v>
      </c>
    </row>
    <row r="1899" spans="1:22">
      <c r="A1899" t="s">
        <v>45</v>
      </c>
      <c r="B1899" t="s">
        <v>39</v>
      </c>
      <c r="C1899">
        <v>32</v>
      </c>
      <c r="D1899" t="s">
        <v>18</v>
      </c>
      <c r="E1899" t="s">
        <v>16</v>
      </c>
      <c r="F1899" s="1">
        <v>43832</v>
      </c>
      <c r="G1899">
        <v>5</v>
      </c>
      <c r="H1899">
        <v>5</v>
      </c>
      <c r="I1899">
        <v>12</v>
      </c>
      <c r="J1899">
        <v>7</v>
      </c>
      <c r="K1899">
        <v>0</v>
      </c>
      <c r="L1899">
        <v>702</v>
      </c>
      <c r="M1899">
        <v>45</v>
      </c>
      <c r="N1899" s="1">
        <f t="shared" si="232"/>
        <v>44938</v>
      </c>
      <c r="O1899" s="1">
        <f t="shared" si="233"/>
        <v>43101</v>
      </c>
      <c r="P1899" s="1">
        <f t="shared" si="234"/>
        <v>43862</v>
      </c>
      <c r="Q1899" s="8">
        <f t="shared" si="235"/>
        <v>0</v>
      </c>
      <c r="R1899" s="8">
        <f t="shared" si="236"/>
        <v>26</v>
      </c>
      <c r="S1899" s="8">
        <f t="shared" ca="1" si="237"/>
        <v>26</v>
      </c>
      <c r="T1899">
        <f t="shared" ca="1" si="238"/>
        <v>3.647562240000001</v>
      </c>
      <c r="U1899" s="8">
        <f t="shared" ca="1" si="239"/>
        <v>2.9911091200000008</v>
      </c>
      <c r="V1899" s="8">
        <f ca="1">RawData[[#This Row],[Z (smoothed demand size)]]/RawData[[#This Row],[X (smoothed interval)]]</f>
        <v>1.2194681282640736</v>
      </c>
    </row>
    <row r="1900" spans="1:22">
      <c r="A1900" t="s">
        <v>45</v>
      </c>
      <c r="B1900" t="s">
        <v>39</v>
      </c>
      <c r="C1900">
        <v>32</v>
      </c>
      <c r="D1900" t="s">
        <v>18</v>
      </c>
      <c r="E1900" t="s">
        <v>16</v>
      </c>
      <c r="F1900" s="1">
        <v>43833</v>
      </c>
      <c r="G1900">
        <v>0</v>
      </c>
      <c r="H1900">
        <v>0</v>
      </c>
      <c r="I1900">
        <v>7</v>
      </c>
      <c r="J1900">
        <v>7</v>
      </c>
      <c r="K1900">
        <v>0</v>
      </c>
      <c r="L1900">
        <v>692</v>
      </c>
      <c r="M1900">
        <v>45</v>
      </c>
      <c r="N1900" s="1">
        <f t="shared" si="232"/>
        <v>44938</v>
      </c>
      <c r="O1900" s="1">
        <f t="shared" si="233"/>
        <v>43101</v>
      </c>
      <c r="P1900" s="1">
        <f t="shared" si="234"/>
        <v>43891</v>
      </c>
      <c r="Q1900" s="8">
        <f t="shared" si="235"/>
        <v>0</v>
      </c>
      <c r="R1900" s="8">
        <f t="shared" si="236"/>
        <v>27</v>
      </c>
      <c r="S1900" s="8">
        <f t="shared" ca="1" si="237"/>
        <v>26</v>
      </c>
      <c r="T1900">
        <f t="shared" ca="1" si="238"/>
        <v>3.647562240000001</v>
      </c>
      <c r="U1900" s="8">
        <f t="shared" ca="1" si="239"/>
        <v>2.9911091200000008</v>
      </c>
      <c r="V1900" s="8">
        <f ca="1">RawData[[#This Row],[Z (smoothed demand size)]]/RawData[[#This Row],[X (smoothed interval)]]</f>
        <v>1.2194681282640736</v>
      </c>
    </row>
    <row r="1901" spans="1:22">
      <c r="A1901" t="s">
        <v>45</v>
      </c>
      <c r="B1901" t="s">
        <v>39</v>
      </c>
      <c r="C1901">
        <v>32</v>
      </c>
      <c r="D1901" t="s">
        <v>18</v>
      </c>
      <c r="E1901" t="s">
        <v>16</v>
      </c>
      <c r="F1901" s="1">
        <v>43834</v>
      </c>
      <c r="G1901">
        <v>0</v>
      </c>
      <c r="H1901">
        <v>0</v>
      </c>
      <c r="I1901">
        <v>7</v>
      </c>
      <c r="J1901">
        <v>7</v>
      </c>
      <c r="K1901">
        <v>0</v>
      </c>
      <c r="L1901">
        <v>697</v>
      </c>
      <c r="M1901">
        <v>60</v>
      </c>
      <c r="N1901" s="1">
        <f t="shared" si="232"/>
        <v>44938</v>
      </c>
      <c r="O1901" s="1">
        <f t="shared" si="233"/>
        <v>43101</v>
      </c>
      <c r="P1901" s="1">
        <f t="shared" si="234"/>
        <v>43922</v>
      </c>
      <c r="Q1901" s="8">
        <f t="shared" si="235"/>
        <v>0</v>
      </c>
      <c r="R1901" s="8">
        <f t="shared" si="236"/>
        <v>28</v>
      </c>
      <c r="S1901" s="8">
        <f t="shared" ca="1" si="237"/>
        <v>26</v>
      </c>
      <c r="T1901">
        <f t="shared" ca="1" si="238"/>
        <v>3.647562240000001</v>
      </c>
      <c r="U1901" s="8">
        <f t="shared" ca="1" si="239"/>
        <v>2.9911091200000008</v>
      </c>
      <c r="V1901" s="8">
        <f ca="1">RawData[[#This Row],[Z (smoothed demand size)]]/RawData[[#This Row],[X (smoothed interval)]]</f>
        <v>1.2194681282640736</v>
      </c>
    </row>
    <row r="1902" spans="1:22">
      <c r="A1902" t="s">
        <v>45</v>
      </c>
      <c r="B1902" t="s">
        <v>39</v>
      </c>
      <c r="C1902">
        <v>32</v>
      </c>
      <c r="D1902" t="s">
        <v>18</v>
      </c>
      <c r="E1902" t="s">
        <v>16</v>
      </c>
      <c r="F1902" s="1">
        <v>43835</v>
      </c>
      <c r="G1902">
        <v>6</v>
      </c>
      <c r="H1902">
        <v>6</v>
      </c>
      <c r="I1902">
        <v>7</v>
      </c>
      <c r="J1902">
        <v>1</v>
      </c>
      <c r="K1902">
        <v>0</v>
      </c>
      <c r="L1902">
        <v>698</v>
      </c>
      <c r="M1902">
        <v>45</v>
      </c>
      <c r="N1902" s="1">
        <f t="shared" si="232"/>
        <v>44938</v>
      </c>
      <c r="O1902" s="1">
        <f t="shared" si="233"/>
        <v>43101</v>
      </c>
      <c r="P1902" s="1">
        <f t="shared" si="234"/>
        <v>43952</v>
      </c>
      <c r="Q1902" s="8">
        <f t="shared" si="235"/>
        <v>0</v>
      </c>
      <c r="R1902" s="8">
        <f t="shared" si="236"/>
        <v>29</v>
      </c>
      <c r="S1902" s="8">
        <f t="shared" ca="1" si="237"/>
        <v>29</v>
      </c>
      <c r="T1902">
        <f t="shared" ca="1" si="238"/>
        <v>4.1180497920000008</v>
      </c>
      <c r="U1902" s="8">
        <f t="shared" ca="1" si="239"/>
        <v>2.992887296000001</v>
      </c>
      <c r="V1902" s="8">
        <f ca="1">RawData[[#This Row],[Z (smoothed demand size)]]/RawData[[#This Row],[X (smoothed interval)]]</f>
        <v>1.37594549500871</v>
      </c>
    </row>
    <row r="1903" spans="1:22">
      <c r="A1903" t="s">
        <v>45</v>
      </c>
      <c r="B1903" t="s">
        <v>39</v>
      </c>
      <c r="C1903">
        <v>32</v>
      </c>
      <c r="D1903" t="s">
        <v>18</v>
      </c>
      <c r="E1903" t="s">
        <v>16</v>
      </c>
      <c r="F1903" s="1">
        <v>43836</v>
      </c>
      <c r="G1903">
        <v>2</v>
      </c>
      <c r="H1903">
        <v>1</v>
      </c>
      <c r="I1903">
        <v>1</v>
      </c>
      <c r="J1903">
        <v>0</v>
      </c>
      <c r="K1903">
        <v>1</v>
      </c>
      <c r="L1903">
        <v>803</v>
      </c>
      <c r="M1903">
        <v>15</v>
      </c>
      <c r="N1903" s="1">
        <f t="shared" si="232"/>
        <v>44938</v>
      </c>
      <c r="O1903" s="1">
        <f t="shared" si="233"/>
        <v>43101</v>
      </c>
      <c r="P1903" s="1">
        <f t="shared" si="234"/>
        <v>43983</v>
      </c>
      <c r="Q1903" s="8">
        <f t="shared" si="235"/>
        <v>0</v>
      </c>
      <c r="R1903" s="8">
        <f t="shared" si="236"/>
        <v>30</v>
      </c>
      <c r="S1903" s="8">
        <f t="shared" ca="1" si="237"/>
        <v>30</v>
      </c>
      <c r="T1903">
        <f t="shared" ca="1" si="238"/>
        <v>3.6944398336000006</v>
      </c>
      <c r="U1903" s="8">
        <f t="shared" ca="1" si="239"/>
        <v>2.5943098368000013</v>
      </c>
      <c r="V1903" s="8">
        <f ca="1">RawData[[#This Row],[Z (smoothed demand size)]]/RawData[[#This Row],[X (smoothed interval)]]</f>
        <v>1.4240549764699557</v>
      </c>
    </row>
    <row r="1904" spans="1:22">
      <c r="A1904" t="s">
        <v>45</v>
      </c>
      <c r="B1904" t="s">
        <v>39</v>
      </c>
      <c r="C1904">
        <v>32</v>
      </c>
      <c r="D1904" t="s">
        <v>18</v>
      </c>
      <c r="E1904" t="s">
        <v>16</v>
      </c>
      <c r="F1904" s="1">
        <v>43837</v>
      </c>
      <c r="G1904">
        <v>3</v>
      </c>
      <c r="H1904">
        <v>3</v>
      </c>
      <c r="I1904">
        <v>8</v>
      </c>
      <c r="J1904">
        <v>5</v>
      </c>
      <c r="K1904">
        <v>0</v>
      </c>
      <c r="L1904">
        <v>793</v>
      </c>
      <c r="M1904">
        <v>45</v>
      </c>
      <c r="N1904" s="1">
        <f t="shared" si="232"/>
        <v>44938</v>
      </c>
      <c r="O1904" s="1">
        <f t="shared" si="233"/>
        <v>43101</v>
      </c>
      <c r="P1904" s="1">
        <f t="shared" si="234"/>
        <v>44013</v>
      </c>
      <c r="Q1904" s="8">
        <f t="shared" si="235"/>
        <v>0</v>
      </c>
      <c r="R1904" s="8">
        <f t="shared" si="236"/>
        <v>31</v>
      </c>
      <c r="S1904" s="8">
        <f t="shared" ca="1" si="237"/>
        <v>31</v>
      </c>
      <c r="T1904">
        <f t="shared" ca="1" si="238"/>
        <v>3.5555518668800006</v>
      </c>
      <c r="U1904" s="8">
        <f t="shared" ca="1" si="239"/>
        <v>2.2754478694400011</v>
      </c>
      <c r="V1904" s="8">
        <f ca="1">RawData[[#This Row],[Z (smoothed demand size)]]/RawData[[#This Row],[X (smoothed interval)]]</f>
        <v>1.5625723246101171</v>
      </c>
    </row>
    <row r="1905" spans="1:22">
      <c r="A1905" t="s">
        <v>45</v>
      </c>
      <c r="B1905" t="s">
        <v>39</v>
      </c>
      <c r="C1905">
        <v>32</v>
      </c>
      <c r="D1905" t="s">
        <v>18</v>
      </c>
      <c r="E1905" t="s">
        <v>16</v>
      </c>
      <c r="F1905" s="1">
        <v>43838</v>
      </c>
      <c r="G1905">
        <v>3</v>
      </c>
      <c r="H1905">
        <v>3</v>
      </c>
      <c r="I1905">
        <v>5</v>
      </c>
      <c r="J1905">
        <v>2</v>
      </c>
      <c r="K1905">
        <v>0</v>
      </c>
      <c r="L1905">
        <v>810</v>
      </c>
      <c r="M1905">
        <v>60</v>
      </c>
      <c r="N1905" s="1">
        <f t="shared" si="232"/>
        <v>44938</v>
      </c>
      <c r="O1905" s="1">
        <f t="shared" si="233"/>
        <v>43101</v>
      </c>
      <c r="P1905" s="1">
        <f t="shared" si="234"/>
        <v>44044</v>
      </c>
      <c r="Q1905" s="8">
        <f t="shared" si="235"/>
        <v>0</v>
      </c>
      <c r="R1905" s="8">
        <f t="shared" si="236"/>
        <v>32</v>
      </c>
      <c r="S1905" s="8">
        <f t="shared" ca="1" si="237"/>
        <v>32</v>
      </c>
      <c r="T1905">
        <f t="shared" ca="1" si="238"/>
        <v>3.4444414935040006</v>
      </c>
      <c r="U1905" s="8">
        <f t="shared" ca="1" si="239"/>
        <v>2.020358295552001</v>
      </c>
      <c r="V1905" s="8">
        <f ca="1">RawData[[#This Row],[Z (smoothed demand size)]]/RawData[[#This Row],[X (smoothed interval)]]</f>
        <v>1.7048666571108926</v>
      </c>
    </row>
    <row r="1906" spans="1:22">
      <c r="A1906" t="s">
        <v>45</v>
      </c>
      <c r="B1906" t="s">
        <v>39</v>
      </c>
      <c r="C1906">
        <v>32</v>
      </c>
      <c r="D1906" t="s">
        <v>18</v>
      </c>
      <c r="E1906" t="s">
        <v>16</v>
      </c>
      <c r="F1906" s="1">
        <v>43839</v>
      </c>
      <c r="G1906">
        <v>3</v>
      </c>
      <c r="H1906">
        <v>2</v>
      </c>
      <c r="I1906">
        <v>2</v>
      </c>
      <c r="J1906">
        <v>0</v>
      </c>
      <c r="K1906">
        <v>1</v>
      </c>
      <c r="L1906">
        <v>693</v>
      </c>
      <c r="M1906">
        <v>45</v>
      </c>
      <c r="N1906" s="1">
        <f t="shared" si="232"/>
        <v>44938</v>
      </c>
      <c r="O1906" s="1">
        <f t="shared" si="233"/>
        <v>43101</v>
      </c>
      <c r="P1906" s="1">
        <f t="shared" si="234"/>
        <v>44075</v>
      </c>
      <c r="Q1906" s="8">
        <f t="shared" si="235"/>
        <v>0</v>
      </c>
      <c r="R1906" s="8">
        <f t="shared" si="236"/>
        <v>33</v>
      </c>
      <c r="S1906" s="8">
        <f t="shared" ca="1" si="237"/>
        <v>33</v>
      </c>
      <c r="T1906">
        <f t="shared" ca="1" si="238"/>
        <v>3.3555531948032007</v>
      </c>
      <c r="U1906" s="8">
        <f t="shared" ca="1" si="239"/>
        <v>1.8162866364416008</v>
      </c>
      <c r="V1906" s="8">
        <f ca="1">RawData[[#This Row],[Z (smoothed demand size)]]/RawData[[#This Row],[X (smoothed interval)]]</f>
        <v>1.8474799778174176</v>
      </c>
    </row>
    <row r="1907" spans="1:22">
      <c r="A1907" t="s">
        <v>45</v>
      </c>
      <c r="B1907" t="s">
        <v>39</v>
      </c>
      <c r="C1907">
        <v>32</v>
      </c>
      <c r="D1907" t="s">
        <v>18</v>
      </c>
      <c r="E1907" t="s">
        <v>16</v>
      </c>
      <c r="F1907" s="1">
        <v>43840</v>
      </c>
      <c r="G1907">
        <v>7</v>
      </c>
      <c r="H1907">
        <v>7</v>
      </c>
      <c r="I1907">
        <v>10</v>
      </c>
      <c r="J1907">
        <v>3</v>
      </c>
      <c r="K1907">
        <v>0</v>
      </c>
      <c r="L1907">
        <v>701</v>
      </c>
      <c r="M1907">
        <v>45</v>
      </c>
      <c r="N1907" s="1">
        <f t="shared" si="232"/>
        <v>44938</v>
      </c>
      <c r="O1907" s="1">
        <f t="shared" si="233"/>
        <v>43101</v>
      </c>
      <c r="P1907" s="1">
        <f t="shared" si="234"/>
        <v>44105</v>
      </c>
      <c r="Q1907" s="8">
        <f t="shared" si="235"/>
        <v>0</v>
      </c>
      <c r="R1907" s="8">
        <f t="shared" si="236"/>
        <v>34</v>
      </c>
      <c r="S1907" s="8">
        <f t="shared" ca="1" si="237"/>
        <v>34</v>
      </c>
      <c r="T1907">
        <f t="shared" ca="1" si="238"/>
        <v>4.0844425558425606</v>
      </c>
      <c r="U1907" s="8">
        <f t="shared" ca="1" si="239"/>
        <v>1.6530293091532806</v>
      </c>
      <c r="V1907" s="8">
        <f ca="1">RawData[[#This Row],[Z (smoothed demand size)]]/RawData[[#This Row],[X (smoothed interval)]]</f>
        <v>2.4708833250722608</v>
      </c>
    </row>
    <row r="1908" spans="1:22">
      <c r="A1908" t="s">
        <v>45</v>
      </c>
      <c r="B1908" t="s">
        <v>39</v>
      </c>
      <c r="C1908">
        <v>32</v>
      </c>
      <c r="D1908" t="s">
        <v>18</v>
      </c>
      <c r="E1908" t="s">
        <v>16</v>
      </c>
      <c r="F1908" s="1">
        <v>43841</v>
      </c>
      <c r="G1908">
        <v>0</v>
      </c>
      <c r="H1908">
        <v>0</v>
      </c>
      <c r="I1908">
        <v>3</v>
      </c>
      <c r="J1908">
        <v>3</v>
      </c>
      <c r="K1908">
        <v>0</v>
      </c>
      <c r="L1908">
        <v>695</v>
      </c>
      <c r="M1908">
        <v>60</v>
      </c>
      <c r="N1908" s="1">
        <f t="shared" si="232"/>
        <v>44938</v>
      </c>
      <c r="O1908" s="1">
        <f t="shared" si="233"/>
        <v>43101</v>
      </c>
      <c r="P1908" s="1">
        <f t="shared" si="234"/>
        <v>44136</v>
      </c>
      <c r="Q1908" s="8">
        <f t="shared" si="235"/>
        <v>0</v>
      </c>
      <c r="R1908" s="8">
        <f t="shared" si="236"/>
        <v>35</v>
      </c>
      <c r="S1908" s="8">
        <f t="shared" ca="1" si="237"/>
        <v>34</v>
      </c>
      <c r="T1908">
        <f t="shared" ca="1" si="238"/>
        <v>4.0844425558425606</v>
      </c>
      <c r="U1908" s="8">
        <f t="shared" ca="1" si="239"/>
        <v>1.6530293091532806</v>
      </c>
      <c r="V1908" s="8">
        <f ca="1">RawData[[#This Row],[Z (smoothed demand size)]]/RawData[[#This Row],[X (smoothed interval)]]</f>
        <v>2.4708833250722608</v>
      </c>
    </row>
    <row r="1909" spans="1:22">
      <c r="A1909" t="s">
        <v>45</v>
      </c>
      <c r="B1909" t="s">
        <v>39</v>
      </c>
      <c r="C1909">
        <v>32</v>
      </c>
      <c r="D1909" t="s">
        <v>18</v>
      </c>
      <c r="E1909" t="s">
        <v>16</v>
      </c>
      <c r="F1909" s="1">
        <v>43842</v>
      </c>
      <c r="G1909">
        <v>3</v>
      </c>
      <c r="H1909">
        <v>3</v>
      </c>
      <c r="I1909">
        <v>12</v>
      </c>
      <c r="J1909">
        <v>9</v>
      </c>
      <c r="K1909">
        <v>0</v>
      </c>
      <c r="L1909">
        <v>817</v>
      </c>
      <c r="M1909">
        <v>15</v>
      </c>
      <c r="N1909" s="1">
        <f t="shared" si="232"/>
        <v>44938</v>
      </c>
      <c r="O1909" s="1">
        <f t="shared" si="233"/>
        <v>43101</v>
      </c>
      <c r="P1909" s="1">
        <f t="shared" si="234"/>
        <v>44166</v>
      </c>
      <c r="Q1909" s="8">
        <f t="shared" si="235"/>
        <v>0</v>
      </c>
      <c r="R1909" s="8">
        <f t="shared" si="236"/>
        <v>36</v>
      </c>
      <c r="S1909" s="8">
        <f t="shared" ca="1" si="237"/>
        <v>36</v>
      </c>
      <c r="T1909">
        <f t="shared" ca="1" si="238"/>
        <v>3.8675540446740486</v>
      </c>
      <c r="U1909" s="8">
        <f t="shared" ca="1" si="239"/>
        <v>1.7224234473226248</v>
      </c>
      <c r="V1909" s="8">
        <f ca="1">RawData[[#This Row],[Z (smoothed demand size)]]/RawData[[#This Row],[X (smoothed interval)]]</f>
        <v>2.2454141870199602</v>
      </c>
    </row>
    <row r="1910" spans="1:22">
      <c r="A1910" t="s">
        <v>45</v>
      </c>
      <c r="B1910" t="s">
        <v>39</v>
      </c>
      <c r="C1910">
        <v>32</v>
      </c>
      <c r="D1910" t="s">
        <v>18</v>
      </c>
      <c r="E1910" t="s">
        <v>16</v>
      </c>
      <c r="F1910" s="1">
        <v>44197</v>
      </c>
      <c r="G1910">
        <v>1</v>
      </c>
      <c r="H1910">
        <v>1</v>
      </c>
      <c r="I1910">
        <v>9</v>
      </c>
      <c r="J1910">
        <v>8</v>
      </c>
      <c r="K1910">
        <v>0</v>
      </c>
      <c r="L1910">
        <v>705</v>
      </c>
      <c r="M1910">
        <v>45</v>
      </c>
      <c r="N1910" s="1">
        <f t="shared" si="232"/>
        <v>44938</v>
      </c>
      <c r="O1910" s="1">
        <f t="shared" si="233"/>
        <v>43101</v>
      </c>
      <c r="P1910" s="1">
        <f t="shared" si="234"/>
        <v>44197</v>
      </c>
      <c r="Q1910" s="8">
        <f t="shared" si="235"/>
        <v>0</v>
      </c>
      <c r="R1910" s="8">
        <f t="shared" si="236"/>
        <v>37</v>
      </c>
      <c r="S1910" s="8">
        <f t="shared" ca="1" si="237"/>
        <v>37</v>
      </c>
      <c r="T1910">
        <f t="shared" ca="1" si="238"/>
        <v>3.2940432357392391</v>
      </c>
      <c r="U1910" s="8">
        <f t="shared" ca="1" si="239"/>
        <v>1.5779387578580999</v>
      </c>
      <c r="V1910" s="8">
        <f ca="1">RawData[[#This Row],[Z (smoothed demand size)]]/RawData[[#This Row],[X (smoothed interval)]]</f>
        <v>2.0875608887448749</v>
      </c>
    </row>
    <row r="1911" spans="1:22">
      <c r="A1911" t="s">
        <v>45</v>
      </c>
      <c r="B1911" t="s">
        <v>39</v>
      </c>
      <c r="C1911">
        <v>32</v>
      </c>
      <c r="D1911" t="s">
        <v>18</v>
      </c>
      <c r="E1911" t="s">
        <v>16</v>
      </c>
      <c r="F1911" s="1">
        <v>44198</v>
      </c>
      <c r="G1911">
        <v>0</v>
      </c>
      <c r="H1911">
        <v>0</v>
      </c>
      <c r="I1911">
        <v>8</v>
      </c>
      <c r="J1911">
        <v>8</v>
      </c>
      <c r="K1911">
        <v>0</v>
      </c>
      <c r="L1911">
        <v>709</v>
      </c>
      <c r="M1911">
        <v>60</v>
      </c>
      <c r="N1911" s="1">
        <f t="shared" si="232"/>
        <v>44938</v>
      </c>
      <c r="O1911" s="1">
        <f t="shared" si="233"/>
        <v>43101</v>
      </c>
      <c r="P1911" s="1">
        <f t="shared" si="234"/>
        <v>44228</v>
      </c>
      <c r="Q1911" s="8">
        <f t="shared" si="235"/>
        <v>0</v>
      </c>
      <c r="R1911" s="8">
        <f t="shared" si="236"/>
        <v>38</v>
      </c>
      <c r="S1911" s="8">
        <f t="shared" ca="1" si="237"/>
        <v>37</v>
      </c>
      <c r="T1911">
        <f t="shared" ca="1" si="238"/>
        <v>3.2940432357392391</v>
      </c>
      <c r="U1911" s="8">
        <f t="shared" ca="1" si="239"/>
        <v>1.5779387578580999</v>
      </c>
      <c r="V1911" s="8">
        <f ca="1">RawData[[#This Row],[Z (smoothed demand size)]]/RawData[[#This Row],[X (smoothed interval)]]</f>
        <v>2.0875608887448749</v>
      </c>
    </row>
    <row r="1912" spans="1:22">
      <c r="A1912" t="s">
        <v>45</v>
      </c>
      <c r="B1912" t="s">
        <v>39</v>
      </c>
      <c r="C1912">
        <v>32</v>
      </c>
      <c r="D1912" t="s">
        <v>18</v>
      </c>
      <c r="E1912" t="s">
        <v>16</v>
      </c>
      <c r="F1912" s="1">
        <v>44199</v>
      </c>
      <c r="G1912">
        <v>4</v>
      </c>
      <c r="H1912">
        <v>4</v>
      </c>
      <c r="I1912">
        <v>8</v>
      </c>
      <c r="J1912">
        <v>4</v>
      </c>
      <c r="K1912">
        <v>0</v>
      </c>
      <c r="L1912">
        <v>706</v>
      </c>
      <c r="M1912">
        <v>30</v>
      </c>
      <c r="N1912" s="1">
        <f t="shared" si="232"/>
        <v>44938</v>
      </c>
      <c r="O1912" s="1">
        <f t="shared" si="233"/>
        <v>43101</v>
      </c>
      <c r="P1912" s="1">
        <f t="shared" si="234"/>
        <v>44256</v>
      </c>
      <c r="Q1912" s="8">
        <f t="shared" si="235"/>
        <v>0</v>
      </c>
      <c r="R1912" s="8">
        <f t="shared" si="236"/>
        <v>39</v>
      </c>
      <c r="S1912" s="8">
        <f t="shared" ca="1" si="237"/>
        <v>39</v>
      </c>
      <c r="T1912">
        <f t="shared" ca="1" si="238"/>
        <v>3.4352345885913911</v>
      </c>
      <c r="U1912" s="8">
        <f t="shared" ca="1" si="239"/>
        <v>1.6623510062864799</v>
      </c>
      <c r="V1912" s="8">
        <f ca="1">RawData[[#This Row],[Z (smoothed demand size)]]/RawData[[#This Row],[X (smoothed interval)]]</f>
        <v>2.0664917190174834</v>
      </c>
    </row>
    <row r="1913" spans="1:22">
      <c r="A1913" t="s">
        <v>45</v>
      </c>
      <c r="B1913" t="s">
        <v>39</v>
      </c>
      <c r="C1913">
        <v>32</v>
      </c>
      <c r="D1913" t="s">
        <v>18</v>
      </c>
      <c r="E1913" t="s">
        <v>16</v>
      </c>
      <c r="F1913" s="1">
        <v>44200</v>
      </c>
      <c r="G1913">
        <v>4</v>
      </c>
      <c r="H1913">
        <v>4</v>
      </c>
      <c r="I1913">
        <v>4</v>
      </c>
      <c r="J1913">
        <v>0</v>
      </c>
      <c r="K1913">
        <v>0</v>
      </c>
      <c r="L1913">
        <v>694</v>
      </c>
      <c r="M1913">
        <v>30</v>
      </c>
      <c r="N1913" s="1">
        <f t="shared" si="232"/>
        <v>44938</v>
      </c>
      <c r="O1913" s="1">
        <f t="shared" si="233"/>
        <v>43101</v>
      </c>
      <c r="P1913" s="1">
        <f t="shared" si="234"/>
        <v>44287</v>
      </c>
      <c r="Q1913" s="8">
        <f t="shared" si="235"/>
        <v>0</v>
      </c>
      <c r="R1913" s="8">
        <f t="shared" si="236"/>
        <v>40</v>
      </c>
      <c r="S1913" s="8">
        <f t="shared" ca="1" si="237"/>
        <v>40</v>
      </c>
      <c r="T1913">
        <f t="shared" ca="1" si="238"/>
        <v>3.548187670873113</v>
      </c>
      <c r="U1913" s="8">
        <f t="shared" ca="1" si="239"/>
        <v>1.5298808050291839</v>
      </c>
      <c r="V1913" s="8">
        <f ca="1">RawData[[#This Row],[Z (smoothed demand size)]]/RawData[[#This Row],[X (smoothed interval)]]</f>
        <v>2.3192575913163562</v>
      </c>
    </row>
    <row r="1914" spans="1:22">
      <c r="A1914" t="s">
        <v>45</v>
      </c>
      <c r="B1914" t="s">
        <v>39</v>
      </c>
      <c r="C1914">
        <v>32</v>
      </c>
      <c r="D1914" t="s">
        <v>18</v>
      </c>
      <c r="E1914" t="s">
        <v>16</v>
      </c>
      <c r="F1914" s="1">
        <v>44201</v>
      </c>
      <c r="G1914">
        <v>1</v>
      </c>
      <c r="H1914">
        <v>1</v>
      </c>
      <c r="I1914">
        <v>11</v>
      </c>
      <c r="J1914">
        <v>10</v>
      </c>
      <c r="K1914">
        <v>0</v>
      </c>
      <c r="L1914">
        <v>691</v>
      </c>
      <c r="M1914">
        <v>15</v>
      </c>
      <c r="N1914" s="1">
        <f t="shared" si="232"/>
        <v>44938</v>
      </c>
      <c r="O1914" s="1">
        <f t="shared" si="233"/>
        <v>43101</v>
      </c>
      <c r="P1914" s="1">
        <f t="shared" si="234"/>
        <v>44317</v>
      </c>
      <c r="Q1914" s="8">
        <f t="shared" si="235"/>
        <v>0</v>
      </c>
      <c r="R1914" s="8">
        <f t="shared" si="236"/>
        <v>41</v>
      </c>
      <c r="S1914" s="8">
        <f t="shared" ca="1" si="237"/>
        <v>41</v>
      </c>
      <c r="T1914">
        <f t="shared" ca="1" si="238"/>
        <v>3.0385501366984906</v>
      </c>
      <c r="U1914" s="8">
        <f t="shared" ca="1" si="239"/>
        <v>1.4239046440233472</v>
      </c>
      <c r="V1914" s="8">
        <f ca="1">RawData[[#This Row],[Z (smoothed demand size)]]/RawData[[#This Row],[X (smoothed interval)]]</f>
        <v>2.1339561953480564</v>
      </c>
    </row>
    <row r="1915" spans="1:22">
      <c r="A1915" t="s">
        <v>45</v>
      </c>
      <c r="B1915" t="s">
        <v>39</v>
      </c>
      <c r="C1915">
        <v>32</v>
      </c>
      <c r="D1915" t="s">
        <v>18</v>
      </c>
      <c r="E1915" t="s">
        <v>16</v>
      </c>
      <c r="F1915" s="1">
        <v>44202</v>
      </c>
      <c r="G1915">
        <v>0</v>
      </c>
      <c r="H1915">
        <v>0</v>
      </c>
      <c r="I1915">
        <v>10</v>
      </c>
      <c r="J1915">
        <v>10</v>
      </c>
      <c r="K1915">
        <v>0</v>
      </c>
      <c r="L1915">
        <v>790</v>
      </c>
      <c r="M1915">
        <v>30</v>
      </c>
      <c r="N1915" s="1">
        <f t="shared" si="232"/>
        <v>44938</v>
      </c>
      <c r="O1915" s="1">
        <f t="shared" si="233"/>
        <v>43101</v>
      </c>
      <c r="P1915" s="1">
        <f t="shared" si="234"/>
        <v>44348</v>
      </c>
      <c r="Q1915" s="8">
        <f t="shared" si="235"/>
        <v>0</v>
      </c>
      <c r="R1915" s="8">
        <f t="shared" si="236"/>
        <v>42</v>
      </c>
      <c r="S1915" s="8">
        <f t="shared" ca="1" si="237"/>
        <v>41</v>
      </c>
      <c r="T1915">
        <f t="shared" ca="1" si="238"/>
        <v>3.0385501366984906</v>
      </c>
      <c r="U1915" s="8">
        <f t="shared" ca="1" si="239"/>
        <v>1.4239046440233472</v>
      </c>
      <c r="V1915" s="8">
        <f ca="1">RawData[[#This Row],[Z (smoothed demand size)]]/RawData[[#This Row],[X (smoothed interval)]]</f>
        <v>2.1339561953480564</v>
      </c>
    </row>
    <row r="1916" spans="1:22">
      <c r="A1916" t="s">
        <v>45</v>
      </c>
      <c r="B1916" t="s">
        <v>39</v>
      </c>
      <c r="C1916">
        <v>32</v>
      </c>
      <c r="D1916" t="s">
        <v>18</v>
      </c>
      <c r="E1916" t="s">
        <v>16</v>
      </c>
      <c r="F1916" s="1">
        <v>44203</v>
      </c>
      <c r="G1916">
        <v>5</v>
      </c>
      <c r="H1916">
        <v>5</v>
      </c>
      <c r="I1916">
        <v>10</v>
      </c>
      <c r="J1916">
        <v>5</v>
      </c>
      <c r="K1916">
        <v>0</v>
      </c>
      <c r="L1916">
        <v>801</v>
      </c>
      <c r="M1916">
        <v>45</v>
      </c>
      <c r="N1916" s="1">
        <f t="shared" si="232"/>
        <v>44938</v>
      </c>
      <c r="O1916" s="1">
        <f t="shared" si="233"/>
        <v>43101</v>
      </c>
      <c r="P1916" s="1">
        <f t="shared" si="234"/>
        <v>44378</v>
      </c>
      <c r="Q1916" s="8">
        <f t="shared" si="235"/>
        <v>0</v>
      </c>
      <c r="R1916" s="8">
        <f t="shared" si="236"/>
        <v>43</v>
      </c>
      <c r="S1916" s="8">
        <f t="shared" ca="1" si="237"/>
        <v>43</v>
      </c>
      <c r="T1916">
        <f t="shared" ca="1" si="238"/>
        <v>3.4308401093587926</v>
      </c>
      <c r="U1916" s="8">
        <f t="shared" ca="1" si="239"/>
        <v>1.5391237152186776</v>
      </c>
      <c r="V1916" s="8">
        <f ca="1">RawData[[#This Row],[Z (smoothed demand size)]]/RawData[[#This Row],[X (smoothed interval)]]</f>
        <v>2.2290866389979191</v>
      </c>
    </row>
    <row r="1917" spans="1:22">
      <c r="A1917" t="s">
        <v>45</v>
      </c>
      <c r="B1917" t="s">
        <v>39</v>
      </c>
      <c r="C1917">
        <v>32</v>
      </c>
      <c r="D1917" t="s">
        <v>18</v>
      </c>
      <c r="E1917" t="s">
        <v>16</v>
      </c>
      <c r="F1917" s="1">
        <v>44204</v>
      </c>
      <c r="G1917">
        <v>9</v>
      </c>
      <c r="H1917">
        <v>5</v>
      </c>
      <c r="I1917">
        <v>5</v>
      </c>
      <c r="J1917">
        <v>0</v>
      </c>
      <c r="K1917">
        <v>1</v>
      </c>
      <c r="L1917">
        <v>799</v>
      </c>
      <c r="M1917">
        <v>15</v>
      </c>
      <c r="N1917" s="1">
        <f t="shared" si="232"/>
        <v>44938</v>
      </c>
      <c r="O1917" s="1">
        <f t="shared" si="233"/>
        <v>43101</v>
      </c>
      <c r="P1917" s="1">
        <f t="shared" si="234"/>
        <v>44409</v>
      </c>
      <c r="Q1917" s="8">
        <f t="shared" si="235"/>
        <v>0</v>
      </c>
      <c r="R1917" s="8">
        <f t="shared" si="236"/>
        <v>44</v>
      </c>
      <c r="S1917" s="8">
        <f t="shared" ca="1" si="237"/>
        <v>44</v>
      </c>
      <c r="T1917">
        <f t="shared" ca="1" si="238"/>
        <v>4.5446720874870339</v>
      </c>
      <c r="U1917" s="8">
        <f t="shared" ca="1" si="239"/>
        <v>1.4312989721749421</v>
      </c>
      <c r="V1917" s="8">
        <f ca="1">RawData[[#This Row],[Z (smoothed demand size)]]/RawData[[#This Row],[X (smoothed interval)]]</f>
        <v>3.1752080982641524</v>
      </c>
    </row>
    <row r="1918" spans="1:22">
      <c r="A1918" t="s">
        <v>45</v>
      </c>
      <c r="B1918" t="s">
        <v>39</v>
      </c>
      <c r="C1918">
        <v>32</v>
      </c>
      <c r="D1918" t="s">
        <v>18</v>
      </c>
      <c r="E1918" t="s">
        <v>16</v>
      </c>
      <c r="F1918" s="1">
        <v>44205</v>
      </c>
      <c r="G1918">
        <v>3</v>
      </c>
      <c r="H1918">
        <v>3</v>
      </c>
      <c r="I1918">
        <v>9</v>
      </c>
      <c r="J1918">
        <v>6</v>
      </c>
      <c r="K1918">
        <v>0</v>
      </c>
      <c r="L1918">
        <v>694</v>
      </c>
      <c r="M1918">
        <v>45</v>
      </c>
      <c r="N1918" s="1">
        <f t="shared" si="232"/>
        <v>44938</v>
      </c>
      <c r="O1918" s="1">
        <f t="shared" si="233"/>
        <v>43101</v>
      </c>
      <c r="P1918" s="1">
        <f t="shared" si="234"/>
        <v>44440</v>
      </c>
      <c r="Q1918" s="8">
        <f t="shared" si="235"/>
        <v>0</v>
      </c>
      <c r="R1918" s="8">
        <f t="shared" si="236"/>
        <v>45</v>
      </c>
      <c r="S1918" s="8">
        <f t="shared" ca="1" si="237"/>
        <v>45</v>
      </c>
      <c r="T1918">
        <f t="shared" ca="1" si="238"/>
        <v>4.2357376699896268</v>
      </c>
      <c r="U1918" s="8">
        <f t="shared" ca="1" si="239"/>
        <v>1.3450391777399537</v>
      </c>
      <c r="V1918" s="8">
        <f ca="1">RawData[[#This Row],[Z (smoothed demand size)]]/RawData[[#This Row],[X (smoothed interval)]]</f>
        <v>3.1491556083197993</v>
      </c>
    </row>
    <row r="1919" spans="1:22">
      <c r="A1919" t="s">
        <v>45</v>
      </c>
      <c r="B1919" t="s">
        <v>39</v>
      </c>
      <c r="C1919">
        <v>32</v>
      </c>
      <c r="D1919" t="s">
        <v>18</v>
      </c>
      <c r="E1919" t="s">
        <v>16</v>
      </c>
      <c r="F1919" s="1">
        <v>44206</v>
      </c>
      <c r="G1919">
        <v>3</v>
      </c>
      <c r="H1919">
        <v>3</v>
      </c>
      <c r="I1919">
        <v>6</v>
      </c>
      <c r="J1919">
        <v>3</v>
      </c>
      <c r="K1919">
        <v>0</v>
      </c>
      <c r="L1919">
        <v>689</v>
      </c>
      <c r="M1919">
        <v>60</v>
      </c>
      <c r="N1919" s="1">
        <f t="shared" si="232"/>
        <v>44938</v>
      </c>
      <c r="O1919" s="1">
        <f t="shared" si="233"/>
        <v>43101</v>
      </c>
      <c r="P1919" s="1">
        <f t="shared" si="234"/>
        <v>44470</v>
      </c>
      <c r="Q1919" s="8">
        <f t="shared" si="235"/>
        <v>0</v>
      </c>
      <c r="R1919" s="8">
        <f t="shared" si="236"/>
        <v>46</v>
      </c>
      <c r="S1919" s="8">
        <f t="shared" ca="1" si="237"/>
        <v>46</v>
      </c>
      <c r="T1919">
        <f t="shared" ca="1" si="238"/>
        <v>3.9885901359917018</v>
      </c>
      <c r="U1919" s="8">
        <f t="shared" ca="1" si="239"/>
        <v>1.2760313421919629</v>
      </c>
      <c r="V1919" s="8">
        <f ca="1">RawData[[#This Row],[Z (smoothed demand size)]]/RawData[[#This Row],[X (smoothed interval)]]</f>
        <v>3.1257775605574962</v>
      </c>
    </row>
    <row r="1920" spans="1:22">
      <c r="A1920" t="s">
        <v>45</v>
      </c>
      <c r="B1920" t="s">
        <v>39</v>
      </c>
      <c r="C1920">
        <v>32</v>
      </c>
      <c r="D1920" t="s">
        <v>18</v>
      </c>
      <c r="E1920" t="s">
        <v>16</v>
      </c>
      <c r="F1920" s="1">
        <v>44207</v>
      </c>
      <c r="G1920">
        <v>3</v>
      </c>
      <c r="H1920">
        <v>3</v>
      </c>
      <c r="I1920">
        <v>3</v>
      </c>
      <c r="J1920">
        <v>0</v>
      </c>
      <c r="K1920">
        <v>0</v>
      </c>
      <c r="L1920">
        <v>697</v>
      </c>
      <c r="M1920">
        <v>45</v>
      </c>
      <c r="N1920" s="1">
        <f t="shared" si="232"/>
        <v>44938</v>
      </c>
      <c r="O1920" s="1">
        <f t="shared" si="233"/>
        <v>43101</v>
      </c>
      <c r="P1920" s="1">
        <f t="shared" si="234"/>
        <v>44501</v>
      </c>
      <c r="Q1920" s="8">
        <f t="shared" si="235"/>
        <v>0</v>
      </c>
      <c r="R1920" s="8">
        <f t="shared" si="236"/>
        <v>47</v>
      </c>
      <c r="S1920" s="8">
        <f t="shared" ca="1" si="237"/>
        <v>47</v>
      </c>
      <c r="T1920">
        <f t="shared" ca="1" si="238"/>
        <v>3.7908721087933617</v>
      </c>
      <c r="U1920" s="8">
        <f t="shared" ca="1" si="239"/>
        <v>1.2208250737535704</v>
      </c>
      <c r="V1920" s="8">
        <f ca="1">RawData[[#This Row],[Z (smoothed demand size)]]/RawData[[#This Row],[X (smoothed interval)]]</f>
        <v>3.1051722235175587</v>
      </c>
    </row>
    <row r="1921" spans="1:22">
      <c r="A1921" t="s">
        <v>45</v>
      </c>
      <c r="B1921" t="s">
        <v>39</v>
      </c>
      <c r="C1921">
        <v>32</v>
      </c>
      <c r="D1921" t="s">
        <v>18</v>
      </c>
      <c r="E1921" t="s">
        <v>16</v>
      </c>
      <c r="F1921" s="1">
        <v>44208</v>
      </c>
      <c r="G1921">
        <v>2</v>
      </c>
      <c r="H1921">
        <v>2</v>
      </c>
      <c r="I1921">
        <v>7</v>
      </c>
      <c r="J1921">
        <v>5</v>
      </c>
      <c r="K1921">
        <v>0</v>
      </c>
      <c r="L1921">
        <v>796</v>
      </c>
      <c r="M1921">
        <v>45</v>
      </c>
      <c r="N1921" s="1">
        <f t="shared" si="232"/>
        <v>44938</v>
      </c>
      <c r="O1921" s="1">
        <f t="shared" si="233"/>
        <v>43101</v>
      </c>
      <c r="P1921" s="1">
        <f t="shared" si="234"/>
        <v>44531</v>
      </c>
      <c r="Q1921" s="8">
        <f t="shared" si="235"/>
        <v>0</v>
      </c>
      <c r="R1921" s="8">
        <f t="shared" si="236"/>
        <v>48</v>
      </c>
      <c r="S1921" s="8">
        <f t="shared" ca="1" si="237"/>
        <v>48</v>
      </c>
      <c r="T1921">
        <f t="shared" ca="1" si="238"/>
        <v>3.4326976870346892</v>
      </c>
      <c r="U1921" s="8">
        <f t="shared" ca="1" si="239"/>
        <v>1.1766600590028564</v>
      </c>
      <c r="V1921" s="8">
        <f ca="1">RawData[[#This Row],[Z (smoothed demand size)]]/RawData[[#This Row],[X (smoothed interval)]]</f>
        <v>2.9173231986336643</v>
      </c>
    </row>
    <row r="1922" spans="1:22">
      <c r="A1922" t="s">
        <v>45</v>
      </c>
      <c r="B1922" t="s">
        <v>39</v>
      </c>
      <c r="C1922">
        <v>32</v>
      </c>
      <c r="D1922" t="s">
        <v>18</v>
      </c>
      <c r="E1922" t="s">
        <v>16</v>
      </c>
      <c r="F1922" s="1">
        <v>44562</v>
      </c>
      <c r="G1922">
        <v>3</v>
      </c>
      <c r="H1922">
        <v>3</v>
      </c>
      <c r="I1922">
        <v>5</v>
      </c>
      <c r="J1922">
        <v>2</v>
      </c>
      <c r="K1922">
        <v>0</v>
      </c>
      <c r="L1922">
        <v>689</v>
      </c>
      <c r="M1922">
        <v>30</v>
      </c>
      <c r="N1922" s="1">
        <f t="shared" ref="N1922:N1985" si="240">MAX(F:F)</f>
        <v>44938</v>
      </c>
      <c r="O1922" s="1">
        <f t="shared" ref="O1922:O1985" si="241">MIN(F:F)</f>
        <v>43101</v>
      </c>
      <c r="P1922" s="1">
        <f t="shared" ref="P1922:P1985" si="242">DATE(YEAR(F1922), DAY(F1922), 1)</f>
        <v>44562</v>
      </c>
      <c r="Q1922" s="8">
        <f t="shared" ref="Q1922:Q1985" si="243" xml:space="preserve"> IF(A1922&lt;&gt;A1921, 1, 0)</f>
        <v>0</v>
      </c>
      <c r="R1922" s="8">
        <f t="shared" ref="R1922:R1985" si="244">IF(Q1922=1,1,R1921+1)</f>
        <v>49</v>
      </c>
      <c r="S1922" s="8">
        <f t="shared" ref="S1922:S1985" ca="1" si="245" xml:space="preserve"> IF(Q1922=1, IF(G1922&gt;0, R1922, 0), IF(G1922&gt;0, R1922, OFFSET(S1922,-1,0)))</f>
        <v>49</v>
      </c>
      <c r="T1922">
        <f t="shared" ref="T1922:T1985" ca="1" si="246" xml:space="preserve"> IF(Q1922=1, IF(G1922&gt;0, G1922, 0), IF(G1922&gt;0, $X$1*G1922+(1-$X$1)*OFFSET(T1922,-1,0), OFFSET(T1922,-1,0)))</f>
        <v>3.3461581496277515</v>
      </c>
      <c r="U1922" s="8">
        <f t="shared" ref="U1922:U1985" ca="1" si="247" xml:space="preserve"> IF(Q1922=1, 1, IF(G1922&gt;0, $X$1*(R1922-OFFSET(S1922,-1,0))+(1-$X$1)*OFFSET(U1922,-1,0), OFFSET(U1922,-1,0)))</f>
        <v>1.1413280472022851</v>
      </c>
      <c r="V1922" s="8">
        <f ca="1">RawData[[#This Row],[Z (smoothed demand size)]]/RawData[[#This Row],[X (smoothed interval)]]</f>
        <v>2.9318110229833771</v>
      </c>
    </row>
    <row r="1923" spans="1:22">
      <c r="A1923" t="s">
        <v>45</v>
      </c>
      <c r="B1923" t="s">
        <v>39</v>
      </c>
      <c r="C1923">
        <v>32</v>
      </c>
      <c r="D1923" t="s">
        <v>18</v>
      </c>
      <c r="E1923" t="s">
        <v>16</v>
      </c>
      <c r="F1923" s="1">
        <v>44563</v>
      </c>
      <c r="G1923">
        <v>0</v>
      </c>
      <c r="H1923">
        <v>0</v>
      </c>
      <c r="I1923">
        <v>11</v>
      </c>
      <c r="J1923">
        <v>11</v>
      </c>
      <c r="K1923">
        <v>0</v>
      </c>
      <c r="L1923">
        <v>694</v>
      </c>
      <c r="M1923">
        <v>30</v>
      </c>
      <c r="N1923" s="1">
        <f t="shared" si="240"/>
        <v>44938</v>
      </c>
      <c r="O1923" s="1">
        <f t="shared" si="241"/>
        <v>43101</v>
      </c>
      <c r="P1923" s="1">
        <f t="shared" si="242"/>
        <v>44593</v>
      </c>
      <c r="Q1923" s="8">
        <f t="shared" si="243"/>
        <v>0</v>
      </c>
      <c r="R1923" s="8">
        <f t="shared" si="244"/>
        <v>50</v>
      </c>
      <c r="S1923" s="8">
        <f t="shared" ca="1" si="245"/>
        <v>49</v>
      </c>
      <c r="T1923">
        <f t="shared" ca="1" si="246"/>
        <v>3.3461581496277515</v>
      </c>
      <c r="U1923" s="8">
        <f t="shared" ca="1" si="247"/>
        <v>1.1413280472022851</v>
      </c>
      <c r="V1923" s="8">
        <f ca="1">RawData[[#This Row],[Z (smoothed demand size)]]/RawData[[#This Row],[X (smoothed interval)]]</f>
        <v>2.9318110229833771</v>
      </c>
    </row>
    <row r="1924" spans="1:22">
      <c r="A1924" t="s">
        <v>45</v>
      </c>
      <c r="B1924" t="s">
        <v>39</v>
      </c>
      <c r="C1924">
        <v>32</v>
      </c>
      <c r="D1924" t="s">
        <v>18</v>
      </c>
      <c r="E1924" t="s">
        <v>16</v>
      </c>
      <c r="F1924" s="1">
        <v>44564</v>
      </c>
      <c r="G1924">
        <v>0</v>
      </c>
      <c r="H1924">
        <v>0</v>
      </c>
      <c r="I1924">
        <v>11</v>
      </c>
      <c r="J1924">
        <v>11</v>
      </c>
      <c r="K1924">
        <v>0</v>
      </c>
      <c r="L1924">
        <v>692</v>
      </c>
      <c r="M1924">
        <v>60</v>
      </c>
      <c r="N1924" s="1">
        <f t="shared" si="240"/>
        <v>44938</v>
      </c>
      <c r="O1924" s="1">
        <f t="shared" si="241"/>
        <v>43101</v>
      </c>
      <c r="P1924" s="1">
        <f t="shared" si="242"/>
        <v>44621</v>
      </c>
      <c r="Q1924" s="8">
        <f t="shared" si="243"/>
        <v>0</v>
      </c>
      <c r="R1924" s="8">
        <f t="shared" si="244"/>
        <v>51</v>
      </c>
      <c r="S1924" s="8">
        <f t="shared" ca="1" si="245"/>
        <v>49</v>
      </c>
      <c r="T1924">
        <f t="shared" ca="1" si="246"/>
        <v>3.3461581496277515</v>
      </c>
      <c r="U1924" s="8">
        <f t="shared" ca="1" si="247"/>
        <v>1.1413280472022851</v>
      </c>
      <c r="V1924" s="8">
        <f ca="1">RawData[[#This Row],[Z (smoothed demand size)]]/RawData[[#This Row],[X (smoothed interval)]]</f>
        <v>2.9318110229833771</v>
      </c>
    </row>
    <row r="1925" spans="1:22">
      <c r="A1925" t="s">
        <v>45</v>
      </c>
      <c r="B1925" t="s">
        <v>39</v>
      </c>
      <c r="C1925">
        <v>32</v>
      </c>
      <c r="D1925" t="s">
        <v>18</v>
      </c>
      <c r="E1925" t="s">
        <v>16</v>
      </c>
      <c r="F1925" s="1">
        <v>44565</v>
      </c>
      <c r="G1925">
        <v>0</v>
      </c>
      <c r="H1925">
        <v>0</v>
      </c>
      <c r="I1925">
        <v>11</v>
      </c>
      <c r="J1925">
        <v>11</v>
      </c>
      <c r="K1925">
        <v>0</v>
      </c>
      <c r="L1925">
        <v>683</v>
      </c>
      <c r="M1925">
        <v>45</v>
      </c>
      <c r="N1925" s="1">
        <f t="shared" si="240"/>
        <v>44938</v>
      </c>
      <c r="O1925" s="1">
        <f t="shared" si="241"/>
        <v>43101</v>
      </c>
      <c r="P1925" s="1">
        <f t="shared" si="242"/>
        <v>44652</v>
      </c>
      <c r="Q1925" s="8">
        <f t="shared" si="243"/>
        <v>0</v>
      </c>
      <c r="R1925" s="8">
        <f t="shared" si="244"/>
        <v>52</v>
      </c>
      <c r="S1925" s="8">
        <f t="shared" ca="1" si="245"/>
        <v>49</v>
      </c>
      <c r="T1925">
        <f t="shared" ca="1" si="246"/>
        <v>3.3461581496277515</v>
      </c>
      <c r="U1925" s="8">
        <f t="shared" ca="1" si="247"/>
        <v>1.1413280472022851</v>
      </c>
      <c r="V1925" s="8">
        <f ca="1">RawData[[#This Row],[Z (smoothed demand size)]]/RawData[[#This Row],[X (smoothed interval)]]</f>
        <v>2.9318110229833771</v>
      </c>
    </row>
    <row r="1926" spans="1:22">
      <c r="A1926" t="s">
        <v>45</v>
      </c>
      <c r="B1926" t="s">
        <v>39</v>
      </c>
      <c r="C1926">
        <v>32</v>
      </c>
      <c r="D1926" t="s">
        <v>18</v>
      </c>
      <c r="E1926" t="s">
        <v>16</v>
      </c>
      <c r="F1926" s="1">
        <v>44566</v>
      </c>
      <c r="G1926">
        <v>2</v>
      </c>
      <c r="H1926">
        <v>2</v>
      </c>
      <c r="I1926">
        <v>11</v>
      </c>
      <c r="J1926">
        <v>9</v>
      </c>
      <c r="K1926">
        <v>0</v>
      </c>
      <c r="L1926">
        <v>687</v>
      </c>
      <c r="M1926">
        <v>30</v>
      </c>
      <c r="N1926" s="1">
        <f t="shared" si="240"/>
        <v>44938</v>
      </c>
      <c r="O1926" s="1">
        <f t="shared" si="241"/>
        <v>43101</v>
      </c>
      <c r="P1926" s="1">
        <f t="shared" si="242"/>
        <v>44682</v>
      </c>
      <c r="Q1926" s="8">
        <f t="shared" si="243"/>
        <v>0</v>
      </c>
      <c r="R1926" s="8">
        <f t="shared" si="244"/>
        <v>53</v>
      </c>
      <c r="S1926" s="8">
        <f t="shared" ca="1" si="245"/>
        <v>53</v>
      </c>
      <c r="T1926">
        <f t="shared" ca="1" si="246"/>
        <v>3.0769265197022011</v>
      </c>
      <c r="U1926" s="8">
        <f t="shared" ca="1" si="247"/>
        <v>1.7130624377618282</v>
      </c>
      <c r="V1926" s="8">
        <f ca="1">RawData[[#This Row],[Z (smoothed demand size)]]/RawData[[#This Row],[X (smoothed interval)]]</f>
        <v>1.796155500159297</v>
      </c>
    </row>
    <row r="1927" spans="1:22">
      <c r="A1927" t="s">
        <v>45</v>
      </c>
      <c r="B1927" t="s">
        <v>39</v>
      </c>
      <c r="C1927">
        <v>32</v>
      </c>
      <c r="D1927" t="s">
        <v>18</v>
      </c>
      <c r="E1927" t="s">
        <v>16</v>
      </c>
      <c r="F1927" s="1">
        <v>44567</v>
      </c>
      <c r="G1927">
        <v>0</v>
      </c>
      <c r="H1927">
        <v>0</v>
      </c>
      <c r="I1927">
        <v>9</v>
      </c>
      <c r="J1927">
        <v>9</v>
      </c>
      <c r="K1927">
        <v>0</v>
      </c>
      <c r="L1927">
        <v>801</v>
      </c>
      <c r="M1927">
        <v>15</v>
      </c>
      <c r="N1927" s="1">
        <f t="shared" si="240"/>
        <v>44938</v>
      </c>
      <c r="O1927" s="1">
        <f t="shared" si="241"/>
        <v>43101</v>
      </c>
      <c r="P1927" s="1">
        <f t="shared" si="242"/>
        <v>44713</v>
      </c>
      <c r="Q1927" s="8">
        <f t="shared" si="243"/>
        <v>0</v>
      </c>
      <c r="R1927" s="8">
        <f t="shared" si="244"/>
        <v>54</v>
      </c>
      <c r="S1927" s="8">
        <f t="shared" ca="1" si="245"/>
        <v>53</v>
      </c>
      <c r="T1927">
        <f t="shared" ca="1" si="246"/>
        <v>3.0769265197022011</v>
      </c>
      <c r="U1927" s="8">
        <f t="shared" ca="1" si="247"/>
        <v>1.7130624377618282</v>
      </c>
      <c r="V1927" s="8">
        <f ca="1">RawData[[#This Row],[Z (smoothed demand size)]]/RawData[[#This Row],[X (smoothed interval)]]</f>
        <v>1.796155500159297</v>
      </c>
    </row>
    <row r="1928" spans="1:22">
      <c r="A1928" t="s">
        <v>45</v>
      </c>
      <c r="B1928" t="s">
        <v>39</v>
      </c>
      <c r="C1928">
        <v>32</v>
      </c>
      <c r="D1928" t="s">
        <v>18</v>
      </c>
      <c r="E1928" t="s">
        <v>16</v>
      </c>
      <c r="F1928" s="1">
        <v>44568</v>
      </c>
      <c r="G1928">
        <v>2</v>
      </c>
      <c r="H1928">
        <v>2</v>
      </c>
      <c r="I1928">
        <v>9</v>
      </c>
      <c r="J1928">
        <v>7</v>
      </c>
      <c r="K1928">
        <v>0</v>
      </c>
      <c r="L1928">
        <v>796</v>
      </c>
      <c r="M1928">
        <v>30</v>
      </c>
      <c r="N1928" s="1">
        <f t="shared" si="240"/>
        <v>44938</v>
      </c>
      <c r="O1928" s="1">
        <f t="shared" si="241"/>
        <v>43101</v>
      </c>
      <c r="P1928" s="1">
        <f t="shared" si="242"/>
        <v>44743</v>
      </c>
      <c r="Q1928" s="8">
        <f t="shared" si="243"/>
        <v>0</v>
      </c>
      <c r="R1928" s="8">
        <f t="shared" si="244"/>
        <v>55</v>
      </c>
      <c r="S1928" s="8">
        <f t="shared" ca="1" si="245"/>
        <v>55</v>
      </c>
      <c r="T1928">
        <f t="shared" ca="1" si="246"/>
        <v>2.8615412157617608</v>
      </c>
      <c r="U1928" s="8">
        <f t="shared" ca="1" si="247"/>
        <v>1.7704499502094628</v>
      </c>
      <c r="V1928" s="8">
        <f ca="1">RawData[[#This Row],[Z (smoothed demand size)]]/RawData[[#This Row],[X (smoothed interval)]]</f>
        <v>1.6162790794640709</v>
      </c>
    </row>
    <row r="1929" spans="1:22">
      <c r="A1929" t="s">
        <v>45</v>
      </c>
      <c r="B1929" t="s">
        <v>39</v>
      </c>
      <c r="C1929">
        <v>32</v>
      </c>
      <c r="D1929" t="s">
        <v>18</v>
      </c>
      <c r="E1929" t="s">
        <v>16</v>
      </c>
      <c r="F1929" s="1">
        <v>44569</v>
      </c>
      <c r="G1929">
        <v>1</v>
      </c>
      <c r="H1929">
        <v>1</v>
      </c>
      <c r="I1929">
        <v>7</v>
      </c>
      <c r="J1929">
        <v>6</v>
      </c>
      <c r="K1929">
        <v>0</v>
      </c>
      <c r="L1929">
        <v>781</v>
      </c>
      <c r="M1929">
        <v>60</v>
      </c>
      <c r="N1929" s="1">
        <f t="shared" si="240"/>
        <v>44938</v>
      </c>
      <c r="O1929" s="1">
        <f t="shared" si="241"/>
        <v>43101</v>
      </c>
      <c r="P1929" s="1">
        <f t="shared" si="242"/>
        <v>44774</v>
      </c>
      <c r="Q1929" s="8">
        <f t="shared" si="243"/>
        <v>0</v>
      </c>
      <c r="R1929" s="8">
        <f t="shared" si="244"/>
        <v>56</v>
      </c>
      <c r="S1929" s="8">
        <f t="shared" ca="1" si="245"/>
        <v>56</v>
      </c>
      <c r="T1929">
        <f t="shared" ca="1" si="246"/>
        <v>2.4892329726094089</v>
      </c>
      <c r="U1929" s="8">
        <f t="shared" ca="1" si="247"/>
        <v>1.6163599601675702</v>
      </c>
      <c r="V1929" s="8">
        <f ca="1">RawData[[#This Row],[Z (smoothed demand size)]]/RawData[[#This Row],[X (smoothed interval)]]</f>
        <v>1.5400239018240385</v>
      </c>
    </row>
    <row r="1930" spans="1:22">
      <c r="A1930" t="s">
        <v>45</v>
      </c>
      <c r="B1930" t="s">
        <v>39</v>
      </c>
      <c r="C1930">
        <v>32</v>
      </c>
      <c r="D1930" t="s">
        <v>18</v>
      </c>
      <c r="E1930" t="s">
        <v>16</v>
      </c>
      <c r="F1930" s="1">
        <v>44570</v>
      </c>
      <c r="G1930">
        <v>4</v>
      </c>
      <c r="H1930">
        <v>4</v>
      </c>
      <c r="I1930">
        <v>6</v>
      </c>
      <c r="J1930">
        <v>2</v>
      </c>
      <c r="K1930">
        <v>0</v>
      </c>
      <c r="L1930">
        <v>697</v>
      </c>
      <c r="M1930">
        <v>30</v>
      </c>
      <c r="N1930" s="1">
        <f t="shared" si="240"/>
        <v>44938</v>
      </c>
      <c r="O1930" s="1">
        <f t="shared" si="241"/>
        <v>43101</v>
      </c>
      <c r="P1930" s="1">
        <f t="shared" si="242"/>
        <v>44805</v>
      </c>
      <c r="Q1930" s="8">
        <f t="shared" si="243"/>
        <v>0</v>
      </c>
      <c r="R1930" s="8">
        <f t="shared" si="244"/>
        <v>57</v>
      </c>
      <c r="S1930" s="8">
        <f t="shared" ca="1" si="245"/>
        <v>57</v>
      </c>
      <c r="T1930">
        <f t="shared" ca="1" si="246"/>
        <v>2.7913863780875272</v>
      </c>
      <c r="U1930" s="8">
        <f t="shared" ca="1" si="247"/>
        <v>1.4930879681340563</v>
      </c>
      <c r="V1930" s="8">
        <f ca="1">RawData[[#This Row],[Z (smoothed demand size)]]/RawData[[#This Row],[X (smoothed interval)]]</f>
        <v>1.8695391280769491</v>
      </c>
    </row>
    <row r="1931" spans="1:22">
      <c r="A1931" t="s">
        <v>45</v>
      </c>
      <c r="B1931" t="s">
        <v>39</v>
      </c>
      <c r="C1931">
        <v>32</v>
      </c>
      <c r="D1931" t="s">
        <v>18</v>
      </c>
      <c r="E1931" t="s">
        <v>16</v>
      </c>
      <c r="F1931" s="1">
        <v>44571</v>
      </c>
      <c r="G1931">
        <v>1</v>
      </c>
      <c r="H1931">
        <v>1</v>
      </c>
      <c r="I1931">
        <v>11</v>
      </c>
      <c r="J1931">
        <v>10</v>
      </c>
      <c r="K1931">
        <v>0</v>
      </c>
      <c r="L1931">
        <v>692</v>
      </c>
      <c r="M1931">
        <v>45</v>
      </c>
      <c r="N1931" s="1">
        <f t="shared" si="240"/>
        <v>44938</v>
      </c>
      <c r="O1931" s="1">
        <f t="shared" si="241"/>
        <v>43101</v>
      </c>
      <c r="P1931" s="1">
        <f t="shared" si="242"/>
        <v>44835</v>
      </c>
      <c r="Q1931" s="8">
        <f t="shared" si="243"/>
        <v>0</v>
      </c>
      <c r="R1931" s="8">
        <f t="shared" si="244"/>
        <v>58</v>
      </c>
      <c r="S1931" s="8">
        <f t="shared" ca="1" si="245"/>
        <v>58</v>
      </c>
      <c r="T1931">
        <f t="shared" ca="1" si="246"/>
        <v>2.4331091024700222</v>
      </c>
      <c r="U1931" s="8">
        <f t="shared" ca="1" si="247"/>
        <v>1.3944703745072451</v>
      </c>
      <c r="V1931" s="8">
        <f ca="1">RawData[[#This Row],[Z (smoothed demand size)]]/RawData[[#This Row],[X (smoothed interval)]]</f>
        <v>1.7448266717963041</v>
      </c>
    </row>
    <row r="1932" spans="1:22">
      <c r="A1932" t="s">
        <v>45</v>
      </c>
      <c r="B1932" t="s">
        <v>39</v>
      </c>
      <c r="C1932">
        <v>32</v>
      </c>
      <c r="D1932" t="s">
        <v>18</v>
      </c>
      <c r="E1932" t="s">
        <v>16</v>
      </c>
      <c r="F1932" s="1">
        <v>44572</v>
      </c>
      <c r="G1932">
        <v>0</v>
      </c>
      <c r="H1932">
        <v>0</v>
      </c>
      <c r="I1932">
        <v>10</v>
      </c>
      <c r="J1932">
        <v>10</v>
      </c>
      <c r="K1932">
        <v>0</v>
      </c>
      <c r="L1932">
        <v>685</v>
      </c>
      <c r="M1932">
        <v>60</v>
      </c>
      <c r="N1932" s="1">
        <f t="shared" si="240"/>
        <v>44938</v>
      </c>
      <c r="O1932" s="1">
        <f t="shared" si="241"/>
        <v>43101</v>
      </c>
      <c r="P1932" s="1">
        <f t="shared" si="242"/>
        <v>44866</v>
      </c>
      <c r="Q1932" s="8">
        <f t="shared" si="243"/>
        <v>0</v>
      </c>
      <c r="R1932" s="8">
        <f t="shared" si="244"/>
        <v>59</v>
      </c>
      <c r="S1932" s="8">
        <f t="shared" ca="1" si="245"/>
        <v>58</v>
      </c>
      <c r="T1932">
        <f t="shared" ca="1" si="246"/>
        <v>2.4331091024700222</v>
      </c>
      <c r="U1932" s="8">
        <f t="shared" ca="1" si="247"/>
        <v>1.3944703745072451</v>
      </c>
      <c r="V1932" s="8">
        <f ca="1">RawData[[#This Row],[Z (smoothed demand size)]]/RawData[[#This Row],[X (smoothed interval)]]</f>
        <v>1.7448266717963041</v>
      </c>
    </row>
    <row r="1933" spans="1:22">
      <c r="A1933" t="s">
        <v>45</v>
      </c>
      <c r="B1933" t="s">
        <v>39</v>
      </c>
      <c r="C1933">
        <v>32</v>
      </c>
      <c r="D1933" t="s">
        <v>18</v>
      </c>
      <c r="E1933" t="s">
        <v>16</v>
      </c>
      <c r="F1933" s="1">
        <v>44573</v>
      </c>
      <c r="G1933">
        <v>3</v>
      </c>
      <c r="H1933">
        <v>3</v>
      </c>
      <c r="I1933">
        <v>10</v>
      </c>
      <c r="J1933">
        <v>7</v>
      </c>
      <c r="K1933">
        <v>0</v>
      </c>
      <c r="L1933">
        <v>791</v>
      </c>
      <c r="M1933">
        <v>15</v>
      </c>
      <c r="N1933" s="1">
        <f t="shared" si="240"/>
        <v>44938</v>
      </c>
      <c r="O1933" s="1">
        <f t="shared" si="241"/>
        <v>43101</v>
      </c>
      <c r="P1933" s="1">
        <f t="shared" si="242"/>
        <v>44896</v>
      </c>
      <c r="Q1933" s="8">
        <f t="shared" si="243"/>
        <v>0</v>
      </c>
      <c r="R1933" s="8">
        <f t="shared" si="244"/>
        <v>60</v>
      </c>
      <c r="S1933" s="8">
        <f t="shared" ca="1" si="245"/>
        <v>60</v>
      </c>
      <c r="T1933">
        <f t="shared" ca="1" si="246"/>
        <v>2.546487281976018</v>
      </c>
      <c r="U1933" s="8">
        <f t="shared" ca="1" si="247"/>
        <v>1.515576299605796</v>
      </c>
      <c r="V1933" s="8">
        <f ca="1">RawData[[#This Row],[Z (smoothed demand size)]]/RawData[[#This Row],[X (smoothed interval)]]</f>
        <v>1.6802105460730441</v>
      </c>
    </row>
    <row r="1934" spans="1:22">
      <c r="A1934" t="s">
        <v>45</v>
      </c>
      <c r="B1934" t="s">
        <v>39</v>
      </c>
      <c r="C1934">
        <v>32</v>
      </c>
      <c r="D1934" t="s">
        <v>18</v>
      </c>
      <c r="E1934" t="s">
        <v>16</v>
      </c>
      <c r="F1934" s="1">
        <v>44927</v>
      </c>
      <c r="G1934">
        <v>0</v>
      </c>
      <c r="H1934">
        <v>0</v>
      </c>
      <c r="I1934">
        <v>7</v>
      </c>
      <c r="J1934">
        <v>7</v>
      </c>
      <c r="K1934">
        <v>0</v>
      </c>
      <c r="L1934">
        <v>692</v>
      </c>
      <c r="M1934">
        <v>60</v>
      </c>
      <c r="N1934" s="1">
        <f t="shared" si="240"/>
        <v>44938</v>
      </c>
      <c r="O1934" s="1">
        <f t="shared" si="241"/>
        <v>43101</v>
      </c>
      <c r="P1934" s="1">
        <f t="shared" si="242"/>
        <v>44927</v>
      </c>
      <c r="Q1934" s="8">
        <f t="shared" si="243"/>
        <v>0</v>
      </c>
      <c r="R1934" s="8">
        <f t="shared" si="244"/>
        <v>61</v>
      </c>
      <c r="S1934" s="8">
        <f t="shared" ca="1" si="245"/>
        <v>60</v>
      </c>
      <c r="T1934">
        <f t="shared" ca="1" si="246"/>
        <v>2.546487281976018</v>
      </c>
      <c r="U1934" s="8">
        <f t="shared" ca="1" si="247"/>
        <v>1.515576299605796</v>
      </c>
      <c r="V1934" s="8">
        <f ca="1">RawData[[#This Row],[Z (smoothed demand size)]]/RawData[[#This Row],[X (smoothed interval)]]</f>
        <v>1.6802105460730441</v>
      </c>
    </row>
    <row r="1935" spans="1:22">
      <c r="A1935" t="s">
        <v>45</v>
      </c>
      <c r="B1935" t="s">
        <v>39</v>
      </c>
      <c r="C1935">
        <v>32</v>
      </c>
      <c r="D1935" t="s">
        <v>18</v>
      </c>
      <c r="E1935" t="s">
        <v>16</v>
      </c>
      <c r="F1935" s="1">
        <v>44928</v>
      </c>
      <c r="G1935">
        <v>3</v>
      </c>
      <c r="H1935">
        <v>3</v>
      </c>
      <c r="I1935">
        <v>7</v>
      </c>
      <c r="J1935">
        <v>4</v>
      </c>
      <c r="K1935">
        <v>0</v>
      </c>
      <c r="L1935">
        <v>675</v>
      </c>
      <c r="M1935">
        <v>30</v>
      </c>
      <c r="N1935" s="1">
        <f t="shared" si="240"/>
        <v>44938</v>
      </c>
      <c r="O1935" s="1">
        <f t="shared" si="241"/>
        <v>43101</v>
      </c>
      <c r="P1935" s="1">
        <f t="shared" si="242"/>
        <v>44958</v>
      </c>
      <c r="Q1935" s="8">
        <f t="shared" si="243"/>
        <v>0</v>
      </c>
      <c r="R1935" s="8">
        <f t="shared" si="244"/>
        <v>62</v>
      </c>
      <c r="S1935" s="8">
        <f t="shared" ca="1" si="245"/>
        <v>62</v>
      </c>
      <c r="T1935">
        <f t="shared" ca="1" si="246"/>
        <v>2.6371898255808146</v>
      </c>
      <c r="U1935" s="8">
        <f t="shared" ca="1" si="247"/>
        <v>1.6124610396846371</v>
      </c>
      <c r="V1935" s="8">
        <f ca="1">RawData[[#This Row],[Z (smoothed demand size)]]/RawData[[#This Row],[X (smoothed interval)]]</f>
        <v>1.6355060746748911</v>
      </c>
    </row>
    <row r="1936" spans="1:22">
      <c r="A1936" t="s">
        <v>45</v>
      </c>
      <c r="B1936" t="s">
        <v>39</v>
      </c>
      <c r="C1936">
        <v>32</v>
      </c>
      <c r="D1936" t="s">
        <v>18</v>
      </c>
      <c r="E1936" t="s">
        <v>16</v>
      </c>
      <c r="F1936" s="1">
        <v>44929</v>
      </c>
      <c r="G1936">
        <v>0</v>
      </c>
      <c r="H1936">
        <v>0</v>
      </c>
      <c r="I1936">
        <v>4</v>
      </c>
      <c r="J1936">
        <v>4</v>
      </c>
      <c r="K1936">
        <v>0</v>
      </c>
      <c r="L1936">
        <v>693</v>
      </c>
      <c r="M1936">
        <v>45</v>
      </c>
      <c r="N1936" s="1">
        <f t="shared" si="240"/>
        <v>44938</v>
      </c>
      <c r="O1936" s="1">
        <f t="shared" si="241"/>
        <v>43101</v>
      </c>
      <c r="P1936" s="1">
        <f t="shared" si="242"/>
        <v>44986</v>
      </c>
      <c r="Q1936" s="8">
        <f t="shared" si="243"/>
        <v>0</v>
      </c>
      <c r="R1936" s="8">
        <f t="shared" si="244"/>
        <v>63</v>
      </c>
      <c r="S1936" s="8">
        <f t="shared" ca="1" si="245"/>
        <v>62</v>
      </c>
      <c r="T1936">
        <f t="shared" ca="1" si="246"/>
        <v>2.6371898255808146</v>
      </c>
      <c r="U1936" s="8">
        <f t="shared" ca="1" si="247"/>
        <v>1.6124610396846371</v>
      </c>
      <c r="V1936" s="8">
        <f ca="1">RawData[[#This Row],[Z (smoothed demand size)]]/RawData[[#This Row],[X (smoothed interval)]]</f>
        <v>1.6355060746748911</v>
      </c>
    </row>
    <row r="1937" spans="1:22">
      <c r="A1937" t="s">
        <v>45</v>
      </c>
      <c r="B1937" t="s">
        <v>39</v>
      </c>
      <c r="C1937">
        <v>32</v>
      </c>
      <c r="D1937" t="s">
        <v>18</v>
      </c>
      <c r="E1937" t="s">
        <v>16</v>
      </c>
      <c r="F1937" s="1">
        <v>44930</v>
      </c>
      <c r="G1937">
        <v>3</v>
      </c>
      <c r="H1937">
        <v>3</v>
      </c>
      <c r="I1937">
        <v>4</v>
      </c>
      <c r="J1937">
        <v>1</v>
      </c>
      <c r="K1937">
        <v>0</v>
      </c>
      <c r="L1937">
        <v>697</v>
      </c>
      <c r="M1937">
        <v>30</v>
      </c>
      <c r="N1937" s="1">
        <f t="shared" si="240"/>
        <v>44938</v>
      </c>
      <c r="O1937" s="1">
        <f t="shared" si="241"/>
        <v>43101</v>
      </c>
      <c r="P1937" s="1">
        <f t="shared" si="242"/>
        <v>45017</v>
      </c>
      <c r="Q1937" s="8">
        <f t="shared" si="243"/>
        <v>0</v>
      </c>
      <c r="R1937" s="8">
        <f t="shared" si="244"/>
        <v>64</v>
      </c>
      <c r="S1937" s="8">
        <f t="shared" ca="1" si="245"/>
        <v>64</v>
      </c>
      <c r="T1937">
        <f t="shared" ca="1" si="246"/>
        <v>2.7097518604646518</v>
      </c>
      <c r="U1937" s="8">
        <f t="shared" ca="1" si="247"/>
        <v>1.6899688317477097</v>
      </c>
      <c r="V1937" s="8">
        <f ca="1">RawData[[#This Row],[Z (smoothed demand size)]]/RawData[[#This Row],[X (smoothed interval)]]</f>
        <v>1.6034330394497964</v>
      </c>
    </row>
    <row r="1938" spans="1:22">
      <c r="A1938" t="s">
        <v>45</v>
      </c>
      <c r="B1938" t="s">
        <v>39</v>
      </c>
      <c r="C1938">
        <v>32</v>
      </c>
      <c r="D1938" t="s">
        <v>18</v>
      </c>
      <c r="E1938" t="s">
        <v>16</v>
      </c>
      <c r="F1938" s="1">
        <v>44931</v>
      </c>
      <c r="G1938">
        <v>1</v>
      </c>
      <c r="H1938">
        <v>1</v>
      </c>
      <c r="I1938">
        <v>8</v>
      </c>
      <c r="J1938">
        <v>7</v>
      </c>
      <c r="K1938">
        <v>0</v>
      </c>
      <c r="L1938">
        <v>697</v>
      </c>
      <c r="M1938">
        <v>30</v>
      </c>
      <c r="N1938" s="1">
        <f t="shared" si="240"/>
        <v>44938</v>
      </c>
      <c r="O1938" s="1">
        <f t="shared" si="241"/>
        <v>43101</v>
      </c>
      <c r="P1938" s="1">
        <f t="shared" si="242"/>
        <v>45047</v>
      </c>
      <c r="Q1938" s="8">
        <f t="shared" si="243"/>
        <v>0</v>
      </c>
      <c r="R1938" s="8">
        <f t="shared" si="244"/>
        <v>65</v>
      </c>
      <c r="S1938" s="8">
        <f t="shared" ca="1" si="245"/>
        <v>65</v>
      </c>
      <c r="T1938">
        <f t="shared" ca="1" si="246"/>
        <v>2.3678014883717218</v>
      </c>
      <c r="U1938" s="8">
        <f t="shared" ca="1" si="247"/>
        <v>1.5519750653981679</v>
      </c>
      <c r="V1938" s="8">
        <f ca="1">RawData[[#This Row],[Z (smoothed demand size)]]/RawData[[#This Row],[X (smoothed interval)]]</f>
        <v>1.5256698004772706</v>
      </c>
    </row>
    <row r="1939" spans="1:22">
      <c r="A1939" t="s">
        <v>45</v>
      </c>
      <c r="B1939" t="s">
        <v>39</v>
      </c>
      <c r="C1939">
        <v>32</v>
      </c>
      <c r="D1939" t="s">
        <v>18</v>
      </c>
      <c r="E1939" t="s">
        <v>16</v>
      </c>
      <c r="F1939" s="1">
        <v>44932</v>
      </c>
      <c r="G1939">
        <v>2</v>
      </c>
      <c r="H1939">
        <v>2</v>
      </c>
      <c r="I1939">
        <v>7</v>
      </c>
      <c r="J1939">
        <v>5</v>
      </c>
      <c r="K1939">
        <v>0</v>
      </c>
      <c r="L1939">
        <v>803</v>
      </c>
      <c r="M1939">
        <v>60</v>
      </c>
      <c r="N1939" s="1">
        <f t="shared" si="240"/>
        <v>44938</v>
      </c>
      <c r="O1939" s="1">
        <f t="shared" si="241"/>
        <v>43101</v>
      </c>
      <c r="P1939" s="1">
        <f t="shared" si="242"/>
        <v>45078</v>
      </c>
      <c r="Q1939" s="8">
        <f t="shared" si="243"/>
        <v>0</v>
      </c>
      <c r="R1939" s="8">
        <f t="shared" si="244"/>
        <v>66</v>
      </c>
      <c r="S1939" s="8">
        <f t="shared" ca="1" si="245"/>
        <v>66</v>
      </c>
      <c r="T1939">
        <f t="shared" ca="1" si="246"/>
        <v>2.2942411906973774</v>
      </c>
      <c r="U1939" s="8">
        <f t="shared" ca="1" si="247"/>
        <v>1.4415800523185343</v>
      </c>
      <c r="V1939" s="8">
        <f ca="1">RawData[[#This Row],[Z (smoothed demand size)]]/RawData[[#This Row],[X (smoothed interval)]]</f>
        <v>1.5914767875758853</v>
      </c>
    </row>
    <row r="1940" spans="1:22">
      <c r="A1940" t="s">
        <v>45</v>
      </c>
      <c r="B1940" t="s">
        <v>39</v>
      </c>
      <c r="C1940">
        <v>32</v>
      </c>
      <c r="D1940" t="s">
        <v>18</v>
      </c>
      <c r="E1940" t="s">
        <v>16</v>
      </c>
      <c r="F1940" s="1">
        <v>44933</v>
      </c>
      <c r="G1940">
        <v>4</v>
      </c>
      <c r="H1940">
        <v>4</v>
      </c>
      <c r="I1940">
        <v>5</v>
      </c>
      <c r="J1940">
        <v>1</v>
      </c>
      <c r="K1940">
        <v>0</v>
      </c>
      <c r="L1940">
        <v>788</v>
      </c>
      <c r="M1940">
        <v>60</v>
      </c>
      <c r="N1940" s="1">
        <f t="shared" si="240"/>
        <v>44938</v>
      </c>
      <c r="O1940" s="1">
        <f t="shared" si="241"/>
        <v>43101</v>
      </c>
      <c r="P1940" s="1">
        <f t="shared" si="242"/>
        <v>45108</v>
      </c>
      <c r="Q1940" s="8">
        <f t="shared" si="243"/>
        <v>0</v>
      </c>
      <c r="R1940" s="8">
        <f t="shared" si="244"/>
        <v>67</v>
      </c>
      <c r="S1940" s="8">
        <f t="shared" ca="1" si="245"/>
        <v>67</v>
      </c>
      <c r="T1940">
        <f t="shared" ca="1" si="246"/>
        <v>2.6353929525579023</v>
      </c>
      <c r="U1940" s="8">
        <f t="shared" ca="1" si="247"/>
        <v>1.3532640418548274</v>
      </c>
      <c r="V1940" s="8">
        <f ca="1">RawData[[#This Row],[Z (smoothed demand size)]]/RawData[[#This Row],[X (smoothed interval)]]</f>
        <v>1.9474344038180069</v>
      </c>
    </row>
    <row r="1941" spans="1:22">
      <c r="A1941" t="s">
        <v>45</v>
      </c>
      <c r="B1941" t="s">
        <v>39</v>
      </c>
      <c r="C1941">
        <v>32</v>
      </c>
      <c r="D1941" t="s">
        <v>18</v>
      </c>
      <c r="E1941" t="s">
        <v>16</v>
      </c>
      <c r="F1941" s="1">
        <v>44934</v>
      </c>
      <c r="G1941">
        <v>0</v>
      </c>
      <c r="H1941">
        <v>0</v>
      </c>
      <c r="I1941">
        <v>1</v>
      </c>
      <c r="J1941">
        <v>1</v>
      </c>
      <c r="K1941">
        <v>0</v>
      </c>
      <c r="L1941">
        <v>802</v>
      </c>
      <c r="M1941">
        <v>45</v>
      </c>
      <c r="N1941" s="1">
        <f t="shared" si="240"/>
        <v>44938</v>
      </c>
      <c r="O1941" s="1">
        <f t="shared" si="241"/>
        <v>43101</v>
      </c>
      <c r="P1941" s="1">
        <f t="shared" si="242"/>
        <v>45139</v>
      </c>
      <c r="Q1941" s="8">
        <f t="shared" si="243"/>
        <v>0</v>
      </c>
      <c r="R1941" s="8">
        <f t="shared" si="244"/>
        <v>68</v>
      </c>
      <c r="S1941" s="8">
        <f t="shared" ca="1" si="245"/>
        <v>67</v>
      </c>
      <c r="T1941">
        <f t="shared" ca="1" si="246"/>
        <v>2.6353929525579023</v>
      </c>
      <c r="U1941" s="8">
        <f t="shared" ca="1" si="247"/>
        <v>1.3532640418548274</v>
      </c>
      <c r="V1941" s="8">
        <f ca="1">RawData[[#This Row],[Z (smoothed demand size)]]/RawData[[#This Row],[X (smoothed interval)]]</f>
        <v>1.9474344038180069</v>
      </c>
    </row>
    <row r="1942" spans="1:22">
      <c r="A1942" t="s">
        <v>45</v>
      </c>
      <c r="B1942" t="s">
        <v>39</v>
      </c>
      <c r="C1942">
        <v>32</v>
      </c>
      <c r="D1942" t="s">
        <v>18</v>
      </c>
      <c r="E1942" t="s">
        <v>16</v>
      </c>
      <c r="F1942" s="1">
        <v>44935</v>
      </c>
      <c r="G1942">
        <v>2</v>
      </c>
      <c r="H1942">
        <v>2</v>
      </c>
      <c r="I1942">
        <v>10</v>
      </c>
      <c r="J1942">
        <v>8</v>
      </c>
      <c r="K1942">
        <v>0</v>
      </c>
      <c r="L1942">
        <v>692</v>
      </c>
      <c r="M1942">
        <v>60</v>
      </c>
      <c r="N1942" s="1">
        <f t="shared" si="240"/>
        <v>44938</v>
      </c>
      <c r="O1942" s="1">
        <f t="shared" si="241"/>
        <v>43101</v>
      </c>
      <c r="P1942" s="1">
        <f t="shared" si="242"/>
        <v>45170</v>
      </c>
      <c r="Q1942" s="8">
        <f t="shared" si="243"/>
        <v>0</v>
      </c>
      <c r="R1942" s="8">
        <f t="shared" si="244"/>
        <v>69</v>
      </c>
      <c r="S1942" s="8">
        <f t="shared" ca="1" si="245"/>
        <v>69</v>
      </c>
      <c r="T1942">
        <f t="shared" ca="1" si="246"/>
        <v>2.5083143620463217</v>
      </c>
      <c r="U1942" s="8">
        <f t="shared" ca="1" si="247"/>
        <v>1.4826112334838619</v>
      </c>
      <c r="V1942" s="8">
        <f ca="1">RawData[[#This Row],[Z (smoothed demand size)]]/RawData[[#This Row],[X (smoothed interval)]]</f>
        <v>1.691822040328298</v>
      </c>
    </row>
    <row r="1943" spans="1:22">
      <c r="A1943" t="s">
        <v>45</v>
      </c>
      <c r="B1943" t="s">
        <v>39</v>
      </c>
      <c r="C1943">
        <v>32</v>
      </c>
      <c r="D1943" t="s">
        <v>18</v>
      </c>
      <c r="E1943" t="s">
        <v>16</v>
      </c>
      <c r="F1943" s="1">
        <v>44936</v>
      </c>
      <c r="G1943">
        <v>2</v>
      </c>
      <c r="H1943">
        <v>2</v>
      </c>
      <c r="I1943">
        <v>8</v>
      </c>
      <c r="J1943">
        <v>6</v>
      </c>
      <c r="K1943">
        <v>0</v>
      </c>
      <c r="L1943">
        <v>685</v>
      </c>
      <c r="M1943">
        <v>45</v>
      </c>
      <c r="N1943" s="1">
        <f t="shared" si="240"/>
        <v>44938</v>
      </c>
      <c r="O1943" s="1">
        <f t="shared" si="241"/>
        <v>43101</v>
      </c>
      <c r="P1943" s="1">
        <f t="shared" si="242"/>
        <v>45200</v>
      </c>
      <c r="Q1943" s="8">
        <f t="shared" si="243"/>
        <v>0</v>
      </c>
      <c r="R1943" s="8">
        <f t="shared" si="244"/>
        <v>70</v>
      </c>
      <c r="S1943" s="8">
        <f t="shared" ca="1" si="245"/>
        <v>70</v>
      </c>
      <c r="T1943">
        <f t="shared" ca="1" si="246"/>
        <v>2.4066514896370572</v>
      </c>
      <c r="U1943" s="8">
        <f t="shared" ca="1" si="247"/>
        <v>1.3860889867870896</v>
      </c>
      <c r="V1943" s="8">
        <f ca="1">RawData[[#This Row],[Z (smoothed demand size)]]/RawData[[#This Row],[X (smoothed interval)]]</f>
        <v>1.7362893094011225</v>
      </c>
    </row>
    <row r="1944" spans="1:22">
      <c r="A1944" t="s">
        <v>45</v>
      </c>
      <c r="B1944" t="s">
        <v>39</v>
      </c>
      <c r="C1944">
        <v>32</v>
      </c>
      <c r="D1944" t="s">
        <v>18</v>
      </c>
      <c r="E1944" t="s">
        <v>16</v>
      </c>
      <c r="F1944" s="1">
        <v>44937</v>
      </c>
      <c r="G1944">
        <v>6</v>
      </c>
      <c r="H1944">
        <v>6</v>
      </c>
      <c r="I1944">
        <v>6</v>
      </c>
      <c r="J1944">
        <v>0</v>
      </c>
      <c r="K1944">
        <v>0</v>
      </c>
      <c r="L1944">
        <v>694</v>
      </c>
      <c r="M1944">
        <v>60</v>
      </c>
      <c r="N1944" s="1">
        <f t="shared" si="240"/>
        <v>44938</v>
      </c>
      <c r="O1944" s="1">
        <f t="shared" si="241"/>
        <v>43101</v>
      </c>
      <c r="P1944" s="1">
        <f t="shared" si="242"/>
        <v>45231</v>
      </c>
      <c r="Q1944" s="8">
        <f t="shared" si="243"/>
        <v>0</v>
      </c>
      <c r="R1944" s="8">
        <f t="shared" si="244"/>
        <v>71</v>
      </c>
      <c r="S1944" s="8">
        <f t="shared" ca="1" si="245"/>
        <v>71</v>
      </c>
      <c r="T1944">
        <f t="shared" ca="1" si="246"/>
        <v>3.125321191709646</v>
      </c>
      <c r="U1944" s="8">
        <f t="shared" ca="1" si="247"/>
        <v>1.3088711894296716</v>
      </c>
      <c r="V1944" s="8">
        <f ca="1">RawData[[#This Row],[Z (smoothed demand size)]]/RawData[[#This Row],[X (smoothed interval)]]</f>
        <v>2.3877989040857988</v>
      </c>
    </row>
    <row r="1945" spans="1:22">
      <c r="A1945" t="s">
        <v>45</v>
      </c>
      <c r="B1945" t="s">
        <v>39</v>
      </c>
      <c r="C1945">
        <v>32</v>
      </c>
      <c r="D1945" t="s">
        <v>18</v>
      </c>
      <c r="E1945" t="s">
        <v>16</v>
      </c>
      <c r="F1945" s="1">
        <v>44938</v>
      </c>
      <c r="G1945">
        <v>3</v>
      </c>
      <c r="H1945">
        <v>0</v>
      </c>
      <c r="I1945">
        <v>0</v>
      </c>
      <c r="J1945">
        <v>0</v>
      </c>
      <c r="K1945">
        <v>1</v>
      </c>
      <c r="L1945">
        <v>798</v>
      </c>
      <c r="M1945">
        <v>60</v>
      </c>
      <c r="N1945" s="1">
        <f t="shared" si="240"/>
        <v>44938</v>
      </c>
      <c r="O1945" s="1">
        <f t="shared" si="241"/>
        <v>43101</v>
      </c>
      <c r="P1945" s="1">
        <f t="shared" si="242"/>
        <v>45261</v>
      </c>
      <c r="Q1945" s="8">
        <f t="shared" si="243"/>
        <v>0</v>
      </c>
      <c r="R1945" s="8">
        <f t="shared" si="244"/>
        <v>72</v>
      </c>
      <c r="S1945" s="8">
        <f t="shared" ca="1" si="245"/>
        <v>72</v>
      </c>
      <c r="T1945">
        <f t="shared" ca="1" si="246"/>
        <v>3.1002569533677171</v>
      </c>
      <c r="U1945" s="8">
        <f t="shared" ca="1" si="247"/>
        <v>1.2470969515437373</v>
      </c>
      <c r="V1945" s="8">
        <f ca="1">RawData[[#This Row],[Z (smoothed demand size)]]/RawData[[#This Row],[X (smoothed interval)]]</f>
        <v>2.4859790969178608</v>
      </c>
    </row>
    <row r="1946" spans="1:22">
      <c r="A1946" t="s">
        <v>46</v>
      </c>
      <c r="B1946" t="s">
        <v>39</v>
      </c>
      <c r="C1946">
        <v>21</v>
      </c>
      <c r="D1946" t="s">
        <v>18</v>
      </c>
      <c r="E1946" t="s">
        <v>16</v>
      </c>
      <c r="F1946" s="1">
        <v>43101</v>
      </c>
      <c r="G1946">
        <v>0</v>
      </c>
      <c r="H1946">
        <v>0</v>
      </c>
      <c r="I1946">
        <v>15</v>
      </c>
      <c r="J1946">
        <v>15</v>
      </c>
      <c r="K1946">
        <v>0</v>
      </c>
      <c r="L1946">
        <v>668</v>
      </c>
      <c r="M1946">
        <v>45</v>
      </c>
      <c r="N1946" s="1">
        <f t="shared" si="240"/>
        <v>44938</v>
      </c>
      <c r="O1946" s="1">
        <f t="shared" si="241"/>
        <v>43101</v>
      </c>
      <c r="P1946" s="1">
        <f t="shared" si="242"/>
        <v>43101</v>
      </c>
      <c r="Q1946" s="8">
        <f t="shared" si="243"/>
        <v>1</v>
      </c>
      <c r="R1946" s="8">
        <f t="shared" si="244"/>
        <v>1</v>
      </c>
      <c r="S1946" s="8">
        <f t="shared" ca="1" si="245"/>
        <v>0</v>
      </c>
      <c r="T1946">
        <f t="shared" ca="1" si="246"/>
        <v>0</v>
      </c>
      <c r="U1946" s="8">
        <f t="shared" ca="1" si="247"/>
        <v>1</v>
      </c>
      <c r="V1946" s="8">
        <f ca="1">RawData[[#This Row],[Z (smoothed demand size)]]/RawData[[#This Row],[X (smoothed interval)]]</f>
        <v>0</v>
      </c>
    </row>
    <row r="1947" spans="1:22">
      <c r="A1947" t="s">
        <v>46</v>
      </c>
      <c r="B1947" t="s">
        <v>39</v>
      </c>
      <c r="C1947">
        <v>21</v>
      </c>
      <c r="D1947" t="s">
        <v>18</v>
      </c>
      <c r="E1947" t="s">
        <v>16</v>
      </c>
      <c r="F1947" s="1">
        <v>43102</v>
      </c>
      <c r="G1947">
        <v>2</v>
      </c>
      <c r="H1947">
        <v>2</v>
      </c>
      <c r="I1947">
        <v>15</v>
      </c>
      <c r="J1947">
        <v>13</v>
      </c>
      <c r="K1947">
        <v>0</v>
      </c>
      <c r="L1947">
        <v>658</v>
      </c>
      <c r="M1947">
        <v>60</v>
      </c>
      <c r="N1947" s="1">
        <f t="shared" si="240"/>
        <v>44938</v>
      </c>
      <c r="O1947" s="1">
        <f t="shared" si="241"/>
        <v>43101</v>
      </c>
      <c r="P1947" s="1">
        <f t="shared" si="242"/>
        <v>43132</v>
      </c>
      <c r="Q1947" s="8">
        <f t="shared" si="243"/>
        <v>0</v>
      </c>
      <c r="R1947" s="8">
        <f t="shared" si="244"/>
        <v>2</v>
      </c>
      <c r="S1947" s="8">
        <f t="shared" ca="1" si="245"/>
        <v>2</v>
      </c>
      <c r="T1947">
        <f t="shared" ca="1" si="246"/>
        <v>0.4</v>
      </c>
      <c r="U1947" s="8">
        <f t="shared" ca="1" si="247"/>
        <v>1.2000000000000002</v>
      </c>
      <c r="V1947" s="8">
        <f ca="1">RawData[[#This Row],[Z (smoothed demand size)]]/RawData[[#This Row],[X (smoothed interval)]]</f>
        <v>0.33333333333333331</v>
      </c>
    </row>
    <row r="1948" spans="1:22">
      <c r="A1948" t="s">
        <v>46</v>
      </c>
      <c r="B1948" t="s">
        <v>39</v>
      </c>
      <c r="C1948">
        <v>21</v>
      </c>
      <c r="D1948" t="s">
        <v>18</v>
      </c>
      <c r="E1948" t="s">
        <v>16</v>
      </c>
      <c r="F1948" s="1">
        <v>43103</v>
      </c>
      <c r="G1948">
        <v>4</v>
      </c>
      <c r="H1948">
        <v>4</v>
      </c>
      <c r="I1948">
        <v>13</v>
      </c>
      <c r="J1948">
        <v>9</v>
      </c>
      <c r="K1948">
        <v>0</v>
      </c>
      <c r="L1948">
        <v>668</v>
      </c>
      <c r="M1948">
        <v>60</v>
      </c>
      <c r="N1948" s="1">
        <f t="shared" si="240"/>
        <v>44938</v>
      </c>
      <c r="O1948" s="1">
        <f t="shared" si="241"/>
        <v>43101</v>
      </c>
      <c r="P1948" s="1">
        <f t="shared" si="242"/>
        <v>43160</v>
      </c>
      <c r="Q1948" s="8">
        <f t="shared" si="243"/>
        <v>0</v>
      </c>
      <c r="R1948" s="8">
        <f t="shared" si="244"/>
        <v>3</v>
      </c>
      <c r="S1948" s="8">
        <f t="shared" ca="1" si="245"/>
        <v>3</v>
      </c>
      <c r="T1948">
        <f t="shared" ca="1" si="246"/>
        <v>1.1200000000000001</v>
      </c>
      <c r="U1948" s="8">
        <f t="shared" ca="1" si="247"/>
        <v>1.1600000000000001</v>
      </c>
      <c r="V1948" s="8">
        <f ca="1">RawData[[#This Row],[Z (smoothed demand size)]]/RawData[[#This Row],[X (smoothed interval)]]</f>
        <v>0.96551724137931028</v>
      </c>
    </row>
    <row r="1949" spans="1:22">
      <c r="A1949" t="s">
        <v>46</v>
      </c>
      <c r="B1949" t="s">
        <v>39</v>
      </c>
      <c r="C1949">
        <v>21</v>
      </c>
      <c r="D1949" t="s">
        <v>18</v>
      </c>
      <c r="E1949" t="s">
        <v>16</v>
      </c>
      <c r="F1949" s="1">
        <v>43104</v>
      </c>
      <c r="G1949">
        <v>6</v>
      </c>
      <c r="H1949">
        <v>6</v>
      </c>
      <c r="I1949">
        <v>9</v>
      </c>
      <c r="J1949">
        <v>3</v>
      </c>
      <c r="K1949">
        <v>0</v>
      </c>
      <c r="L1949">
        <v>670</v>
      </c>
      <c r="M1949">
        <v>45</v>
      </c>
      <c r="N1949" s="1">
        <f t="shared" si="240"/>
        <v>44938</v>
      </c>
      <c r="O1949" s="1">
        <f t="shared" si="241"/>
        <v>43101</v>
      </c>
      <c r="P1949" s="1">
        <f t="shared" si="242"/>
        <v>43191</v>
      </c>
      <c r="Q1949" s="8">
        <f t="shared" si="243"/>
        <v>0</v>
      </c>
      <c r="R1949" s="8">
        <f t="shared" si="244"/>
        <v>4</v>
      </c>
      <c r="S1949" s="8">
        <f t="shared" ca="1" si="245"/>
        <v>4</v>
      </c>
      <c r="T1949">
        <f t="shared" ca="1" si="246"/>
        <v>2.0960000000000001</v>
      </c>
      <c r="U1949" s="8">
        <f t="shared" ca="1" si="247"/>
        <v>1.1280000000000001</v>
      </c>
      <c r="V1949" s="8">
        <f ca="1">RawData[[#This Row],[Z (smoothed demand size)]]/RawData[[#This Row],[X (smoothed interval)]]</f>
        <v>1.8581560283687941</v>
      </c>
    </row>
    <row r="1950" spans="1:22">
      <c r="A1950" t="s">
        <v>46</v>
      </c>
      <c r="B1950" t="s">
        <v>39</v>
      </c>
      <c r="C1950">
        <v>21</v>
      </c>
      <c r="D1950" t="s">
        <v>18</v>
      </c>
      <c r="E1950" t="s">
        <v>16</v>
      </c>
      <c r="F1950" s="1">
        <v>43105</v>
      </c>
      <c r="G1950">
        <v>2</v>
      </c>
      <c r="H1950">
        <v>2</v>
      </c>
      <c r="I1950">
        <v>3</v>
      </c>
      <c r="J1950">
        <v>1</v>
      </c>
      <c r="K1950">
        <v>0</v>
      </c>
      <c r="L1950">
        <v>668</v>
      </c>
      <c r="M1950">
        <v>45</v>
      </c>
      <c r="N1950" s="1">
        <f t="shared" si="240"/>
        <v>44938</v>
      </c>
      <c r="O1950" s="1">
        <f t="shared" si="241"/>
        <v>43101</v>
      </c>
      <c r="P1950" s="1">
        <f t="shared" si="242"/>
        <v>43221</v>
      </c>
      <c r="Q1950" s="8">
        <f t="shared" si="243"/>
        <v>0</v>
      </c>
      <c r="R1950" s="8">
        <f t="shared" si="244"/>
        <v>5</v>
      </c>
      <c r="S1950" s="8">
        <f t="shared" ca="1" si="245"/>
        <v>5</v>
      </c>
      <c r="T1950">
        <f t="shared" ca="1" si="246"/>
        <v>2.0768</v>
      </c>
      <c r="U1950" s="8">
        <f t="shared" ca="1" si="247"/>
        <v>1.1024</v>
      </c>
      <c r="V1950" s="8">
        <f ca="1">RawData[[#This Row],[Z (smoothed demand size)]]/RawData[[#This Row],[X (smoothed interval)]]</f>
        <v>1.8838896952104498</v>
      </c>
    </row>
    <row r="1951" spans="1:22">
      <c r="A1951" t="s">
        <v>46</v>
      </c>
      <c r="B1951" t="s">
        <v>39</v>
      </c>
      <c r="C1951">
        <v>21</v>
      </c>
      <c r="D1951" t="s">
        <v>18</v>
      </c>
      <c r="E1951" t="s">
        <v>16</v>
      </c>
      <c r="F1951" s="1">
        <v>43106</v>
      </c>
      <c r="G1951">
        <v>6</v>
      </c>
      <c r="H1951">
        <v>6</v>
      </c>
      <c r="I1951">
        <v>9</v>
      </c>
      <c r="J1951">
        <v>3</v>
      </c>
      <c r="K1951">
        <v>0</v>
      </c>
      <c r="L1951">
        <v>758</v>
      </c>
      <c r="M1951">
        <v>45</v>
      </c>
      <c r="N1951" s="1">
        <f t="shared" si="240"/>
        <v>44938</v>
      </c>
      <c r="O1951" s="1">
        <f t="shared" si="241"/>
        <v>43101</v>
      </c>
      <c r="P1951" s="1">
        <f t="shared" si="242"/>
        <v>43252</v>
      </c>
      <c r="Q1951" s="8">
        <f t="shared" si="243"/>
        <v>0</v>
      </c>
      <c r="R1951" s="8">
        <f t="shared" si="244"/>
        <v>6</v>
      </c>
      <c r="S1951" s="8">
        <f t="shared" ca="1" si="245"/>
        <v>6</v>
      </c>
      <c r="T1951">
        <f t="shared" ca="1" si="246"/>
        <v>2.86144</v>
      </c>
      <c r="U1951" s="8">
        <f t="shared" ca="1" si="247"/>
        <v>1.08192</v>
      </c>
      <c r="V1951" s="8">
        <f ca="1">RawData[[#This Row],[Z (smoothed demand size)]]/RawData[[#This Row],[X (smoothed interval)]]</f>
        <v>2.6447796509908312</v>
      </c>
    </row>
    <row r="1952" spans="1:22">
      <c r="A1952" t="s">
        <v>46</v>
      </c>
      <c r="B1952" t="s">
        <v>39</v>
      </c>
      <c r="C1952">
        <v>21</v>
      </c>
      <c r="D1952" t="s">
        <v>18</v>
      </c>
      <c r="E1952" t="s">
        <v>16</v>
      </c>
      <c r="F1952" s="1">
        <v>43107</v>
      </c>
      <c r="G1952">
        <v>0</v>
      </c>
      <c r="H1952">
        <v>0</v>
      </c>
      <c r="I1952">
        <v>3</v>
      </c>
      <c r="J1952">
        <v>3</v>
      </c>
      <c r="K1952">
        <v>0</v>
      </c>
      <c r="L1952">
        <v>767</v>
      </c>
      <c r="M1952">
        <v>15</v>
      </c>
      <c r="N1952" s="1">
        <f t="shared" si="240"/>
        <v>44938</v>
      </c>
      <c r="O1952" s="1">
        <f t="shared" si="241"/>
        <v>43101</v>
      </c>
      <c r="P1952" s="1">
        <f t="shared" si="242"/>
        <v>43282</v>
      </c>
      <c r="Q1952" s="8">
        <f t="shared" si="243"/>
        <v>0</v>
      </c>
      <c r="R1952" s="8">
        <f t="shared" si="244"/>
        <v>7</v>
      </c>
      <c r="S1952" s="8">
        <f t="shared" ca="1" si="245"/>
        <v>6</v>
      </c>
      <c r="T1952">
        <f t="shared" ca="1" si="246"/>
        <v>2.86144</v>
      </c>
      <c r="U1952" s="8">
        <f t="shared" ca="1" si="247"/>
        <v>1.08192</v>
      </c>
      <c r="V1952" s="8">
        <f ca="1">RawData[[#This Row],[Z (smoothed demand size)]]/RawData[[#This Row],[X (smoothed interval)]]</f>
        <v>2.6447796509908312</v>
      </c>
    </row>
    <row r="1953" spans="1:22">
      <c r="A1953" t="s">
        <v>46</v>
      </c>
      <c r="B1953" t="s">
        <v>39</v>
      </c>
      <c r="C1953">
        <v>21</v>
      </c>
      <c r="D1953" t="s">
        <v>18</v>
      </c>
      <c r="E1953" t="s">
        <v>16</v>
      </c>
      <c r="F1953" s="1">
        <v>43108</v>
      </c>
      <c r="G1953">
        <v>0</v>
      </c>
      <c r="H1953">
        <v>0</v>
      </c>
      <c r="I1953">
        <v>12</v>
      </c>
      <c r="J1953">
        <v>12</v>
      </c>
      <c r="K1953">
        <v>0</v>
      </c>
      <c r="L1953">
        <v>763</v>
      </c>
      <c r="M1953">
        <v>45</v>
      </c>
      <c r="N1953" s="1">
        <f t="shared" si="240"/>
        <v>44938</v>
      </c>
      <c r="O1953" s="1">
        <f t="shared" si="241"/>
        <v>43101</v>
      </c>
      <c r="P1953" s="1">
        <f t="shared" si="242"/>
        <v>43313</v>
      </c>
      <c r="Q1953" s="8">
        <f t="shared" si="243"/>
        <v>0</v>
      </c>
      <c r="R1953" s="8">
        <f t="shared" si="244"/>
        <v>8</v>
      </c>
      <c r="S1953" s="8">
        <f t="shared" ca="1" si="245"/>
        <v>6</v>
      </c>
      <c r="T1953">
        <f t="shared" ca="1" si="246"/>
        <v>2.86144</v>
      </c>
      <c r="U1953" s="8">
        <f t="shared" ca="1" si="247"/>
        <v>1.08192</v>
      </c>
      <c r="V1953" s="8">
        <f ca="1">RawData[[#This Row],[Z (smoothed demand size)]]/RawData[[#This Row],[X (smoothed interval)]]</f>
        <v>2.6447796509908312</v>
      </c>
    </row>
    <row r="1954" spans="1:22">
      <c r="A1954" t="s">
        <v>46</v>
      </c>
      <c r="B1954" t="s">
        <v>39</v>
      </c>
      <c r="C1954">
        <v>21</v>
      </c>
      <c r="D1954" t="s">
        <v>18</v>
      </c>
      <c r="E1954" t="s">
        <v>16</v>
      </c>
      <c r="F1954" s="1">
        <v>43109</v>
      </c>
      <c r="G1954">
        <v>6</v>
      </c>
      <c r="H1954">
        <v>6</v>
      </c>
      <c r="I1954">
        <v>12</v>
      </c>
      <c r="J1954">
        <v>6</v>
      </c>
      <c r="K1954">
        <v>0</v>
      </c>
      <c r="L1954">
        <v>661</v>
      </c>
      <c r="M1954">
        <v>30</v>
      </c>
      <c r="N1954" s="1">
        <f t="shared" si="240"/>
        <v>44938</v>
      </c>
      <c r="O1954" s="1">
        <f t="shared" si="241"/>
        <v>43101</v>
      </c>
      <c r="P1954" s="1">
        <f t="shared" si="242"/>
        <v>43344</v>
      </c>
      <c r="Q1954" s="8">
        <f t="shared" si="243"/>
        <v>0</v>
      </c>
      <c r="R1954" s="8">
        <f t="shared" si="244"/>
        <v>9</v>
      </c>
      <c r="S1954" s="8">
        <f t="shared" ca="1" si="245"/>
        <v>9</v>
      </c>
      <c r="T1954">
        <f t="shared" ca="1" si="246"/>
        <v>3.4891520000000003</v>
      </c>
      <c r="U1954" s="8">
        <f t="shared" ca="1" si="247"/>
        <v>1.4655360000000002</v>
      </c>
      <c r="V1954" s="8">
        <f ca="1">RawData[[#This Row],[Z (smoothed demand size)]]/RawData[[#This Row],[X (smoothed interval)]]</f>
        <v>2.3808026551377788</v>
      </c>
    </row>
    <row r="1955" spans="1:22">
      <c r="A1955" t="s">
        <v>46</v>
      </c>
      <c r="B1955" t="s">
        <v>39</v>
      </c>
      <c r="C1955">
        <v>21</v>
      </c>
      <c r="D1955" t="s">
        <v>18</v>
      </c>
      <c r="E1955" t="s">
        <v>16</v>
      </c>
      <c r="F1955" s="1">
        <v>43110</v>
      </c>
      <c r="G1955">
        <v>2</v>
      </c>
      <c r="H1955">
        <v>2</v>
      </c>
      <c r="I1955">
        <v>6</v>
      </c>
      <c r="J1955">
        <v>4</v>
      </c>
      <c r="K1955">
        <v>0</v>
      </c>
      <c r="L1955">
        <v>679</v>
      </c>
      <c r="M1955">
        <v>45</v>
      </c>
      <c r="N1955" s="1">
        <f t="shared" si="240"/>
        <v>44938</v>
      </c>
      <c r="O1955" s="1">
        <f t="shared" si="241"/>
        <v>43101</v>
      </c>
      <c r="P1955" s="1">
        <f t="shared" si="242"/>
        <v>43374</v>
      </c>
      <c r="Q1955" s="8">
        <f t="shared" si="243"/>
        <v>0</v>
      </c>
      <c r="R1955" s="8">
        <f t="shared" si="244"/>
        <v>10</v>
      </c>
      <c r="S1955" s="8">
        <f t="shared" ca="1" si="245"/>
        <v>10</v>
      </c>
      <c r="T1955">
        <f t="shared" ca="1" si="246"/>
        <v>3.1913216000000002</v>
      </c>
      <c r="U1955" s="8">
        <f t="shared" ca="1" si="247"/>
        <v>1.3724288000000002</v>
      </c>
      <c r="V1955" s="8">
        <f ca="1">RawData[[#This Row],[Z (smoothed demand size)]]/RawData[[#This Row],[X (smoothed interval)]]</f>
        <v>2.3253094076720044</v>
      </c>
    </row>
    <row r="1956" spans="1:22">
      <c r="A1956" t="s">
        <v>46</v>
      </c>
      <c r="B1956" t="s">
        <v>39</v>
      </c>
      <c r="C1956">
        <v>21</v>
      </c>
      <c r="D1956" t="s">
        <v>18</v>
      </c>
      <c r="E1956" t="s">
        <v>16</v>
      </c>
      <c r="F1956" s="1">
        <v>43111</v>
      </c>
      <c r="G1956">
        <v>1</v>
      </c>
      <c r="H1956">
        <v>1</v>
      </c>
      <c r="I1956">
        <v>4</v>
      </c>
      <c r="J1956">
        <v>3</v>
      </c>
      <c r="K1956">
        <v>0</v>
      </c>
      <c r="L1956">
        <v>659</v>
      </c>
      <c r="M1956">
        <v>30</v>
      </c>
      <c r="N1956" s="1">
        <f t="shared" si="240"/>
        <v>44938</v>
      </c>
      <c r="O1956" s="1">
        <f t="shared" si="241"/>
        <v>43101</v>
      </c>
      <c r="P1956" s="1">
        <f t="shared" si="242"/>
        <v>43405</v>
      </c>
      <c r="Q1956" s="8">
        <f t="shared" si="243"/>
        <v>0</v>
      </c>
      <c r="R1956" s="8">
        <f t="shared" si="244"/>
        <v>11</v>
      </c>
      <c r="S1956" s="8">
        <f t="shared" ca="1" si="245"/>
        <v>11</v>
      </c>
      <c r="T1956">
        <f t="shared" ca="1" si="246"/>
        <v>2.7530572800000006</v>
      </c>
      <c r="U1956" s="8">
        <f t="shared" ca="1" si="247"/>
        <v>1.2979430400000003</v>
      </c>
      <c r="V1956" s="8">
        <f ca="1">RawData[[#This Row],[Z (smoothed demand size)]]/RawData[[#This Row],[X (smoothed interval)]]</f>
        <v>2.1210925249847636</v>
      </c>
    </row>
    <row r="1957" spans="1:22">
      <c r="A1957" t="s">
        <v>46</v>
      </c>
      <c r="B1957" t="s">
        <v>39</v>
      </c>
      <c r="C1957">
        <v>21</v>
      </c>
      <c r="D1957" t="s">
        <v>18</v>
      </c>
      <c r="E1957" t="s">
        <v>16</v>
      </c>
      <c r="F1957" s="1">
        <v>43112</v>
      </c>
      <c r="G1957">
        <v>0</v>
      </c>
      <c r="H1957">
        <v>0</v>
      </c>
      <c r="I1957">
        <v>14</v>
      </c>
      <c r="J1957">
        <v>14</v>
      </c>
      <c r="K1957">
        <v>0</v>
      </c>
      <c r="L1957">
        <v>769</v>
      </c>
      <c r="M1957">
        <v>60</v>
      </c>
      <c r="N1957" s="1">
        <f t="shared" si="240"/>
        <v>44938</v>
      </c>
      <c r="O1957" s="1">
        <f t="shared" si="241"/>
        <v>43101</v>
      </c>
      <c r="P1957" s="1">
        <f t="shared" si="242"/>
        <v>43435</v>
      </c>
      <c r="Q1957" s="8">
        <f t="shared" si="243"/>
        <v>0</v>
      </c>
      <c r="R1957" s="8">
        <f t="shared" si="244"/>
        <v>12</v>
      </c>
      <c r="S1957" s="8">
        <f t="shared" ca="1" si="245"/>
        <v>11</v>
      </c>
      <c r="T1957">
        <f t="shared" ca="1" si="246"/>
        <v>2.7530572800000006</v>
      </c>
      <c r="U1957" s="8">
        <f t="shared" ca="1" si="247"/>
        <v>1.2979430400000003</v>
      </c>
      <c r="V1957" s="8">
        <f ca="1">RawData[[#This Row],[Z (smoothed demand size)]]/RawData[[#This Row],[X (smoothed interval)]]</f>
        <v>2.1210925249847636</v>
      </c>
    </row>
    <row r="1958" spans="1:22">
      <c r="A1958" t="s">
        <v>46</v>
      </c>
      <c r="B1958" t="s">
        <v>39</v>
      </c>
      <c r="C1958">
        <v>21</v>
      </c>
      <c r="D1958" t="s">
        <v>18</v>
      </c>
      <c r="E1958" t="s">
        <v>16</v>
      </c>
      <c r="F1958" s="1">
        <v>43466</v>
      </c>
      <c r="G1958">
        <v>1</v>
      </c>
      <c r="H1958">
        <v>1</v>
      </c>
      <c r="I1958">
        <v>14</v>
      </c>
      <c r="J1958">
        <v>13</v>
      </c>
      <c r="K1958">
        <v>0</v>
      </c>
      <c r="L1958">
        <v>673</v>
      </c>
      <c r="M1958">
        <v>45</v>
      </c>
      <c r="N1958" s="1">
        <f t="shared" si="240"/>
        <v>44938</v>
      </c>
      <c r="O1958" s="1">
        <f t="shared" si="241"/>
        <v>43101</v>
      </c>
      <c r="P1958" s="1">
        <f t="shared" si="242"/>
        <v>43466</v>
      </c>
      <c r="Q1958" s="8">
        <f t="shared" si="243"/>
        <v>0</v>
      </c>
      <c r="R1958" s="8">
        <f t="shared" si="244"/>
        <v>13</v>
      </c>
      <c r="S1958" s="8">
        <f t="shared" ca="1" si="245"/>
        <v>13</v>
      </c>
      <c r="T1958">
        <f t="shared" ca="1" si="246"/>
        <v>2.4024458240000008</v>
      </c>
      <c r="U1958" s="8">
        <f t="shared" ca="1" si="247"/>
        <v>1.4383544320000001</v>
      </c>
      <c r="V1958" s="8">
        <f ca="1">RawData[[#This Row],[Z (smoothed demand size)]]/RawData[[#This Row],[X (smoothed interval)]]</f>
        <v>1.6702738703001407</v>
      </c>
    </row>
    <row r="1959" spans="1:22">
      <c r="A1959" t="s">
        <v>46</v>
      </c>
      <c r="B1959" t="s">
        <v>39</v>
      </c>
      <c r="C1959">
        <v>21</v>
      </c>
      <c r="D1959" t="s">
        <v>18</v>
      </c>
      <c r="E1959" t="s">
        <v>16</v>
      </c>
      <c r="F1959" s="1">
        <v>43467</v>
      </c>
      <c r="G1959">
        <v>1</v>
      </c>
      <c r="H1959">
        <v>1</v>
      </c>
      <c r="I1959">
        <v>13</v>
      </c>
      <c r="J1959">
        <v>12</v>
      </c>
      <c r="K1959">
        <v>0</v>
      </c>
      <c r="L1959">
        <v>666</v>
      </c>
      <c r="M1959">
        <v>30</v>
      </c>
      <c r="N1959" s="1">
        <f t="shared" si="240"/>
        <v>44938</v>
      </c>
      <c r="O1959" s="1">
        <f t="shared" si="241"/>
        <v>43101</v>
      </c>
      <c r="P1959" s="1">
        <f t="shared" si="242"/>
        <v>43497</v>
      </c>
      <c r="Q1959" s="8">
        <f t="shared" si="243"/>
        <v>0</v>
      </c>
      <c r="R1959" s="8">
        <f t="shared" si="244"/>
        <v>14</v>
      </c>
      <c r="S1959" s="8">
        <f t="shared" ca="1" si="245"/>
        <v>14</v>
      </c>
      <c r="T1959">
        <f t="shared" ca="1" si="246"/>
        <v>2.1219566592000008</v>
      </c>
      <c r="U1959" s="8">
        <f t="shared" ca="1" si="247"/>
        <v>1.3506835456000001</v>
      </c>
      <c r="V1959" s="8">
        <f ca="1">RawData[[#This Row],[Z (smoothed demand size)]]/RawData[[#This Row],[X (smoothed interval)]]</f>
        <v>1.5710242907100687</v>
      </c>
    </row>
    <row r="1960" spans="1:22">
      <c r="A1960" t="s">
        <v>46</v>
      </c>
      <c r="B1960" t="s">
        <v>39</v>
      </c>
      <c r="C1960">
        <v>21</v>
      </c>
      <c r="D1960" t="s">
        <v>18</v>
      </c>
      <c r="E1960" t="s">
        <v>16</v>
      </c>
      <c r="F1960" s="1">
        <v>43468</v>
      </c>
      <c r="G1960">
        <v>0</v>
      </c>
      <c r="H1960">
        <v>0</v>
      </c>
      <c r="I1960">
        <v>12</v>
      </c>
      <c r="J1960">
        <v>12</v>
      </c>
      <c r="K1960">
        <v>0</v>
      </c>
      <c r="L1960">
        <v>659</v>
      </c>
      <c r="M1960">
        <v>30</v>
      </c>
      <c r="N1960" s="1">
        <f t="shared" si="240"/>
        <v>44938</v>
      </c>
      <c r="O1960" s="1">
        <f t="shared" si="241"/>
        <v>43101</v>
      </c>
      <c r="P1960" s="1">
        <f t="shared" si="242"/>
        <v>43525</v>
      </c>
      <c r="Q1960" s="8">
        <f t="shared" si="243"/>
        <v>0</v>
      </c>
      <c r="R1960" s="8">
        <f t="shared" si="244"/>
        <v>15</v>
      </c>
      <c r="S1960" s="8">
        <f t="shared" ca="1" si="245"/>
        <v>14</v>
      </c>
      <c r="T1960">
        <f t="shared" ca="1" si="246"/>
        <v>2.1219566592000008</v>
      </c>
      <c r="U1960" s="8">
        <f t="shared" ca="1" si="247"/>
        <v>1.3506835456000001</v>
      </c>
      <c r="V1960" s="8">
        <f ca="1">RawData[[#This Row],[Z (smoothed demand size)]]/RawData[[#This Row],[X (smoothed interval)]]</f>
        <v>1.5710242907100687</v>
      </c>
    </row>
    <row r="1961" spans="1:22">
      <c r="A1961" t="s">
        <v>46</v>
      </c>
      <c r="B1961" t="s">
        <v>39</v>
      </c>
      <c r="C1961">
        <v>21</v>
      </c>
      <c r="D1961" t="s">
        <v>18</v>
      </c>
      <c r="E1961" t="s">
        <v>16</v>
      </c>
      <c r="F1961" s="1">
        <v>43469</v>
      </c>
      <c r="G1961">
        <v>0</v>
      </c>
      <c r="H1961">
        <v>0</v>
      </c>
      <c r="I1961">
        <v>12</v>
      </c>
      <c r="J1961">
        <v>12</v>
      </c>
      <c r="K1961">
        <v>0</v>
      </c>
      <c r="L1961">
        <v>659</v>
      </c>
      <c r="M1961">
        <v>60</v>
      </c>
      <c r="N1961" s="1">
        <f t="shared" si="240"/>
        <v>44938</v>
      </c>
      <c r="O1961" s="1">
        <f t="shared" si="241"/>
        <v>43101</v>
      </c>
      <c r="P1961" s="1">
        <f t="shared" si="242"/>
        <v>43556</v>
      </c>
      <c r="Q1961" s="8">
        <f t="shared" si="243"/>
        <v>0</v>
      </c>
      <c r="R1961" s="8">
        <f t="shared" si="244"/>
        <v>16</v>
      </c>
      <c r="S1961" s="8">
        <f t="shared" ca="1" si="245"/>
        <v>14</v>
      </c>
      <c r="T1961">
        <f t="shared" ca="1" si="246"/>
        <v>2.1219566592000008</v>
      </c>
      <c r="U1961" s="8">
        <f t="shared" ca="1" si="247"/>
        <v>1.3506835456000001</v>
      </c>
      <c r="V1961" s="8">
        <f ca="1">RawData[[#This Row],[Z (smoothed demand size)]]/RawData[[#This Row],[X (smoothed interval)]]</f>
        <v>1.5710242907100687</v>
      </c>
    </row>
    <row r="1962" spans="1:22">
      <c r="A1962" t="s">
        <v>46</v>
      </c>
      <c r="B1962" t="s">
        <v>39</v>
      </c>
      <c r="C1962">
        <v>21</v>
      </c>
      <c r="D1962" t="s">
        <v>18</v>
      </c>
      <c r="E1962" t="s">
        <v>16</v>
      </c>
      <c r="F1962" s="1">
        <v>43470</v>
      </c>
      <c r="G1962">
        <v>2</v>
      </c>
      <c r="H1962">
        <v>2</v>
      </c>
      <c r="I1962">
        <v>12</v>
      </c>
      <c r="J1962">
        <v>10</v>
      </c>
      <c r="K1962">
        <v>0</v>
      </c>
      <c r="L1962">
        <v>654</v>
      </c>
      <c r="M1962">
        <v>45</v>
      </c>
      <c r="N1962" s="1">
        <f t="shared" si="240"/>
        <v>44938</v>
      </c>
      <c r="O1962" s="1">
        <f t="shared" si="241"/>
        <v>43101</v>
      </c>
      <c r="P1962" s="1">
        <f t="shared" si="242"/>
        <v>43586</v>
      </c>
      <c r="Q1962" s="8">
        <f t="shared" si="243"/>
        <v>0</v>
      </c>
      <c r="R1962" s="8">
        <f t="shared" si="244"/>
        <v>17</v>
      </c>
      <c r="S1962" s="8">
        <f t="shared" ca="1" si="245"/>
        <v>17</v>
      </c>
      <c r="T1962">
        <f t="shared" ca="1" si="246"/>
        <v>2.0975653273600008</v>
      </c>
      <c r="U1962" s="8">
        <f t="shared" ca="1" si="247"/>
        <v>1.6805468364800003</v>
      </c>
      <c r="V1962" s="8">
        <f ca="1">RawData[[#This Row],[Z (smoothed demand size)]]/RawData[[#This Row],[X (smoothed interval)]]</f>
        <v>1.2481445216685951</v>
      </c>
    </row>
    <row r="1963" spans="1:22">
      <c r="A1963" t="s">
        <v>46</v>
      </c>
      <c r="B1963" t="s">
        <v>39</v>
      </c>
      <c r="C1963">
        <v>21</v>
      </c>
      <c r="D1963" t="s">
        <v>18</v>
      </c>
      <c r="E1963" t="s">
        <v>16</v>
      </c>
      <c r="F1963" s="1">
        <v>43471</v>
      </c>
      <c r="G1963">
        <v>0</v>
      </c>
      <c r="H1963">
        <v>0</v>
      </c>
      <c r="I1963">
        <v>10</v>
      </c>
      <c r="J1963">
        <v>10</v>
      </c>
      <c r="K1963">
        <v>0</v>
      </c>
      <c r="L1963">
        <v>763</v>
      </c>
      <c r="M1963">
        <v>60</v>
      </c>
      <c r="N1963" s="1">
        <f t="shared" si="240"/>
        <v>44938</v>
      </c>
      <c r="O1963" s="1">
        <f t="shared" si="241"/>
        <v>43101</v>
      </c>
      <c r="P1963" s="1">
        <f t="shared" si="242"/>
        <v>43617</v>
      </c>
      <c r="Q1963" s="8">
        <f t="shared" si="243"/>
        <v>0</v>
      </c>
      <c r="R1963" s="8">
        <f t="shared" si="244"/>
        <v>18</v>
      </c>
      <c r="S1963" s="8">
        <f t="shared" ca="1" si="245"/>
        <v>17</v>
      </c>
      <c r="T1963">
        <f t="shared" ca="1" si="246"/>
        <v>2.0975653273600008</v>
      </c>
      <c r="U1963" s="8">
        <f t="shared" ca="1" si="247"/>
        <v>1.6805468364800003</v>
      </c>
      <c r="V1963" s="8">
        <f ca="1">RawData[[#This Row],[Z (smoothed demand size)]]/RawData[[#This Row],[X (smoothed interval)]]</f>
        <v>1.2481445216685951</v>
      </c>
    </row>
    <row r="1964" spans="1:22">
      <c r="A1964" t="s">
        <v>46</v>
      </c>
      <c r="B1964" t="s">
        <v>39</v>
      </c>
      <c r="C1964">
        <v>21</v>
      </c>
      <c r="D1964" t="s">
        <v>18</v>
      </c>
      <c r="E1964" t="s">
        <v>16</v>
      </c>
      <c r="F1964" s="1">
        <v>43472</v>
      </c>
      <c r="G1964">
        <v>3</v>
      </c>
      <c r="H1964">
        <v>3</v>
      </c>
      <c r="I1964">
        <v>10</v>
      </c>
      <c r="J1964">
        <v>7</v>
      </c>
      <c r="K1964">
        <v>0</v>
      </c>
      <c r="L1964">
        <v>763</v>
      </c>
      <c r="M1964">
        <v>45</v>
      </c>
      <c r="N1964" s="1">
        <f t="shared" si="240"/>
        <v>44938</v>
      </c>
      <c r="O1964" s="1">
        <f t="shared" si="241"/>
        <v>43101</v>
      </c>
      <c r="P1964" s="1">
        <f t="shared" si="242"/>
        <v>43647</v>
      </c>
      <c r="Q1964" s="8">
        <f t="shared" si="243"/>
        <v>0</v>
      </c>
      <c r="R1964" s="8">
        <f t="shared" si="244"/>
        <v>19</v>
      </c>
      <c r="S1964" s="8">
        <f t="shared" ca="1" si="245"/>
        <v>19</v>
      </c>
      <c r="T1964">
        <f t="shared" ca="1" si="246"/>
        <v>2.2780522618880008</v>
      </c>
      <c r="U1964" s="8">
        <f t="shared" ca="1" si="247"/>
        <v>1.7444374691840001</v>
      </c>
      <c r="V1964" s="8">
        <f ca="1">RawData[[#This Row],[Z (smoothed demand size)]]/RawData[[#This Row],[X (smoothed interval)]]</f>
        <v>1.3058950533512739</v>
      </c>
    </row>
    <row r="1965" spans="1:22">
      <c r="A1965" t="s">
        <v>46</v>
      </c>
      <c r="B1965" t="s">
        <v>39</v>
      </c>
      <c r="C1965">
        <v>21</v>
      </c>
      <c r="D1965" t="s">
        <v>18</v>
      </c>
      <c r="E1965" t="s">
        <v>16</v>
      </c>
      <c r="F1965" s="1">
        <v>43473</v>
      </c>
      <c r="G1965">
        <v>3</v>
      </c>
      <c r="H1965">
        <v>3</v>
      </c>
      <c r="I1965">
        <v>7</v>
      </c>
      <c r="J1965">
        <v>4</v>
      </c>
      <c r="K1965">
        <v>0</v>
      </c>
      <c r="L1965">
        <v>761</v>
      </c>
      <c r="M1965">
        <v>45</v>
      </c>
      <c r="N1965" s="1">
        <f t="shared" si="240"/>
        <v>44938</v>
      </c>
      <c r="O1965" s="1">
        <f t="shared" si="241"/>
        <v>43101</v>
      </c>
      <c r="P1965" s="1">
        <f t="shared" si="242"/>
        <v>43678</v>
      </c>
      <c r="Q1965" s="8">
        <f t="shared" si="243"/>
        <v>0</v>
      </c>
      <c r="R1965" s="8">
        <f t="shared" si="244"/>
        <v>20</v>
      </c>
      <c r="S1965" s="8">
        <f t="shared" ca="1" si="245"/>
        <v>20</v>
      </c>
      <c r="T1965">
        <f t="shared" ca="1" si="246"/>
        <v>2.422441809510401</v>
      </c>
      <c r="U1965" s="8">
        <f t="shared" ca="1" si="247"/>
        <v>1.5955499753472002</v>
      </c>
      <c r="V1965" s="8">
        <f ca="1">RawData[[#This Row],[Z (smoothed demand size)]]/RawData[[#This Row],[X (smoothed interval)]]</f>
        <v>1.5182487837670298</v>
      </c>
    </row>
    <row r="1966" spans="1:22">
      <c r="A1966" t="s">
        <v>46</v>
      </c>
      <c r="B1966" t="s">
        <v>39</v>
      </c>
      <c r="C1966">
        <v>21</v>
      </c>
      <c r="D1966" t="s">
        <v>18</v>
      </c>
      <c r="E1966" t="s">
        <v>16</v>
      </c>
      <c r="F1966" s="1">
        <v>43474</v>
      </c>
      <c r="G1966">
        <v>2</v>
      </c>
      <c r="H1966">
        <v>2</v>
      </c>
      <c r="I1966">
        <v>4</v>
      </c>
      <c r="J1966">
        <v>2</v>
      </c>
      <c r="K1966">
        <v>0</v>
      </c>
      <c r="L1966">
        <v>672</v>
      </c>
      <c r="M1966">
        <v>15</v>
      </c>
      <c r="N1966" s="1">
        <f t="shared" si="240"/>
        <v>44938</v>
      </c>
      <c r="O1966" s="1">
        <f t="shared" si="241"/>
        <v>43101</v>
      </c>
      <c r="P1966" s="1">
        <f t="shared" si="242"/>
        <v>43709</v>
      </c>
      <c r="Q1966" s="8">
        <f t="shared" si="243"/>
        <v>0</v>
      </c>
      <c r="R1966" s="8">
        <f t="shared" si="244"/>
        <v>21</v>
      </c>
      <c r="S1966" s="8">
        <f t="shared" ca="1" si="245"/>
        <v>21</v>
      </c>
      <c r="T1966">
        <f t="shared" ca="1" si="246"/>
        <v>2.3379534476083208</v>
      </c>
      <c r="U1966" s="8">
        <f t="shared" ca="1" si="247"/>
        <v>1.4764399802777601</v>
      </c>
      <c r="V1966" s="8">
        <f ca="1">RawData[[#This Row],[Z (smoothed demand size)]]/RawData[[#This Row],[X (smoothed interval)]]</f>
        <v>1.5835072734676865</v>
      </c>
    </row>
    <row r="1967" spans="1:22">
      <c r="A1967" t="s">
        <v>46</v>
      </c>
      <c r="B1967" t="s">
        <v>39</v>
      </c>
      <c r="C1967">
        <v>21</v>
      </c>
      <c r="D1967" t="s">
        <v>18</v>
      </c>
      <c r="E1967" t="s">
        <v>16</v>
      </c>
      <c r="F1967" s="1">
        <v>43475</v>
      </c>
      <c r="G1967">
        <v>0</v>
      </c>
      <c r="H1967">
        <v>0</v>
      </c>
      <c r="I1967">
        <v>13</v>
      </c>
      <c r="J1967">
        <v>13</v>
      </c>
      <c r="K1967">
        <v>0</v>
      </c>
      <c r="L1967">
        <v>663</v>
      </c>
      <c r="M1967">
        <v>30</v>
      </c>
      <c r="N1967" s="1">
        <f t="shared" si="240"/>
        <v>44938</v>
      </c>
      <c r="O1967" s="1">
        <f t="shared" si="241"/>
        <v>43101</v>
      </c>
      <c r="P1967" s="1">
        <f t="shared" si="242"/>
        <v>43739</v>
      </c>
      <c r="Q1967" s="8">
        <f t="shared" si="243"/>
        <v>0</v>
      </c>
      <c r="R1967" s="8">
        <f t="shared" si="244"/>
        <v>22</v>
      </c>
      <c r="S1967" s="8">
        <f t="shared" ca="1" si="245"/>
        <v>21</v>
      </c>
      <c r="T1967">
        <f t="shared" ca="1" si="246"/>
        <v>2.3379534476083208</v>
      </c>
      <c r="U1967" s="8">
        <f t="shared" ca="1" si="247"/>
        <v>1.4764399802777601</v>
      </c>
      <c r="V1967" s="8">
        <f ca="1">RawData[[#This Row],[Z (smoothed demand size)]]/RawData[[#This Row],[X (smoothed interval)]]</f>
        <v>1.5835072734676865</v>
      </c>
    </row>
    <row r="1968" spans="1:22">
      <c r="A1968" t="s">
        <v>46</v>
      </c>
      <c r="B1968" t="s">
        <v>39</v>
      </c>
      <c r="C1968">
        <v>21</v>
      </c>
      <c r="D1968" t="s">
        <v>18</v>
      </c>
      <c r="E1968" t="s">
        <v>16</v>
      </c>
      <c r="F1968" s="1">
        <v>43476</v>
      </c>
      <c r="G1968">
        <v>0</v>
      </c>
      <c r="H1968">
        <v>0</v>
      </c>
      <c r="I1968">
        <v>13</v>
      </c>
      <c r="J1968">
        <v>13</v>
      </c>
      <c r="K1968">
        <v>0</v>
      </c>
      <c r="L1968">
        <v>653</v>
      </c>
      <c r="M1968">
        <v>15</v>
      </c>
      <c r="N1968" s="1">
        <f t="shared" si="240"/>
        <v>44938</v>
      </c>
      <c r="O1968" s="1">
        <f t="shared" si="241"/>
        <v>43101</v>
      </c>
      <c r="P1968" s="1">
        <f t="shared" si="242"/>
        <v>43770</v>
      </c>
      <c r="Q1968" s="8">
        <f t="shared" si="243"/>
        <v>0</v>
      </c>
      <c r="R1968" s="8">
        <f t="shared" si="244"/>
        <v>23</v>
      </c>
      <c r="S1968" s="8">
        <f t="shared" ca="1" si="245"/>
        <v>21</v>
      </c>
      <c r="T1968">
        <f t="shared" ca="1" si="246"/>
        <v>2.3379534476083208</v>
      </c>
      <c r="U1968" s="8">
        <f t="shared" ca="1" si="247"/>
        <v>1.4764399802777601</v>
      </c>
      <c r="V1968" s="8">
        <f ca="1">RawData[[#This Row],[Z (smoothed demand size)]]/RawData[[#This Row],[X (smoothed interval)]]</f>
        <v>1.5835072734676865</v>
      </c>
    </row>
    <row r="1969" spans="1:22">
      <c r="A1969" t="s">
        <v>46</v>
      </c>
      <c r="B1969" t="s">
        <v>39</v>
      </c>
      <c r="C1969">
        <v>21</v>
      </c>
      <c r="D1969" t="s">
        <v>18</v>
      </c>
      <c r="E1969" t="s">
        <v>16</v>
      </c>
      <c r="F1969" s="1">
        <v>43477</v>
      </c>
      <c r="G1969">
        <v>0</v>
      </c>
      <c r="H1969">
        <v>0</v>
      </c>
      <c r="I1969">
        <v>13</v>
      </c>
      <c r="J1969">
        <v>13</v>
      </c>
      <c r="K1969">
        <v>0</v>
      </c>
      <c r="L1969">
        <v>774</v>
      </c>
      <c r="M1969">
        <v>30</v>
      </c>
      <c r="N1969" s="1">
        <f t="shared" si="240"/>
        <v>44938</v>
      </c>
      <c r="O1969" s="1">
        <f t="shared" si="241"/>
        <v>43101</v>
      </c>
      <c r="P1969" s="1">
        <f t="shared" si="242"/>
        <v>43800</v>
      </c>
      <c r="Q1969" s="8">
        <f t="shared" si="243"/>
        <v>0</v>
      </c>
      <c r="R1969" s="8">
        <f t="shared" si="244"/>
        <v>24</v>
      </c>
      <c r="S1969" s="8">
        <f t="shared" ca="1" si="245"/>
        <v>21</v>
      </c>
      <c r="T1969">
        <f t="shared" ca="1" si="246"/>
        <v>2.3379534476083208</v>
      </c>
      <c r="U1969" s="8">
        <f t="shared" ca="1" si="247"/>
        <v>1.4764399802777601</v>
      </c>
      <c r="V1969" s="8">
        <f ca="1">RawData[[#This Row],[Z (smoothed demand size)]]/RawData[[#This Row],[X (smoothed interval)]]</f>
        <v>1.5835072734676865</v>
      </c>
    </row>
    <row r="1970" spans="1:22">
      <c r="A1970" t="s">
        <v>46</v>
      </c>
      <c r="B1970" t="s">
        <v>39</v>
      </c>
      <c r="C1970">
        <v>21</v>
      </c>
      <c r="D1970" t="s">
        <v>18</v>
      </c>
      <c r="E1970" t="s">
        <v>16</v>
      </c>
      <c r="F1970" s="1">
        <v>43831</v>
      </c>
      <c r="G1970">
        <v>1</v>
      </c>
      <c r="H1970">
        <v>1</v>
      </c>
      <c r="I1970">
        <v>13</v>
      </c>
      <c r="J1970">
        <v>12</v>
      </c>
      <c r="K1970">
        <v>0</v>
      </c>
      <c r="L1970">
        <v>653</v>
      </c>
      <c r="M1970">
        <v>30</v>
      </c>
      <c r="N1970" s="1">
        <f t="shared" si="240"/>
        <v>44938</v>
      </c>
      <c r="O1970" s="1">
        <f t="shared" si="241"/>
        <v>43101</v>
      </c>
      <c r="P1970" s="1">
        <f t="shared" si="242"/>
        <v>43831</v>
      </c>
      <c r="Q1970" s="8">
        <f t="shared" si="243"/>
        <v>0</v>
      </c>
      <c r="R1970" s="8">
        <f t="shared" si="244"/>
        <v>25</v>
      </c>
      <c r="S1970" s="8">
        <f t="shared" ca="1" si="245"/>
        <v>25</v>
      </c>
      <c r="T1970">
        <f t="shared" ca="1" si="246"/>
        <v>2.0703627580866568</v>
      </c>
      <c r="U1970" s="8">
        <f t="shared" ca="1" si="247"/>
        <v>1.9811519842222083</v>
      </c>
      <c r="V1970" s="8">
        <f ca="1">RawData[[#This Row],[Z (smoothed demand size)]]/RawData[[#This Row],[X (smoothed interval)]]</f>
        <v>1.0450297476291162</v>
      </c>
    </row>
    <row r="1971" spans="1:22">
      <c r="A1971" t="s">
        <v>46</v>
      </c>
      <c r="B1971" t="s">
        <v>39</v>
      </c>
      <c r="C1971">
        <v>21</v>
      </c>
      <c r="D1971" t="s">
        <v>18</v>
      </c>
      <c r="E1971" t="s">
        <v>16</v>
      </c>
      <c r="F1971" s="1">
        <v>43832</v>
      </c>
      <c r="G1971">
        <v>3</v>
      </c>
      <c r="H1971">
        <v>3</v>
      </c>
      <c r="I1971">
        <v>12</v>
      </c>
      <c r="J1971">
        <v>9</v>
      </c>
      <c r="K1971">
        <v>0</v>
      </c>
      <c r="L1971">
        <v>665</v>
      </c>
      <c r="M1971">
        <v>60</v>
      </c>
      <c r="N1971" s="1">
        <f t="shared" si="240"/>
        <v>44938</v>
      </c>
      <c r="O1971" s="1">
        <f t="shared" si="241"/>
        <v>43101</v>
      </c>
      <c r="P1971" s="1">
        <f t="shared" si="242"/>
        <v>43862</v>
      </c>
      <c r="Q1971" s="8">
        <f t="shared" si="243"/>
        <v>0</v>
      </c>
      <c r="R1971" s="8">
        <f t="shared" si="244"/>
        <v>26</v>
      </c>
      <c r="S1971" s="8">
        <f t="shared" ca="1" si="245"/>
        <v>26</v>
      </c>
      <c r="T1971">
        <f t="shared" ca="1" si="246"/>
        <v>2.2562902064693255</v>
      </c>
      <c r="U1971" s="8">
        <f t="shared" ca="1" si="247"/>
        <v>1.7849215873777666</v>
      </c>
      <c r="V1971" s="8">
        <f ca="1">RawData[[#This Row],[Z (smoothed demand size)]]/RawData[[#This Row],[X (smoothed interval)]]</f>
        <v>1.2640836563493234</v>
      </c>
    </row>
    <row r="1972" spans="1:22">
      <c r="A1972" t="s">
        <v>46</v>
      </c>
      <c r="B1972" t="s">
        <v>39</v>
      </c>
      <c r="C1972">
        <v>21</v>
      </c>
      <c r="D1972" t="s">
        <v>18</v>
      </c>
      <c r="E1972" t="s">
        <v>16</v>
      </c>
      <c r="F1972" s="1">
        <v>43833</v>
      </c>
      <c r="G1972">
        <v>0</v>
      </c>
      <c r="H1972">
        <v>0</v>
      </c>
      <c r="I1972">
        <v>9</v>
      </c>
      <c r="J1972">
        <v>9</v>
      </c>
      <c r="K1972">
        <v>0</v>
      </c>
      <c r="L1972">
        <v>665</v>
      </c>
      <c r="M1972">
        <v>45</v>
      </c>
      <c r="N1972" s="1">
        <f t="shared" si="240"/>
        <v>44938</v>
      </c>
      <c r="O1972" s="1">
        <f t="shared" si="241"/>
        <v>43101</v>
      </c>
      <c r="P1972" s="1">
        <f t="shared" si="242"/>
        <v>43891</v>
      </c>
      <c r="Q1972" s="8">
        <f t="shared" si="243"/>
        <v>0</v>
      </c>
      <c r="R1972" s="8">
        <f t="shared" si="244"/>
        <v>27</v>
      </c>
      <c r="S1972" s="8">
        <f t="shared" ca="1" si="245"/>
        <v>26</v>
      </c>
      <c r="T1972">
        <f t="shared" ca="1" si="246"/>
        <v>2.2562902064693255</v>
      </c>
      <c r="U1972" s="8">
        <f t="shared" ca="1" si="247"/>
        <v>1.7849215873777666</v>
      </c>
      <c r="V1972" s="8">
        <f ca="1">RawData[[#This Row],[Z (smoothed demand size)]]/RawData[[#This Row],[X (smoothed interval)]]</f>
        <v>1.2640836563493234</v>
      </c>
    </row>
    <row r="1973" spans="1:22">
      <c r="A1973" t="s">
        <v>46</v>
      </c>
      <c r="B1973" t="s">
        <v>39</v>
      </c>
      <c r="C1973">
        <v>21</v>
      </c>
      <c r="D1973" t="s">
        <v>18</v>
      </c>
      <c r="E1973" t="s">
        <v>16</v>
      </c>
      <c r="F1973" s="1">
        <v>43834</v>
      </c>
      <c r="G1973">
        <v>0</v>
      </c>
      <c r="H1973">
        <v>0</v>
      </c>
      <c r="I1973">
        <v>9</v>
      </c>
      <c r="J1973">
        <v>9</v>
      </c>
      <c r="K1973">
        <v>0</v>
      </c>
      <c r="L1973">
        <v>661</v>
      </c>
      <c r="M1973">
        <v>30</v>
      </c>
      <c r="N1973" s="1">
        <f t="shared" si="240"/>
        <v>44938</v>
      </c>
      <c r="O1973" s="1">
        <f t="shared" si="241"/>
        <v>43101</v>
      </c>
      <c r="P1973" s="1">
        <f t="shared" si="242"/>
        <v>43922</v>
      </c>
      <c r="Q1973" s="8">
        <f t="shared" si="243"/>
        <v>0</v>
      </c>
      <c r="R1973" s="8">
        <f t="shared" si="244"/>
        <v>28</v>
      </c>
      <c r="S1973" s="8">
        <f t="shared" ca="1" si="245"/>
        <v>26</v>
      </c>
      <c r="T1973">
        <f t="shared" ca="1" si="246"/>
        <v>2.2562902064693255</v>
      </c>
      <c r="U1973" s="8">
        <f t="shared" ca="1" si="247"/>
        <v>1.7849215873777666</v>
      </c>
      <c r="V1973" s="8">
        <f ca="1">RawData[[#This Row],[Z (smoothed demand size)]]/RawData[[#This Row],[X (smoothed interval)]]</f>
        <v>1.2640836563493234</v>
      </c>
    </row>
    <row r="1974" spans="1:22">
      <c r="A1974" t="s">
        <v>46</v>
      </c>
      <c r="B1974" t="s">
        <v>39</v>
      </c>
      <c r="C1974">
        <v>21</v>
      </c>
      <c r="D1974" t="s">
        <v>18</v>
      </c>
      <c r="E1974" t="s">
        <v>16</v>
      </c>
      <c r="F1974" s="1">
        <v>43835</v>
      </c>
      <c r="G1974">
        <v>7</v>
      </c>
      <c r="H1974">
        <v>7</v>
      </c>
      <c r="I1974">
        <v>9</v>
      </c>
      <c r="J1974">
        <v>2</v>
      </c>
      <c r="K1974">
        <v>0</v>
      </c>
      <c r="L1974">
        <v>667</v>
      </c>
      <c r="M1974">
        <v>60</v>
      </c>
      <c r="N1974" s="1">
        <f t="shared" si="240"/>
        <v>44938</v>
      </c>
      <c r="O1974" s="1">
        <f t="shared" si="241"/>
        <v>43101</v>
      </c>
      <c r="P1974" s="1">
        <f t="shared" si="242"/>
        <v>43952</v>
      </c>
      <c r="Q1974" s="8">
        <f t="shared" si="243"/>
        <v>0</v>
      </c>
      <c r="R1974" s="8">
        <f t="shared" si="244"/>
        <v>29</v>
      </c>
      <c r="S1974" s="8">
        <f t="shared" ca="1" si="245"/>
        <v>29</v>
      </c>
      <c r="T1974">
        <f t="shared" ca="1" si="246"/>
        <v>3.205032165175461</v>
      </c>
      <c r="U1974" s="8">
        <f t="shared" ca="1" si="247"/>
        <v>2.0279372699022136</v>
      </c>
      <c r="V1974" s="8">
        <f ca="1">RawData[[#This Row],[Z (smoothed demand size)]]/RawData[[#This Row],[X (smoothed interval)]]</f>
        <v>1.5804395001478555</v>
      </c>
    </row>
    <row r="1975" spans="1:22">
      <c r="A1975" t="s">
        <v>46</v>
      </c>
      <c r="B1975" t="s">
        <v>39</v>
      </c>
      <c r="C1975">
        <v>21</v>
      </c>
      <c r="D1975" t="s">
        <v>18</v>
      </c>
      <c r="E1975" t="s">
        <v>16</v>
      </c>
      <c r="F1975" s="1">
        <v>43836</v>
      </c>
      <c r="G1975">
        <v>3</v>
      </c>
      <c r="H1975">
        <v>2</v>
      </c>
      <c r="I1975">
        <v>2</v>
      </c>
      <c r="J1975">
        <v>0</v>
      </c>
      <c r="K1975">
        <v>1</v>
      </c>
      <c r="L1975">
        <v>761</v>
      </c>
      <c r="M1975">
        <v>60</v>
      </c>
      <c r="N1975" s="1">
        <f t="shared" si="240"/>
        <v>44938</v>
      </c>
      <c r="O1975" s="1">
        <f t="shared" si="241"/>
        <v>43101</v>
      </c>
      <c r="P1975" s="1">
        <f t="shared" si="242"/>
        <v>43983</v>
      </c>
      <c r="Q1975" s="8">
        <f t="shared" si="243"/>
        <v>0</v>
      </c>
      <c r="R1975" s="8">
        <f t="shared" si="244"/>
        <v>30</v>
      </c>
      <c r="S1975" s="8">
        <f t="shared" ca="1" si="245"/>
        <v>30</v>
      </c>
      <c r="T1975">
        <f t="shared" ca="1" si="246"/>
        <v>3.1640257321403689</v>
      </c>
      <c r="U1975" s="8">
        <f t="shared" ca="1" si="247"/>
        <v>1.8223498159217708</v>
      </c>
      <c r="V1975" s="8">
        <f ca="1">RawData[[#This Row],[Z (smoothed demand size)]]/RawData[[#This Row],[X (smoothed interval)]]</f>
        <v>1.7362340119863096</v>
      </c>
    </row>
    <row r="1976" spans="1:22">
      <c r="A1976" t="s">
        <v>46</v>
      </c>
      <c r="B1976" t="s">
        <v>39</v>
      </c>
      <c r="C1976">
        <v>21</v>
      </c>
      <c r="D1976" t="s">
        <v>18</v>
      </c>
      <c r="E1976" t="s">
        <v>16</v>
      </c>
      <c r="F1976" s="1">
        <v>43837</v>
      </c>
      <c r="G1976">
        <v>0</v>
      </c>
      <c r="H1976">
        <v>0</v>
      </c>
      <c r="I1976">
        <v>10</v>
      </c>
      <c r="J1976">
        <v>10</v>
      </c>
      <c r="K1976">
        <v>0</v>
      </c>
      <c r="L1976">
        <v>758</v>
      </c>
      <c r="M1976">
        <v>30</v>
      </c>
      <c r="N1976" s="1">
        <f t="shared" si="240"/>
        <v>44938</v>
      </c>
      <c r="O1976" s="1">
        <f t="shared" si="241"/>
        <v>43101</v>
      </c>
      <c r="P1976" s="1">
        <f t="shared" si="242"/>
        <v>44013</v>
      </c>
      <c r="Q1976" s="8">
        <f t="shared" si="243"/>
        <v>0</v>
      </c>
      <c r="R1976" s="8">
        <f t="shared" si="244"/>
        <v>31</v>
      </c>
      <c r="S1976" s="8">
        <f t="shared" ca="1" si="245"/>
        <v>30</v>
      </c>
      <c r="T1976">
        <f t="shared" ca="1" si="246"/>
        <v>3.1640257321403689</v>
      </c>
      <c r="U1976" s="8">
        <f t="shared" ca="1" si="247"/>
        <v>1.8223498159217708</v>
      </c>
      <c r="V1976" s="8">
        <f ca="1">RawData[[#This Row],[Z (smoothed demand size)]]/RawData[[#This Row],[X (smoothed interval)]]</f>
        <v>1.7362340119863096</v>
      </c>
    </row>
    <row r="1977" spans="1:22">
      <c r="A1977" t="s">
        <v>46</v>
      </c>
      <c r="B1977" t="s">
        <v>39</v>
      </c>
      <c r="C1977">
        <v>21</v>
      </c>
      <c r="D1977" t="s">
        <v>18</v>
      </c>
      <c r="E1977" t="s">
        <v>16</v>
      </c>
      <c r="F1977" s="1">
        <v>43838</v>
      </c>
      <c r="G1977">
        <v>2</v>
      </c>
      <c r="H1977">
        <v>2</v>
      </c>
      <c r="I1977">
        <v>10</v>
      </c>
      <c r="J1977">
        <v>8</v>
      </c>
      <c r="K1977">
        <v>0</v>
      </c>
      <c r="L1977">
        <v>745</v>
      </c>
      <c r="M1977">
        <v>60</v>
      </c>
      <c r="N1977" s="1">
        <f t="shared" si="240"/>
        <v>44938</v>
      </c>
      <c r="O1977" s="1">
        <f t="shared" si="241"/>
        <v>43101</v>
      </c>
      <c r="P1977" s="1">
        <f t="shared" si="242"/>
        <v>44044</v>
      </c>
      <c r="Q1977" s="8">
        <f t="shared" si="243"/>
        <v>0</v>
      </c>
      <c r="R1977" s="8">
        <f t="shared" si="244"/>
        <v>32</v>
      </c>
      <c r="S1977" s="8">
        <f t="shared" ca="1" si="245"/>
        <v>32</v>
      </c>
      <c r="T1977">
        <f t="shared" ca="1" si="246"/>
        <v>2.9312205857122953</v>
      </c>
      <c r="U1977" s="8">
        <f t="shared" ca="1" si="247"/>
        <v>1.8578798527374167</v>
      </c>
      <c r="V1977" s="8">
        <f ca="1">RawData[[#This Row],[Z (smoothed demand size)]]/RawData[[#This Row],[X (smoothed interval)]]</f>
        <v>1.5777234364178119</v>
      </c>
    </row>
    <row r="1978" spans="1:22">
      <c r="A1978" t="s">
        <v>46</v>
      </c>
      <c r="B1978" t="s">
        <v>39</v>
      </c>
      <c r="C1978">
        <v>21</v>
      </c>
      <c r="D1978" t="s">
        <v>18</v>
      </c>
      <c r="E1978" t="s">
        <v>16</v>
      </c>
      <c r="F1978" s="1">
        <v>43839</v>
      </c>
      <c r="G1978">
        <v>0</v>
      </c>
      <c r="H1978">
        <v>0</v>
      </c>
      <c r="I1978">
        <v>8</v>
      </c>
      <c r="J1978">
        <v>8</v>
      </c>
      <c r="K1978">
        <v>0</v>
      </c>
      <c r="L1978">
        <v>650</v>
      </c>
      <c r="M1978">
        <v>60</v>
      </c>
      <c r="N1978" s="1">
        <f t="shared" si="240"/>
        <v>44938</v>
      </c>
      <c r="O1978" s="1">
        <f t="shared" si="241"/>
        <v>43101</v>
      </c>
      <c r="P1978" s="1">
        <f t="shared" si="242"/>
        <v>44075</v>
      </c>
      <c r="Q1978" s="8">
        <f t="shared" si="243"/>
        <v>0</v>
      </c>
      <c r="R1978" s="8">
        <f t="shared" si="244"/>
        <v>33</v>
      </c>
      <c r="S1978" s="8">
        <f t="shared" ca="1" si="245"/>
        <v>32</v>
      </c>
      <c r="T1978">
        <f t="shared" ca="1" si="246"/>
        <v>2.9312205857122953</v>
      </c>
      <c r="U1978" s="8">
        <f t="shared" ca="1" si="247"/>
        <v>1.8578798527374167</v>
      </c>
      <c r="V1978" s="8">
        <f ca="1">RawData[[#This Row],[Z (smoothed demand size)]]/RawData[[#This Row],[X (smoothed interval)]]</f>
        <v>1.5777234364178119</v>
      </c>
    </row>
    <row r="1979" spans="1:22">
      <c r="A1979" t="s">
        <v>46</v>
      </c>
      <c r="B1979" t="s">
        <v>39</v>
      </c>
      <c r="C1979">
        <v>21</v>
      </c>
      <c r="D1979" t="s">
        <v>18</v>
      </c>
      <c r="E1979" t="s">
        <v>16</v>
      </c>
      <c r="F1979" s="1">
        <v>43840</v>
      </c>
      <c r="G1979">
        <v>2</v>
      </c>
      <c r="H1979">
        <v>2</v>
      </c>
      <c r="I1979">
        <v>8</v>
      </c>
      <c r="J1979">
        <v>6</v>
      </c>
      <c r="K1979">
        <v>0</v>
      </c>
      <c r="L1979">
        <v>679</v>
      </c>
      <c r="M1979">
        <v>45</v>
      </c>
      <c r="N1979" s="1">
        <f t="shared" si="240"/>
        <v>44938</v>
      </c>
      <c r="O1979" s="1">
        <f t="shared" si="241"/>
        <v>43101</v>
      </c>
      <c r="P1979" s="1">
        <f t="shared" si="242"/>
        <v>44105</v>
      </c>
      <c r="Q1979" s="8">
        <f t="shared" si="243"/>
        <v>0</v>
      </c>
      <c r="R1979" s="8">
        <f t="shared" si="244"/>
        <v>34</v>
      </c>
      <c r="S1979" s="8">
        <f t="shared" ca="1" si="245"/>
        <v>34</v>
      </c>
      <c r="T1979">
        <f t="shared" ca="1" si="246"/>
        <v>2.7449764685698361</v>
      </c>
      <c r="U1979" s="8">
        <f t="shared" ca="1" si="247"/>
        <v>1.8863038821899334</v>
      </c>
      <c r="V1979" s="8">
        <f ca="1">RawData[[#This Row],[Z (smoothed demand size)]]/RawData[[#This Row],[X (smoothed interval)]]</f>
        <v>1.4552143450942876</v>
      </c>
    </row>
    <row r="1980" spans="1:22">
      <c r="A1980" t="s">
        <v>46</v>
      </c>
      <c r="B1980" t="s">
        <v>39</v>
      </c>
      <c r="C1980">
        <v>21</v>
      </c>
      <c r="D1980" t="s">
        <v>18</v>
      </c>
      <c r="E1980" t="s">
        <v>16</v>
      </c>
      <c r="F1980" s="1">
        <v>43841</v>
      </c>
      <c r="G1980">
        <v>3</v>
      </c>
      <c r="H1980">
        <v>3</v>
      </c>
      <c r="I1980">
        <v>6</v>
      </c>
      <c r="J1980">
        <v>3</v>
      </c>
      <c r="K1980">
        <v>0</v>
      </c>
      <c r="L1980">
        <v>666</v>
      </c>
      <c r="M1980">
        <v>60</v>
      </c>
      <c r="N1980" s="1">
        <f t="shared" si="240"/>
        <v>44938</v>
      </c>
      <c r="O1980" s="1">
        <f t="shared" si="241"/>
        <v>43101</v>
      </c>
      <c r="P1980" s="1">
        <f t="shared" si="242"/>
        <v>44136</v>
      </c>
      <c r="Q1980" s="8">
        <f t="shared" si="243"/>
        <v>0</v>
      </c>
      <c r="R1980" s="8">
        <f t="shared" si="244"/>
        <v>35</v>
      </c>
      <c r="S1980" s="8">
        <f t="shared" ca="1" si="245"/>
        <v>35</v>
      </c>
      <c r="T1980">
        <f t="shared" ca="1" si="246"/>
        <v>2.7959811748558692</v>
      </c>
      <c r="U1980" s="8">
        <f t="shared" ca="1" si="247"/>
        <v>1.7090431057519468</v>
      </c>
      <c r="V1980" s="8">
        <f ca="1">RawData[[#This Row],[Z (smoothed demand size)]]/RawData[[#This Row],[X (smoothed interval)]]</f>
        <v>1.6359921908614996</v>
      </c>
    </row>
    <row r="1981" spans="1:22">
      <c r="A1981" t="s">
        <v>46</v>
      </c>
      <c r="B1981" t="s">
        <v>39</v>
      </c>
      <c r="C1981">
        <v>21</v>
      </c>
      <c r="D1981" t="s">
        <v>18</v>
      </c>
      <c r="E1981" t="s">
        <v>16</v>
      </c>
      <c r="F1981" s="1">
        <v>43842</v>
      </c>
      <c r="G1981">
        <v>3</v>
      </c>
      <c r="H1981">
        <v>3</v>
      </c>
      <c r="I1981">
        <v>3</v>
      </c>
      <c r="J1981">
        <v>0</v>
      </c>
      <c r="K1981">
        <v>0</v>
      </c>
      <c r="L1981">
        <v>770</v>
      </c>
      <c r="M1981">
        <v>15</v>
      </c>
      <c r="N1981" s="1">
        <f t="shared" si="240"/>
        <v>44938</v>
      </c>
      <c r="O1981" s="1">
        <f t="shared" si="241"/>
        <v>43101</v>
      </c>
      <c r="P1981" s="1">
        <f t="shared" si="242"/>
        <v>44166</v>
      </c>
      <c r="Q1981" s="8">
        <f t="shared" si="243"/>
        <v>0</v>
      </c>
      <c r="R1981" s="8">
        <f t="shared" si="244"/>
        <v>36</v>
      </c>
      <c r="S1981" s="8">
        <f t="shared" ca="1" si="245"/>
        <v>36</v>
      </c>
      <c r="T1981">
        <f t="shared" ca="1" si="246"/>
        <v>2.8367849398846956</v>
      </c>
      <c r="U1981" s="8">
        <f t="shared" ca="1" si="247"/>
        <v>1.5672344846015576</v>
      </c>
      <c r="V1981" s="8">
        <f ca="1">RawData[[#This Row],[Z (smoothed demand size)]]/RawData[[#This Row],[X (smoothed interval)]]</f>
        <v>1.8100577595482781</v>
      </c>
    </row>
    <row r="1982" spans="1:22">
      <c r="A1982" t="s">
        <v>46</v>
      </c>
      <c r="B1982" t="s">
        <v>39</v>
      </c>
      <c r="C1982">
        <v>21</v>
      </c>
      <c r="D1982" t="s">
        <v>18</v>
      </c>
      <c r="E1982" t="s">
        <v>16</v>
      </c>
      <c r="F1982" s="1">
        <v>44197</v>
      </c>
      <c r="G1982">
        <v>3</v>
      </c>
      <c r="H1982">
        <v>3</v>
      </c>
      <c r="I1982">
        <v>10</v>
      </c>
      <c r="J1982">
        <v>7</v>
      </c>
      <c r="K1982">
        <v>0</v>
      </c>
      <c r="L1982">
        <v>676</v>
      </c>
      <c r="M1982">
        <v>30</v>
      </c>
      <c r="N1982" s="1">
        <f t="shared" si="240"/>
        <v>44938</v>
      </c>
      <c r="O1982" s="1">
        <f t="shared" si="241"/>
        <v>43101</v>
      </c>
      <c r="P1982" s="1">
        <f t="shared" si="242"/>
        <v>44197</v>
      </c>
      <c r="Q1982" s="8">
        <f t="shared" si="243"/>
        <v>0</v>
      </c>
      <c r="R1982" s="8">
        <f t="shared" si="244"/>
        <v>37</v>
      </c>
      <c r="S1982" s="8">
        <f t="shared" ca="1" si="245"/>
        <v>37</v>
      </c>
      <c r="T1982">
        <f t="shared" ca="1" si="246"/>
        <v>2.8694279519077566</v>
      </c>
      <c r="U1982" s="8">
        <f t="shared" ca="1" si="247"/>
        <v>1.4537875876812461</v>
      </c>
      <c r="V1982" s="8">
        <f ca="1">RawData[[#This Row],[Z (smoothed demand size)]]/RawData[[#This Row],[X (smoothed interval)]]</f>
        <v>1.9737601120150026</v>
      </c>
    </row>
    <row r="1983" spans="1:22">
      <c r="A1983" t="s">
        <v>46</v>
      </c>
      <c r="B1983" t="s">
        <v>39</v>
      </c>
      <c r="C1983">
        <v>21</v>
      </c>
      <c r="D1983" t="s">
        <v>18</v>
      </c>
      <c r="E1983" t="s">
        <v>16</v>
      </c>
      <c r="F1983" s="1">
        <v>44198</v>
      </c>
      <c r="G1983">
        <v>2</v>
      </c>
      <c r="H1983">
        <v>2</v>
      </c>
      <c r="I1983">
        <v>7</v>
      </c>
      <c r="J1983">
        <v>5</v>
      </c>
      <c r="K1983">
        <v>0</v>
      </c>
      <c r="L1983">
        <v>657</v>
      </c>
      <c r="M1983">
        <v>15</v>
      </c>
      <c r="N1983" s="1">
        <f t="shared" si="240"/>
        <v>44938</v>
      </c>
      <c r="O1983" s="1">
        <f t="shared" si="241"/>
        <v>43101</v>
      </c>
      <c r="P1983" s="1">
        <f t="shared" si="242"/>
        <v>44228</v>
      </c>
      <c r="Q1983" s="8">
        <f t="shared" si="243"/>
        <v>0</v>
      </c>
      <c r="R1983" s="8">
        <f t="shared" si="244"/>
        <v>38</v>
      </c>
      <c r="S1983" s="8">
        <f t="shared" ca="1" si="245"/>
        <v>38</v>
      </c>
      <c r="T1983">
        <f t="shared" ca="1" si="246"/>
        <v>2.6955423615262051</v>
      </c>
      <c r="U1983" s="8">
        <f t="shared" ca="1" si="247"/>
        <v>1.3630300701449969</v>
      </c>
      <c r="V1983" s="8">
        <f ca="1">RawData[[#This Row],[Z (smoothed demand size)]]/RawData[[#This Row],[X (smoothed interval)]]</f>
        <v>1.9776103407898094</v>
      </c>
    </row>
    <row r="1984" spans="1:22">
      <c r="A1984" t="s">
        <v>46</v>
      </c>
      <c r="B1984" t="s">
        <v>39</v>
      </c>
      <c r="C1984">
        <v>21</v>
      </c>
      <c r="D1984" t="s">
        <v>18</v>
      </c>
      <c r="E1984" t="s">
        <v>16</v>
      </c>
      <c r="F1984" s="1">
        <v>44199</v>
      </c>
      <c r="G1984">
        <v>2</v>
      </c>
      <c r="H1984">
        <v>2</v>
      </c>
      <c r="I1984">
        <v>5</v>
      </c>
      <c r="J1984">
        <v>3</v>
      </c>
      <c r="K1984">
        <v>0</v>
      </c>
      <c r="L1984">
        <v>658</v>
      </c>
      <c r="M1984">
        <v>30</v>
      </c>
      <c r="N1984" s="1">
        <f t="shared" si="240"/>
        <v>44938</v>
      </c>
      <c r="O1984" s="1">
        <f t="shared" si="241"/>
        <v>43101</v>
      </c>
      <c r="P1984" s="1">
        <f t="shared" si="242"/>
        <v>44256</v>
      </c>
      <c r="Q1984" s="8">
        <f t="shared" si="243"/>
        <v>0</v>
      </c>
      <c r="R1984" s="8">
        <f t="shared" si="244"/>
        <v>39</v>
      </c>
      <c r="S1984" s="8">
        <f t="shared" ca="1" si="245"/>
        <v>39</v>
      </c>
      <c r="T1984">
        <f t="shared" ca="1" si="246"/>
        <v>2.5564338892209642</v>
      </c>
      <c r="U1984" s="8">
        <f t="shared" ca="1" si="247"/>
        <v>1.2904240561159974</v>
      </c>
      <c r="V1984" s="8">
        <f ca="1">RawData[[#This Row],[Z (smoothed demand size)]]/RawData[[#This Row],[X (smoothed interval)]]</f>
        <v>1.9810804650647058</v>
      </c>
    </row>
    <row r="1985" spans="1:22">
      <c r="A1985" t="s">
        <v>46</v>
      </c>
      <c r="B1985" t="s">
        <v>39</v>
      </c>
      <c r="C1985">
        <v>21</v>
      </c>
      <c r="D1985" t="s">
        <v>18</v>
      </c>
      <c r="E1985" t="s">
        <v>16</v>
      </c>
      <c r="F1985" s="1">
        <v>44200</v>
      </c>
      <c r="G1985">
        <v>2</v>
      </c>
      <c r="H1985">
        <v>2</v>
      </c>
      <c r="I1985">
        <v>14</v>
      </c>
      <c r="J1985">
        <v>12</v>
      </c>
      <c r="K1985">
        <v>0</v>
      </c>
      <c r="L1985">
        <v>648</v>
      </c>
      <c r="M1985">
        <v>15</v>
      </c>
      <c r="N1985" s="1">
        <f t="shared" si="240"/>
        <v>44938</v>
      </c>
      <c r="O1985" s="1">
        <f t="shared" si="241"/>
        <v>43101</v>
      </c>
      <c r="P1985" s="1">
        <f t="shared" si="242"/>
        <v>44287</v>
      </c>
      <c r="Q1985" s="8">
        <f t="shared" si="243"/>
        <v>0</v>
      </c>
      <c r="R1985" s="8">
        <f t="shared" si="244"/>
        <v>40</v>
      </c>
      <c r="S1985" s="8">
        <f t="shared" ca="1" si="245"/>
        <v>40</v>
      </c>
      <c r="T1985">
        <f t="shared" ca="1" si="246"/>
        <v>2.4451471113767713</v>
      </c>
      <c r="U1985" s="8">
        <f t="shared" ca="1" si="247"/>
        <v>1.2323392448927979</v>
      </c>
      <c r="V1985" s="8">
        <f ca="1">RawData[[#This Row],[Z (smoothed demand size)]]/RawData[[#This Row],[X (smoothed interval)]]</f>
        <v>1.9841509726402298</v>
      </c>
    </row>
    <row r="1986" spans="1:22">
      <c r="A1986" t="s">
        <v>46</v>
      </c>
      <c r="B1986" t="s">
        <v>39</v>
      </c>
      <c r="C1986">
        <v>21</v>
      </c>
      <c r="D1986" t="s">
        <v>18</v>
      </c>
      <c r="E1986" t="s">
        <v>16</v>
      </c>
      <c r="F1986" s="1">
        <v>44201</v>
      </c>
      <c r="G1986">
        <v>1</v>
      </c>
      <c r="H1986">
        <v>1</v>
      </c>
      <c r="I1986">
        <v>12</v>
      </c>
      <c r="J1986">
        <v>11</v>
      </c>
      <c r="K1986">
        <v>0</v>
      </c>
      <c r="L1986">
        <v>657</v>
      </c>
      <c r="M1986">
        <v>45</v>
      </c>
      <c r="N1986" s="1">
        <f t="shared" ref="N1986:N2049" si="248">MAX(F:F)</f>
        <v>44938</v>
      </c>
      <c r="O1986" s="1">
        <f t="shared" ref="O1986:O2049" si="249">MIN(F:F)</f>
        <v>43101</v>
      </c>
      <c r="P1986" s="1">
        <f t="shared" ref="P1986:P2049" si="250">DATE(YEAR(F1986), DAY(F1986), 1)</f>
        <v>44317</v>
      </c>
      <c r="Q1986" s="8">
        <f t="shared" ref="Q1986:Q2049" si="251" xml:space="preserve"> IF(A1986&lt;&gt;A1985, 1, 0)</f>
        <v>0</v>
      </c>
      <c r="R1986" s="8">
        <f t="shared" ref="R1986:R2049" si="252">IF(Q1986=1,1,R1985+1)</f>
        <v>41</v>
      </c>
      <c r="S1986" s="8">
        <f t="shared" ref="S1986:S2049" ca="1" si="253" xml:space="preserve"> IF(Q1986=1, IF(G1986&gt;0, R1986, 0), IF(G1986&gt;0, R1986, OFFSET(S1986,-1,0)))</f>
        <v>41</v>
      </c>
      <c r="T1986">
        <f t="shared" ref="T1986:T2049" ca="1" si="254" xml:space="preserve"> IF(Q1986=1, IF(G1986&gt;0, G1986, 0), IF(G1986&gt;0, $X$1*G1986+(1-$X$1)*OFFSET(T1986,-1,0), OFFSET(T1986,-1,0)))</f>
        <v>2.1561176891014173</v>
      </c>
      <c r="U1986" s="8">
        <f t="shared" ref="U1986:U2049" ca="1" si="255" xml:space="preserve"> IF(Q1986=1, 1, IF(G1986&gt;0, $X$1*(R1986-OFFSET(S1986,-1,0))+(1-$X$1)*OFFSET(U1986,-1,0), OFFSET(U1986,-1,0)))</f>
        <v>1.1858713959142384</v>
      </c>
      <c r="V1986" s="8">
        <f ca="1">RawData[[#This Row],[Z (smoothed demand size)]]/RawData[[#This Row],[X (smoothed interval)]]</f>
        <v>1.8181715964564396</v>
      </c>
    </row>
    <row r="1987" spans="1:22">
      <c r="A1987" t="s">
        <v>46</v>
      </c>
      <c r="B1987" t="s">
        <v>39</v>
      </c>
      <c r="C1987">
        <v>21</v>
      </c>
      <c r="D1987" t="s">
        <v>18</v>
      </c>
      <c r="E1987" t="s">
        <v>16</v>
      </c>
      <c r="F1987" s="1">
        <v>44202</v>
      </c>
      <c r="G1987">
        <v>6</v>
      </c>
      <c r="H1987">
        <v>6</v>
      </c>
      <c r="I1987">
        <v>11</v>
      </c>
      <c r="J1987">
        <v>5</v>
      </c>
      <c r="K1987">
        <v>0</v>
      </c>
      <c r="L1987">
        <v>756</v>
      </c>
      <c r="M1987">
        <v>45</v>
      </c>
      <c r="N1987" s="1">
        <f t="shared" si="248"/>
        <v>44938</v>
      </c>
      <c r="O1987" s="1">
        <f t="shared" si="249"/>
        <v>43101</v>
      </c>
      <c r="P1987" s="1">
        <f t="shared" si="250"/>
        <v>44348</v>
      </c>
      <c r="Q1987" s="8">
        <f t="shared" si="251"/>
        <v>0</v>
      </c>
      <c r="R1987" s="8">
        <f t="shared" si="252"/>
        <v>42</v>
      </c>
      <c r="S1987" s="8">
        <f t="shared" ca="1" si="253"/>
        <v>42</v>
      </c>
      <c r="T1987">
        <f t="shared" ca="1" si="254"/>
        <v>2.9248941512811344</v>
      </c>
      <c r="U1987" s="8">
        <f t="shared" ca="1" si="255"/>
        <v>1.1486971167313909</v>
      </c>
      <c r="V1987" s="8">
        <f ca="1">RawData[[#This Row],[Z (smoothed demand size)]]/RawData[[#This Row],[X (smoothed interval)]]</f>
        <v>2.5462709957903429</v>
      </c>
    </row>
    <row r="1988" spans="1:22">
      <c r="A1988" t="s">
        <v>46</v>
      </c>
      <c r="B1988" t="s">
        <v>39</v>
      </c>
      <c r="C1988">
        <v>21</v>
      </c>
      <c r="D1988" t="s">
        <v>18</v>
      </c>
      <c r="E1988" t="s">
        <v>16</v>
      </c>
      <c r="F1988" s="1">
        <v>44203</v>
      </c>
      <c r="G1988">
        <v>3</v>
      </c>
      <c r="H1988">
        <v>3</v>
      </c>
      <c r="I1988">
        <v>5</v>
      </c>
      <c r="J1988">
        <v>2</v>
      </c>
      <c r="K1988">
        <v>0</v>
      </c>
      <c r="L1988">
        <v>755</v>
      </c>
      <c r="M1988">
        <v>45</v>
      </c>
      <c r="N1988" s="1">
        <f t="shared" si="248"/>
        <v>44938</v>
      </c>
      <c r="O1988" s="1">
        <f t="shared" si="249"/>
        <v>43101</v>
      </c>
      <c r="P1988" s="1">
        <f t="shared" si="250"/>
        <v>44378</v>
      </c>
      <c r="Q1988" s="8">
        <f t="shared" si="251"/>
        <v>0</v>
      </c>
      <c r="R1988" s="8">
        <f t="shared" si="252"/>
        <v>43</v>
      </c>
      <c r="S1988" s="8">
        <f t="shared" ca="1" si="253"/>
        <v>43</v>
      </c>
      <c r="T1988">
        <f t="shared" ca="1" si="254"/>
        <v>2.9399153210249076</v>
      </c>
      <c r="U1988" s="8">
        <f t="shared" ca="1" si="255"/>
        <v>1.1189576933851126</v>
      </c>
      <c r="V1988" s="8">
        <f ca="1">RawData[[#This Row],[Z (smoothed demand size)]]/RawData[[#This Row],[X (smoothed interval)]]</f>
        <v>2.6273695050354995</v>
      </c>
    </row>
    <row r="1989" spans="1:22">
      <c r="A1989" t="s">
        <v>46</v>
      </c>
      <c r="B1989" t="s">
        <v>39</v>
      </c>
      <c r="C1989">
        <v>21</v>
      </c>
      <c r="D1989" t="s">
        <v>18</v>
      </c>
      <c r="E1989" t="s">
        <v>16</v>
      </c>
      <c r="F1989" s="1">
        <v>44204</v>
      </c>
      <c r="G1989">
        <v>3</v>
      </c>
      <c r="H1989">
        <v>2</v>
      </c>
      <c r="I1989">
        <v>2</v>
      </c>
      <c r="J1989">
        <v>0</v>
      </c>
      <c r="K1989">
        <v>1</v>
      </c>
      <c r="L1989">
        <v>766</v>
      </c>
      <c r="M1989">
        <v>30</v>
      </c>
      <c r="N1989" s="1">
        <f t="shared" si="248"/>
        <v>44938</v>
      </c>
      <c r="O1989" s="1">
        <f t="shared" si="249"/>
        <v>43101</v>
      </c>
      <c r="P1989" s="1">
        <f t="shared" si="250"/>
        <v>44409</v>
      </c>
      <c r="Q1989" s="8">
        <f t="shared" si="251"/>
        <v>0</v>
      </c>
      <c r="R1989" s="8">
        <f t="shared" si="252"/>
        <v>44</v>
      </c>
      <c r="S1989" s="8">
        <f t="shared" ca="1" si="253"/>
        <v>44</v>
      </c>
      <c r="T1989">
        <f t="shared" ca="1" si="254"/>
        <v>2.9519322568199264</v>
      </c>
      <c r="U1989" s="8">
        <f t="shared" ca="1" si="255"/>
        <v>1.0951661547080902</v>
      </c>
      <c r="V1989" s="8">
        <f ca="1">RawData[[#This Row],[Z (smoothed demand size)]]/RawData[[#This Row],[X (smoothed interval)]]</f>
        <v>2.69541954353652</v>
      </c>
    </row>
    <row r="1990" spans="1:22">
      <c r="A1990" t="s">
        <v>46</v>
      </c>
      <c r="B1990" t="s">
        <v>39</v>
      </c>
      <c r="C1990">
        <v>21</v>
      </c>
      <c r="D1990" t="s">
        <v>18</v>
      </c>
      <c r="E1990" t="s">
        <v>16</v>
      </c>
      <c r="F1990" s="1">
        <v>44205</v>
      </c>
      <c r="G1990">
        <v>2</v>
      </c>
      <c r="H1990">
        <v>2</v>
      </c>
      <c r="I1990">
        <v>11</v>
      </c>
      <c r="J1990">
        <v>9</v>
      </c>
      <c r="K1990">
        <v>0</v>
      </c>
      <c r="L1990">
        <v>664</v>
      </c>
      <c r="M1990">
        <v>45</v>
      </c>
      <c r="N1990" s="1">
        <f t="shared" si="248"/>
        <v>44938</v>
      </c>
      <c r="O1990" s="1">
        <f t="shared" si="249"/>
        <v>43101</v>
      </c>
      <c r="P1990" s="1">
        <f t="shared" si="250"/>
        <v>44440</v>
      </c>
      <c r="Q1990" s="8">
        <f t="shared" si="251"/>
        <v>0</v>
      </c>
      <c r="R1990" s="8">
        <f t="shared" si="252"/>
        <v>45</v>
      </c>
      <c r="S1990" s="8">
        <f t="shared" ca="1" si="253"/>
        <v>45</v>
      </c>
      <c r="T1990">
        <f t="shared" ca="1" si="254"/>
        <v>2.761545805455941</v>
      </c>
      <c r="U1990" s="8">
        <f t="shared" ca="1" si="255"/>
        <v>1.0761329237664723</v>
      </c>
      <c r="V1990" s="8">
        <f ca="1">RawData[[#This Row],[Z (smoothed demand size)]]/RawData[[#This Row],[X (smoothed interval)]]</f>
        <v>2.5661753715242841</v>
      </c>
    </row>
    <row r="1991" spans="1:22">
      <c r="A1991" t="s">
        <v>46</v>
      </c>
      <c r="B1991" t="s">
        <v>39</v>
      </c>
      <c r="C1991">
        <v>21</v>
      </c>
      <c r="D1991" t="s">
        <v>18</v>
      </c>
      <c r="E1991" t="s">
        <v>16</v>
      </c>
      <c r="F1991" s="1">
        <v>44206</v>
      </c>
      <c r="G1991">
        <v>0</v>
      </c>
      <c r="H1991">
        <v>0</v>
      </c>
      <c r="I1991">
        <v>9</v>
      </c>
      <c r="J1991">
        <v>9</v>
      </c>
      <c r="K1991">
        <v>0</v>
      </c>
      <c r="L1991">
        <v>665</v>
      </c>
      <c r="M1991">
        <v>45</v>
      </c>
      <c r="N1991" s="1">
        <f t="shared" si="248"/>
        <v>44938</v>
      </c>
      <c r="O1991" s="1">
        <f t="shared" si="249"/>
        <v>43101</v>
      </c>
      <c r="P1991" s="1">
        <f t="shared" si="250"/>
        <v>44470</v>
      </c>
      <c r="Q1991" s="8">
        <f t="shared" si="251"/>
        <v>0</v>
      </c>
      <c r="R1991" s="8">
        <f t="shared" si="252"/>
        <v>46</v>
      </c>
      <c r="S1991" s="8">
        <f t="shared" ca="1" si="253"/>
        <v>45</v>
      </c>
      <c r="T1991">
        <f t="shared" ca="1" si="254"/>
        <v>2.761545805455941</v>
      </c>
      <c r="U1991" s="8">
        <f t="shared" ca="1" si="255"/>
        <v>1.0761329237664723</v>
      </c>
      <c r="V1991" s="8">
        <f ca="1">RawData[[#This Row],[Z (smoothed demand size)]]/RawData[[#This Row],[X (smoothed interval)]]</f>
        <v>2.5661753715242841</v>
      </c>
    </row>
    <row r="1992" spans="1:22">
      <c r="A1992" t="s">
        <v>46</v>
      </c>
      <c r="B1992" t="s">
        <v>39</v>
      </c>
      <c r="C1992">
        <v>21</v>
      </c>
      <c r="D1992" t="s">
        <v>18</v>
      </c>
      <c r="E1992" t="s">
        <v>16</v>
      </c>
      <c r="F1992" s="1">
        <v>44207</v>
      </c>
      <c r="G1992">
        <v>2</v>
      </c>
      <c r="H1992">
        <v>2</v>
      </c>
      <c r="I1992">
        <v>9</v>
      </c>
      <c r="J1992">
        <v>7</v>
      </c>
      <c r="K1992">
        <v>0</v>
      </c>
      <c r="L1992">
        <v>651</v>
      </c>
      <c r="M1992">
        <v>45</v>
      </c>
      <c r="N1992" s="1">
        <f t="shared" si="248"/>
        <v>44938</v>
      </c>
      <c r="O1992" s="1">
        <f t="shared" si="249"/>
        <v>43101</v>
      </c>
      <c r="P1992" s="1">
        <f t="shared" si="250"/>
        <v>44501</v>
      </c>
      <c r="Q1992" s="8">
        <f t="shared" si="251"/>
        <v>0</v>
      </c>
      <c r="R1992" s="8">
        <f t="shared" si="252"/>
        <v>47</v>
      </c>
      <c r="S1992" s="8">
        <f t="shared" ca="1" si="253"/>
        <v>47</v>
      </c>
      <c r="T1992">
        <f t="shared" ca="1" si="254"/>
        <v>2.6092366443647528</v>
      </c>
      <c r="U1992" s="8">
        <f t="shared" ca="1" si="255"/>
        <v>1.2609063390131778</v>
      </c>
      <c r="V1992" s="8">
        <f ca="1">RawData[[#This Row],[Z (smoothed demand size)]]/RawData[[#This Row],[X (smoothed interval)]]</f>
        <v>2.0693342270027903</v>
      </c>
    </row>
    <row r="1993" spans="1:22">
      <c r="A1993" t="s">
        <v>46</v>
      </c>
      <c r="B1993" t="s">
        <v>39</v>
      </c>
      <c r="C1993">
        <v>21</v>
      </c>
      <c r="D1993" t="s">
        <v>18</v>
      </c>
      <c r="E1993" t="s">
        <v>16</v>
      </c>
      <c r="F1993" s="1">
        <v>44208</v>
      </c>
      <c r="G1993">
        <v>1</v>
      </c>
      <c r="H1993">
        <v>1</v>
      </c>
      <c r="I1993">
        <v>7</v>
      </c>
      <c r="J1993">
        <v>6</v>
      </c>
      <c r="K1993">
        <v>0</v>
      </c>
      <c r="L1993">
        <v>758</v>
      </c>
      <c r="M1993">
        <v>45</v>
      </c>
      <c r="N1993" s="1">
        <f t="shared" si="248"/>
        <v>44938</v>
      </c>
      <c r="O1993" s="1">
        <f t="shared" si="249"/>
        <v>43101</v>
      </c>
      <c r="P1993" s="1">
        <f t="shared" si="250"/>
        <v>44531</v>
      </c>
      <c r="Q1993" s="8">
        <f t="shared" si="251"/>
        <v>0</v>
      </c>
      <c r="R1993" s="8">
        <f t="shared" si="252"/>
        <v>48</v>
      </c>
      <c r="S1993" s="8">
        <f t="shared" ca="1" si="253"/>
        <v>48</v>
      </c>
      <c r="T1993">
        <f t="shared" ca="1" si="254"/>
        <v>2.2873893154918026</v>
      </c>
      <c r="U1993" s="8">
        <f t="shared" ca="1" si="255"/>
        <v>1.2087250712105422</v>
      </c>
      <c r="V1993" s="8">
        <f ca="1">RawData[[#This Row],[Z (smoothed demand size)]]/RawData[[#This Row],[X (smoothed interval)]]</f>
        <v>1.8923983376972355</v>
      </c>
    </row>
    <row r="1994" spans="1:22">
      <c r="A1994" t="s">
        <v>46</v>
      </c>
      <c r="B1994" t="s">
        <v>39</v>
      </c>
      <c r="C1994">
        <v>21</v>
      </c>
      <c r="D1994" t="s">
        <v>18</v>
      </c>
      <c r="E1994" t="s">
        <v>16</v>
      </c>
      <c r="F1994" s="1">
        <v>44562</v>
      </c>
      <c r="G1994">
        <v>1</v>
      </c>
      <c r="H1994">
        <v>1</v>
      </c>
      <c r="I1994">
        <v>6</v>
      </c>
      <c r="J1994">
        <v>5</v>
      </c>
      <c r="K1994">
        <v>0</v>
      </c>
      <c r="L1994">
        <v>660</v>
      </c>
      <c r="M1994">
        <v>60</v>
      </c>
      <c r="N1994" s="1">
        <f t="shared" si="248"/>
        <v>44938</v>
      </c>
      <c r="O1994" s="1">
        <f t="shared" si="249"/>
        <v>43101</v>
      </c>
      <c r="P1994" s="1">
        <f t="shared" si="250"/>
        <v>44562</v>
      </c>
      <c r="Q1994" s="8">
        <f t="shared" si="251"/>
        <v>0</v>
      </c>
      <c r="R1994" s="8">
        <f t="shared" si="252"/>
        <v>49</v>
      </c>
      <c r="S1994" s="8">
        <f t="shared" ca="1" si="253"/>
        <v>49</v>
      </c>
      <c r="T1994">
        <f t="shared" ca="1" si="254"/>
        <v>2.0299114523934421</v>
      </c>
      <c r="U1994" s="8">
        <f t="shared" ca="1" si="255"/>
        <v>1.1669800569684339</v>
      </c>
      <c r="V1994" s="8">
        <f ca="1">RawData[[#This Row],[Z (smoothed demand size)]]/RawData[[#This Row],[X (smoothed interval)]]</f>
        <v>1.7394568487028994</v>
      </c>
    </row>
    <row r="1995" spans="1:22">
      <c r="A1995" t="s">
        <v>46</v>
      </c>
      <c r="B1995" t="s">
        <v>39</v>
      </c>
      <c r="C1995">
        <v>21</v>
      </c>
      <c r="D1995" t="s">
        <v>18</v>
      </c>
      <c r="E1995" t="s">
        <v>16</v>
      </c>
      <c r="F1995" s="1">
        <v>44563</v>
      </c>
      <c r="G1995">
        <v>2</v>
      </c>
      <c r="H1995">
        <v>2</v>
      </c>
      <c r="I1995">
        <v>5</v>
      </c>
      <c r="J1995">
        <v>3</v>
      </c>
      <c r="K1995">
        <v>0</v>
      </c>
      <c r="L1995">
        <v>670</v>
      </c>
      <c r="M1995">
        <v>30</v>
      </c>
      <c r="N1995" s="1">
        <f t="shared" si="248"/>
        <v>44938</v>
      </c>
      <c r="O1995" s="1">
        <f t="shared" si="249"/>
        <v>43101</v>
      </c>
      <c r="P1995" s="1">
        <f t="shared" si="250"/>
        <v>44593</v>
      </c>
      <c r="Q1995" s="8">
        <f t="shared" si="251"/>
        <v>0</v>
      </c>
      <c r="R1995" s="8">
        <f t="shared" si="252"/>
        <v>50</v>
      </c>
      <c r="S1995" s="8">
        <f t="shared" ca="1" si="253"/>
        <v>50</v>
      </c>
      <c r="T1995">
        <f t="shared" ca="1" si="254"/>
        <v>2.0239291619147539</v>
      </c>
      <c r="U1995" s="8">
        <f t="shared" ca="1" si="255"/>
        <v>1.1335840455747472</v>
      </c>
      <c r="V1995" s="8">
        <f ca="1">RawData[[#This Row],[Z (smoothed demand size)]]/RawData[[#This Row],[X (smoothed interval)]]</f>
        <v>1.7854248829768824</v>
      </c>
    </row>
    <row r="1996" spans="1:22">
      <c r="A1996" t="s">
        <v>46</v>
      </c>
      <c r="B1996" t="s">
        <v>39</v>
      </c>
      <c r="C1996">
        <v>21</v>
      </c>
      <c r="D1996" t="s">
        <v>18</v>
      </c>
      <c r="E1996" t="s">
        <v>16</v>
      </c>
      <c r="F1996" s="1">
        <v>44564</v>
      </c>
      <c r="G1996">
        <v>3</v>
      </c>
      <c r="H1996">
        <v>3</v>
      </c>
      <c r="I1996">
        <v>15</v>
      </c>
      <c r="J1996">
        <v>12</v>
      </c>
      <c r="K1996">
        <v>0</v>
      </c>
      <c r="L1996">
        <v>658</v>
      </c>
      <c r="M1996">
        <v>30</v>
      </c>
      <c r="N1996" s="1">
        <f t="shared" si="248"/>
        <v>44938</v>
      </c>
      <c r="O1996" s="1">
        <f t="shared" si="249"/>
        <v>43101</v>
      </c>
      <c r="P1996" s="1">
        <f t="shared" si="250"/>
        <v>44621</v>
      </c>
      <c r="Q1996" s="8">
        <f t="shared" si="251"/>
        <v>0</v>
      </c>
      <c r="R1996" s="8">
        <f t="shared" si="252"/>
        <v>51</v>
      </c>
      <c r="S1996" s="8">
        <f t="shared" ca="1" si="253"/>
        <v>51</v>
      </c>
      <c r="T1996">
        <f t="shared" ca="1" si="254"/>
        <v>2.2191433295318035</v>
      </c>
      <c r="U1996" s="8">
        <f t="shared" ca="1" si="255"/>
        <v>1.1068672364597978</v>
      </c>
      <c r="V1996" s="8">
        <f ca="1">RawData[[#This Row],[Z (smoothed demand size)]]/RawData[[#This Row],[X (smoothed interval)]]</f>
        <v>2.0048866353922512</v>
      </c>
    </row>
    <row r="1997" spans="1:22">
      <c r="A1997" t="s">
        <v>46</v>
      </c>
      <c r="B1997" t="s">
        <v>39</v>
      </c>
      <c r="C1997">
        <v>21</v>
      </c>
      <c r="D1997" t="s">
        <v>18</v>
      </c>
      <c r="E1997" t="s">
        <v>16</v>
      </c>
      <c r="F1997" s="1">
        <v>44565</v>
      </c>
      <c r="G1997">
        <v>1</v>
      </c>
      <c r="H1997">
        <v>1</v>
      </c>
      <c r="I1997">
        <v>12</v>
      </c>
      <c r="J1997">
        <v>11</v>
      </c>
      <c r="K1997">
        <v>0</v>
      </c>
      <c r="L1997">
        <v>656</v>
      </c>
      <c r="M1997">
        <v>15</v>
      </c>
      <c r="N1997" s="1">
        <f t="shared" si="248"/>
        <v>44938</v>
      </c>
      <c r="O1997" s="1">
        <f t="shared" si="249"/>
        <v>43101</v>
      </c>
      <c r="P1997" s="1">
        <f t="shared" si="250"/>
        <v>44652</v>
      </c>
      <c r="Q1997" s="8">
        <f t="shared" si="251"/>
        <v>0</v>
      </c>
      <c r="R1997" s="8">
        <f t="shared" si="252"/>
        <v>52</v>
      </c>
      <c r="S1997" s="8">
        <f t="shared" ca="1" si="253"/>
        <v>52</v>
      </c>
      <c r="T1997">
        <f t="shared" ca="1" si="254"/>
        <v>1.9753146636254428</v>
      </c>
      <c r="U1997" s="8">
        <f t="shared" ca="1" si="255"/>
        <v>1.0854937891678382</v>
      </c>
      <c r="V1997" s="8">
        <f ca="1">RawData[[#This Row],[Z (smoothed demand size)]]/RawData[[#This Row],[X (smoothed interval)]]</f>
        <v>1.8197383378303431</v>
      </c>
    </row>
    <row r="1998" spans="1:22">
      <c r="A1998" t="s">
        <v>46</v>
      </c>
      <c r="B1998" t="s">
        <v>39</v>
      </c>
      <c r="C1998">
        <v>21</v>
      </c>
      <c r="D1998" t="s">
        <v>18</v>
      </c>
      <c r="E1998" t="s">
        <v>16</v>
      </c>
      <c r="F1998" s="1">
        <v>44566</v>
      </c>
      <c r="G1998">
        <v>3</v>
      </c>
      <c r="H1998">
        <v>3</v>
      </c>
      <c r="I1998">
        <v>11</v>
      </c>
      <c r="J1998">
        <v>8</v>
      </c>
      <c r="K1998">
        <v>0</v>
      </c>
      <c r="L1998">
        <v>664</v>
      </c>
      <c r="M1998">
        <v>60</v>
      </c>
      <c r="N1998" s="1">
        <f t="shared" si="248"/>
        <v>44938</v>
      </c>
      <c r="O1998" s="1">
        <f t="shared" si="249"/>
        <v>43101</v>
      </c>
      <c r="P1998" s="1">
        <f t="shared" si="250"/>
        <v>44682</v>
      </c>
      <c r="Q1998" s="8">
        <f t="shared" si="251"/>
        <v>0</v>
      </c>
      <c r="R1998" s="8">
        <f t="shared" si="252"/>
        <v>53</v>
      </c>
      <c r="S1998" s="8">
        <f t="shared" ca="1" si="253"/>
        <v>53</v>
      </c>
      <c r="T1998">
        <f t="shared" ca="1" si="254"/>
        <v>2.1802517309003546</v>
      </c>
      <c r="U1998" s="8">
        <f t="shared" ca="1" si="255"/>
        <v>1.0683950313342707</v>
      </c>
      <c r="V1998" s="8">
        <f ca="1">RawData[[#This Row],[Z (smoothed demand size)]]/RawData[[#This Row],[X (smoothed interval)]]</f>
        <v>2.0406793994329382</v>
      </c>
    </row>
    <row r="1999" spans="1:22">
      <c r="A1999" t="s">
        <v>46</v>
      </c>
      <c r="B1999" t="s">
        <v>39</v>
      </c>
      <c r="C1999">
        <v>21</v>
      </c>
      <c r="D1999" t="s">
        <v>18</v>
      </c>
      <c r="E1999" t="s">
        <v>16</v>
      </c>
      <c r="F1999" s="1">
        <v>44567</v>
      </c>
      <c r="G1999">
        <v>1</v>
      </c>
      <c r="H1999">
        <v>1</v>
      </c>
      <c r="I1999">
        <v>8</v>
      </c>
      <c r="J1999">
        <v>7</v>
      </c>
      <c r="K1999">
        <v>0</v>
      </c>
      <c r="L1999">
        <v>754</v>
      </c>
      <c r="M1999">
        <v>60</v>
      </c>
      <c r="N1999" s="1">
        <f t="shared" si="248"/>
        <v>44938</v>
      </c>
      <c r="O1999" s="1">
        <f t="shared" si="249"/>
        <v>43101</v>
      </c>
      <c r="P1999" s="1">
        <f t="shared" si="250"/>
        <v>44713</v>
      </c>
      <c r="Q1999" s="8">
        <f t="shared" si="251"/>
        <v>0</v>
      </c>
      <c r="R1999" s="8">
        <f t="shared" si="252"/>
        <v>54</v>
      </c>
      <c r="S1999" s="8">
        <f t="shared" ca="1" si="253"/>
        <v>54</v>
      </c>
      <c r="T1999">
        <f t="shared" ca="1" si="254"/>
        <v>1.9442013847202837</v>
      </c>
      <c r="U1999" s="8">
        <f t="shared" ca="1" si="255"/>
        <v>1.0547160250674166</v>
      </c>
      <c r="V1999" s="8">
        <f ca="1">RawData[[#This Row],[Z (smoothed demand size)]]/RawData[[#This Row],[X (smoothed interval)]]</f>
        <v>1.8433410875652638</v>
      </c>
    </row>
    <row r="2000" spans="1:22">
      <c r="A2000" t="s">
        <v>46</v>
      </c>
      <c r="B2000" t="s">
        <v>39</v>
      </c>
      <c r="C2000">
        <v>21</v>
      </c>
      <c r="D2000" t="s">
        <v>18</v>
      </c>
      <c r="E2000" t="s">
        <v>16</v>
      </c>
      <c r="F2000" s="1">
        <v>44568</v>
      </c>
      <c r="G2000">
        <v>0</v>
      </c>
      <c r="H2000">
        <v>0</v>
      </c>
      <c r="I2000">
        <v>7</v>
      </c>
      <c r="J2000">
        <v>7</v>
      </c>
      <c r="K2000">
        <v>0</v>
      </c>
      <c r="L2000">
        <v>759</v>
      </c>
      <c r="M2000">
        <v>30</v>
      </c>
      <c r="N2000" s="1">
        <f t="shared" si="248"/>
        <v>44938</v>
      </c>
      <c r="O2000" s="1">
        <f t="shared" si="249"/>
        <v>43101</v>
      </c>
      <c r="P2000" s="1">
        <f t="shared" si="250"/>
        <v>44743</v>
      </c>
      <c r="Q2000" s="8">
        <f t="shared" si="251"/>
        <v>0</v>
      </c>
      <c r="R2000" s="8">
        <f t="shared" si="252"/>
        <v>55</v>
      </c>
      <c r="S2000" s="8">
        <f t="shared" ca="1" si="253"/>
        <v>54</v>
      </c>
      <c r="T2000">
        <f t="shared" ca="1" si="254"/>
        <v>1.9442013847202837</v>
      </c>
      <c r="U2000" s="8">
        <f t="shared" ca="1" si="255"/>
        <v>1.0547160250674166</v>
      </c>
      <c r="V2000" s="8">
        <f ca="1">RawData[[#This Row],[Z (smoothed demand size)]]/RawData[[#This Row],[X (smoothed interval)]]</f>
        <v>1.8433410875652638</v>
      </c>
    </row>
    <row r="2001" spans="1:22">
      <c r="A2001" t="s">
        <v>46</v>
      </c>
      <c r="B2001" t="s">
        <v>39</v>
      </c>
      <c r="C2001">
        <v>21</v>
      </c>
      <c r="D2001" t="s">
        <v>18</v>
      </c>
      <c r="E2001" t="s">
        <v>16</v>
      </c>
      <c r="F2001" s="1">
        <v>44569</v>
      </c>
      <c r="G2001">
        <v>0</v>
      </c>
      <c r="H2001">
        <v>0</v>
      </c>
      <c r="I2001">
        <v>7</v>
      </c>
      <c r="J2001">
        <v>7</v>
      </c>
      <c r="K2001">
        <v>0</v>
      </c>
      <c r="L2001">
        <v>759</v>
      </c>
      <c r="M2001">
        <v>15</v>
      </c>
      <c r="N2001" s="1">
        <f t="shared" si="248"/>
        <v>44938</v>
      </c>
      <c r="O2001" s="1">
        <f t="shared" si="249"/>
        <v>43101</v>
      </c>
      <c r="P2001" s="1">
        <f t="shared" si="250"/>
        <v>44774</v>
      </c>
      <c r="Q2001" s="8">
        <f t="shared" si="251"/>
        <v>0</v>
      </c>
      <c r="R2001" s="8">
        <f t="shared" si="252"/>
        <v>56</v>
      </c>
      <c r="S2001" s="8">
        <f t="shared" ca="1" si="253"/>
        <v>54</v>
      </c>
      <c r="T2001">
        <f t="shared" ca="1" si="254"/>
        <v>1.9442013847202837</v>
      </c>
      <c r="U2001" s="8">
        <f t="shared" ca="1" si="255"/>
        <v>1.0547160250674166</v>
      </c>
      <c r="V2001" s="8">
        <f ca="1">RawData[[#This Row],[Z (smoothed demand size)]]/RawData[[#This Row],[X (smoothed interval)]]</f>
        <v>1.8433410875652638</v>
      </c>
    </row>
    <row r="2002" spans="1:22">
      <c r="A2002" t="s">
        <v>46</v>
      </c>
      <c r="B2002" t="s">
        <v>39</v>
      </c>
      <c r="C2002">
        <v>21</v>
      </c>
      <c r="D2002" t="s">
        <v>18</v>
      </c>
      <c r="E2002" t="s">
        <v>16</v>
      </c>
      <c r="F2002" s="1">
        <v>44570</v>
      </c>
      <c r="G2002">
        <v>2</v>
      </c>
      <c r="H2002">
        <v>2</v>
      </c>
      <c r="I2002">
        <v>7</v>
      </c>
      <c r="J2002">
        <v>5</v>
      </c>
      <c r="K2002">
        <v>0</v>
      </c>
      <c r="L2002">
        <v>654</v>
      </c>
      <c r="M2002">
        <v>15</v>
      </c>
      <c r="N2002" s="1">
        <f t="shared" si="248"/>
        <v>44938</v>
      </c>
      <c r="O2002" s="1">
        <f t="shared" si="249"/>
        <v>43101</v>
      </c>
      <c r="P2002" s="1">
        <f t="shared" si="250"/>
        <v>44805</v>
      </c>
      <c r="Q2002" s="8">
        <f t="shared" si="251"/>
        <v>0</v>
      </c>
      <c r="R2002" s="8">
        <f t="shared" si="252"/>
        <v>57</v>
      </c>
      <c r="S2002" s="8">
        <f t="shared" ca="1" si="253"/>
        <v>57</v>
      </c>
      <c r="T2002">
        <f t="shared" ca="1" si="254"/>
        <v>1.955361107776227</v>
      </c>
      <c r="U2002" s="8">
        <f t="shared" ca="1" si="255"/>
        <v>1.4437728200539333</v>
      </c>
      <c r="V2002" s="8">
        <f ca="1">RawData[[#This Row],[Z (smoothed demand size)]]/RawData[[#This Row],[X (smoothed interval)]]</f>
        <v>1.3543412652020856</v>
      </c>
    </row>
    <row r="2003" spans="1:22">
      <c r="A2003" t="s">
        <v>46</v>
      </c>
      <c r="B2003" t="s">
        <v>39</v>
      </c>
      <c r="C2003">
        <v>21</v>
      </c>
      <c r="D2003" t="s">
        <v>18</v>
      </c>
      <c r="E2003" t="s">
        <v>16</v>
      </c>
      <c r="F2003" s="1">
        <v>44571</v>
      </c>
      <c r="G2003">
        <v>1</v>
      </c>
      <c r="H2003">
        <v>1</v>
      </c>
      <c r="I2003">
        <v>5</v>
      </c>
      <c r="J2003">
        <v>4</v>
      </c>
      <c r="K2003">
        <v>0</v>
      </c>
      <c r="L2003">
        <v>653</v>
      </c>
      <c r="M2003">
        <v>45</v>
      </c>
      <c r="N2003" s="1">
        <f t="shared" si="248"/>
        <v>44938</v>
      </c>
      <c r="O2003" s="1">
        <f t="shared" si="249"/>
        <v>43101</v>
      </c>
      <c r="P2003" s="1">
        <f t="shared" si="250"/>
        <v>44835</v>
      </c>
      <c r="Q2003" s="8">
        <f t="shared" si="251"/>
        <v>0</v>
      </c>
      <c r="R2003" s="8">
        <f t="shared" si="252"/>
        <v>58</v>
      </c>
      <c r="S2003" s="8">
        <f t="shared" ca="1" si="253"/>
        <v>58</v>
      </c>
      <c r="T2003">
        <f t="shared" ca="1" si="254"/>
        <v>1.7642888862209816</v>
      </c>
      <c r="U2003" s="8">
        <f t="shared" ca="1" si="255"/>
        <v>1.3550182560431465</v>
      </c>
      <c r="V2003" s="8">
        <f ca="1">RawData[[#This Row],[Z (smoothed demand size)]]/RawData[[#This Row],[X (smoothed interval)]]</f>
        <v>1.3020406760961034</v>
      </c>
    </row>
    <row r="2004" spans="1:22">
      <c r="A2004" t="s">
        <v>46</v>
      </c>
      <c r="B2004" t="s">
        <v>39</v>
      </c>
      <c r="C2004">
        <v>21</v>
      </c>
      <c r="D2004" t="s">
        <v>18</v>
      </c>
      <c r="E2004" t="s">
        <v>16</v>
      </c>
      <c r="F2004" s="1">
        <v>44572</v>
      </c>
      <c r="G2004">
        <v>2</v>
      </c>
      <c r="H2004">
        <v>2</v>
      </c>
      <c r="I2004">
        <v>4</v>
      </c>
      <c r="J2004">
        <v>2</v>
      </c>
      <c r="K2004">
        <v>0</v>
      </c>
      <c r="L2004">
        <v>657</v>
      </c>
      <c r="M2004">
        <v>60</v>
      </c>
      <c r="N2004" s="1">
        <f t="shared" si="248"/>
        <v>44938</v>
      </c>
      <c r="O2004" s="1">
        <f t="shared" si="249"/>
        <v>43101</v>
      </c>
      <c r="P2004" s="1">
        <f t="shared" si="250"/>
        <v>44866</v>
      </c>
      <c r="Q2004" s="8">
        <f t="shared" si="251"/>
        <v>0</v>
      </c>
      <c r="R2004" s="8">
        <f t="shared" si="252"/>
        <v>59</v>
      </c>
      <c r="S2004" s="8">
        <f t="shared" ca="1" si="253"/>
        <v>59</v>
      </c>
      <c r="T2004">
        <f t="shared" ca="1" si="254"/>
        <v>1.8114311089767852</v>
      </c>
      <c r="U2004" s="8">
        <f t="shared" ca="1" si="255"/>
        <v>1.2840146048345171</v>
      </c>
      <c r="V2004" s="8">
        <f ca="1">RawData[[#This Row],[Z (smoothed demand size)]]/RawData[[#This Row],[X (smoothed interval)]]</f>
        <v>1.4107558451099091</v>
      </c>
    </row>
    <row r="2005" spans="1:22">
      <c r="A2005" t="s">
        <v>46</v>
      </c>
      <c r="B2005" t="s">
        <v>39</v>
      </c>
      <c r="C2005">
        <v>21</v>
      </c>
      <c r="D2005" t="s">
        <v>18</v>
      </c>
      <c r="E2005" t="s">
        <v>16</v>
      </c>
      <c r="F2005" s="1">
        <v>44573</v>
      </c>
      <c r="G2005">
        <v>0</v>
      </c>
      <c r="H2005">
        <v>0</v>
      </c>
      <c r="I2005">
        <v>2</v>
      </c>
      <c r="J2005">
        <v>2</v>
      </c>
      <c r="K2005">
        <v>0</v>
      </c>
      <c r="L2005">
        <v>752</v>
      </c>
      <c r="M2005">
        <v>45</v>
      </c>
      <c r="N2005" s="1">
        <f t="shared" si="248"/>
        <v>44938</v>
      </c>
      <c r="O2005" s="1">
        <f t="shared" si="249"/>
        <v>43101</v>
      </c>
      <c r="P2005" s="1">
        <f t="shared" si="250"/>
        <v>44896</v>
      </c>
      <c r="Q2005" s="8">
        <f t="shared" si="251"/>
        <v>0</v>
      </c>
      <c r="R2005" s="8">
        <f t="shared" si="252"/>
        <v>60</v>
      </c>
      <c r="S2005" s="8">
        <f t="shared" ca="1" si="253"/>
        <v>59</v>
      </c>
      <c r="T2005">
        <f t="shared" ca="1" si="254"/>
        <v>1.8114311089767852</v>
      </c>
      <c r="U2005" s="8">
        <f t="shared" ca="1" si="255"/>
        <v>1.2840146048345171</v>
      </c>
      <c r="V2005" s="8">
        <f ca="1">RawData[[#This Row],[Z (smoothed demand size)]]/RawData[[#This Row],[X (smoothed interval)]]</f>
        <v>1.4107558451099091</v>
      </c>
    </row>
    <row r="2006" spans="1:22">
      <c r="A2006" t="s">
        <v>46</v>
      </c>
      <c r="B2006" t="s">
        <v>39</v>
      </c>
      <c r="C2006">
        <v>21</v>
      </c>
      <c r="D2006" t="s">
        <v>18</v>
      </c>
      <c r="E2006" t="s">
        <v>16</v>
      </c>
      <c r="F2006" s="1">
        <v>44927</v>
      </c>
      <c r="G2006">
        <v>3</v>
      </c>
      <c r="H2006">
        <v>3</v>
      </c>
      <c r="I2006">
        <v>10</v>
      </c>
      <c r="J2006">
        <v>7</v>
      </c>
      <c r="K2006">
        <v>0</v>
      </c>
      <c r="L2006">
        <v>645</v>
      </c>
      <c r="M2006">
        <v>30</v>
      </c>
      <c r="N2006" s="1">
        <f t="shared" si="248"/>
        <v>44938</v>
      </c>
      <c r="O2006" s="1">
        <f t="shared" si="249"/>
        <v>43101</v>
      </c>
      <c r="P2006" s="1">
        <f t="shared" si="250"/>
        <v>44927</v>
      </c>
      <c r="Q2006" s="8">
        <f t="shared" si="251"/>
        <v>0</v>
      </c>
      <c r="R2006" s="8">
        <f t="shared" si="252"/>
        <v>61</v>
      </c>
      <c r="S2006" s="8">
        <f t="shared" ca="1" si="253"/>
        <v>61</v>
      </c>
      <c r="T2006">
        <f t="shared" ca="1" si="254"/>
        <v>2.0491448871814284</v>
      </c>
      <c r="U2006" s="8">
        <f t="shared" ca="1" si="255"/>
        <v>1.4272116838676139</v>
      </c>
      <c r="V2006" s="8">
        <f ca="1">RawData[[#This Row],[Z (smoothed demand size)]]/RawData[[#This Row],[X (smoothed interval)]]</f>
        <v>1.4357680155955788</v>
      </c>
    </row>
    <row r="2007" spans="1:22">
      <c r="A2007" t="s">
        <v>46</v>
      </c>
      <c r="B2007" t="s">
        <v>39</v>
      </c>
      <c r="C2007">
        <v>21</v>
      </c>
      <c r="D2007" t="s">
        <v>18</v>
      </c>
      <c r="E2007" t="s">
        <v>16</v>
      </c>
      <c r="F2007" s="1">
        <v>44928</v>
      </c>
      <c r="G2007">
        <v>0</v>
      </c>
      <c r="H2007">
        <v>0</v>
      </c>
      <c r="I2007">
        <v>7</v>
      </c>
      <c r="J2007">
        <v>7</v>
      </c>
      <c r="K2007">
        <v>0</v>
      </c>
      <c r="L2007">
        <v>660</v>
      </c>
      <c r="M2007">
        <v>45</v>
      </c>
      <c r="N2007" s="1">
        <f t="shared" si="248"/>
        <v>44938</v>
      </c>
      <c r="O2007" s="1">
        <f t="shared" si="249"/>
        <v>43101</v>
      </c>
      <c r="P2007" s="1">
        <f t="shared" si="250"/>
        <v>44958</v>
      </c>
      <c r="Q2007" s="8">
        <f t="shared" si="251"/>
        <v>0</v>
      </c>
      <c r="R2007" s="8">
        <f t="shared" si="252"/>
        <v>62</v>
      </c>
      <c r="S2007" s="8">
        <f t="shared" ca="1" si="253"/>
        <v>61</v>
      </c>
      <c r="T2007">
        <f t="shared" ca="1" si="254"/>
        <v>2.0491448871814284</v>
      </c>
      <c r="U2007" s="8">
        <f t="shared" ca="1" si="255"/>
        <v>1.4272116838676139</v>
      </c>
      <c r="V2007" s="8">
        <f ca="1">RawData[[#This Row],[Z (smoothed demand size)]]/RawData[[#This Row],[X (smoothed interval)]]</f>
        <v>1.4357680155955788</v>
      </c>
    </row>
    <row r="2008" spans="1:22">
      <c r="A2008" t="s">
        <v>46</v>
      </c>
      <c r="B2008" t="s">
        <v>39</v>
      </c>
      <c r="C2008">
        <v>21</v>
      </c>
      <c r="D2008" t="s">
        <v>18</v>
      </c>
      <c r="E2008" t="s">
        <v>16</v>
      </c>
      <c r="F2008" s="1">
        <v>44929</v>
      </c>
      <c r="G2008">
        <v>4</v>
      </c>
      <c r="H2008">
        <v>4</v>
      </c>
      <c r="I2008">
        <v>7</v>
      </c>
      <c r="J2008">
        <v>3</v>
      </c>
      <c r="K2008">
        <v>0</v>
      </c>
      <c r="L2008">
        <v>659</v>
      </c>
      <c r="M2008">
        <v>45</v>
      </c>
      <c r="N2008" s="1">
        <f t="shared" si="248"/>
        <v>44938</v>
      </c>
      <c r="O2008" s="1">
        <f t="shared" si="249"/>
        <v>43101</v>
      </c>
      <c r="P2008" s="1">
        <f t="shared" si="250"/>
        <v>44986</v>
      </c>
      <c r="Q2008" s="8">
        <f t="shared" si="251"/>
        <v>0</v>
      </c>
      <c r="R2008" s="8">
        <f t="shared" si="252"/>
        <v>63</v>
      </c>
      <c r="S2008" s="8">
        <f t="shared" ca="1" si="253"/>
        <v>63</v>
      </c>
      <c r="T2008">
        <f t="shared" ca="1" si="254"/>
        <v>2.4393159097451429</v>
      </c>
      <c r="U2008" s="8">
        <f t="shared" ca="1" si="255"/>
        <v>1.5417693470940912</v>
      </c>
      <c r="V2008" s="8">
        <f ca="1">RawData[[#This Row],[Z (smoothed demand size)]]/RawData[[#This Row],[X (smoothed interval)]]</f>
        <v>1.5821535914841847</v>
      </c>
    </row>
    <row r="2009" spans="1:22">
      <c r="A2009" t="s">
        <v>46</v>
      </c>
      <c r="B2009" t="s">
        <v>39</v>
      </c>
      <c r="C2009">
        <v>21</v>
      </c>
      <c r="D2009" t="s">
        <v>18</v>
      </c>
      <c r="E2009" t="s">
        <v>16</v>
      </c>
      <c r="F2009" s="1">
        <v>44930</v>
      </c>
      <c r="G2009">
        <v>0</v>
      </c>
      <c r="H2009">
        <v>0</v>
      </c>
      <c r="I2009">
        <v>3</v>
      </c>
      <c r="J2009">
        <v>3</v>
      </c>
      <c r="K2009">
        <v>0</v>
      </c>
      <c r="L2009">
        <v>650</v>
      </c>
      <c r="M2009">
        <v>45</v>
      </c>
      <c r="N2009" s="1">
        <f t="shared" si="248"/>
        <v>44938</v>
      </c>
      <c r="O2009" s="1">
        <f t="shared" si="249"/>
        <v>43101</v>
      </c>
      <c r="P2009" s="1">
        <f t="shared" si="250"/>
        <v>45017</v>
      </c>
      <c r="Q2009" s="8">
        <f t="shared" si="251"/>
        <v>0</v>
      </c>
      <c r="R2009" s="8">
        <f t="shared" si="252"/>
        <v>64</v>
      </c>
      <c r="S2009" s="8">
        <f t="shared" ca="1" si="253"/>
        <v>63</v>
      </c>
      <c r="T2009">
        <f t="shared" ca="1" si="254"/>
        <v>2.4393159097451429</v>
      </c>
      <c r="U2009" s="8">
        <f t="shared" ca="1" si="255"/>
        <v>1.5417693470940912</v>
      </c>
      <c r="V2009" s="8">
        <f ca="1">RawData[[#This Row],[Z (smoothed demand size)]]/RawData[[#This Row],[X (smoothed interval)]]</f>
        <v>1.5821535914841847</v>
      </c>
    </row>
    <row r="2010" spans="1:22">
      <c r="A2010" t="s">
        <v>46</v>
      </c>
      <c r="B2010" t="s">
        <v>39</v>
      </c>
      <c r="C2010">
        <v>21</v>
      </c>
      <c r="D2010" t="s">
        <v>18</v>
      </c>
      <c r="E2010" t="s">
        <v>16</v>
      </c>
      <c r="F2010" s="1">
        <v>44931</v>
      </c>
      <c r="G2010">
        <v>0</v>
      </c>
      <c r="H2010">
        <v>0</v>
      </c>
      <c r="I2010">
        <v>14</v>
      </c>
      <c r="J2010">
        <v>14</v>
      </c>
      <c r="K2010">
        <v>0</v>
      </c>
      <c r="L2010">
        <v>650</v>
      </c>
      <c r="M2010">
        <v>15</v>
      </c>
      <c r="N2010" s="1">
        <f t="shared" si="248"/>
        <v>44938</v>
      </c>
      <c r="O2010" s="1">
        <f t="shared" si="249"/>
        <v>43101</v>
      </c>
      <c r="P2010" s="1">
        <f t="shared" si="250"/>
        <v>45047</v>
      </c>
      <c r="Q2010" s="8">
        <f t="shared" si="251"/>
        <v>0</v>
      </c>
      <c r="R2010" s="8">
        <f t="shared" si="252"/>
        <v>65</v>
      </c>
      <c r="S2010" s="8">
        <f t="shared" ca="1" si="253"/>
        <v>63</v>
      </c>
      <c r="T2010">
        <f t="shared" ca="1" si="254"/>
        <v>2.4393159097451429</v>
      </c>
      <c r="U2010" s="8">
        <f t="shared" ca="1" si="255"/>
        <v>1.5417693470940912</v>
      </c>
      <c r="V2010" s="8">
        <f ca="1">RawData[[#This Row],[Z (smoothed demand size)]]/RawData[[#This Row],[X (smoothed interval)]]</f>
        <v>1.5821535914841847</v>
      </c>
    </row>
    <row r="2011" spans="1:22">
      <c r="A2011" t="s">
        <v>46</v>
      </c>
      <c r="B2011" t="s">
        <v>39</v>
      </c>
      <c r="C2011">
        <v>21</v>
      </c>
      <c r="D2011" t="s">
        <v>18</v>
      </c>
      <c r="E2011" t="s">
        <v>16</v>
      </c>
      <c r="F2011" s="1">
        <v>44932</v>
      </c>
      <c r="G2011">
        <v>0</v>
      </c>
      <c r="H2011">
        <v>0</v>
      </c>
      <c r="I2011">
        <v>14</v>
      </c>
      <c r="J2011">
        <v>14</v>
      </c>
      <c r="K2011">
        <v>0</v>
      </c>
      <c r="L2011">
        <v>757</v>
      </c>
      <c r="M2011">
        <v>15</v>
      </c>
      <c r="N2011" s="1">
        <f t="shared" si="248"/>
        <v>44938</v>
      </c>
      <c r="O2011" s="1">
        <f t="shared" si="249"/>
        <v>43101</v>
      </c>
      <c r="P2011" s="1">
        <f t="shared" si="250"/>
        <v>45078</v>
      </c>
      <c r="Q2011" s="8">
        <f t="shared" si="251"/>
        <v>0</v>
      </c>
      <c r="R2011" s="8">
        <f t="shared" si="252"/>
        <v>66</v>
      </c>
      <c r="S2011" s="8">
        <f t="shared" ca="1" si="253"/>
        <v>63</v>
      </c>
      <c r="T2011">
        <f t="shared" ca="1" si="254"/>
        <v>2.4393159097451429</v>
      </c>
      <c r="U2011" s="8">
        <f t="shared" ca="1" si="255"/>
        <v>1.5417693470940912</v>
      </c>
      <c r="V2011" s="8">
        <f ca="1">RawData[[#This Row],[Z (smoothed demand size)]]/RawData[[#This Row],[X (smoothed interval)]]</f>
        <v>1.5821535914841847</v>
      </c>
    </row>
    <row r="2012" spans="1:22">
      <c r="A2012" t="s">
        <v>46</v>
      </c>
      <c r="B2012" t="s">
        <v>39</v>
      </c>
      <c r="C2012">
        <v>21</v>
      </c>
      <c r="D2012" t="s">
        <v>18</v>
      </c>
      <c r="E2012" t="s">
        <v>16</v>
      </c>
      <c r="F2012" s="1">
        <v>44933</v>
      </c>
      <c r="G2012">
        <v>1</v>
      </c>
      <c r="H2012">
        <v>1</v>
      </c>
      <c r="I2012">
        <v>14</v>
      </c>
      <c r="J2012">
        <v>13</v>
      </c>
      <c r="K2012">
        <v>0</v>
      </c>
      <c r="L2012">
        <v>766</v>
      </c>
      <c r="M2012">
        <v>45</v>
      </c>
      <c r="N2012" s="1">
        <f t="shared" si="248"/>
        <v>44938</v>
      </c>
      <c r="O2012" s="1">
        <f t="shared" si="249"/>
        <v>43101</v>
      </c>
      <c r="P2012" s="1">
        <f t="shared" si="250"/>
        <v>45108</v>
      </c>
      <c r="Q2012" s="8">
        <f t="shared" si="251"/>
        <v>0</v>
      </c>
      <c r="R2012" s="8">
        <f t="shared" si="252"/>
        <v>67</v>
      </c>
      <c r="S2012" s="8">
        <f t="shared" ca="1" si="253"/>
        <v>67</v>
      </c>
      <c r="T2012">
        <f t="shared" ca="1" si="254"/>
        <v>2.1514527277961144</v>
      </c>
      <c r="U2012" s="8">
        <f t="shared" ca="1" si="255"/>
        <v>2.0334154776752733</v>
      </c>
      <c r="V2012" s="8">
        <f ca="1">RawData[[#This Row],[Z (smoothed demand size)]]/RawData[[#This Row],[X (smoothed interval)]]</f>
        <v>1.0580487615132095</v>
      </c>
    </row>
    <row r="2013" spans="1:22">
      <c r="A2013" t="s">
        <v>46</v>
      </c>
      <c r="B2013" t="s">
        <v>39</v>
      </c>
      <c r="C2013">
        <v>21</v>
      </c>
      <c r="D2013" t="s">
        <v>18</v>
      </c>
      <c r="E2013" t="s">
        <v>16</v>
      </c>
      <c r="F2013" s="1">
        <v>44934</v>
      </c>
      <c r="G2013">
        <v>1</v>
      </c>
      <c r="H2013">
        <v>1</v>
      </c>
      <c r="I2013">
        <v>13</v>
      </c>
      <c r="J2013">
        <v>12</v>
      </c>
      <c r="K2013">
        <v>0</v>
      </c>
      <c r="L2013">
        <v>761</v>
      </c>
      <c r="M2013">
        <v>30</v>
      </c>
      <c r="N2013" s="1">
        <f t="shared" si="248"/>
        <v>44938</v>
      </c>
      <c r="O2013" s="1">
        <f t="shared" si="249"/>
        <v>43101</v>
      </c>
      <c r="P2013" s="1">
        <f t="shared" si="250"/>
        <v>45139</v>
      </c>
      <c r="Q2013" s="8">
        <f t="shared" si="251"/>
        <v>0</v>
      </c>
      <c r="R2013" s="8">
        <f t="shared" si="252"/>
        <v>68</v>
      </c>
      <c r="S2013" s="8">
        <f t="shared" ca="1" si="253"/>
        <v>68</v>
      </c>
      <c r="T2013">
        <f t="shared" ca="1" si="254"/>
        <v>1.9211621822368916</v>
      </c>
      <c r="U2013" s="8">
        <f t="shared" ca="1" si="255"/>
        <v>1.8267323821402186</v>
      </c>
      <c r="V2013" s="8">
        <f ca="1">RawData[[#This Row],[Z (smoothed demand size)]]/RawData[[#This Row],[X (smoothed interval)]]</f>
        <v>1.0516932863400812</v>
      </c>
    </row>
    <row r="2014" spans="1:22">
      <c r="A2014" t="s">
        <v>46</v>
      </c>
      <c r="B2014" t="s">
        <v>39</v>
      </c>
      <c r="C2014">
        <v>21</v>
      </c>
      <c r="D2014" t="s">
        <v>18</v>
      </c>
      <c r="E2014" t="s">
        <v>16</v>
      </c>
      <c r="F2014" s="1">
        <v>44935</v>
      </c>
      <c r="G2014">
        <v>7</v>
      </c>
      <c r="H2014">
        <v>7</v>
      </c>
      <c r="I2014">
        <v>12</v>
      </c>
      <c r="J2014">
        <v>5</v>
      </c>
      <c r="K2014">
        <v>0</v>
      </c>
      <c r="L2014">
        <v>663</v>
      </c>
      <c r="M2014">
        <v>30</v>
      </c>
      <c r="N2014" s="1">
        <f t="shared" si="248"/>
        <v>44938</v>
      </c>
      <c r="O2014" s="1">
        <f t="shared" si="249"/>
        <v>43101</v>
      </c>
      <c r="P2014" s="1">
        <f t="shared" si="250"/>
        <v>45170</v>
      </c>
      <c r="Q2014" s="8">
        <f t="shared" si="251"/>
        <v>0</v>
      </c>
      <c r="R2014" s="8">
        <f t="shared" si="252"/>
        <v>69</v>
      </c>
      <c r="S2014" s="8">
        <f t="shared" ca="1" si="253"/>
        <v>69</v>
      </c>
      <c r="T2014">
        <f t="shared" ca="1" si="254"/>
        <v>2.9369297457895138</v>
      </c>
      <c r="U2014" s="8">
        <f t="shared" ca="1" si="255"/>
        <v>1.6613859057121749</v>
      </c>
      <c r="V2014" s="8">
        <f ca="1">RawData[[#This Row],[Z (smoothed demand size)]]/RawData[[#This Row],[X (smoothed interval)]]</f>
        <v>1.76775891482633</v>
      </c>
    </row>
    <row r="2015" spans="1:22">
      <c r="A2015" t="s">
        <v>46</v>
      </c>
      <c r="B2015" t="s">
        <v>39</v>
      </c>
      <c r="C2015">
        <v>21</v>
      </c>
      <c r="D2015" t="s">
        <v>18</v>
      </c>
      <c r="E2015" t="s">
        <v>16</v>
      </c>
      <c r="F2015" s="1">
        <v>44936</v>
      </c>
      <c r="G2015">
        <v>2</v>
      </c>
      <c r="H2015">
        <v>2</v>
      </c>
      <c r="I2015">
        <v>5</v>
      </c>
      <c r="J2015">
        <v>3</v>
      </c>
      <c r="K2015">
        <v>0</v>
      </c>
      <c r="L2015">
        <v>653</v>
      </c>
      <c r="M2015">
        <v>15</v>
      </c>
      <c r="N2015" s="1">
        <f t="shared" si="248"/>
        <v>44938</v>
      </c>
      <c r="O2015" s="1">
        <f t="shared" si="249"/>
        <v>43101</v>
      </c>
      <c r="P2015" s="1">
        <f t="shared" si="250"/>
        <v>45200</v>
      </c>
      <c r="Q2015" s="8">
        <f t="shared" si="251"/>
        <v>0</v>
      </c>
      <c r="R2015" s="8">
        <f t="shared" si="252"/>
        <v>70</v>
      </c>
      <c r="S2015" s="8">
        <f t="shared" ca="1" si="253"/>
        <v>70</v>
      </c>
      <c r="T2015">
        <f t="shared" ca="1" si="254"/>
        <v>2.749543796631611</v>
      </c>
      <c r="U2015" s="8">
        <f t="shared" ca="1" si="255"/>
        <v>1.5291087245697399</v>
      </c>
      <c r="V2015" s="8">
        <f ca="1">RawData[[#This Row],[Z (smoothed demand size)]]/RawData[[#This Row],[X (smoothed interval)]]</f>
        <v>1.7981349216389284</v>
      </c>
    </row>
    <row r="2016" spans="1:22">
      <c r="A2016" t="s">
        <v>46</v>
      </c>
      <c r="B2016" t="s">
        <v>39</v>
      </c>
      <c r="C2016">
        <v>21</v>
      </c>
      <c r="D2016" t="s">
        <v>18</v>
      </c>
      <c r="E2016" t="s">
        <v>16</v>
      </c>
      <c r="F2016" s="1">
        <v>44937</v>
      </c>
      <c r="G2016">
        <v>2</v>
      </c>
      <c r="H2016">
        <v>2</v>
      </c>
      <c r="I2016">
        <v>15</v>
      </c>
      <c r="J2016">
        <v>13</v>
      </c>
      <c r="K2016">
        <v>0</v>
      </c>
      <c r="L2016">
        <v>658</v>
      </c>
      <c r="M2016">
        <v>15</v>
      </c>
      <c r="N2016" s="1">
        <f t="shared" si="248"/>
        <v>44938</v>
      </c>
      <c r="O2016" s="1">
        <f t="shared" si="249"/>
        <v>43101</v>
      </c>
      <c r="P2016" s="1">
        <f t="shared" si="250"/>
        <v>45231</v>
      </c>
      <c r="Q2016" s="8">
        <f t="shared" si="251"/>
        <v>0</v>
      </c>
      <c r="R2016" s="8">
        <f t="shared" si="252"/>
        <v>71</v>
      </c>
      <c r="S2016" s="8">
        <f t="shared" ca="1" si="253"/>
        <v>71</v>
      </c>
      <c r="T2016">
        <f t="shared" ca="1" si="254"/>
        <v>2.5996350373052888</v>
      </c>
      <c r="U2016" s="8">
        <f t="shared" ca="1" si="255"/>
        <v>1.4232869796557919</v>
      </c>
      <c r="V2016" s="8">
        <f ca="1">RawData[[#This Row],[Z (smoothed demand size)]]/RawData[[#This Row],[X (smoothed interval)]]</f>
        <v>1.8265009618327186</v>
      </c>
    </row>
    <row r="2017" spans="1:22">
      <c r="A2017" t="s">
        <v>46</v>
      </c>
      <c r="B2017" t="s">
        <v>39</v>
      </c>
      <c r="C2017">
        <v>21</v>
      </c>
      <c r="D2017" t="s">
        <v>18</v>
      </c>
      <c r="E2017" t="s">
        <v>16</v>
      </c>
      <c r="F2017" s="1">
        <v>44938</v>
      </c>
      <c r="G2017">
        <v>0</v>
      </c>
      <c r="H2017">
        <v>0</v>
      </c>
      <c r="I2017">
        <v>13</v>
      </c>
      <c r="J2017">
        <v>13</v>
      </c>
      <c r="K2017">
        <v>0</v>
      </c>
      <c r="L2017">
        <v>752</v>
      </c>
      <c r="M2017">
        <v>15</v>
      </c>
      <c r="N2017" s="1">
        <f t="shared" si="248"/>
        <v>44938</v>
      </c>
      <c r="O2017" s="1">
        <f t="shared" si="249"/>
        <v>43101</v>
      </c>
      <c r="P2017" s="1">
        <f t="shared" si="250"/>
        <v>45261</v>
      </c>
      <c r="Q2017" s="8">
        <f t="shared" si="251"/>
        <v>0</v>
      </c>
      <c r="R2017" s="8">
        <f t="shared" si="252"/>
        <v>72</v>
      </c>
      <c r="S2017" s="8">
        <f t="shared" ca="1" si="253"/>
        <v>71</v>
      </c>
      <c r="T2017">
        <f t="shared" ca="1" si="254"/>
        <v>2.5996350373052888</v>
      </c>
      <c r="U2017" s="8">
        <f t="shared" ca="1" si="255"/>
        <v>1.4232869796557919</v>
      </c>
      <c r="V2017" s="8">
        <f ca="1">RawData[[#This Row],[Z (smoothed demand size)]]/RawData[[#This Row],[X (smoothed interval)]]</f>
        <v>1.8265009618327186</v>
      </c>
    </row>
    <row r="2018" spans="1:22">
      <c r="A2018" t="s">
        <v>47</v>
      </c>
      <c r="B2018" t="s">
        <v>39</v>
      </c>
      <c r="C2018">
        <v>32</v>
      </c>
      <c r="D2018" t="s">
        <v>18</v>
      </c>
      <c r="E2018" t="s">
        <v>16</v>
      </c>
      <c r="F2018" s="1">
        <v>43101</v>
      </c>
      <c r="G2018">
        <v>4</v>
      </c>
      <c r="H2018">
        <v>4</v>
      </c>
      <c r="I2018">
        <v>17</v>
      </c>
      <c r="J2018">
        <v>13</v>
      </c>
      <c r="K2018">
        <v>0</v>
      </c>
      <c r="L2018">
        <v>415</v>
      </c>
      <c r="M2018">
        <v>30</v>
      </c>
      <c r="N2018" s="1">
        <f t="shared" si="248"/>
        <v>44938</v>
      </c>
      <c r="O2018" s="1">
        <f t="shared" si="249"/>
        <v>43101</v>
      </c>
      <c r="P2018" s="1">
        <f t="shared" si="250"/>
        <v>43101</v>
      </c>
      <c r="Q2018" s="8">
        <f t="shared" si="251"/>
        <v>1</v>
      </c>
      <c r="R2018" s="8">
        <f t="shared" si="252"/>
        <v>1</v>
      </c>
      <c r="S2018" s="8">
        <f t="shared" ca="1" si="253"/>
        <v>1</v>
      </c>
      <c r="T2018">
        <f t="shared" ca="1" si="254"/>
        <v>4</v>
      </c>
      <c r="U2018" s="8">
        <f t="shared" ca="1" si="255"/>
        <v>1</v>
      </c>
      <c r="V2018" s="8">
        <f ca="1">RawData[[#This Row],[Z (smoothed demand size)]]/RawData[[#This Row],[X (smoothed interval)]]</f>
        <v>4</v>
      </c>
    </row>
    <row r="2019" spans="1:22">
      <c r="A2019" t="s">
        <v>47</v>
      </c>
      <c r="B2019" t="s">
        <v>39</v>
      </c>
      <c r="C2019">
        <v>32</v>
      </c>
      <c r="D2019" t="s">
        <v>18</v>
      </c>
      <c r="E2019" t="s">
        <v>16</v>
      </c>
      <c r="F2019" s="1">
        <v>43102</v>
      </c>
      <c r="G2019">
        <v>5</v>
      </c>
      <c r="H2019">
        <v>5</v>
      </c>
      <c r="I2019">
        <v>13</v>
      </c>
      <c r="J2019">
        <v>8</v>
      </c>
      <c r="K2019">
        <v>0</v>
      </c>
      <c r="L2019">
        <v>426</v>
      </c>
      <c r="M2019">
        <v>60</v>
      </c>
      <c r="N2019" s="1">
        <f t="shared" si="248"/>
        <v>44938</v>
      </c>
      <c r="O2019" s="1">
        <f t="shared" si="249"/>
        <v>43101</v>
      </c>
      <c r="P2019" s="1">
        <f t="shared" si="250"/>
        <v>43132</v>
      </c>
      <c r="Q2019" s="8">
        <f t="shared" si="251"/>
        <v>0</v>
      </c>
      <c r="R2019" s="8">
        <f t="shared" si="252"/>
        <v>2</v>
      </c>
      <c r="S2019" s="8">
        <f t="shared" ca="1" si="253"/>
        <v>2</v>
      </c>
      <c r="T2019">
        <f t="shared" ca="1" si="254"/>
        <v>4.2</v>
      </c>
      <c r="U2019" s="8">
        <f t="shared" ca="1" si="255"/>
        <v>1</v>
      </c>
      <c r="V2019" s="8">
        <f ca="1">RawData[[#This Row],[Z (smoothed demand size)]]/RawData[[#This Row],[X (smoothed interval)]]</f>
        <v>4.2</v>
      </c>
    </row>
    <row r="2020" spans="1:22">
      <c r="A2020" t="s">
        <v>47</v>
      </c>
      <c r="B2020" t="s">
        <v>39</v>
      </c>
      <c r="C2020">
        <v>32</v>
      </c>
      <c r="D2020" t="s">
        <v>18</v>
      </c>
      <c r="E2020" t="s">
        <v>16</v>
      </c>
      <c r="F2020" s="1">
        <v>43103</v>
      </c>
      <c r="G2020">
        <v>1</v>
      </c>
      <c r="H2020">
        <v>1</v>
      </c>
      <c r="I2020">
        <v>8</v>
      </c>
      <c r="J2020">
        <v>7</v>
      </c>
      <c r="K2020">
        <v>0</v>
      </c>
      <c r="L2020">
        <v>426</v>
      </c>
      <c r="M2020">
        <v>45</v>
      </c>
      <c r="N2020" s="1">
        <f t="shared" si="248"/>
        <v>44938</v>
      </c>
      <c r="O2020" s="1">
        <f t="shared" si="249"/>
        <v>43101</v>
      </c>
      <c r="P2020" s="1">
        <f t="shared" si="250"/>
        <v>43160</v>
      </c>
      <c r="Q2020" s="8">
        <f t="shared" si="251"/>
        <v>0</v>
      </c>
      <c r="R2020" s="8">
        <f t="shared" si="252"/>
        <v>3</v>
      </c>
      <c r="S2020" s="8">
        <f t="shared" ca="1" si="253"/>
        <v>3</v>
      </c>
      <c r="T2020">
        <f t="shared" ca="1" si="254"/>
        <v>3.5600000000000005</v>
      </c>
      <c r="U2020" s="8">
        <f t="shared" ca="1" si="255"/>
        <v>1</v>
      </c>
      <c r="V2020" s="8">
        <f ca="1">RawData[[#This Row],[Z (smoothed demand size)]]/RawData[[#This Row],[X (smoothed interval)]]</f>
        <v>3.5600000000000005</v>
      </c>
    </row>
    <row r="2021" spans="1:22">
      <c r="A2021" t="s">
        <v>47</v>
      </c>
      <c r="B2021" t="s">
        <v>39</v>
      </c>
      <c r="C2021">
        <v>32</v>
      </c>
      <c r="D2021" t="s">
        <v>18</v>
      </c>
      <c r="E2021" t="s">
        <v>16</v>
      </c>
      <c r="F2021" s="1">
        <v>43104</v>
      </c>
      <c r="G2021">
        <v>3</v>
      </c>
      <c r="H2021">
        <v>3</v>
      </c>
      <c r="I2021">
        <v>7</v>
      </c>
      <c r="J2021">
        <v>4</v>
      </c>
      <c r="K2021">
        <v>0</v>
      </c>
      <c r="L2021">
        <v>422</v>
      </c>
      <c r="M2021">
        <v>45</v>
      </c>
      <c r="N2021" s="1">
        <f t="shared" si="248"/>
        <v>44938</v>
      </c>
      <c r="O2021" s="1">
        <f t="shared" si="249"/>
        <v>43101</v>
      </c>
      <c r="P2021" s="1">
        <f t="shared" si="250"/>
        <v>43191</v>
      </c>
      <c r="Q2021" s="8">
        <f t="shared" si="251"/>
        <v>0</v>
      </c>
      <c r="R2021" s="8">
        <f t="shared" si="252"/>
        <v>4</v>
      </c>
      <c r="S2021" s="8">
        <f t="shared" ca="1" si="253"/>
        <v>4</v>
      </c>
      <c r="T2021">
        <f t="shared" ca="1" si="254"/>
        <v>3.4480000000000008</v>
      </c>
      <c r="U2021" s="8">
        <f t="shared" ca="1" si="255"/>
        <v>1</v>
      </c>
      <c r="V2021" s="8">
        <f ca="1">RawData[[#This Row],[Z (smoothed demand size)]]/RawData[[#This Row],[X (smoothed interval)]]</f>
        <v>3.4480000000000008</v>
      </c>
    </row>
    <row r="2022" spans="1:22">
      <c r="A2022" t="s">
        <v>47</v>
      </c>
      <c r="B2022" t="s">
        <v>39</v>
      </c>
      <c r="C2022">
        <v>32</v>
      </c>
      <c r="D2022" t="s">
        <v>18</v>
      </c>
      <c r="E2022" t="s">
        <v>16</v>
      </c>
      <c r="F2022" s="1">
        <v>43105</v>
      </c>
      <c r="G2022">
        <v>0</v>
      </c>
      <c r="H2022">
        <v>0</v>
      </c>
      <c r="I2022">
        <v>4</v>
      </c>
      <c r="J2022">
        <v>4</v>
      </c>
      <c r="K2022">
        <v>0</v>
      </c>
      <c r="L2022">
        <v>425</v>
      </c>
      <c r="M2022">
        <v>60</v>
      </c>
      <c r="N2022" s="1">
        <f t="shared" si="248"/>
        <v>44938</v>
      </c>
      <c r="O2022" s="1">
        <f t="shared" si="249"/>
        <v>43101</v>
      </c>
      <c r="P2022" s="1">
        <f t="shared" si="250"/>
        <v>43221</v>
      </c>
      <c r="Q2022" s="8">
        <f t="shared" si="251"/>
        <v>0</v>
      </c>
      <c r="R2022" s="8">
        <f t="shared" si="252"/>
        <v>5</v>
      </c>
      <c r="S2022" s="8">
        <f t="shared" ca="1" si="253"/>
        <v>4</v>
      </c>
      <c r="T2022">
        <f t="shared" ca="1" si="254"/>
        <v>3.4480000000000008</v>
      </c>
      <c r="U2022" s="8">
        <f t="shared" ca="1" si="255"/>
        <v>1</v>
      </c>
      <c r="V2022" s="8">
        <f ca="1">RawData[[#This Row],[Z (smoothed demand size)]]/RawData[[#This Row],[X (smoothed interval)]]</f>
        <v>3.4480000000000008</v>
      </c>
    </row>
    <row r="2023" spans="1:22">
      <c r="A2023" t="s">
        <v>47</v>
      </c>
      <c r="B2023" t="s">
        <v>39</v>
      </c>
      <c r="C2023">
        <v>32</v>
      </c>
      <c r="D2023" t="s">
        <v>18</v>
      </c>
      <c r="E2023" t="s">
        <v>16</v>
      </c>
      <c r="F2023" s="1">
        <v>43106</v>
      </c>
      <c r="G2023">
        <v>0</v>
      </c>
      <c r="H2023">
        <v>0</v>
      </c>
      <c r="I2023">
        <v>4</v>
      </c>
      <c r="J2023">
        <v>4</v>
      </c>
      <c r="K2023">
        <v>0</v>
      </c>
      <c r="L2023">
        <v>490</v>
      </c>
      <c r="M2023">
        <v>60</v>
      </c>
      <c r="N2023" s="1">
        <f t="shared" si="248"/>
        <v>44938</v>
      </c>
      <c r="O2023" s="1">
        <f t="shared" si="249"/>
        <v>43101</v>
      </c>
      <c r="P2023" s="1">
        <f t="shared" si="250"/>
        <v>43252</v>
      </c>
      <c r="Q2023" s="8">
        <f t="shared" si="251"/>
        <v>0</v>
      </c>
      <c r="R2023" s="8">
        <f t="shared" si="252"/>
        <v>6</v>
      </c>
      <c r="S2023" s="8">
        <f t="shared" ca="1" si="253"/>
        <v>4</v>
      </c>
      <c r="T2023">
        <f t="shared" ca="1" si="254"/>
        <v>3.4480000000000008</v>
      </c>
      <c r="U2023" s="8">
        <f t="shared" ca="1" si="255"/>
        <v>1</v>
      </c>
      <c r="V2023" s="8">
        <f ca="1">RawData[[#This Row],[Z (smoothed demand size)]]/RawData[[#This Row],[X (smoothed interval)]]</f>
        <v>3.4480000000000008</v>
      </c>
    </row>
    <row r="2024" spans="1:22">
      <c r="A2024" t="s">
        <v>47</v>
      </c>
      <c r="B2024" t="s">
        <v>39</v>
      </c>
      <c r="C2024">
        <v>32</v>
      </c>
      <c r="D2024" t="s">
        <v>18</v>
      </c>
      <c r="E2024" t="s">
        <v>16</v>
      </c>
      <c r="F2024" s="1">
        <v>43107</v>
      </c>
      <c r="G2024">
        <v>1</v>
      </c>
      <c r="H2024">
        <v>1</v>
      </c>
      <c r="I2024">
        <v>4</v>
      </c>
      <c r="J2024">
        <v>3</v>
      </c>
      <c r="K2024">
        <v>0</v>
      </c>
      <c r="L2024">
        <v>486</v>
      </c>
      <c r="M2024">
        <v>45</v>
      </c>
      <c r="N2024" s="1">
        <f t="shared" si="248"/>
        <v>44938</v>
      </c>
      <c r="O2024" s="1">
        <f t="shared" si="249"/>
        <v>43101</v>
      </c>
      <c r="P2024" s="1">
        <f t="shared" si="250"/>
        <v>43282</v>
      </c>
      <c r="Q2024" s="8">
        <f t="shared" si="251"/>
        <v>0</v>
      </c>
      <c r="R2024" s="8">
        <f t="shared" si="252"/>
        <v>7</v>
      </c>
      <c r="S2024" s="8">
        <f t="shared" ca="1" si="253"/>
        <v>7</v>
      </c>
      <c r="T2024">
        <f t="shared" ca="1" si="254"/>
        <v>2.958400000000001</v>
      </c>
      <c r="U2024" s="8">
        <f t="shared" ca="1" si="255"/>
        <v>1.4000000000000001</v>
      </c>
      <c r="V2024" s="8">
        <f ca="1">RawData[[#This Row],[Z (smoothed demand size)]]/RawData[[#This Row],[X (smoothed interval)]]</f>
        <v>2.1131428571428579</v>
      </c>
    </row>
    <row r="2025" spans="1:22">
      <c r="A2025" t="s">
        <v>47</v>
      </c>
      <c r="B2025" t="s">
        <v>39</v>
      </c>
      <c r="C2025">
        <v>32</v>
      </c>
      <c r="D2025" t="s">
        <v>18</v>
      </c>
      <c r="E2025" t="s">
        <v>16</v>
      </c>
      <c r="F2025" s="1">
        <v>43108</v>
      </c>
      <c r="G2025">
        <v>0</v>
      </c>
      <c r="H2025">
        <v>0</v>
      </c>
      <c r="I2025">
        <v>3</v>
      </c>
      <c r="J2025">
        <v>3</v>
      </c>
      <c r="K2025">
        <v>0</v>
      </c>
      <c r="L2025">
        <v>485</v>
      </c>
      <c r="M2025">
        <v>45</v>
      </c>
      <c r="N2025" s="1">
        <f t="shared" si="248"/>
        <v>44938</v>
      </c>
      <c r="O2025" s="1">
        <f t="shared" si="249"/>
        <v>43101</v>
      </c>
      <c r="P2025" s="1">
        <f t="shared" si="250"/>
        <v>43313</v>
      </c>
      <c r="Q2025" s="8">
        <f t="shared" si="251"/>
        <v>0</v>
      </c>
      <c r="R2025" s="8">
        <f t="shared" si="252"/>
        <v>8</v>
      </c>
      <c r="S2025" s="8">
        <f t="shared" ca="1" si="253"/>
        <v>7</v>
      </c>
      <c r="T2025">
        <f t="shared" ca="1" si="254"/>
        <v>2.958400000000001</v>
      </c>
      <c r="U2025" s="8">
        <f t="shared" ca="1" si="255"/>
        <v>1.4000000000000001</v>
      </c>
      <c r="V2025" s="8">
        <f ca="1">RawData[[#This Row],[Z (smoothed demand size)]]/RawData[[#This Row],[X (smoothed interval)]]</f>
        <v>2.1131428571428579</v>
      </c>
    </row>
    <row r="2026" spans="1:22">
      <c r="A2026" t="s">
        <v>47</v>
      </c>
      <c r="B2026" t="s">
        <v>39</v>
      </c>
      <c r="C2026">
        <v>32</v>
      </c>
      <c r="D2026" t="s">
        <v>18</v>
      </c>
      <c r="E2026" t="s">
        <v>16</v>
      </c>
      <c r="F2026" s="1">
        <v>43109</v>
      </c>
      <c r="G2026">
        <v>0</v>
      </c>
      <c r="H2026">
        <v>0</v>
      </c>
      <c r="I2026">
        <v>12</v>
      </c>
      <c r="J2026">
        <v>12</v>
      </c>
      <c r="K2026">
        <v>0</v>
      </c>
      <c r="L2026">
        <v>416</v>
      </c>
      <c r="M2026">
        <v>60</v>
      </c>
      <c r="N2026" s="1">
        <f t="shared" si="248"/>
        <v>44938</v>
      </c>
      <c r="O2026" s="1">
        <f t="shared" si="249"/>
        <v>43101</v>
      </c>
      <c r="P2026" s="1">
        <f t="shared" si="250"/>
        <v>43344</v>
      </c>
      <c r="Q2026" s="8">
        <f t="shared" si="251"/>
        <v>0</v>
      </c>
      <c r="R2026" s="8">
        <f t="shared" si="252"/>
        <v>9</v>
      </c>
      <c r="S2026" s="8">
        <f t="shared" ca="1" si="253"/>
        <v>7</v>
      </c>
      <c r="T2026">
        <f t="shared" ca="1" si="254"/>
        <v>2.958400000000001</v>
      </c>
      <c r="U2026" s="8">
        <f t="shared" ca="1" si="255"/>
        <v>1.4000000000000001</v>
      </c>
      <c r="V2026" s="8">
        <f ca="1">RawData[[#This Row],[Z (smoothed demand size)]]/RawData[[#This Row],[X (smoothed interval)]]</f>
        <v>2.1131428571428579</v>
      </c>
    </row>
    <row r="2027" spans="1:22">
      <c r="A2027" t="s">
        <v>47</v>
      </c>
      <c r="B2027" t="s">
        <v>39</v>
      </c>
      <c r="C2027">
        <v>32</v>
      </c>
      <c r="D2027" t="s">
        <v>18</v>
      </c>
      <c r="E2027" t="s">
        <v>16</v>
      </c>
      <c r="F2027" s="1">
        <v>43110</v>
      </c>
      <c r="G2027">
        <v>5</v>
      </c>
      <c r="H2027">
        <v>5</v>
      </c>
      <c r="I2027">
        <v>12</v>
      </c>
      <c r="J2027">
        <v>7</v>
      </c>
      <c r="K2027">
        <v>0</v>
      </c>
      <c r="L2027">
        <v>421</v>
      </c>
      <c r="M2027">
        <v>30</v>
      </c>
      <c r="N2027" s="1">
        <f t="shared" si="248"/>
        <v>44938</v>
      </c>
      <c r="O2027" s="1">
        <f t="shared" si="249"/>
        <v>43101</v>
      </c>
      <c r="P2027" s="1">
        <f t="shared" si="250"/>
        <v>43374</v>
      </c>
      <c r="Q2027" s="8">
        <f t="shared" si="251"/>
        <v>0</v>
      </c>
      <c r="R2027" s="8">
        <f t="shared" si="252"/>
        <v>10</v>
      </c>
      <c r="S2027" s="8">
        <f t="shared" ca="1" si="253"/>
        <v>10</v>
      </c>
      <c r="T2027">
        <f t="shared" ca="1" si="254"/>
        <v>3.3667200000000008</v>
      </c>
      <c r="U2027" s="8">
        <f t="shared" ca="1" si="255"/>
        <v>1.7200000000000002</v>
      </c>
      <c r="V2027" s="8">
        <f ca="1">RawData[[#This Row],[Z (smoothed demand size)]]/RawData[[#This Row],[X (smoothed interval)]]</f>
        <v>1.9573953488372096</v>
      </c>
    </row>
    <row r="2028" spans="1:22">
      <c r="A2028" t="s">
        <v>47</v>
      </c>
      <c r="B2028" t="s">
        <v>39</v>
      </c>
      <c r="C2028">
        <v>32</v>
      </c>
      <c r="D2028" t="s">
        <v>18</v>
      </c>
      <c r="E2028" t="s">
        <v>16</v>
      </c>
      <c r="F2028" s="1">
        <v>43111</v>
      </c>
      <c r="G2028">
        <v>3</v>
      </c>
      <c r="H2028">
        <v>3</v>
      </c>
      <c r="I2028">
        <v>7</v>
      </c>
      <c r="J2028">
        <v>4</v>
      </c>
      <c r="K2028">
        <v>0</v>
      </c>
      <c r="L2028">
        <v>418</v>
      </c>
      <c r="M2028">
        <v>60</v>
      </c>
      <c r="N2028" s="1">
        <f t="shared" si="248"/>
        <v>44938</v>
      </c>
      <c r="O2028" s="1">
        <f t="shared" si="249"/>
        <v>43101</v>
      </c>
      <c r="P2028" s="1">
        <f t="shared" si="250"/>
        <v>43405</v>
      </c>
      <c r="Q2028" s="8">
        <f t="shared" si="251"/>
        <v>0</v>
      </c>
      <c r="R2028" s="8">
        <f t="shared" si="252"/>
        <v>11</v>
      </c>
      <c r="S2028" s="8">
        <f t="shared" ca="1" si="253"/>
        <v>11</v>
      </c>
      <c r="T2028">
        <f t="shared" ca="1" si="254"/>
        <v>3.2933760000000007</v>
      </c>
      <c r="U2028" s="8">
        <f t="shared" ca="1" si="255"/>
        <v>1.5760000000000003</v>
      </c>
      <c r="V2028" s="8">
        <f ca="1">RawData[[#This Row],[Z (smoothed demand size)]]/RawData[[#This Row],[X (smoothed interval)]]</f>
        <v>2.0897055837563454</v>
      </c>
    </row>
    <row r="2029" spans="1:22">
      <c r="A2029" t="s">
        <v>47</v>
      </c>
      <c r="B2029" t="s">
        <v>39</v>
      </c>
      <c r="C2029">
        <v>32</v>
      </c>
      <c r="D2029" t="s">
        <v>18</v>
      </c>
      <c r="E2029" t="s">
        <v>16</v>
      </c>
      <c r="F2029" s="1">
        <v>43112</v>
      </c>
      <c r="G2029">
        <v>4</v>
      </c>
      <c r="H2029">
        <v>4</v>
      </c>
      <c r="I2029">
        <v>4</v>
      </c>
      <c r="J2029">
        <v>0</v>
      </c>
      <c r="K2029">
        <v>0</v>
      </c>
      <c r="L2029">
        <v>480</v>
      </c>
      <c r="M2029">
        <v>30</v>
      </c>
      <c r="N2029" s="1">
        <f t="shared" si="248"/>
        <v>44938</v>
      </c>
      <c r="O2029" s="1">
        <f t="shared" si="249"/>
        <v>43101</v>
      </c>
      <c r="P2029" s="1">
        <f t="shared" si="250"/>
        <v>43435</v>
      </c>
      <c r="Q2029" s="8">
        <f t="shared" si="251"/>
        <v>0</v>
      </c>
      <c r="R2029" s="8">
        <f t="shared" si="252"/>
        <v>12</v>
      </c>
      <c r="S2029" s="8">
        <f t="shared" ca="1" si="253"/>
        <v>12</v>
      </c>
      <c r="T2029">
        <f t="shared" ca="1" si="254"/>
        <v>3.4347008000000008</v>
      </c>
      <c r="U2029" s="8">
        <f t="shared" ca="1" si="255"/>
        <v>1.4608000000000003</v>
      </c>
      <c r="V2029" s="8">
        <f ca="1">RawData[[#This Row],[Z (smoothed demand size)]]/RawData[[#This Row],[X (smoothed interval)]]</f>
        <v>2.3512464403066815</v>
      </c>
    </row>
    <row r="2030" spans="1:22">
      <c r="A2030" t="s">
        <v>47</v>
      </c>
      <c r="B2030" t="s">
        <v>39</v>
      </c>
      <c r="C2030">
        <v>32</v>
      </c>
      <c r="D2030" t="s">
        <v>18</v>
      </c>
      <c r="E2030" t="s">
        <v>16</v>
      </c>
      <c r="F2030" s="1">
        <v>43466</v>
      </c>
      <c r="G2030">
        <v>0</v>
      </c>
      <c r="H2030">
        <v>0</v>
      </c>
      <c r="I2030">
        <v>11</v>
      </c>
      <c r="J2030">
        <v>11</v>
      </c>
      <c r="K2030">
        <v>0</v>
      </c>
      <c r="L2030">
        <v>418</v>
      </c>
      <c r="M2030">
        <v>15</v>
      </c>
      <c r="N2030" s="1">
        <f t="shared" si="248"/>
        <v>44938</v>
      </c>
      <c r="O2030" s="1">
        <f t="shared" si="249"/>
        <v>43101</v>
      </c>
      <c r="P2030" s="1">
        <f t="shared" si="250"/>
        <v>43466</v>
      </c>
      <c r="Q2030" s="8">
        <f t="shared" si="251"/>
        <v>0</v>
      </c>
      <c r="R2030" s="8">
        <f t="shared" si="252"/>
        <v>13</v>
      </c>
      <c r="S2030" s="8">
        <f t="shared" ca="1" si="253"/>
        <v>12</v>
      </c>
      <c r="T2030">
        <f t="shared" ca="1" si="254"/>
        <v>3.4347008000000008</v>
      </c>
      <c r="U2030" s="8">
        <f t="shared" ca="1" si="255"/>
        <v>1.4608000000000003</v>
      </c>
      <c r="V2030" s="8">
        <f ca="1">RawData[[#This Row],[Z (smoothed demand size)]]/RawData[[#This Row],[X (smoothed interval)]]</f>
        <v>2.3512464403066815</v>
      </c>
    </row>
    <row r="2031" spans="1:22">
      <c r="A2031" t="s">
        <v>47</v>
      </c>
      <c r="B2031" t="s">
        <v>39</v>
      </c>
      <c r="C2031">
        <v>32</v>
      </c>
      <c r="D2031" t="s">
        <v>18</v>
      </c>
      <c r="E2031" t="s">
        <v>16</v>
      </c>
      <c r="F2031" s="1">
        <v>43467</v>
      </c>
      <c r="G2031">
        <v>2</v>
      </c>
      <c r="H2031">
        <v>2</v>
      </c>
      <c r="I2031">
        <v>11</v>
      </c>
      <c r="J2031">
        <v>9</v>
      </c>
      <c r="K2031">
        <v>0</v>
      </c>
      <c r="L2031">
        <v>412</v>
      </c>
      <c r="M2031">
        <v>60</v>
      </c>
      <c r="N2031" s="1">
        <f t="shared" si="248"/>
        <v>44938</v>
      </c>
      <c r="O2031" s="1">
        <f t="shared" si="249"/>
        <v>43101</v>
      </c>
      <c r="P2031" s="1">
        <f t="shared" si="250"/>
        <v>43497</v>
      </c>
      <c r="Q2031" s="8">
        <f t="shared" si="251"/>
        <v>0</v>
      </c>
      <c r="R2031" s="8">
        <f t="shared" si="252"/>
        <v>14</v>
      </c>
      <c r="S2031" s="8">
        <f t="shared" ca="1" si="253"/>
        <v>14</v>
      </c>
      <c r="T2031">
        <f t="shared" ca="1" si="254"/>
        <v>3.1477606400000009</v>
      </c>
      <c r="U2031" s="8">
        <f t="shared" ca="1" si="255"/>
        <v>1.5686400000000003</v>
      </c>
      <c r="V2031" s="8">
        <f ca="1">RawData[[#This Row],[Z (smoothed demand size)]]/RawData[[#This Row],[X (smoothed interval)]]</f>
        <v>2.0066813545491637</v>
      </c>
    </row>
    <row r="2032" spans="1:22">
      <c r="A2032" t="s">
        <v>47</v>
      </c>
      <c r="B2032" t="s">
        <v>39</v>
      </c>
      <c r="C2032">
        <v>32</v>
      </c>
      <c r="D2032" t="s">
        <v>18</v>
      </c>
      <c r="E2032" t="s">
        <v>16</v>
      </c>
      <c r="F2032" s="1">
        <v>43468</v>
      </c>
      <c r="G2032">
        <v>4</v>
      </c>
      <c r="H2032">
        <v>4</v>
      </c>
      <c r="I2032">
        <v>9</v>
      </c>
      <c r="J2032">
        <v>5</v>
      </c>
      <c r="K2032">
        <v>0</v>
      </c>
      <c r="L2032">
        <v>425</v>
      </c>
      <c r="M2032">
        <v>45</v>
      </c>
      <c r="N2032" s="1">
        <f t="shared" si="248"/>
        <v>44938</v>
      </c>
      <c r="O2032" s="1">
        <f t="shared" si="249"/>
        <v>43101</v>
      </c>
      <c r="P2032" s="1">
        <f t="shared" si="250"/>
        <v>43525</v>
      </c>
      <c r="Q2032" s="8">
        <f t="shared" si="251"/>
        <v>0</v>
      </c>
      <c r="R2032" s="8">
        <f t="shared" si="252"/>
        <v>15</v>
      </c>
      <c r="S2032" s="8">
        <f t="shared" ca="1" si="253"/>
        <v>15</v>
      </c>
      <c r="T2032">
        <f t="shared" ca="1" si="254"/>
        <v>3.3182085120000009</v>
      </c>
      <c r="U2032" s="8">
        <f t="shared" ca="1" si="255"/>
        <v>1.4549120000000002</v>
      </c>
      <c r="V2032" s="8">
        <f ca="1">RawData[[#This Row],[Z (smoothed demand size)]]/RawData[[#This Row],[X (smoothed interval)]]</f>
        <v>2.2806936172084638</v>
      </c>
    </row>
    <row r="2033" spans="1:22">
      <c r="A2033" t="s">
        <v>47</v>
      </c>
      <c r="B2033" t="s">
        <v>39</v>
      </c>
      <c r="C2033">
        <v>32</v>
      </c>
      <c r="D2033" t="s">
        <v>18</v>
      </c>
      <c r="E2033" t="s">
        <v>16</v>
      </c>
      <c r="F2033" s="1">
        <v>43469</v>
      </c>
      <c r="G2033">
        <v>2</v>
      </c>
      <c r="H2033">
        <v>2</v>
      </c>
      <c r="I2033">
        <v>5</v>
      </c>
      <c r="J2033">
        <v>3</v>
      </c>
      <c r="K2033">
        <v>0</v>
      </c>
      <c r="L2033">
        <v>422</v>
      </c>
      <c r="M2033">
        <v>60</v>
      </c>
      <c r="N2033" s="1">
        <f t="shared" si="248"/>
        <v>44938</v>
      </c>
      <c r="O2033" s="1">
        <f t="shared" si="249"/>
        <v>43101</v>
      </c>
      <c r="P2033" s="1">
        <f t="shared" si="250"/>
        <v>43556</v>
      </c>
      <c r="Q2033" s="8">
        <f t="shared" si="251"/>
        <v>0</v>
      </c>
      <c r="R2033" s="8">
        <f t="shared" si="252"/>
        <v>16</v>
      </c>
      <c r="S2033" s="8">
        <f t="shared" ca="1" si="253"/>
        <v>16</v>
      </c>
      <c r="T2033">
        <f t="shared" ca="1" si="254"/>
        <v>3.0545668096000007</v>
      </c>
      <c r="U2033" s="8">
        <f t="shared" ca="1" si="255"/>
        <v>1.3639296000000001</v>
      </c>
      <c r="V2033" s="8">
        <f ca="1">RawData[[#This Row],[Z (smoothed demand size)]]/RawData[[#This Row],[X (smoothed interval)]]</f>
        <v>2.2395340709667129</v>
      </c>
    </row>
    <row r="2034" spans="1:22">
      <c r="A2034" t="s">
        <v>47</v>
      </c>
      <c r="B2034" t="s">
        <v>39</v>
      </c>
      <c r="C2034">
        <v>32</v>
      </c>
      <c r="D2034" t="s">
        <v>18</v>
      </c>
      <c r="E2034" t="s">
        <v>16</v>
      </c>
      <c r="F2034" s="1">
        <v>43470</v>
      </c>
      <c r="G2034">
        <v>0</v>
      </c>
      <c r="H2034">
        <v>0</v>
      </c>
      <c r="I2034">
        <v>3</v>
      </c>
      <c r="J2034">
        <v>3</v>
      </c>
      <c r="K2034">
        <v>0</v>
      </c>
      <c r="L2034">
        <v>426</v>
      </c>
      <c r="M2034">
        <v>30</v>
      </c>
      <c r="N2034" s="1">
        <f t="shared" si="248"/>
        <v>44938</v>
      </c>
      <c r="O2034" s="1">
        <f t="shared" si="249"/>
        <v>43101</v>
      </c>
      <c r="P2034" s="1">
        <f t="shared" si="250"/>
        <v>43586</v>
      </c>
      <c r="Q2034" s="8">
        <f t="shared" si="251"/>
        <v>0</v>
      </c>
      <c r="R2034" s="8">
        <f t="shared" si="252"/>
        <v>17</v>
      </c>
      <c r="S2034" s="8">
        <f t="shared" ca="1" si="253"/>
        <v>16</v>
      </c>
      <c r="T2034">
        <f t="shared" ca="1" si="254"/>
        <v>3.0545668096000007</v>
      </c>
      <c r="U2034" s="8">
        <f t="shared" ca="1" si="255"/>
        <v>1.3639296000000001</v>
      </c>
      <c r="V2034" s="8">
        <f ca="1">RawData[[#This Row],[Z (smoothed demand size)]]/RawData[[#This Row],[X (smoothed interval)]]</f>
        <v>2.2395340709667129</v>
      </c>
    </row>
    <row r="2035" spans="1:22">
      <c r="A2035" t="s">
        <v>47</v>
      </c>
      <c r="B2035" t="s">
        <v>39</v>
      </c>
      <c r="C2035">
        <v>32</v>
      </c>
      <c r="D2035" t="s">
        <v>18</v>
      </c>
      <c r="E2035" t="s">
        <v>16</v>
      </c>
      <c r="F2035" s="1">
        <v>43471</v>
      </c>
      <c r="G2035">
        <v>1</v>
      </c>
      <c r="H2035">
        <v>1</v>
      </c>
      <c r="I2035">
        <v>14</v>
      </c>
      <c r="J2035">
        <v>13</v>
      </c>
      <c r="K2035">
        <v>0</v>
      </c>
      <c r="L2035">
        <v>488</v>
      </c>
      <c r="M2035">
        <v>15</v>
      </c>
      <c r="N2035" s="1">
        <f t="shared" si="248"/>
        <v>44938</v>
      </c>
      <c r="O2035" s="1">
        <f t="shared" si="249"/>
        <v>43101</v>
      </c>
      <c r="P2035" s="1">
        <f t="shared" si="250"/>
        <v>43617</v>
      </c>
      <c r="Q2035" s="8">
        <f t="shared" si="251"/>
        <v>0</v>
      </c>
      <c r="R2035" s="8">
        <f t="shared" si="252"/>
        <v>18</v>
      </c>
      <c r="S2035" s="8">
        <f t="shared" ca="1" si="253"/>
        <v>18</v>
      </c>
      <c r="T2035">
        <f t="shared" ca="1" si="254"/>
        <v>2.6436534476800011</v>
      </c>
      <c r="U2035" s="8">
        <f t="shared" ca="1" si="255"/>
        <v>1.49114368</v>
      </c>
      <c r="V2035" s="8">
        <f ca="1">RawData[[#This Row],[Z (smoothed demand size)]]/RawData[[#This Row],[X (smoothed interval)]]</f>
        <v>1.7729032306799577</v>
      </c>
    </row>
    <row r="2036" spans="1:22">
      <c r="A2036" t="s">
        <v>47</v>
      </c>
      <c r="B2036" t="s">
        <v>39</v>
      </c>
      <c r="C2036">
        <v>32</v>
      </c>
      <c r="D2036" t="s">
        <v>18</v>
      </c>
      <c r="E2036" t="s">
        <v>16</v>
      </c>
      <c r="F2036" s="1">
        <v>43472</v>
      </c>
      <c r="G2036">
        <v>3</v>
      </c>
      <c r="H2036">
        <v>3</v>
      </c>
      <c r="I2036">
        <v>13</v>
      </c>
      <c r="J2036">
        <v>10</v>
      </c>
      <c r="K2036">
        <v>0</v>
      </c>
      <c r="L2036">
        <v>486</v>
      </c>
      <c r="M2036">
        <v>60</v>
      </c>
      <c r="N2036" s="1">
        <f t="shared" si="248"/>
        <v>44938</v>
      </c>
      <c r="O2036" s="1">
        <f t="shared" si="249"/>
        <v>43101</v>
      </c>
      <c r="P2036" s="1">
        <f t="shared" si="250"/>
        <v>43647</v>
      </c>
      <c r="Q2036" s="8">
        <f t="shared" si="251"/>
        <v>0</v>
      </c>
      <c r="R2036" s="8">
        <f t="shared" si="252"/>
        <v>19</v>
      </c>
      <c r="S2036" s="8">
        <f t="shared" ca="1" si="253"/>
        <v>19</v>
      </c>
      <c r="T2036">
        <f t="shared" ca="1" si="254"/>
        <v>2.714922758144001</v>
      </c>
      <c r="U2036" s="8">
        <f t="shared" ca="1" si="255"/>
        <v>1.3929149439999999</v>
      </c>
      <c r="V2036" s="8">
        <f ca="1">RawData[[#This Row],[Z (smoothed demand size)]]/RawData[[#This Row],[X (smoothed interval)]]</f>
        <v>1.9490944295188788</v>
      </c>
    </row>
    <row r="2037" spans="1:22">
      <c r="A2037" t="s">
        <v>47</v>
      </c>
      <c r="B2037" t="s">
        <v>39</v>
      </c>
      <c r="C2037">
        <v>32</v>
      </c>
      <c r="D2037" t="s">
        <v>18</v>
      </c>
      <c r="E2037" t="s">
        <v>16</v>
      </c>
      <c r="F2037" s="1">
        <v>43473</v>
      </c>
      <c r="G2037">
        <v>0</v>
      </c>
      <c r="H2037">
        <v>0</v>
      </c>
      <c r="I2037">
        <v>10</v>
      </c>
      <c r="J2037">
        <v>10</v>
      </c>
      <c r="K2037">
        <v>0</v>
      </c>
      <c r="L2037">
        <v>488</v>
      </c>
      <c r="M2037">
        <v>45</v>
      </c>
      <c r="N2037" s="1">
        <f t="shared" si="248"/>
        <v>44938</v>
      </c>
      <c r="O2037" s="1">
        <f t="shared" si="249"/>
        <v>43101</v>
      </c>
      <c r="P2037" s="1">
        <f t="shared" si="250"/>
        <v>43678</v>
      </c>
      <c r="Q2037" s="8">
        <f t="shared" si="251"/>
        <v>0</v>
      </c>
      <c r="R2037" s="8">
        <f t="shared" si="252"/>
        <v>20</v>
      </c>
      <c r="S2037" s="8">
        <f t="shared" ca="1" si="253"/>
        <v>19</v>
      </c>
      <c r="T2037">
        <f t="shared" ca="1" si="254"/>
        <v>2.714922758144001</v>
      </c>
      <c r="U2037" s="8">
        <f t="shared" ca="1" si="255"/>
        <v>1.3929149439999999</v>
      </c>
      <c r="V2037" s="8">
        <f ca="1">RawData[[#This Row],[Z (smoothed demand size)]]/RawData[[#This Row],[X (smoothed interval)]]</f>
        <v>1.9490944295188788</v>
      </c>
    </row>
    <row r="2038" spans="1:22">
      <c r="A2038" t="s">
        <v>47</v>
      </c>
      <c r="B2038" t="s">
        <v>39</v>
      </c>
      <c r="C2038">
        <v>32</v>
      </c>
      <c r="D2038" t="s">
        <v>18</v>
      </c>
      <c r="E2038" t="s">
        <v>16</v>
      </c>
      <c r="F2038" s="1">
        <v>43474</v>
      </c>
      <c r="G2038">
        <v>4</v>
      </c>
      <c r="H2038">
        <v>4</v>
      </c>
      <c r="I2038">
        <v>10</v>
      </c>
      <c r="J2038">
        <v>6</v>
      </c>
      <c r="K2038">
        <v>0</v>
      </c>
      <c r="L2038">
        <v>421</v>
      </c>
      <c r="M2038">
        <v>15</v>
      </c>
      <c r="N2038" s="1">
        <f t="shared" si="248"/>
        <v>44938</v>
      </c>
      <c r="O2038" s="1">
        <f t="shared" si="249"/>
        <v>43101</v>
      </c>
      <c r="P2038" s="1">
        <f t="shared" si="250"/>
        <v>43709</v>
      </c>
      <c r="Q2038" s="8">
        <f t="shared" si="251"/>
        <v>0</v>
      </c>
      <c r="R2038" s="8">
        <f t="shared" si="252"/>
        <v>21</v>
      </c>
      <c r="S2038" s="8">
        <f t="shared" ca="1" si="253"/>
        <v>21</v>
      </c>
      <c r="T2038">
        <f t="shared" ca="1" si="254"/>
        <v>2.9719382065152011</v>
      </c>
      <c r="U2038" s="8">
        <f t="shared" ca="1" si="255"/>
        <v>1.5143319551999999</v>
      </c>
      <c r="V2038" s="8">
        <f ca="1">RawData[[#This Row],[Z (smoothed demand size)]]/RawData[[#This Row],[X (smoothed interval)]]</f>
        <v>1.9625407733819453</v>
      </c>
    </row>
    <row r="2039" spans="1:22">
      <c r="A2039" t="s">
        <v>47</v>
      </c>
      <c r="B2039" t="s">
        <v>39</v>
      </c>
      <c r="C2039">
        <v>32</v>
      </c>
      <c r="D2039" t="s">
        <v>18</v>
      </c>
      <c r="E2039" t="s">
        <v>16</v>
      </c>
      <c r="F2039" s="1">
        <v>43475</v>
      </c>
      <c r="G2039">
        <v>2</v>
      </c>
      <c r="H2039">
        <v>2</v>
      </c>
      <c r="I2039">
        <v>6</v>
      </c>
      <c r="J2039">
        <v>4</v>
      </c>
      <c r="K2039">
        <v>0</v>
      </c>
      <c r="L2039">
        <v>426</v>
      </c>
      <c r="M2039">
        <v>30</v>
      </c>
      <c r="N2039" s="1">
        <f t="shared" si="248"/>
        <v>44938</v>
      </c>
      <c r="O2039" s="1">
        <f t="shared" si="249"/>
        <v>43101</v>
      </c>
      <c r="P2039" s="1">
        <f t="shared" si="250"/>
        <v>43739</v>
      </c>
      <c r="Q2039" s="8">
        <f t="shared" si="251"/>
        <v>0</v>
      </c>
      <c r="R2039" s="8">
        <f t="shared" si="252"/>
        <v>22</v>
      </c>
      <c r="S2039" s="8">
        <f t="shared" ca="1" si="253"/>
        <v>22</v>
      </c>
      <c r="T2039">
        <f t="shared" ca="1" si="254"/>
        <v>2.7775505652121608</v>
      </c>
      <c r="U2039" s="8">
        <f t="shared" ca="1" si="255"/>
        <v>1.41146556416</v>
      </c>
      <c r="V2039" s="8">
        <f ca="1">RawData[[#This Row],[Z (smoothed demand size)]]/RawData[[#This Row],[X (smoothed interval)]]</f>
        <v>1.9678486218437454</v>
      </c>
    </row>
    <row r="2040" spans="1:22">
      <c r="A2040" t="s">
        <v>47</v>
      </c>
      <c r="B2040" t="s">
        <v>39</v>
      </c>
      <c r="C2040">
        <v>32</v>
      </c>
      <c r="D2040" t="s">
        <v>18</v>
      </c>
      <c r="E2040" t="s">
        <v>16</v>
      </c>
      <c r="F2040" s="1">
        <v>43476</v>
      </c>
      <c r="G2040">
        <v>1</v>
      </c>
      <c r="H2040">
        <v>1</v>
      </c>
      <c r="I2040">
        <v>4</v>
      </c>
      <c r="J2040">
        <v>3</v>
      </c>
      <c r="K2040">
        <v>0</v>
      </c>
      <c r="L2040">
        <v>419</v>
      </c>
      <c r="M2040">
        <v>15</v>
      </c>
      <c r="N2040" s="1">
        <f t="shared" si="248"/>
        <v>44938</v>
      </c>
      <c r="O2040" s="1">
        <f t="shared" si="249"/>
        <v>43101</v>
      </c>
      <c r="P2040" s="1">
        <f t="shared" si="250"/>
        <v>43770</v>
      </c>
      <c r="Q2040" s="8">
        <f t="shared" si="251"/>
        <v>0</v>
      </c>
      <c r="R2040" s="8">
        <f t="shared" si="252"/>
        <v>23</v>
      </c>
      <c r="S2040" s="8">
        <f t="shared" ca="1" si="253"/>
        <v>23</v>
      </c>
      <c r="T2040">
        <f t="shared" ca="1" si="254"/>
        <v>2.4220404521697287</v>
      </c>
      <c r="U2040" s="8">
        <f t="shared" ca="1" si="255"/>
        <v>1.3291724513280001</v>
      </c>
      <c r="V2040" s="8">
        <f ca="1">RawData[[#This Row],[Z (smoothed demand size)]]/RawData[[#This Row],[X (smoothed interval)]]</f>
        <v>1.8222168611377889</v>
      </c>
    </row>
    <row r="2041" spans="1:22">
      <c r="A2041" t="s">
        <v>47</v>
      </c>
      <c r="B2041" t="s">
        <v>39</v>
      </c>
      <c r="C2041">
        <v>32</v>
      </c>
      <c r="D2041" t="s">
        <v>18</v>
      </c>
      <c r="E2041" t="s">
        <v>16</v>
      </c>
      <c r="F2041" s="1">
        <v>43477</v>
      </c>
      <c r="G2041">
        <v>3</v>
      </c>
      <c r="H2041">
        <v>3</v>
      </c>
      <c r="I2041">
        <v>15</v>
      </c>
      <c r="J2041">
        <v>12</v>
      </c>
      <c r="K2041">
        <v>0</v>
      </c>
      <c r="L2041">
        <v>484</v>
      </c>
      <c r="M2041">
        <v>45</v>
      </c>
      <c r="N2041" s="1">
        <f t="shared" si="248"/>
        <v>44938</v>
      </c>
      <c r="O2041" s="1">
        <f t="shared" si="249"/>
        <v>43101</v>
      </c>
      <c r="P2041" s="1">
        <f t="shared" si="250"/>
        <v>43800</v>
      </c>
      <c r="Q2041" s="8">
        <f t="shared" si="251"/>
        <v>0</v>
      </c>
      <c r="R2041" s="8">
        <f t="shared" si="252"/>
        <v>24</v>
      </c>
      <c r="S2041" s="8">
        <f t="shared" ca="1" si="253"/>
        <v>24</v>
      </c>
      <c r="T2041">
        <f t="shared" ca="1" si="254"/>
        <v>2.537632361735783</v>
      </c>
      <c r="U2041" s="8">
        <f t="shared" ca="1" si="255"/>
        <v>1.2633379610624</v>
      </c>
      <c r="V2041" s="8">
        <f ca="1">RawData[[#This Row],[Z (smoothed demand size)]]/RawData[[#This Row],[X (smoothed interval)]]</f>
        <v>2.0086726117228118</v>
      </c>
    </row>
    <row r="2042" spans="1:22">
      <c r="A2042" t="s">
        <v>47</v>
      </c>
      <c r="B2042" t="s">
        <v>39</v>
      </c>
      <c r="C2042">
        <v>32</v>
      </c>
      <c r="D2042" t="s">
        <v>18</v>
      </c>
      <c r="E2042" t="s">
        <v>16</v>
      </c>
      <c r="F2042" s="1">
        <v>43831</v>
      </c>
      <c r="G2042">
        <v>3</v>
      </c>
      <c r="H2042">
        <v>3</v>
      </c>
      <c r="I2042">
        <v>12</v>
      </c>
      <c r="J2042">
        <v>9</v>
      </c>
      <c r="K2042">
        <v>0</v>
      </c>
      <c r="L2042">
        <v>418</v>
      </c>
      <c r="M2042">
        <v>30</v>
      </c>
      <c r="N2042" s="1">
        <f t="shared" si="248"/>
        <v>44938</v>
      </c>
      <c r="O2042" s="1">
        <f t="shared" si="249"/>
        <v>43101</v>
      </c>
      <c r="P2042" s="1">
        <f t="shared" si="250"/>
        <v>43831</v>
      </c>
      <c r="Q2042" s="8">
        <f t="shared" si="251"/>
        <v>0</v>
      </c>
      <c r="R2042" s="8">
        <f t="shared" si="252"/>
        <v>25</v>
      </c>
      <c r="S2042" s="8">
        <f t="shared" ca="1" si="253"/>
        <v>25</v>
      </c>
      <c r="T2042">
        <f t="shared" ca="1" si="254"/>
        <v>2.6301058893886267</v>
      </c>
      <c r="U2042" s="8">
        <f t="shared" ca="1" si="255"/>
        <v>1.2106703688499201</v>
      </c>
      <c r="V2042" s="8">
        <f ca="1">RawData[[#This Row],[Z (smoothed demand size)]]/RawData[[#This Row],[X (smoothed interval)]]</f>
        <v>2.1724376486451087</v>
      </c>
    </row>
    <row r="2043" spans="1:22">
      <c r="A2043" t="s">
        <v>47</v>
      </c>
      <c r="B2043" t="s">
        <v>39</v>
      </c>
      <c r="C2043">
        <v>32</v>
      </c>
      <c r="D2043" t="s">
        <v>18</v>
      </c>
      <c r="E2043" t="s">
        <v>16</v>
      </c>
      <c r="F2043" s="1">
        <v>43832</v>
      </c>
      <c r="G2043">
        <v>3</v>
      </c>
      <c r="H2043">
        <v>3</v>
      </c>
      <c r="I2043">
        <v>9</v>
      </c>
      <c r="J2043">
        <v>6</v>
      </c>
      <c r="K2043">
        <v>0</v>
      </c>
      <c r="L2043">
        <v>428</v>
      </c>
      <c r="M2043">
        <v>15</v>
      </c>
      <c r="N2043" s="1">
        <f t="shared" si="248"/>
        <v>44938</v>
      </c>
      <c r="O2043" s="1">
        <f t="shared" si="249"/>
        <v>43101</v>
      </c>
      <c r="P2043" s="1">
        <f t="shared" si="250"/>
        <v>43862</v>
      </c>
      <c r="Q2043" s="8">
        <f t="shared" si="251"/>
        <v>0</v>
      </c>
      <c r="R2043" s="8">
        <f t="shared" si="252"/>
        <v>26</v>
      </c>
      <c r="S2043" s="8">
        <f t="shared" ca="1" si="253"/>
        <v>26</v>
      </c>
      <c r="T2043">
        <f t="shared" ca="1" si="254"/>
        <v>2.7040847115109017</v>
      </c>
      <c r="U2043" s="8">
        <f t="shared" ca="1" si="255"/>
        <v>1.1685362950799361</v>
      </c>
      <c r="V2043" s="8">
        <f ca="1">RawData[[#This Row],[Z (smoothed demand size)]]/RawData[[#This Row],[X (smoothed interval)]]</f>
        <v>2.3140784953760667</v>
      </c>
    </row>
    <row r="2044" spans="1:22">
      <c r="A2044" t="s">
        <v>47</v>
      </c>
      <c r="B2044" t="s">
        <v>39</v>
      </c>
      <c r="C2044">
        <v>32</v>
      </c>
      <c r="D2044" t="s">
        <v>18</v>
      </c>
      <c r="E2044" t="s">
        <v>16</v>
      </c>
      <c r="F2044" s="1">
        <v>43833</v>
      </c>
      <c r="G2044">
        <v>0</v>
      </c>
      <c r="H2044">
        <v>0</v>
      </c>
      <c r="I2044">
        <v>6</v>
      </c>
      <c r="J2044">
        <v>6</v>
      </c>
      <c r="K2044">
        <v>0</v>
      </c>
      <c r="L2044">
        <v>417</v>
      </c>
      <c r="M2044">
        <v>60</v>
      </c>
      <c r="N2044" s="1">
        <f t="shared" si="248"/>
        <v>44938</v>
      </c>
      <c r="O2044" s="1">
        <f t="shared" si="249"/>
        <v>43101</v>
      </c>
      <c r="P2044" s="1">
        <f t="shared" si="250"/>
        <v>43891</v>
      </c>
      <c r="Q2044" s="8">
        <f t="shared" si="251"/>
        <v>0</v>
      </c>
      <c r="R2044" s="8">
        <f t="shared" si="252"/>
        <v>27</v>
      </c>
      <c r="S2044" s="8">
        <f t="shared" ca="1" si="253"/>
        <v>26</v>
      </c>
      <c r="T2044">
        <f t="shared" ca="1" si="254"/>
        <v>2.7040847115109017</v>
      </c>
      <c r="U2044" s="8">
        <f t="shared" ca="1" si="255"/>
        <v>1.1685362950799361</v>
      </c>
      <c r="V2044" s="8">
        <f ca="1">RawData[[#This Row],[Z (smoothed demand size)]]/RawData[[#This Row],[X (smoothed interval)]]</f>
        <v>2.3140784953760667</v>
      </c>
    </row>
    <row r="2045" spans="1:22">
      <c r="A2045" t="s">
        <v>47</v>
      </c>
      <c r="B2045" t="s">
        <v>39</v>
      </c>
      <c r="C2045">
        <v>32</v>
      </c>
      <c r="D2045" t="s">
        <v>18</v>
      </c>
      <c r="E2045" t="s">
        <v>16</v>
      </c>
      <c r="F2045" s="1">
        <v>43834</v>
      </c>
      <c r="G2045">
        <v>0</v>
      </c>
      <c r="H2045">
        <v>0</v>
      </c>
      <c r="I2045">
        <v>6</v>
      </c>
      <c r="J2045">
        <v>6</v>
      </c>
      <c r="K2045">
        <v>0</v>
      </c>
      <c r="L2045">
        <v>425</v>
      </c>
      <c r="M2045">
        <v>45</v>
      </c>
      <c r="N2045" s="1">
        <f t="shared" si="248"/>
        <v>44938</v>
      </c>
      <c r="O2045" s="1">
        <f t="shared" si="249"/>
        <v>43101</v>
      </c>
      <c r="P2045" s="1">
        <f t="shared" si="250"/>
        <v>43922</v>
      </c>
      <c r="Q2045" s="8">
        <f t="shared" si="251"/>
        <v>0</v>
      </c>
      <c r="R2045" s="8">
        <f t="shared" si="252"/>
        <v>28</v>
      </c>
      <c r="S2045" s="8">
        <f t="shared" ca="1" si="253"/>
        <v>26</v>
      </c>
      <c r="T2045">
        <f t="shared" ca="1" si="254"/>
        <v>2.7040847115109017</v>
      </c>
      <c r="U2045" s="8">
        <f t="shared" ca="1" si="255"/>
        <v>1.1685362950799361</v>
      </c>
      <c r="V2045" s="8">
        <f ca="1">RawData[[#This Row],[Z (smoothed demand size)]]/RawData[[#This Row],[X (smoothed interval)]]</f>
        <v>2.3140784953760667</v>
      </c>
    </row>
    <row r="2046" spans="1:22">
      <c r="A2046" t="s">
        <v>47</v>
      </c>
      <c r="B2046" t="s">
        <v>39</v>
      </c>
      <c r="C2046">
        <v>32</v>
      </c>
      <c r="D2046" t="s">
        <v>18</v>
      </c>
      <c r="E2046" t="s">
        <v>16</v>
      </c>
      <c r="F2046" s="1">
        <v>43835</v>
      </c>
      <c r="G2046">
        <v>0</v>
      </c>
      <c r="H2046">
        <v>0</v>
      </c>
      <c r="I2046">
        <v>6</v>
      </c>
      <c r="J2046">
        <v>6</v>
      </c>
      <c r="K2046">
        <v>0</v>
      </c>
      <c r="L2046">
        <v>414</v>
      </c>
      <c r="M2046">
        <v>45</v>
      </c>
      <c r="N2046" s="1">
        <f t="shared" si="248"/>
        <v>44938</v>
      </c>
      <c r="O2046" s="1">
        <f t="shared" si="249"/>
        <v>43101</v>
      </c>
      <c r="P2046" s="1">
        <f t="shared" si="250"/>
        <v>43952</v>
      </c>
      <c r="Q2046" s="8">
        <f t="shared" si="251"/>
        <v>0</v>
      </c>
      <c r="R2046" s="8">
        <f t="shared" si="252"/>
        <v>29</v>
      </c>
      <c r="S2046" s="8">
        <f t="shared" ca="1" si="253"/>
        <v>26</v>
      </c>
      <c r="T2046">
        <f t="shared" ca="1" si="254"/>
        <v>2.7040847115109017</v>
      </c>
      <c r="U2046" s="8">
        <f t="shared" ca="1" si="255"/>
        <v>1.1685362950799361</v>
      </c>
      <c r="V2046" s="8">
        <f ca="1">RawData[[#This Row],[Z (smoothed demand size)]]/RawData[[#This Row],[X (smoothed interval)]]</f>
        <v>2.3140784953760667</v>
      </c>
    </row>
    <row r="2047" spans="1:22">
      <c r="A2047" t="s">
        <v>47</v>
      </c>
      <c r="B2047" t="s">
        <v>39</v>
      </c>
      <c r="C2047">
        <v>32</v>
      </c>
      <c r="D2047" t="s">
        <v>18</v>
      </c>
      <c r="E2047" t="s">
        <v>16</v>
      </c>
      <c r="F2047" s="1">
        <v>43836</v>
      </c>
      <c r="G2047">
        <v>0</v>
      </c>
      <c r="H2047">
        <v>0</v>
      </c>
      <c r="I2047">
        <v>6</v>
      </c>
      <c r="J2047">
        <v>6</v>
      </c>
      <c r="K2047">
        <v>0</v>
      </c>
      <c r="L2047">
        <v>483</v>
      </c>
      <c r="M2047">
        <v>15</v>
      </c>
      <c r="N2047" s="1">
        <f t="shared" si="248"/>
        <v>44938</v>
      </c>
      <c r="O2047" s="1">
        <f t="shared" si="249"/>
        <v>43101</v>
      </c>
      <c r="P2047" s="1">
        <f t="shared" si="250"/>
        <v>43983</v>
      </c>
      <c r="Q2047" s="8">
        <f t="shared" si="251"/>
        <v>0</v>
      </c>
      <c r="R2047" s="8">
        <f t="shared" si="252"/>
        <v>30</v>
      </c>
      <c r="S2047" s="8">
        <f t="shared" ca="1" si="253"/>
        <v>26</v>
      </c>
      <c r="T2047">
        <f t="shared" ca="1" si="254"/>
        <v>2.7040847115109017</v>
      </c>
      <c r="U2047" s="8">
        <f t="shared" ca="1" si="255"/>
        <v>1.1685362950799361</v>
      </c>
      <c r="V2047" s="8">
        <f ca="1">RawData[[#This Row],[Z (smoothed demand size)]]/RawData[[#This Row],[X (smoothed interval)]]</f>
        <v>2.3140784953760667</v>
      </c>
    </row>
    <row r="2048" spans="1:22">
      <c r="A2048" t="s">
        <v>47</v>
      </c>
      <c r="B2048" t="s">
        <v>39</v>
      </c>
      <c r="C2048">
        <v>32</v>
      </c>
      <c r="D2048" t="s">
        <v>18</v>
      </c>
      <c r="E2048" t="s">
        <v>16</v>
      </c>
      <c r="F2048" s="1">
        <v>43837</v>
      </c>
      <c r="G2048">
        <v>1</v>
      </c>
      <c r="H2048">
        <v>1</v>
      </c>
      <c r="I2048">
        <v>6</v>
      </c>
      <c r="J2048">
        <v>5</v>
      </c>
      <c r="K2048">
        <v>0</v>
      </c>
      <c r="L2048">
        <v>482</v>
      </c>
      <c r="M2048">
        <v>60</v>
      </c>
      <c r="N2048" s="1">
        <f t="shared" si="248"/>
        <v>44938</v>
      </c>
      <c r="O2048" s="1">
        <f t="shared" si="249"/>
        <v>43101</v>
      </c>
      <c r="P2048" s="1">
        <f t="shared" si="250"/>
        <v>44013</v>
      </c>
      <c r="Q2048" s="8">
        <f t="shared" si="251"/>
        <v>0</v>
      </c>
      <c r="R2048" s="8">
        <f t="shared" si="252"/>
        <v>31</v>
      </c>
      <c r="S2048" s="8">
        <f t="shared" ca="1" si="253"/>
        <v>31</v>
      </c>
      <c r="T2048">
        <f t="shared" ca="1" si="254"/>
        <v>2.3632677692087216</v>
      </c>
      <c r="U2048" s="8">
        <f t="shared" ca="1" si="255"/>
        <v>1.9348290360639488</v>
      </c>
      <c r="V2048" s="8">
        <f ca="1">RawData[[#This Row],[Z (smoothed demand size)]]/RawData[[#This Row],[X (smoothed interval)]]</f>
        <v>1.2214349305075305</v>
      </c>
    </row>
    <row r="2049" spans="1:22">
      <c r="A2049" t="s">
        <v>47</v>
      </c>
      <c r="B2049" t="s">
        <v>39</v>
      </c>
      <c r="C2049">
        <v>32</v>
      </c>
      <c r="D2049" t="s">
        <v>18</v>
      </c>
      <c r="E2049" t="s">
        <v>16</v>
      </c>
      <c r="F2049" s="1">
        <v>43838</v>
      </c>
      <c r="G2049">
        <v>2</v>
      </c>
      <c r="H2049">
        <v>2</v>
      </c>
      <c r="I2049">
        <v>5</v>
      </c>
      <c r="J2049">
        <v>3</v>
      </c>
      <c r="K2049">
        <v>0</v>
      </c>
      <c r="L2049">
        <v>477</v>
      </c>
      <c r="M2049">
        <v>30</v>
      </c>
      <c r="N2049" s="1">
        <f t="shared" si="248"/>
        <v>44938</v>
      </c>
      <c r="O2049" s="1">
        <f t="shared" si="249"/>
        <v>43101</v>
      </c>
      <c r="P2049" s="1">
        <f t="shared" si="250"/>
        <v>44044</v>
      </c>
      <c r="Q2049" s="8">
        <f t="shared" si="251"/>
        <v>0</v>
      </c>
      <c r="R2049" s="8">
        <f t="shared" si="252"/>
        <v>32</v>
      </c>
      <c r="S2049" s="8">
        <f t="shared" ca="1" si="253"/>
        <v>32</v>
      </c>
      <c r="T2049">
        <f t="shared" ca="1" si="254"/>
        <v>2.2906142153669773</v>
      </c>
      <c r="U2049" s="8">
        <f t="shared" ca="1" si="255"/>
        <v>1.7478632288511591</v>
      </c>
      <c r="V2049" s="8">
        <f ca="1">RawData[[#This Row],[Z (smoothed demand size)]]/RawData[[#This Row],[X (smoothed interval)]]</f>
        <v>1.3105225726801057</v>
      </c>
    </row>
    <row r="2050" spans="1:22">
      <c r="A2050" t="s">
        <v>47</v>
      </c>
      <c r="B2050" t="s">
        <v>39</v>
      </c>
      <c r="C2050">
        <v>32</v>
      </c>
      <c r="D2050" t="s">
        <v>18</v>
      </c>
      <c r="E2050" t="s">
        <v>16</v>
      </c>
      <c r="F2050" s="1">
        <v>43839</v>
      </c>
      <c r="G2050">
        <v>4</v>
      </c>
      <c r="H2050">
        <v>4</v>
      </c>
      <c r="I2050">
        <v>14</v>
      </c>
      <c r="J2050">
        <v>10</v>
      </c>
      <c r="K2050">
        <v>0</v>
      </c>
      <c r="L2050">
        <v>417</v>
      </c>
      <c r="M2050">
        <v>15</v>
      </c>
      <c r="N2050" s="1">
        <f t="shared" ref="N2050:N2113" si="256">MAX(F:F)</f>
        <v>44938</v>
      </c>
      <c r="O2050" s="1">
        <f t="shared" ref="O2050:O2113" si="257">MIN(F:F)</f>
        <v>43101</v>
      </c>
      <c r="P2050" s="1">
        <f t="shared" ref="P2050:P2113" si="258">DATE(YEAR(F2050), DAY(F2050), 1)</f>
        <v>44075</v>
      </c>
      <c r="Q2050" s="8">
        <f t="shared" ref="Q2050:Q2113" si="259" xml:space="preserve"> IF(A2050&lt;&gt;A2049, 1, 0)</f>
        <v>0</v>
      </c>
      <c r="R2050" s="8">
        <f t="shared" ref="R2050:R2113" si="260">IF(Q2050=1,1,R2049+1)</f>
        <v>33</v>
      </c>
      <c r="S2050" s="8">
        <f t="shared" ref="S2050:S2113" ca="1" si="261" xml:space="preserve"> IF(Q2050=1, IF(G2050&gt;0, R2050, 0), IF(G2050&gt;0, R2050, OFFSET(S2050,-1,0)))</f>
        <v>33</v>
      </c>
      <c r="T2050">
        <f t="shared" ref="T2050:T2113" ca="1" si="262" xml:space="preserve"> IF(Q2050=1, IF(G2050&gt;0, G2050, 0), IF(G2050&gt;0, $X$1*G2050+(1-$X$1)*OFFSET(T2050,-1,0), OFFSET(T2050,-1,0)))</f>
        <v>2.6324913722935817</v>
      </c>
      <c r="U2050" s="8">
        <f t="shared" ref="U2050:U2113" ca="1" si="263" xml:space="preserve"> IF(Q2050=1, 1, IF(G2050&gt;0, $X$1*(R2050-OFFSET(S2050,-1,0))+(1-$X$1)*OFFSET(U2050,-1,0), OFFSET(U2050,-1,0)))</f>
        <v>1.5982905830809273</v>
      </c>
      <c r="V2050" s="8">
        <f ca="1">RawData[[#This Row],[Z (smoothed demand size)]]/RawData[[#This Row],[X (smoothed interval)]]</f>
        <v>1.6470668101035097</v>
      </c>
    </row>
    <row r="2051" spans="1:22">
      <c r="A2051" t="s">
        <v>47</v>
      </c>
      <c r="B2051" t="s">
        <v>39</v>
      </c>
      <c r="C2051">
        <v>32</v>
      </c>
      <c r="D2051" t="s">
        <v>18</v>
      </c>
      <c r="E2051" t="s">
        <v>16</v>
      </c>
      <c r="F2051" s="1">
        <v>43840</v>
      </c>
      <c r="G2051">
        <v>3</v>
      </c>
      <c r="H2051">
        <v>3</v>
      </c>
      <c r="I2051">
        <v>10</v>
      </c>
      <c r="J2051">
        <v>7</v>
      </c>
      <c r="K2051">
        <v>0</v>
      </c>
      <c r="L2051">
        <v>422</v>
      </c>
      <c r="M2051">
        <v>45</v>
      </c>
      <c r="N2051" s="1">
        <f t="shared" si="256"/>
        <v>44938</v>
      </c>
      <c r="O2051" s="1">
        <f t="shared" si="257"/>
        <v>43101</v>
      </c>
      <c r="P2051" s="1">
        <f t="shared" si="258"/>
        <v>44105</v>
      </c>
      <c r="Q2051" s="8">
        <f t="shared" si="259"/>
        <v>0</v>
      </c>
      <c r="R2051" s="8">
        <f t="shared" si="260"/>
        <v>34</v>
      </c>
      <c r="S2051" s="8">
        <f t="shared" ca="1" si="261"/>
        <v>34</v>
      </c>
      <c r="T2051">
        <f t="shared" ca="1" si="262"/>
        <v>2.7059930978348654</v>
      </c>
      <c r="U2051" s="8">
        <f t="shared" ca="1" si="263"/>
        <v>1.4786324664647419</v>
      </c>
      <c r="V2051" s="8">
        <f ca="1">RawData[[#This Row],[Z (smoothed demand size)]]/RawData[[#This Row],[X (smoothed interval)]]</f>
        <v>1.8300647112832686</v>
      </c>
    </row>
    <row r="2052" spans="1:22">
      <c r="A2052" t="s">
        <v>47</v>
      </c>
      <c r="B2052" t="s">
        <v>39</v>
      </c>
      <c r="C2052">
        <v>32</v>
      </c>
      <c r="D2052" t="s">
        <v>18</v>
      </c>
      <c r="E2052" t="s">
        <v>16</v>
      </c>
      <c r="F2052" s="1">
        <v>43841</v>
      </c>
      <c r="G2052">
        <v>2</v>
      </c>
      <c r="H2052">
        <v>2</v>
      </c>
      <c r="I2052">
        <v>7</v>
      </c>
      <c r="J2052">
        <v>5</v>
      </c>
      <c r="K2052">
        <v>0</v>
      </c>
      <c r="L2052">
        <v>418</v>
      </c>
      <c r="M2052">
        <v>15</v>
      </c>
      <c r="N2052" s="1">
        <f t="shared" si="256"/>
        <v>44938</v>
      </c>
      <c r="O2052" s="1">
        <f t="shared" si="257"/>
        <v>43101</v>
      </c>
      <c r="P2052" s="1">
        <f t="shared" si="258"/>
        <v>44136</v>
      </c>
      <c r="Q2052" s="8">
        <f t="shared" si="259"/>
        <v>0</v>
      </c>
      <c r="R2052" s="8">
        <f t="shared" si="260"/>
        <v>35</v>
      </c>
      <c r="S2052" s="8">
        <f t="shared" ca="1" si="261"/>
        <v>35</v>
      </c>
      <c r="T2052">
        <f t="shared" ca="1" si="262"/>
        <v>2.5647944782678924</v>
      </c>
      <c r="U2052" s="8">
        <f t="shared" ca="1" si="263"/>
        <v>1.3829059731717934</v>
      </c>
      <c r="V2052" s="8">
        <f ca="1">RawData[[#This Row],[Z (smoothed demand size)]]/RawData[[#This Row],[X (smoothed interval)]]</f>
        <v>1.8546412612459497</v>
      </c>
    </row>
    <row r="2053" spans="1:22">
      <c r="A2053" t="s">
        <v>47</v>
      </c>
      <c r="B2053" t="s">
        <v>39</v>
      </c>
      <c r="C2053">
        <v>32</v>
      </c>
      <c r="D2053" t="s">
        <v>18</v>
      </c>
      <c r="E2053" t="s">
        <v>16</v>
      </c>
      <c r="F2053" s="1">
        <v>43842</v>
      </c>
      <c r="G2053">
        <v>0</v>
      </c>
      <c r="H2053">
        <v>0</v>
      </c>
      <c r="I2053">
        <v>5</v>
      </c>
      <c r="J2053">
        <v>5</v>
      </c>
      <c r="K2053">
        <v>0</v>
      </c>
      <c r="L2053">
        <v>478</v>
      </c>
      <c r="M2053">
        <v>30</v>
      </c>
      <c r="N2053" s="1">
        <f t="shared" si="256"/>
        <v>44938</v>
      </c>
      <c r="O2053" s="1">
        <f t="shared" si="257"/>
        <v>43101</v>
      </c>
      <c r="P2053" s="1">
        <f t="shared" si="258"/>
        <v>44166</v>
      </c>
      <c r="Q2053" s="8">
        <f t="shared" si="259"/>
        <v>0</v>
      </c>
      <c r="R2053" s="8">
        <f t="shared" si="260"/>
        <v>36</v>
      </c>
      <c r="S2053" s="8">
        <f t="shared" ca="1" si="261"/>
        <v>35</v>
      </c>
      <c r="T2053">
        <f t="shared" ca="1" si="262"/>
        <v>2.5647944782678924</v>
      </c>
      <c r="U2053" s="8">
        <f t="shared" ca="1" si="263"/>
        <v>1.3829059731717934</v>
      </c>
      <c r="V2053" s="8">
        <f ca="1">RawData[[#This Row],[Z (smoothed demand size)]]/RawData[[#This Row],[X (smoothed interval)]]</f>
        <v>1.8546412612459497</v>
      </c>
    </row>
    <row r="2054" spans="1:22">
      <c r="A2054" t="s">
        <v>47</v>
      </c>
      <c r="B2054" t="s">
        <v>39</v>
      </c>
      <c r="C2054">
        <v>32</v>
      </c>
      <c r="D2054" t="s">
        <v>18</v>
      </c>
      <c r="E2054" t="s">
        <v>16</v>
      </c>
      <c r="F2054" s="1">
        <v>44197</v>
      </c>
      <c r="G2054">
        <v>1</v>
      </c>
      <c r="H2054">
        <v>1</v>
      </c>
      <c r="I2054">
        <v>5</v>
      </c>
      <c r="J2054">
        <v>4</v>
      </c>
      <c r="K2054">
        <v>0</v>
      </c>
      <c r="L2054">
        <v>422</v>
      </c>
      <c r="M2054">
        <v>15</v>
      </c>
      <c r="N2054" s="1">
        <f t="shared" si="256"/>
        <v>44938</v>
      </c>
      <c r="O2054" s="1">
        <f t="shared" si="257"/>
        <v>43101</v>
      </c>
      <c r="P2054" s="1">
        <f t="shared" si="258"/>
        <v>44197</v>
      </c>
      <c r="Q2054" s="8">
        <f t="shared" si="259"/>
        <v>0</v>
      </c>
      <c r="R2054" s="8">
        <f t="shared" si="260"/>
        <v>37</v>
      </c>
      <c r="S2054" s="8">
        <f t="shared" ca="1" si="261"/>
        <v>37</v>
      </c>
      <c r="T2054">
        <f t="shared" ca="1" si="262"/>
        <v>2.2518355826143144</v>
      </c>
      <c r="U2054" s="8">
        <f t="shared" ca="1" si="263"/>
        <v>1.5063247785374347</v>
      </c>
      <c r="V2054" s="8">
        <f ca="1">RawData[[#This Row],[Z (smoothed demand size)]]/RawData[[#This Row],[X (smoothed interval)]]</f>
        <v>1.494920361597406</v>
      </c>
    </row>
    <row r="2055" spans="1:22">
      <c r="A2055" t="s">
        <v>47</v>
      </c>
      <c r="B2055" t="s">
        <v>39</v>
      </c>
      <c r="C2055">
        <v>32</v>
      </c>
      <c r="D2055" t="s">
        <v>18</v>
      </c>
      <c r="E2055" t="s">
        <v>16</v>
      </c>
      <c r="F2055" s="1">
        <v>44198</v>
      </c>
      <c r="G2055">
        <v>0</v>
      </c>
      <c r="H2055">
        <v>0</v>
      </c>
      <c r="I2055">
        <v>4</v>
      </c>
      <c r="J2055">
        <v>4</v>
      </c>
      <c r="K2055">
        <v>0</v>
      </c>
      <c r="L2055">
        <v>418</v>
      </c>
      <c r="M2055">
        <v>30</v>
      </c>
      <c r="N2055" s="1">
        <f t="shared" si="256"/>
        <v>44938</v>
      </c>
      <c r="O2055" s="1">
        <f t="shared" si="257"/>
        <v>43101</v>
      </c>
      <c r="P2055" s="1">
        <f t="shared" si="258"/>
        <v>44228</v>
      </c>
      <c r="Q2055" s="8">
        <f t="shared" si="259"/>
        <v>0</v>
      </c>
      <c r="R2055" s="8">
        <f t="shared" si="260"/>
        <v>38</v>
      </c>
      <c r="S2055" s="8">
        <f t="shared" ca="1" si="261"/>
        <v>37</v>
      </c>
      <c r="T2055">
        <f t="shared" ca="1" si="262"/>
        <v>2.2518355826143144</v>
      </c>
      <c r="U2055" s="8">
        <f t="shared" ca="1" si="263"/>
        <v>1.5063247785374347</v>
      </c>
      <c r="V2055" s="8">
        <f ca="1">RawData[[#This Row],[Z (smoothed demand size)]]/RawData[[#This Row],[X (smoothed interval)]]</f>
        <v>1.494920361597406</v>
      </c>
    </row>
    <row r="2056" spans="1:22">
      <c r="A2056" t="s">
        <v>47</v>
      </c>
      <c r="B2056" t="s">
        <v>39</v>
      </c>
      <c r="C2056">
        <v>32</v>
      </c>
      <c r="D2056" t="s">
        <v>18</v>
      </c>
      <c r="E2056" t="s">
        <v>16</v>
      </c>
      <c r="F2056" s="1">
        <v>44199</v>
      </c>
      <c r="G2056">
        <v>6</v>
      </c>
      <c r="H2056">
        <v>4</v>
      </c>
      <c r="I2056">
        <v>4</v>
      </c>
      <c r="J2056">
        <v>0</v>
      </c>
      <c r="K2056">
        <v>1</v>
      </c>
      <c r="L2056">
        <v>420</v>
      </c>
      <c r="M2056">
        <v>60</v>
      </c>
      <c r="N2056" s="1">
        <f t="shared" si="256"/>
        <v>44938</v>
      </c>
      <c r="O2056" s="1">
        <f t="shared" si="257"/>
        <v>43101</v>
      </c>
      <c r="P2056" s="1">
        <f t="shared" si="258"/>
        <v>44256</v>
      </c>
      <c r="Q2056" s="8">
        <f t="shared" si="259"/>
        <v>0</v>
      </c>
      <c r="R2056" s="8">
        <f t="shared" si="260"/>
        <v>39</v>
      </c>
      <c r="S2056" s="8">
        <f t="shared" ca="1" si="261"/>
        <v>39</v>
      </c>
      <c r="T2056">
        <f t="shared" ca="1" si="262"/>
        <v>3.0014684660914517</v>
      </c>
      <c r="U2056" s="8">
        <f t="shared" ca="1" si="263"/>
        <v>1.605059822829948</v>
      </c>
      <c r="V2056" s="8">
        <f ca="1">RawData[[#This Row],[Z (smoothed demand size)]]/RawData[[#This Row],[X (smoothed interval)]]</f>
        <v>1.8700041103760465</v>
      </c>
    </row>
    <row r="2057" spans="1:22">
      <c r="A2057" t="s">
        <v>47</v>
      </c>
      <c r="B2057" t="s">
        <v>39</v>
      </c>
      <c r="C2057">
        <v>32</v>
      </c>
      <c r="D2057" t="s">
        <v>18</v>
      </c>
      <c r="E2057" t="s">
        <v>16</v>
      </c>
      <c r="F2057" s="1">
        <v>44200</v>
      </c>
      <c r="G2057">
        <v>2</v>
      </c>
      <c r="H2057">
        <v>0</v>
      </c>
      <c r="I2057">
        <v>0</v>
      </c>
      <c r="J2057">
        <v>0</v>
      </c>
      <c r="K2057">
        <v>1</v>
      </c>
      <c r="L2057">
        <v>423</v>
      </c>
      <c r="M2057">
        <v>30</v>
      </c>
      <c r="N2057" s="1">
        <f t="shared" si="256"/>
        <v>44938</v>
      </c>
      <c r="O2057" s="1">
        <f t="shared" si="257"/>
        <v>43101</v>
      </c>
      <c r="P2057" s="1">
        <f t="shared" si="258"/>
        <v>44287</v>
      </c>
      <c r="Q2057" s="8">
        <f t="shared" si="259"/>
        <v>0</v>
      </c>
      <c r="R2057" s="8">
        <f t="shared" si="260"/>
        <v>40</v>
      </c>
      <c r="S2057" s="8">
        <f t="shared" ca="1" si="261"/>
        <v>40</v>
      </c>
      <c r="T2057">
        <f t="shared" ca="1" si="262"/>
        <v>2.8011747728731615</v>
      </c>
      <c r="U2057" s="8">
        <f t="shared" ca="1" si="263"/>
        <v>1.4840478582639585</v>
      </c>
      <c r="V2057" s="8">
        <f ca="1">RawData[[#This Row],[Z (smoothed demand size)]]/RawData[[#This Row],[X (smoothed interval)]]</f>
        <v>1.8875232070682546</v>
      </c>
    </row>
    <row r="2058" spans="1:22">
      <c r="A2058" t="s">
        <v>47</v>
      </c>
      <c r="B2058" t="s">
        <v>39</v>
      </c>
      <c r="C2058">
        <v>32</v>
      </c>
      <c r="D2058" t="s">
        <v>18</v>
      </c>
      <c r="E2058" t="s">
        <v>16</v>
      </c>
      <c r="F2058" s="1">
        <v>44201</v>
      </c>
      <c r="G2058">
        <v>0</v>
      </c>
      <c r="H2058">
        <v>0</v>
      </c>
      <c r="I2058">
        <v>7</v>
      </c>
      <c r="J2058">
        <v>7</v>
      </c>
      <c r="K2058">
        <v>0</v>
      </c>
      <c r="L2058">
        <v>425</v>
      </c>
      <c r="M2058">
        <v>60</v>
      </c>
      <c r="N2058" s="1">
        <f t="shared" si="256"/>
        <v>44938</v>
      </c>
      <c r="O2058" s="1">
        <f t="shared" si="257"/>
        <v>43101</v>
      </c>
      <c r="P2058" s="1">
        <f t="shared" si="258"/>
        <v>44317</v>
      </c>
      <c r="Q2058" s="8">
        <f t="shared" si="259"/>
        <v>0</v>
      </c>
      <c r="R2058" s="8">
        <f t="shared" si="260"/>
        <v>41</v>
      </c>
      <c r="S2058" s="8">
        <f t="shared" ca="1" si="261"/>
        <v>40</v>
      </c>
      <c r="T2058">
        <f t="shared" ca="1" si="262"/>
        <v>2.8011747728731615</v>
      </c>
      <c r="U2058" s="8">
        <f t="shared" ca="1" si="263"/>
        <v>1.4840478582639585</v>
      </c>
      <c r="V2058" s="8">
        <f ca="1">RawData[[#This Row],[Z (smoothed demand size)]]/RawData[[#This Row],[X (smoothed interval)]]</f>
        <v>1.8875232070682546</v>
      </c>
    </row>
    <row r="2059" spans="1:22">
      <c r="A2059" t="s">
        <v>47</v>
      </c>
      <c r="B2059" t="s">
        <v>39</v>
      </c>
      <c r="C2059">
        <v>32</v>
      </c>
      <c r="D2059" t="s">
        <v>18</v>
      </c>
      <c r="E2059" t="s">
        <v>16</v>
      </c>
      <c r="F2059" s="1">
        <v>44202</v>
      </c>
      <c r="G2059">
        <v>4</v>
      </c>
      <c r="H2059">
        <v>4</v>
      </c>
      <c r="I2059">
        <v>7</v>
      </c>
      <c r="J2059">
        <v>3</v>
      </c>
      <c r="K2059">
        <v>0</v>
      </c>
      <c r="L2059">
        <v>470</v>
      </c>
      <c r="M2059">
        <v>60</v>
      </c>
      <c r="N2059" s="1">
        <f t="shared" si="256"/>
        <v>44938</v>
      </c>
      <c r="O2059" s="1">
        <f t="shared" si="257"/>
        <v>43101</v>
      </c>
      <c r="P2059" s="1">
        <f t="shared" si="258"/>
        <v>44348</v>
      </c>
      <c r="Q2059" s="8">
        <f t="shared" si="259"/>
        <v>0</v>
      </c>
      <c r="R2059" s="8">
        <f t="shared" si="260"/>
        <v>42</v>
      </c>
      <c r="S2059" s="8">
        <f t="shared" ca="1" si="261"/>
        <v>42</v>
      </c>
      <c r="T2059">
        <f t="shared" ca="1" si="262"/>
        <v>3.0409398182985292</v>
      </c>
      <c r="U2059" s="8">
        <f t="shared" ca="1" si="263"/>
        <v>1.5872382866111669</v>
      </c>
      <c r="V2059" s="8">
        <f ca="1">RawData[[#This Row],[Z (smoothed demand size)]]/RawData[[#This Row],[X (smoothed interval)]]</f>
        <v>1.9158684892808928</v>
      </c>
    </row>
    <row r="2060" spans="1:22">
      <c r="A2060" t="s">
        <v>47</v>
      </c>
      <c r="B2060" t="s">
        <v>39</v>
      </c>
      <c r="C2060">
        <v>32</v>
      </c>
      <c r="D2060" t="s">
        <v>18</v>
      </c>
      <c r="E2060" t="s">
        <v>16</v>
      </c>
      <c r="F2060" s="1">
        <v>44203</v>
      </c>
      <c r="G2060">
        <v>0</v>
      </c>
      <c r="H2060">
        <v>0</v>
      </c>
      <c r="I2060">
        <v>3</v>
      </c>
      <c r="J2060">
        <v>3</v>
      </c>
      <c r="K2060">
        <v>0</v>
      </c>
      <c r="L2060">
        <v>480</v>
      </c>
      <c r="M2060">
        <v>45</v>
      </c>
      <c r="N2060" s="1">
        <f t="shared" si="256"/>
        <v>44938</v>
      </c>
      <c r="O2060" s="1">
        <f t="shared" si="257"/>
        <v>43101</v>
      </c>
      <c r="P2060" s="1">
        <f t="shared" si="258"/>
        <v>44378</v>
      </c>
      <c r="Q2060" s="8">
        <f t="shared" si="259"/>
        <v>0</v>
      </c>
      <c r="R2060" s="8">
        <f t="shared" si="260"/>
        <v>43</v>
      </c>
      <c r="S2060" s="8">
        <f t="shared" ca="1" si="261"/>
        <v>42</v>
      </c>
      <c r="T2060">
        <f t="shared" ca="1" si="262"/>
        <v>3.0409398182985292</v>
      </c>
      <c r="U2060" s="8">
        <f t="shared" ca="1" si="263"/>
        <v>1.5872382866111669</v>
      </c>
      <c r="V2060" s="8">
        <f ca="1">RawData[[#This Row],[Z (smoothed demand size)]]/RawData[[#This Row],[X (smoothed interval)]]</f>
        <v>1.9158684892808928</v>
      </c>
    </row>
    <row r="2061" spans="1:22">
      <c r="A2061" t="s">
        <v>47</v>
      </c>
      <c r="B2061" t="s">
        <v>39</v>
      </c>
      <c r="C2061">
        <v>32</v>
      </c>
      <c r="D2061" t="s">
        <v>18</v>
      </c>
      <c r="E2061" t="s">
        <v>16</v>
      </c>
      <c r="F2061" s="1">
        <v>44204</v>
      </c>
      <c r="G2061">
        <v>0</v>
      </c>
      <c r="H2061">
        <v>0</v>
      </c>
      <c r="I2061">
        <v>13</v>
      </c>
      <c r="J2061">
        <v>13</v>
      </c>
      <c r="K2061">
        <v>0</v>
      </c>
      <c r="L2061">
        <v>473</v>
      </c>
      <c r="M2061">
        <v>45</v>
      </c>
      <c r="N2061" s="1">
        <f t="shared" si="256"/>
        <v>44938</v>
      </c>
      <c r="O2061" s="1">
        <f t="shared" si="257"/>
        <v>43101</v>
      </c>
      <c r="P2061" s="1">
        <f t="shared" si="258"/>
        <v>44409</v>
      </c>
      <c r="Q2061" s="8">
        <f t="shared" si="259"/>
        <v>0</v>
      </c>
      <c r="R2061" s="8">
        <f t="shared" si="260"/>
        <v>44</v>
      </c>
      <c r="S2061" s="8">
        <f t="shared" ca="1" si="261"/>
        <v>42</v>
      </c>
      <c r="T2061">
        <f t="shared" ca="1" si="262"/>
        <v>3.0409398182985292</v>
      </c>
      <c r="U2061" s="8">
        <f t="shared" ca="1" si="263"/>
        <v>1.5872382866111669</v>
      </c>
      <c r="V2061" s="8">
        <f ca="1">RawData[[#This Row],[Z (smoothed demand size)]]/RawData[[#This Row],[X (smoothed interval)]]</f>
        <v>1.9158684892808928</v>
      </c>
    </row>
    <row r="2062" spans="1:22">
      <c r="A2062" t="s">
        <v>47</v>
      </c>
      <c r="B2062" t="s">
        <v>39</v>
      </c>
      <c r="C2062">
        <v>32</v>
      </c>
      <c r="D2062" t="s">
        <v>18</v>
      </c>
      <c r="E2062" t="s">
        <v>16</v>
      </c>
      <c r="F2062" s="1">
        <v>44205</v>
      </c>
      <c r="G2062">
        <v>0</v>
      </c>
      <c r="H2062">
        <v>0</v>
      </c>
      <c r="I2062">
        <v>13</v>
      </c>
      <c r="J2062">
        <v>13</v>
      </c>
      <c r="K2062">
        <v>0</v>
      </c>
      <c r="L2062">
        <v>430</v>
      </c>
      <c r="M2062">
        <v>30</v>
      </c>
      <c r="N2062" s="1">
        <f t="shared" si="256"/>
        <v>44938</v>
      </c>
      <c r="O2062" s="1">
        <f t="shared" si="257"/>
        <v>43101</v>
      </c>
      <c r="P2062" s="1">
        <f t="shared" si="258"/>
        <v>44440</v>
      </c>
      <c r="Q2062" s="8">
        <f t="shared" si="259"/>
        <v>0</v>
      </c>
      <c r="R2062" s="8">
        <f t="shared" si="260"/>
        <v>45</v>
      </c>
      <c r="S2062" s="8">
        <f t="shared" ca="1" si="261"/>
        <v>42</v>
      </c>
      <c r="T2062">
        <f t="shared" ca="1" si="262"/>
        <v>3.0409398182985292</v>
      </c>
      <c r="U2062" s="8">
        <f t="shared" ca="1" si="263"/>
        <v>1.5872382866111669</v>
      </c>
      <c r="V2062" s="8">
        <f ca="1">RawData[[#This Row],[Z (smoothed demand size)]]/RawData[[#This Row],[X (smoothed interval)]]</f>
        <v>1.9158684892808928</v>
      </c>
    </row>
    <row r="2063" spans="1:22">
      <c r="A2063" t="s">
        <v>47</v>
      </c>
      <c r="B2063" t="s">
        <v>39</v>
      </c>
      <c r="C2063">
        <v>32</v>
      </c>
      <c r="D2063" t="s">
        <v>18</v>
      </c>
      <c r="E2063" t="s">
        <v>16</v>
      </c>
      <c r="F2063" s="1">
        <v>44206</v>
      </c>
      <c r="G2063">
        <v>0</v>
      </c>
      <c r="H2063">
        <v>0</v>
      </c>
      <c r="I2063">
        <v>13</v>
      </c>
      <c r="J2063">
        <v>13</v>
      </c>
      <c r="K2063">
        <v>0</v>
      </c>
      <c r="L2063">
        <v>419</v>
      </c>
      <c r="M2063">
        <v>15</v>
      </c>
      <c r="N2063" s="1">
        <f t="shared" si="256"/>
        <v>44938</v>
      </c>
      <c r="O2063" s="1">
        <f t="shared" si="257"/>
        <v>43101</v>
      </c>
      <c r="P2063" s="1">
        <f t="shared" si="258"/>
        <v>44470</v>
      </c>
      <c r="Q2063" s="8">
        <f t="shared" si="259"/>
        <v>0</v>
      </c>
      <c r="R2063" s="8">
        <f t="shared" si="260"/>
        <v>46</v>
      </c>
      <c r="S2063" s="8">
        <f t="shared" ca="1" si="261"/>
        <v>42</v>
      </c>
      <c r="T2063">
        <f t="shared" ca="1" si="262"/>
        <v>3.0409398182985292</v>
      </c>
      <c r="U2063" s="8">
        <f t="shared" ca="1" si="263"/>
        <v>1.5872382866111669</v>
      </c>
      <c r="V2063" s="8">
        <f ca="1">RawData[[#This Row],[Z (smoothed demand size)]]/RawData[[#This Row],[X (smoothed interval)]]</f>
        <v>1.9158684892808928</v>
      </c>
    </row>
    <row r="2064" spans="1:22">
      <c r="A2064" t="s">
        <v>47</v>
      </c>
      <c r="B2064" t="s">
        <v>39</v>
      </c>
      <c r="C2064">
        <v>32</v>
      </c>
      <c r="D2064" t="s">
        <v>18</v>
      </c>
      <c r="E2064" t="s">
        <v>16</v>
      </c>
      <c r="F2064" s="1">
        <v>44207</v>
      </c>
      <c r="G2064">
        <v>0</v>
      </c>
      <c r="H2064">
        <v>0</v>
      </c>
      <c r="I2064">
        <v>13</v>
      </c>
      <c r="J2064">
        <v>13</v>
      </c>
      <c r="K2064">
        <v>0</v>
      </c>
      <c r="L2064">
        <v>422</v>
      </c>
      <c r="M2064">
        <v>60</v>
      </c>
      <c r="N2064" s="1">
        <f t="shared" si="256"/>
        <v>44938</v>
      </c>
      <c r="O2064" s="1">
        <f t="shared" si="257"/>
        <v>43101</v>
      </c>
      <c r="P2064" s="1">
        <f t="shared" si="258"/>
        <v>44501</v>
      </c>
      <c r="Q2064" s="8">
        <f t="shared" si="259"/>
        <v>0</v>
      </c>
      <c r="R2064" s="8">
        <f t="shared" si="260"/>
        <v>47</v>
      </c>
      <c r="S2064" s="8">
        <f t="shared" ca="1" si="261"/>
        <v>42</v>
      </c>
      <c r="T2064">
        <f t="shared" ca="1" si="262"/>
        <v>3.0409398182985292</v>
      </c>
      <c r="U2064" s="8">
        <f t="shared" ca="1" si="263"/>
        <v>1.5872382866111669</v>
      </c>
      <c r="V2064" s="8">
        <f ca="1">RawData[[#This Row],[Z (smoothed demand size)]]/RawData[[#This Row],[X (smoothed interval)]]</f>
        <v>1.9158684892808928</v>
      </c>
    </row>
    <row r="2065" spans="1:22">
      <c r="A2065" t="s">
        <v>47</v>
      </c>
      <c r="B2065" t="s">
        <v>39</v>
      </c>
      <c r="C2065">
        <v>32</v>
      </c>
      <c r="D2065" t="s">
        <v>18</v>
      </c>
      <c r="E2065" t="s">
        <v>16</v>
      </c>
      <c r="F2065" s="1">
        <v>44208</v>
      </c>
      <c r="G2065">
        <v>0</v>
      </c>
      <c r="H2065">
        <v>0</v>
      </c>
      <c r="I2065">
        <v>13</v>
      </c>
      <c r="J2065">
        <v>13</v>
      </c>
      <c r="K2065">
        <v>0</v>
      </c>
      <c r="L2065">
        <v>478</v>
      </c>
      <c r="M2065">
        <v>30</v>
      </c>
      <c r="N2065" s="1">
        <f t="shared" si="256"/>
        <v>44938</v>
      </c>
      <c r="O2065" s="1">
        <f t="shared" si="257"/>
        <v>43101</v>
      </c>
      <c r="P2065" s="1">
        <f t="shared" si="258"/>
        <v>44531</v>
      </c>
      <c r="Q2065" s="8">
        <f t="shared" si="259"/>
        <v>0</v>
      </c>
      <c r="R2065" s="8">
        <f t="shared" si="260"/>
        <v>48</v>
      </c>
      <c r="S2065" s="8">
        <f t="shared" ca="1" si="261"/>
        <v>42</v>
      </c>
      <c r="T2065">
        <f t="shared" ca="1" si="262"/>
        <v>3.0409398182985292</v>
      </c>
      <c r="U2065" s="8">
        <f t="shared" ca="1" si="263"/>
        <v>1.5872382866111669</v>
      </c>
      <c r="V2065" s="8">
        <f ca="1">RawData[[#This Row],[Z (smoothed demand size)]]/RawData[[#This Row],[X (smoothed interval)]]</f>
        <v>1.9158684892808928</v>
      </c>
    </row>
    <row r="2066" spans="1:22">
      <c r="A2066" t="s">
        <v>47</v>
      </c>
      <c r="B2066" t="s">
        <v>39</v>
      </c>
      <c r="C2066">
        <v>32</v>
      </c>
      <c r="D2066" t="s">
        <v>18</v>
      </c>
      <c r="E2066" t="s">
        <v>16</v>
      </c>
      <c r="F2066" s="1">
        <v>44562</v>
      </c>
      <c r="G2066">
        <v>0</v>
      </c>
      <c r="H2066">
        <v>0</v>
      </c>
      <c r="I2066">
        <v>13</v>
      </c>
      <c r="J2066">
        <v>13</v>
      </c>
      <c r="K2066">
        <v>0</v>
      </c>
      <c r="L2066">
        <v>415</v>
      </c>
      <c r="M2066">
        <v>60</v>
      </c>
      <c r="N2066" s="1">
        <f t="shared" si="256"/>
        <v>44938</v>
      </c>
      <c r="O2066" s="1">
        <f t="shared" si="257"/>
        <v>43101</v>
      </c>
      <c r="P2066" s="1">
        <f t="shared" si="258"/>
        <v>44562</v>
      </c>
      <c r="Q2066" s="8">
        <f t="shared" si="259"/>
        <v>0</v>
      </c>
      <c r="R2066" s="8">
        <f t="shared" si="260"/>
        <v>49</v>
      </c>
      <c r="S2066" s="8">
        <f t="shared" ca="1" si="261"/>
        <v>42</v>
      </c>
      <c r="T2066">
        <f t="shared" ca="1" si="262"/>
        <v>3.0409398182985292</v>
      </c>
      <c r="U2066" s="8">
        <f t="shared" ca="1" si="263"/>
        <v>1.5872382866111669</v>
      </c>
      <c r="V2066" s="8">
        <f ca="1">RawData[[#This Row],[Z (smoothed demand size)]]/RawData[[#This Row],[X (smoothed interval)]]</f>
        <v>1.9158684892808928</v>
      </c>
    </row>
    <row r="2067" spans="1:22">
      <c r="A2067" t="s">
        <v>47</v>
      </c>
      <c r="B2067" t="s">
        <v>39</v>
      </c>
      <c r="C2067">
        <v>32</v>
      </c>
      <c r="D2067" t="s">
        <v>18</v>
      </c>
      <c r="E2067" t="s">
        <v>16</v>
      </c>
      <c r="F2067" s="1">
        <v>44563</v>
      </c>
      <c r="G2067">
        <v>0</v>
      </c>
      <c r="H2067">
        <v>0</v>
      </c>
      <c r="I2067">
        <v>13</v>
      </c>
      <c r="J2067">
        <v>13</v>
      </c>
      <c r="K2067">
        <v>0</v>
      </c>
      <c r="L2067">
        <v>422</v>
      </c>
      <c r="M2067">
        <v>15</v>
      </c>
      <c r="N2067" s="1">
        <f t="shared" si="256"/>
        <v>44938</v>
      </c>
      <c r="O2067" s="1">
        <f t="shared" si="257"/>
        <v>43101</v>
      </c>
      <c r="P2067" s="1">
        <f t="shared" si="258"/>
        <v>44593</v>
      </c>
      <c r="Q2067" s="8">
        <f t="shared" si="259"/>
        <v>0</v>
      </c>
      <c r="R2067" s="8">
        <f t="shared" si="260"/>
        <v>50</v>
      </c>
      <c r="S2067" s="8">
        <f t="shared" ca="1" si="261"/>
        <v>42</v>
      </c>
      <c r="T2067">
        <f t="shared" ca="1" si="262"/>
        <v>3.0409398182985292</v>
      </c>
      <c r="U2067" s="8">
        <f t="shared" ca="1" si="263"/>
        <v>1.5872382866111669</v>
      </c>
      <c r="V2067" s="8">
        <f ca="1">RawData[[#This Row],[Z (smoothed demand size)]]/RawData[[#This Row],[X (smoothed interval)]]</f>
        <v>1.9158684892808928</v>
      </c>
    </row>
    <row r="2068" spans="1:22">
      <c r="A2068" t="s">
        <v>47</v>
      </c>
      <c r="B2068" t="s">
        <v>39</v>
      </c>
      <c r="C2068">
        <v>32</v>
      </c>
      <c r="D2068" t="s">
        <v>18</v>
      </c>
      <c r="E2068" t="s">
        <v>16</v>
      </c>
      <c r="F2068" s="1">
        <v>44564</v>
      </c>
      <c r="G2068">
        <v>3</v>
      </c>
      <c r="H2068">
        <v>3</v>
      </c>
      <c r="I2068">
        <v>13</v>
      </c>
      <c r="J2068">
        <v>10</v>
      </c>
      <c r="K2068">
        <v>0</v>
      </c>
      <c r="L2068">
        <v>419</v>
      </c>
      <c r="M2068">
        <v>15</v>
      </c>
      <c r="N2068" s="1">
        <f t="shared" si="256"/>
        <v>44938</v>
      </c>
      <c r="O2068" s="1">
        <f t="shared" si="257"/>
        <v>43101</v>
      </c>
      <c r="P2068" s="1">
        <f t="shared" si="258"/>
        <v>44621</v>
      </c>
      <c r="Q2068" s="8">
        <f t="shared" si="259"/>
        <v>0</v>
      </c>
      <c r="R2068" s="8">
        <f t="shared" si="260"/>
        <v>51</v>
      </c>
      <c r="S2068" s="8">
        <f t="shared" ca="1" si="261"/>
        <v>51</v>
      </c>
      <c r="T2068">
        <f t="shared" ca="1" si="262"/>
        <v>3.0327518546388235</v>
      </c>
      <c r="U2068" s="8">
        <f t="shared" ca="1" si="263"/>
        <v>3.0697906292889336</v>
      </c>
      <c r="V2068" s="8">
        <f ca="1">RawData[[#This Row],[Z (smoothed demand size)]]/RawData[[#This Row],[X (smoothed interval)]]</f>
        <v>0.98793442969799883</v>
      </c>
    </row>
    <row r="2069" spans="1:22">
      <c r="A2069" t="s">
        <v>47</v>
      </c>
      <c r="B2069" t="s">
        <v>39</v>
      </c>
      <c r="C2069">
        <v>32</v>
      </c>
      <c r="D2069" t="s">
        <v>18</v>
      </c>
      <c r="E2069" t="s">
        <v>16</v>
      </c>
      <c r="F2069" s="1">
        <v>44565</v>
      </c>
      <c r="G2069">
        <v>0</v>
      </c>
      <c r="H2069">
        <v>0</v>
      </c>
      <c r="I2069">
        <v>10</v>
      </c>
      <c r="J2069">
        <v>10</v>
      </c>
      <c r="K2069">
        <v>0</v>
      </c>
      <c r="L2069">
        <v>424</v>
      </c>
      <c r="M2069">
        <v>15</v>
      </c>
      <c r="N2069" s="1">
        <f t="shared" si="256"/>
        <v>44938</v>
      </c>
      <c r="O2069" s="1">
        <f t="shared" si="257"/>
        <v>43101</v>
      </c>
      <c r="P2069" s="1">
        <f t="shared" si="258"/>
        <v>44652</v>
      </c>
      <c r="Q2069" s="8">
        <f t="shared" si="259"/>
        <v>0</v>
      </c>
      <c r="R2069" s="8">
        <f t="shared" si="260"/>
        <v>52</v>
      </c>
      <c r="S2069" s="8">
        <f t="shared" ca="1" si="261"/>
        <v>51</v>
      </c>
      <c r="T2069">
        <f t="shared" ca="1" si="262"/>
        <v>3.0327518546388235</v>
      </c>
      <c r="U2069" s="8">
        <f t="shared" ca="1" si="263"/>
        <v>3.0697906292889336</v>
      </c>
      <c r="V2069" s="8">
        <f ca="1">RawData[[#This Row],[Z (smoothed demand size)]]/RawData[[#This Row],[X (smoothed interval)]]</f>
        <v>0.98793442969799883</v>
      </c>
    </row>
    <row r="2070" spans="1:22">
      <c r="A2070" t="s">
        <v>47</v>
      </c>
      <c r="B2070" t="s">
        <v>39</v>
      </c>
      <c r="C2070">
        <v>32</v>
      </c>
      <c r="D2070" t="s">
        <v>18</v>
      </c>
      <c r="E2070" t="s">
        <v>16</v>
      </c>
      <c r="F2070" s="1">
        <v>44566</v>
      </c>
      <c r="G2070">
        <v>0</v>
      </c>
      <c r="H2070">
        <v>0</v>
      </c>
      <c r="I2070">
        <v>10</v>
      </c>
      <c r="J2070">
        <v>10</v>
      </c>
      <c r="K2070">
        <v>0</v>
      </c>
      <c r="L2070">
        <v>413</v>
      </c>
      <c r="M2070">
        <v>45</v>
      </c>
      <c r="N2070" s="1">
        <f t="shared" si="256"/>
        <v>44938</v>
      </c>
      <c r="O2070" s="1">
        <f t="shared" si="257"/>
        <v>43101</v>
      </c>
      <c r="P2070" s="1">
        <f t="shared" si="258"/>
        <v>44682</v>
      </c>
      <c r="Q2070" s="8">
        <f t="shared" si="259"/>
        <v>0</v>
      </c>
      <c r="R2070" s="8">
        <f t="shared" si="260"/>
        <v>53</v>
      </c>
      <c r="S2070" s="8">
        <f t="shared" ca="1" si="261"/>
        <v>51</v>
      </c>
      <c r="T2070">
        <f t="shared" ca="1" si="262"/>
        <v>3.0327518546388235</v>
      </c>
      <c r="U2070" s="8">
        <f t="shared" ca="1" si="263"/>
        <v>3.0697906292889336</v>
      </c>
      <c r="V2070" s="8">
        <f ca="1">RawData[[#This Row],[Z (smoothed demand size)]]/RawData[[#This Row],[X (smoothed interval)]]</f>
        <v>0.98793442969799883</v>
      </c>
    </row>
    <row r="2071" spans="1:22">
      <c r="A2071" t="s">
        <v>47</v>
      </c>
      <c r="B2071" t="s">
        <v>39</v>
      </c>
      <c r="C2071">
        <v>32</v>
      </c>
      <c r="D2071" t="s">
        <v>18</v>
      </c>
      <c r="E2071" t="s">
        <v>16</v>
      </c>
      <c r="F2071" s="1">
        <v>44567</v>
      </c>
      <c r="G2071">
        <v>4</v>
      </c>
      <c r="H2071">
        <v>4</v>
      </c>
      <c r="I2071">
        <v>10</v>
      </c>
      <c r="J2071">
        <v>6</v>
      </c>
      <c r="K2071">
        <v>0</v>
      </c>
      <c r="L2071">
        <v>478</v>
      </c>
      <c r="M2071">
        <v>45</v>
      </c>
      <c r="N2071" s="1">
        <f t="shared" si="256"/>
        <v>44938</v>
      </c>
      <c r="O2071" s="1">
        <f t="shared" si="257"/>
        <v>43101</v>
      </c>
      <c r="P2071" s="1">
        <f t="shared" si="258"/>
        <v>44713</v>
      </c>
      <c r="Q2071" s="8">
        <f t="shared" si="259"/>
        <v>0</v>
      </c>
      <c r="R2071" s="8">
        <f t="shared" si="260"/>
        <v>54</v>
      </c>
      <c r="S2071" s="8">
        <f t="shared" ca="1" si="261"/>
        <v>54</v>
      </c>
      <c r="T2071">
        <f t="shared" ca="1" si="262"/>
        <v>3.2262014837110593</v>
      </c>
      <c r="U2071" s="8">
        <f t="shared" ca="1" si="263"/>
        <v>3.0558325034311471</v>
      </c>
      <c r="V2071" s="8">
        <f ca="1">RawData[[#This Row],[Z (smoothed demand size)]]/RawData[[#This Row],[X (smoothed interval)]]</f>
        <v>1.0557520675916034</v>
      </c>
    </row>
    <row r="2072" spans="1:22">
      <c r="A2072" t="s">
        <v>47</v>
      </c>
      <c r="B2072" t="s">
        <v>39</v>
      </c>
      <c r="C2072">
        <v>32</v>
      </c>
      <c r="D2072" t="s">
        <v>18</v>
      </c>
      <c r="E2072" t="s">
        <v>16</v>
      </c>
      <c r="F2072" s="1">
        <v>44568</v>
      </c>
      <c r="G2072">
        <v>2</v>
      </c>
      <c r="H2072">
        <v>2</v>
      </c>
      <c r="I2072">
        <v>6</v>
      </c>
      <c r="J2072">
        <v>4</v>
      </c>
      <c r="K2072">
        <v>0</v>
      </c>
      <c r="L2072">
        <v>482</v>
      </c>
      <c r="M2072">
        <v>45</v>
      </c>
      <c r="N2072" s="1">
        <f t="shared" si="256"/>
        <v>44938</v>
      </c>
      <c r="O2072" s="1">
        <f t="shared" si="257"/>
        <v>43101</v>
      </c>
      <c r="P2072" s="1">
        <f t="shared" si="258"/>
        <v>44743</v>
      </c>
      <c r="Q2072" s="8">
        <f t="shared" si="259"/>
        <v>0</v>
      </c>
      <c r="R2072" s="8">
        <f t="shared" si="260"/>
        <v>55</v>
      </c>
      <c r="S2072" s="8">
        <f t="shared" ca="1" si="261"/>
        <v>55</v>
      </c>
      <c r="T2072">
        <f t="shared" ca="1" si="262"/>
        <v>2.9809611869688477</v>
      </c>
      <c r="U2072" s="8">
        <f t="shared" ca="1" si="263"/>
        <v>2.644666002744918</v>
      </c>
      <c r="V2072" s="8">
        <f ca="1">RawData[[#This Row],[Z (smoothed demand size)]]/RawData[[#This Row],[X (smoothed interval)]]</f>
        <v>1.1271597940438931</v>
      </c>
    </row>
    <row r="2073" spans="1:22">
      <c r="A2073" t="s">
        <v>47</v>
      </c>
      <c r="B2073" t="s">
        <v>39</v>
      </c>
      <c r="C2073">
        <v>32</v>
      </c>
      <c r="D2073" t="s">
        <v>18</v>
      </c>
      <c r="E2073" t="s">
        <v>16</v>
      </c>
      <c r="F2073" s="1">
        <v>44569</v>
      </c>
      <c r="G2073">
        <v>5</v>
      </c>
      <c r="H2073">
        <v>4</v>
      </c>
      <c r="I2073">
        <v>4</v>
      </c>
      <c r="J2073">
        <v>0</v>
      </c>
      <c r="K2073">
        <v>1</v>
      </c>
      <c r="L2073">
        <v>483</v>
      </c>
      <c r="M2073">
        <v>15</v>
      </c>
      <c r="N2073" s="1">
        <f t="shared" si="256"/>
        <v>44938</v>
      </c>
      <c r="O2073" s="1">
        <f t="shared" si="257"/>
        <v>43101</v>
      </c>
      <c r="P2073" s="1">
        <f t="shared" si="258"/>
        <v>44774</v>
      </c>
      <c r="Q2073" s="8">
        <f t="shared" si="259"/>
        <v>0</v>
      </c>
      <c r="R2073" s="8">
        <f t="shared" si="260"/>
        <v>56</v>
      </c>
      <c r="S2073" s="8">
        <f t="shared" ca="1" si="261"/>
        <v>56</v>
      </c>
      <c r="T2073">
        <f t="shared" ca="1" si="262"/>
        <v>3.3847689495750783</v>
      </c>
      <c r="U2073" s="8">
        <f t="shared" ca="1" si="263"/>
        <v>2.3157328021959347</v>
      </c>
      <c r="V2073" s="8">
        <f ca="1">RawData[[#This Row],[Z (smoothed demand size)]]/RawData[[#This Row],[X (smoothed interval)]]</f>
        <v>1.4616405426245251</v>
      </c>
    </row>
    <row r="2074" spans="1:22">
      <c r="A2074" t="s">
        <v>47</v>
      </c>
      <c r="B2074" t="s">
        <v>39</v>
      </c>
      <c r="C2074">
        <v>32</v>
      </c>
      <c r="D2074" t="s">
        <v>18</v>
      </c>
      <c r="E2074" t="s">
        <v>16</v>
      </c>
      <c r="F2074" s="1">
        <v>44570</v>
      </c>
      <c r="G2074">
        <v>0</v>
      </c>
      <c r="H2074">
        <v>0</v>
      </c>
      <c r="I2074">
        <v>9</v>
      </c>
      <c r="J2074">
        <v>9</v>
      </c>
      <c r="K2074">
        <v>0</v>
      </c>
      <c r="L2074">
        <v>419</v>
      </c>
      <c r="M2074">
        <v>45</v>
      </c>
      <c r="N2074" s="1">
        <f t="shared" si="256"/>
        <v>44938</v>
      </c>
      <c r="O2074" s="1">
        <f t="shared" si="257"/>
        <v>43101</v>
      </c>
      <c r="P2074" s="1">
        <f t="shared" si="258"/>
        <v>44805</v>
      </c>
      <c r="Q2074" s="8">
        <f t="shared" si="259"/>
        <v>0</v>
      </c>
      <c r="R2074" s="8">
        <f t="shared" si="260"/>
        <v>57</v>
      </c>
      <c r="S2074" s="8">
        <f t="shared" ca="1" si="261"/>
        <v>56</v>
      </c>
      <c r="T2074">
        <f t="shared" ca="1" si="262"/>
        <v>3.3847689495750783</v>
      </c>
      <c r="U2074" s="8">
        <f t="shared" ca="1" si="263"/>
        <v>2.3157328021959347</v>
      </c>
      <c r="V2074" s="8">
        <f ca="1">RawData[[#This Row],[Z (smoothed demand size)]]/RawData[[#This Row],[X (smoothed interval)]]</f>
        <v>1.4616405426245251</v>
      </c>
    </row>
    <row r="2075" spans="1:22">
      <c r="A2075" t="s">
        <v>47</v>
      </c>
      <c r="B2075" t="s">
        <v>39</v>
      </c>
      <c r="C2075">
        <v>32</v>
      </c>
      <c r="D2075" t="s">
        <v>18</v>
      </c>
      <c r="E2075" t="s">
        <v>16</v>
      </c>
      <c r="F2075" s="1">
        <v>44571</v>
      </c>
      <c r="G2075">
        <v>1</v>
      </c>
      <c r="H2075">
        <v>1</v>
      </c>
      <c r="I2075">
        <v>9</v>
      </c>
      <c r="J2075">
        <v>8</v>
      </c>
      <c r="K2075">
        <v>0</v>
      </c>
      <c r="L2075">
        <v>411</v>
      </c>
      <c r="M2075">
        <v>45</v>
      </c>
      <c r="N2075" s="1">
        <f t="shared" si="256"/>
        <v>44938</v>
      </c>
      <c r="O2075" s="1">
        <f t="shared" si="257"/>
        <v>43101</v>
      </c>
      <c r="P2075" s="1">
        <f t="shared" si="258"/>
        <v>44835</v>
      </c>
      <c r="Q2075" s="8">
        <f t="shared" si="259"/>
        <v>0</v>
      </c>
      <c r="R2075" s="8">
        <f t="shared" si="260"/>
        <v>58</v>
      </c>
      <c r="S2075" s="8">
        <f t="shared" ca="1" si="261"/>
        <v>58</v>
      </c>
      <c r="T2075">
        <f t="shared" ca="1" si="262"/>
        <v>2.9078151596600632</v>
      </c>
      <c r="U2075" s="8">
        <f t="shared" ca="1" si="263"/>
        <v>2.2525862417567479</v>
      </c>
      <c r="V2075" s="8">
        <f ca="1">RawData[[#This Row],[Z (smoothed demand size)]]/RawData[[#This Row],[X (smoothed interval)]]</f>
        <v>1.2908785047858213</v>
      </c>
    </row>
    <row r="2076" spans="1:22">
      <c r="A2076" t="s">
        <v>47</v>
      </c>
      <c r="B2076" t="s">
        <v>39</v>
      </c>
      <c r="C2076">
        <v>32</v>
      </c>
      <c r="D2076" t="s">
        <v>18</v>
      </c>
      <c r="E2076" t="s">
        <v>16</v>
      </c>
      <c r="F2076" s="1">
        <v>44572</v>
      </c>
      <c r="G2076">
        <v>0</v>
      </c>
      <c r="H2076">
        <v>0</v>
      </c>
      <c r="I2076">
        <v>8</v>
      </c>
      <c r="J2076">
        <v>8</v>
      </c>
      <c r="K2076">
        <v>0</v>
      </c>
      <c r="L2076">
        <v>413</v>
      </c>
      <c r="M2076">
        <v>30</v>
      </c>
      <c r="N2076" s="1">
        <f t="shared" si="256"/>
        <v>44938</v>
      </c>
      <c r="O2076" s="1">
        <f t="shared" si="257"/>
        <v>43101</v>
      </c>
      <c r="P2076" s="1">
        <f t="shared" si="258"/>
        <v>44866</v>
      </c>
      <c r="Q2076" s="8">
        <f t="shared" si="259"/>
        <v>0</v>
      </c>
      <c r="R2076" s="8">
        <f t="shared" si="260"/>
        <v>59</v>
      </c>
      <c r="S2076" s="8">
        <f t="shared" ca="1" si="261"/>
        <v>58</v>
      </c>
      <c r="T2076">
        <f t="shared" ca="1" si="262"/>
        <v>2.9078151596600632</v>
      </c>
      <c r="U2076" s="8">
        <f t="shared" ca="1" si="263"/>
        <v>2.2525862417567479</v>
      </c>
      <c r="V2076" s="8">
        <f ca="1">RawData[[#This Row],[Z (smoothed demand size)]]/RawData[[#This Row],[X (smoothed interval)]]</f>
        <v>1.2908785047858213</v>
      </c>
    </row>
    <row r="2077" spans="1:22">
      <c r="A2077" t="s">
        <v>47</v>
      </c>
      <c r="B2077" t="s">
        <v>39</v>
      </c>
      <c r="C2077">
        <v>32</v>
      </c>
      <c r="D2077" t="s">
        <v>18</v>
      </c>
      <c r="E2077" t="s">
        <v>16</v>
      </c>
      <c r="F2077" s="1">
        <v>44573</v>
      </c>
      <c r="G2077">
        <v>1</v>
      </c>
      <c r="H2077">
        <v>1</v>
      </c>
      <c r="I2077">
        <v>8</v>
      </c>
      <c r="J2077">
        <v>7</v>
      </c>
      <c r="K2077">
        <v>0</v>
      </c>
      <c r="L2077">
        <v>481</v>
      </c>
      <c r="M2077">
        <v>30</v>
      </c>
      <c r="N2077" s="1">
        <f t="shared" si="256"/>
        <v>44938</v>
      </c>
      <c r="O2077" s="1">
        <f t="shared" si="257"/>
        <v>43101</v>
      </c>
      <c r="P2077" s="1">
        <f t="shared" si="258"/>
        <v>44896</v>
      </c>
      <c r="Q2077" s="8">
        <f t="shared" si="259"/>
        <v>0</v>
      </c>
      <c r="R2077" s="8">
        <f t="shared" si="260"/>
        <v>60</v>
      </c>
      <c r="S2077" s="8">
        <f t="shared" ca="1" si="261"/>
        <v>60</v>
      </c>
      <c r="T2077">
        <f t="shared" ca="1" si="262"/>
        <v>2.5262521277280507</v>
      </c>
      <c r="U2077" s="8">
        <f t="shared" ca="1" si="263"/>
        <v>2.2020689934053985</v>
      </c>
      <c r="V2077" s="8">
        <f ca="1">RawData[[#This Row],[Z (smoothed demand size)]]/RawData[[#This Row],[X (smoothed interval)]]</f>
        <v>1.1472175192028466</v>
      </c>
    </row>
    <row r="2078" spans="1:22">
      <c r="A2078" t="s">
        <v>47</v>
      </c>
      <c r="B2078" t="s">
        <v>39</v>
      </c>
      <c r="C2078">
        <v>32</v>
      </c>
      <c r="D2078" t="s">
        <v>18</v>
      </c>
      <c r="E2078" t="s">
        <v>16</v>
      </c>
      <c r="F2078" s="1">
        <v>44927</v>
      </c>
      <c r="G2078">
        <v>1</v>
      </c>
      <c r="H2078">
        <v>1</v>
      </c>
      <c r="I2078">
        <v>7</v>
      </c>
      <c r="J2078">
        <v>6</v>
      </c>
      <c r="K2078">
        <v>0</v>
      </c>
      <c r="L2078">
        <v>409</v>
      </c>
      <c r="M2078">
        <v>30</v>
      </c>
      <c r="N2078" s="1">
        <f t="shared" si="256"/>
        <v>44938</v>
      </c>
      <c r="O2078" s="1">
        <f t="shared" si="257"/>
        <v>43101</v>
      </c>
      <c r="P2078" s="1">
        <f t="shared" si="258"/>
        <v>44927</v>
      </c>
      <c r="Q2078" s="8">
        <f t="shared" si="259"/>
        <v>0</v>
      </c>
      <c r="R2078" s="8">
        <f t="shared" si="260"/>
        <v>61</v>
      </c>
      <c r="S2078" s="8">
        <f t="shared" ca="1" si="261"/>
        <v>61</v>
      </c>
      <c r="T2078">
        <f t="shared" ca="1" si="262"/>
        <v>2.2210017021824409</v>
      </c>
      <c r="U2078" s="8">
        <f t="shared" ca="1" si="263"/>
        <v>1.9616551947243188</v>
      </c>
      <c r="V2078" s="8">
        <f ca="1">RawData[[#This Row],[Z (smoothed demand size)]]/RawData[[#This Row],[X (smoothed interval)]]</f>
        <v>1.1322079987123166</v>
      </c>
    </row>
    <row r="2079" spans="1:22">
      <c r="A2079" t="s">
        <v>47</v>
      </c>
      <c r="B2079" t="s">
        <v>39</v>
      </c>
      <c r="C2079">
        <v>32</v>
      </c>
      <c r="D2079" t="s">
        <v>18</v>
      </c>
      <c r="E2079" t="s">
        <v>16</v>
      </c>
      <c r="F2079" s="1">
        <v>44928</v>
      </c>
      <c r="G2079">
        <v>1</v>
      </c>
      <c r="H2079">
        <v>1</v>
      </c>
      <c r="I2079">
        <v>6</v>
      </c>
      <c r="J2079">
        <v>5</v>
      </c>
      <c r="K2079">
        <v>0</v>
      </c>
      <c r="L2079">
        <v>412</v>
      </c>
      <c r="M2079">
        <v>30</v>
      </c>
      <c r="N2079" s="1">
        <f t="shared" si="256"/>
        <v>44938</v>
      </c>
      <c r="O2079" s="1">
        <f t="shared" si="257"/>
        <v>43101</v>
      </c>
      <c r="P2079" s="1">
        <f t="shared" si="258"/>
        <v>44958</v>
      </c>
      <c r="Q2079" s="8">
        <f t="shared" si="259"/>
        <v>0</v>
      </c>
      <c r="R2079" s="8">
        <f t="shared" si="260"/>
        <v>62</v>
      </c>
      <c r="S2079" s="8">
        <f t="shared" ca="1" si="261"/>
        <v>62</v>
      </c>
      <c r="T2079">
        <f t="shared" ca="1" si="262"/>
        <v>1.9768013617459528</v>
      </c>
      <c r="U2079" s="8">
        <f t="shared" ca="1" si="263"/>
        <v>1.769324155779455</v>
      </c>
      <c r="V2079" s="8">
        <f ca="1">RawData[[#This Row],[Z (smoothed demand size)]]/RawData[[#This Row],[X (smoothed interval)]]</f>
        <v>1.1172635355080518</v>
      </c>
    </row>
    <row r="2080" spans="1:22">
      <c r="A2080" t="s">
        <v>47</v>
      </c>
      <c r="B2080" t="s">
        <v>39</v>
      </c>
      <c r="C2080">
        <v>32</v>
      </c>
      <c r="D2080" t="s">
        <v>18</v>
      </c>
      <c r="E2080" t="s">
        <v>16</v>
      </c>
      <c r="F2080" s="1">
        <v>44929</v>
      </c>
      <c r="G2080">
        <v>4</v>
      </c>
      <c r="H2080">
        <v>4</v>
      </c>
      <c r="I2080">
        <v>5</v>
      </c>
      <c r="J2080">
        <v>1</v>
      </c>
      <c r="K2080">
        <v>0</v>
      </c>
      <c r="L2080">
        <v>416</v>
      </c>
      <c r="M2080">
        <v>45</v>
      </c>
      <c r="N2080" s="1">
        <f t="shared" si="256"/>
        <v>44938</v>
      </c>
      <c r="O2080" s="1">
        <f t="shared" si="257"/>
        <v>43101</v>
      </c>
      <c r="P2080" s="1">
        <f t="shared" si="258"/>
        <v>44986</v>
      </c>
      <c r="Q2080" s="8">
        <f t="shared" si="259"/>
        <v>0</v>
      </c>
      <c r="R2080" s="8">
        <f t="shared" si="260"/>
        <v>63</v>
      </c>
      <c r="S2080" s="8">
        <f t="shared" ca="1" si="261"/>
        <v>63</v>
      </c>
      <c r="T2080">
        <f t="shared" ca="1" si="262"/>
        <v>2.3814410893967626</v>
      </c>
      <c r="U2080" s="8">
        <f t="shared" ca="1" si="263"/>
        <v>1.615459324623564</v>
      </c>
      <c r="V2080" s="8">
        <f ca="1">RawData[[#This Row],[Z (smoothed demand size)]]/RawData[[#This Row],[X (smoothed interval)]]</f>
        <v>1.4741572586184974</v>
      </c>
    </row>
    <row r="2081" spans="1:22">
      <c r="A2081" t="s">
        <v>47</v>
      </c>
      <c r="B2081" t="s">
        <v>39</v>
      </c>
      <c r="C2081">
        <v>32</v>
      </c>
      <c r="D2081" t="s">
        <v>18</v>
      </c>
      <c r="E2081" t="s">
        <v>16</v>
      </c>
      <c r="F2081" s="1">
        <v>44930</v>
      </c>
      <c r="G2081">
        <v>0</v>
      </c>
      <c r="H2081">
        <v>0</v>
      </c>
      <c r="I2081">
        <v>1</v>
      </c>
      <c r="J2081">
        <v>1</v>
      </c>
      <c r="K2081">
        <v>0</v>
      </c>
      <c r="L2081">
        <v>412</v>
      </c>
      <c r="M2081">
        <v>45</v>
      </c>
      <c r="N2081" s="1">
        <f t="shared" si="256"/>
        <v>44938</v>
      </c>
      <c r="O2081" s="1">
        <f t="shared" si="257"/>
        <v>43101</v>
      </c>
      <c r="P2081" s="1">
        <f t="shared" si="258"/>
        <v>45017</v>
      </c>
      <c r="Q2081" s="8">
        <f t="shared" si="259"/>
        <v>0</v>
      </c>
      <c r="R2081" s="8">
        <f t="shared" si="260"/>
        <v>64</v>
      </c>
      <c r="S2081" s="8">
        <f t="shared" ca="1" si="261"/>
        <v>63</v>
      </c>
      <c r="T2081">
        <f t="shared" ca="1" si="262"/>
        <v>2.3814410893967626</v>
      </c>
      <c r="U2081" s="8">
        <f t="shared" ca="1" si="263"/>
        <v>1.615459324623564</v>
      </c>
      <c r="V2081" s="8">
        <f ca="1">RawData[[#This Row],[Z (smoothed demand size)]]/RawData[[#This Row],[X (smoothed interval)]]</f>
        <v>1.4741572586184974</v>
      </c>
    </row>
    <row r="2082" spans="1:22">
      <c r="A2082" t="s">
        <v>47</v>
      </c>
      <c r="B2082" t="s">
        <v>39</v>
      </c>
      <c r="C2082">
        <v>32</v>
      </c>
      <c r="D2082" t="s">
        <v>18</v>
      </c>
      <c r="E2082" t="s">
        <v>16</v>
      </c>
      <c r="F2082" s="1">
        <v>44931</v>
      </c>
      <c r="G2082">
        <v>0</v>
      </c>
      <c r="H2082">
        <v>0</v>
      </c>
      <c r="I2082">
        <v>8</v>
      </c>
      <c r="J2082">
        <v>8</v>
      </c>
      <c r="K2082">
        <v>0</v>
      </c>
      <c r="L2082">
        <v>417</v>
      </c>
      <c r="M2082">
        <v>15</v>
      </c>
      <c r="N2082" s="1">
        <f t="shared" si="256"/>
        <v>44938</v>
      </c>
      <c r="O2082" s="1">
        <f t="shared" si="257"/>
        <v>43101</v>
      </c>
      <c r="P2082" s="1">
        <f t="shared" si="258"/>
        <v>45047</v>
      </c>
      <c r="Q2082" s="8">
        <f t="shared" si="259"/>
        <v>0</v>
      </c>
      <c r="R2082" s="8">
        <f t="shared" si="260"/>
        <v>65</v>
      </c>
      <c r="S2082" s="8">
        <f t="shared" ca="1" si="261"/>
        <v>63</v>
      </c>
      <c r="T2082">
        <f t="shared" ca="1" si="262"/>
        <v>2.3814410893967626</v>
      </c>
      <c r="U2082" s="8">
        <f t="shared" ca="1" si="263"/>
        <v>1.615459324623564</v>
      </c>
      <c r="V2082" s="8">
        <f ca="1">RawData[[#This Row],[Z (smoothed demand size)]]/RawData[[#This Row],[X (smoothed interval)]]</f>
        <v>1.4741572586184974</v>
      </c>
    </row>
    <row r="2083" spans="1:22">
      <c r="A2083" t="s">
        <v>47</v>
      </c>
      <c r="B2083" t="s">
        <v>39</v>
      </c>
      <c r="C2083">
        <v>32</v>
      </c>
      <c r="D2083" t="s">
        <v>18</v>
      </c>
      <c r="E2083" t="s">
        <v>16</v>
      </c>
      <c r="F2083" s="1">
        <v>44932</v>
      </c>
      <c r="G2083">
        <v>4</v>
      </c>
      <c r="H2083">
        <v>4</v>
      </c>
      <c r="I2083">
        <v>8</v>
      </c>
      <c r="J2083">
        <v>4</v>
      </c>
      <c r="K2083">
        <v>0</v>
      </c>
      <c r="L2083">
        <v>478</v>
      </c>
      <c r="M2083">
        <v>30</v>
      </c>
      <c r="N2083" s="1">
        <f t="shared" si="256"/>
        <v>44938</v>
      </c>
      <c r="O2083" s="1">
        <f t="shared" si="257"/>
        <v>43101</v>
      </c>
      <c r="P2083" s="1">
        <f t="shared" si="258"/>
        <v>45078</v>
      </c>
      <c r="Q2083" s="8">
        <f t="shared" si="259"/>
        <v>0</v>
      </c>
      <c r="R2083" s="8">
        <f t="shared" si="260"/>
        <v>66</v>
      </c>
      <c r="S2083" s="8">
        <f t="shared" ca="1" si="261"/>
        <v>66</v>
      </c>
      <c r="T2083">
        <f t="shared" ca="1" si="262"/>
        <v>2.7051528715174102</v>
      </c>
      <c r="U2083" s="8">
        <f t="shared" ca="1" si="263"/>
        <v>1.8923674596988513</v>
      </c>
      <c r="V2083" s="8">
        <f ca="1">RawData[[#This Row],[Z (smoothed demand size)]]/RawData[[#This Row],[X (smoothed interval)]]</f>
        <v>1.429507180359096</v>
      </c>
    </row>
    <row r="2084" spans="1:22">
      <c r="A2084" t="s">
        <v>47</v>
      </c>
      <c r="B2084" t="s">
        <v>39</v>
      </c>
      <c r="C2084">
        <v>32</v>
      </c>
      <c r="D2084" t="s">
        <v>18</v>
      </c>
      <c r="E2084" t="s">
        <v>16</v>
      </c>
      <c r="F2084" s="1">
        <v>44933</v>
      </c>
      <c r="G2084">
        <v>0</v>
      </c>
      <c r="H2084">
        <v>0</v>
      </c>
      <c r="I2084">
        <v>4</v>
      </c>
      <c r="J2084">
        <v>4</v>
      </c>
      <c r="K2084">
        <v>0</v>
      </c>
      <c r="L2084">
        <v>474</v>
      </c>
      <c r="M2084">
        <v>30</v>
      </c>
      <c r="N2084" s="1">
        <f t="shared" si="256"/>
        <v>44938</v>
      </c>
      <c r="O2084" s="1">
        <f t="shared" si="257"/>
        <v>43101</v>
      </c>
      <c r="P2084" s="1">
        <f t="shared" si="258"/>
        <v>45108</v>
      </c>
      <c r="Q2084" s="8">
        <f t="shared" si="259"/>
        <v>0</v>
      </c>
      <c r="R2084" s="8">
        <f t="shared" si="260"/>
        <v>67</v>
      </c>
      <c r="S2084" s="8">
        <f t="shared" ca="1" si="261"/>
        <v>66</v>
      </c>
      <c r="T2084">
        <f t="shared" ca="1" si="262"/>
        <v>2.7051528715174102</v>
      </c>
      <c r="U2084" s="8">
        <f t="shared" ca="1" si="263"/>
        <v>1.8923674596988513</v>
      </c>
      <c r="V2084" s="8">
        <f ca="1">RawData[[#This Row],[Z (smoothed demand size)]]/RawData[[#This Row],[X (smoothed interval)]]</f>
        <v>1.429507180359096</v>
      </c>
    </row>
    <row r="2085" spans="1:22">
      <c r="A2085" t="s">
        <v>47</v>
      </c>
      <c r="B2085" t="s">
        <v>39</v>
      </c>
      <c r="C2085">
        <v>32</v>
      </c>
      <c r="D2085" t="s">
        <v>18</v>
      </c>
      <c r="E2085" t="s">
        <v>16</v>
      </c>
      <c r="F2085" s="1">
        <v>44934</v>
      </c>
      <c r="G2085">
        <v>1</v>
      </c>
      <c r="H2085">
        <v>1</v>
      </c>
      <c r="I2085">
        <v>4</v>
      </c>
      <c r="J2085">
        <v>3</v>
      </c>
      <c r="K2085">
        <v>0</v>
      </c>
      <c r="L2085">
        <v>474</v>
      </c>
      <c r="M2085">
        <v>60</v>
      </c>
      <c r="N2085" s="1">
        <f t="shared" si="256"/>
        <v>44938</v>
      </c>
      <c r="O2085" s="1">
        <f t="shared" si="257"/>
        <v>43101</v>
      </c>
      <c r="P2085" s="1">
        <f t="shared" si="258"/>
        <v>45139</v>
      </c>
      <c r="Q2085" s="8">
        <f t="shared" si="259"/>
        <v>0</v>
      </c>
      <c r="R2085" s="8">
        <f t="shared" si="260"/>
        <v>68</v>
      </c>
      <c r="S2085" s="8">
        <f t="shared" ca="1" si="261"/>
        <v>68</v>
      </c>
      <c r="T2085">
        <f t="shared" ca="1" si="262"/>
        <v>2.3641222972139286</v>
      </c>
      <c r="U2085" s="8">
        <f t="shared" ca="1" si="263"/>
        <v>1.9138939677590812</v>
      </c>
      <c r="V2085" s="8">
        <f ca="1">RawData[[#This Row],[Z (smoothed demand size)]]/RawData[[#This Row],[X (smoothed interval)]]</f>
        <v>1.2352420442507617</v>
      </c>
    </row>
    <row r="2086" spans="1:22">
      <c r="A2086" t="s">
        <v>47</v>
      </c>
      <c r="B2086" t="s">
        <v>39</v>
      </c>
      <c r="C2086">
        <v>32</v>
      </c>
      <c r="D2086" t="s">
        <v>18</v>
      </c>
      <c r="E2086" t="s">
        <v>16</v>
      </c>
      <c r="F2086" s="1">
        <v>44935</v>
      </c>
      <c r="G2086">
        <v>0</v>
      </c>
      <c r="H2086">
        <v>0</v>
      </c>
      <c r="I2086">
        <v>3</v>
      </c>
      <c r="J2086">
        <v>3</v>
      </c>
      <c r="K2086">
        <v>0</v>
      </c>
      <c r="L2086">
        <v>421</v>
      </c>
      <c r="M2086">
        <v>30</v>
      </c>
      <c r="N2086" s="1">
        <f t="shared" si="256"/>
        <v>44938</v>
      </c>
      <c r="O2086" s="1">
        <f t="shared" si="257"/>
        <v>43101</v>
      </c>
      <c r="P2086" s="1">
        <f t="shared" si="258"/>
        <v>45170</v>
      </c>
      <c r="Q2086" s="8">
        <f t="shared" si="259"/>
        <v>0</v>
      </c>
      <c r="R2086" s="8">
        <f t="shared" si="260"/>
        <v>69</v>
      </c>
      <c r="S2086" s="8">
        <f t="shared" ca="1" si="261"/>
        <v>68</v>
      </c>
      <c r="T2086">
        <f t="shared" ca="1" si="262"/>
        <v>2.3641222972139286</v>
      </c>
      <c r="U2086" s="8">
        <f t="shared" ca="1" si="263"/>
        <v>1.9138939677590812</v>
      </c>
      <c r="V2086" s="8">
        <f ca="1">RawData[[#This Row],[Z (smoothed demand size)]]/RawData[[#This Row],[X (smoothed interval)]]</f>
        <v>1.2352420442507617</v>
      </c>
    </row>
    <row r="2087" spans="1:22">
      <c r="A2087" t="s">
        <v>47</v>
      </c>
      <c r="B2087" t="s">
        <v>39</v>
      </c>
      <c r="C2087">
        <v>32</v>
      </c>
      <c r="D2087" t="s">
        <v>18</v>
      </c>
      <c r="E2087" t="s">
        <v>16</v>
      </c>
      <c r="F2087" s="1">
        <v>44936</v>
      </c>
      <c r="G2087">
        <v>7</v>
      </c>
      <c r="H2087">
        <v>7</v>
      </c>
      <c r="I2087">
        <v>13</v>
      </c>
      <c r="J2087">
        <v>6</v>
      </c>
      <c r="K2087">
        <v>0</v>
      </c>
      <c r="L2087">
        <v>417</v>
      </c>
      <c r="M2087">
        <v>30</v>
      </c>
      <c r="N2087" s="1">
        <f t="shared" si="256"/>
        <v>44938</v>
      </c>
      <c r="O2087" s="1">
        <f t="shared" si="257"/>
        <v>43101</v>
      </c>
      <c r="P2087" s="1">
        <f t="shared" si="258"/>
        <v>45200</v>
      </c>
      <c r="Q2087" s="8">
        <f t="shared" si="259"/>
        <v>0</v>
      </c>
      <c r="R2087" s="8">
        <f t="shared" si="260"/>
        <v>70</v>
      </c>
      <c r="S2087" s="8">
        <f t="shared" ca="1" si="261"/>
        <v>70</v>
      </c>
      <c r="T2087">
        <f t="shared" ca="1" si="262"/>
        <v>3.2912978377711433</v>
      </c>
      <c r="U2087" s="8">
        <f t="shared" ca="1" si="263"/>
        <v>1.9311151742072652</v>
      </c>
      <c r="V2087" s="8">
        <f ca="1">RawData[[#This Row],[Z (smoothed demand size)]]/RawData[[#This Row],[X (smoothed interval)]]</f>
        <v>1.7043508754583949</v>
      </c>
    </row>
    <row r="2088" spans="1:22">
      <c r="A2088" t="s">
        <v>47</v>
      </c>
      <c r="B2088" t="s">
        <v>39</v>
      </c>
      <c r="C2088">
        <v>32</v>
      </c>
      <c r="D2088" t="s">
        <v>18</v>
      </c>
      <c r="E2088" t="s">
        <v>16</v>
      </c>
      <c r="F2088" s="1">
        <v>44937</v>
      </c>
      <c r="G2088">
        <v>0</v>
      </c>
      <c r="H2088">
        <v>0</v>
      </c>
      <c r="I2088">
        <v>6</v>
      </c>
      <c r="J2088">
        <v>6</v>
      </c>
      <c r="K2088">
        <v>0</v>
      </c>
      <c r="L2088">
        <v>417</v>
      </c>
      <c r="M2088">
        <v>45</v>
      </c>
      <c r="N2088" s="1">
        <f t="shared" si="256"/>
        <v>44938</v>
      </c>
      <c r="O2088" s="1">
        <f t="shared" si="257"/>
        <v>43101</v>
      </c>
      <c r="P2088" s="1">
        <f t="shared" si="258"/>
        <v>45231</v>
      </c>
      <c r="Q2088" s="8">
        <f t="shared" si="259"/>
        <v>0</v>
      </c>
      <c r="R2088" s="8">
        <f t="shared" si="260"/>
        <v>71</v>
      </c>
      <c r="S2088" s="8">
        <f t="shared" ca="1" si="261"/>
        <v>70</v>
      </c>
      <c r="T2088">
        <f t="shared" ca="1" si="262"/>
        <v>3.2912978377711433</v>
      </c>
      <c r="U2088" s="8">
        <f t="shared" ca="1" si="263"/>
        <v>1.9311151742072652</v>
      </c>
      <c r="V2088" s="8">
        <f ca="1">RawData[[#This Row],[Z (smoothed demand size)]]/RawData[[#This Row],[X (smoothed interval)]]</f>
        <v>1.7043508754583949</v>
      </c>
    </row>
    <row r="2089" spans="1:22">
      <c r="A2089" t="s">
        <v>47</v>
      </c>
      <c r="B2089" t="s">
        <v>39</v>
      </c>
      <c r="C2089">
        <v>32</v>
      </c>
      <c r="D2089" t="s">
        <v>18</v>
      </c>
      <c r="E2089" t="s">
        <v>16</v>
      </c>
      <c r="F2089" s="1">
        <v>44938</v>
      </c>
      <c r="G2089">
        <v>4</v>
      </c>
      <c r="H2089">
        <v>4</v>
      </c>
      <c r="I2089">
        <v>6</v>
      </c>
      <c r="J2089">
        <v>2</v>
      </c>
      <c r="K2089">
        <v>0</v>
      </c>
      <c r="L2089">
        <v>478</v>
      </c>
      <c r="M2089">
        <v>60</v>
      </c>
      <c r="N2089" s="1">
        <f t="shared" si="256"/>
        <v>44938</v>
      </c>
      <c r="O2089" s="1">
        <f t="shared" si="257"/>
        <v>43101</v>
      </c>
      <c r="P2089" s="1">
        <f t="shared" si="258"/>
        <v>45261</v>
      </c>
      <c r="Q2089" s="8">
        <f t="shared" si="259"/>
        <v>0</v>
      </c>
      <c r="R2089" s="8">
        <f t="shared" si="260"/>
        <v>72</v>
      </c>
      <c r="S2089" s="8">
        <f t="shared" ca="1" si="261"/>
        <v>72</v>
      </c>
      <c r="T2089">
        <f t="shared" ca="1" si="262"/>
        <v>3.4330382702169144</v>
      </c>
      <c r="U2089" s="8">
        <f t="shared" ca="1" si="263"/>
        <v>1.9448921393658121</v>
      </c>
      <c r="V2089" s="8">
        <f ca="1">RawData[[#This Row],[Z (smoothed demand size)]]/RawData[[#This Row],[X (smoothed interval)]]</f>
        <v>1.7651561239464699</v>
      </c>
    </row>
    <row r="2090" spans="1:22">
      <c r="A2090" t="s">
        <v>48</v>
      </c>
      <c r="B2090" t="s">
        <v>39</v>
      </c>
      <c r="C2090">
        <v>32</v>
      </c>
      <c r="D2090" t="s">
        <v>15</v>
      </c>
      <c r="E2090" t="s">
        <v>16</v>
      </c>
      <c r="F2090" s="1">
        <v>43101</v>
      </c>
      <c r="G2090">
        <v>0</v>
      </c>
      <c r="H2090">
        <v>0</v>
      </c>
      <c r="I2090">
        <v>17</v>
      </c>
      <c r="J2090">
        <v>17</v>
      </c>
      <c r="K2090">
        <v>0</v>
      </c>
      <c r="L2090">
        <v>662</v>
      </c>
      <c r="M2090">
        <v>15</v>
      </c>
      <c r="N2090" s="1">
        <f t="shared" si="256"/>
        <v>44938</v>
      </c>
      <c r="O2090" s="1">
        <f t="shared" si="257"/>
        <v>43101</v>
      </c>
      <c r="P2090" s="1">
        <f t="shared" si="258"/>
        <v>43101</v>
      </c>
      <c r="Q2090" s="8">
        <f t="shared" si="259"/>
        <v>1</v>
      </c>
      <c r="R2090" s="8">
        <f t="shared" si="260"/>
        <v>1</v>
      </c>
      <c r="S2090" s="8">
        <f t="shared" ca="1" si="261"/>
        <v>0</v>
      </c>
      <c r="T2090">
        <f t="shared" ca="1" si="262"/>
        <v>0</v>
      </c>
      <c r="U2090" s="8">
        <f t="shared" ca="1" si="263"/>
        <v>1</v>
      </c>
      <c r="V2090" s="8">
        <f ca="1">RawData[[#This Row],[Z (smoothed demand size)]]/RawData[[#This Row],[X (smoothed interval)]]</f>
        <v>0</v>
      </c>
    </row>
    <row r="2091" spans="1:22">
      <c r="A2091" t="s">
        <v>48</v>
      </c>
      <c r="B2091" t="s">
        <v>39</v>
      </c>
      <c r="C2091">
        <v>32</v>
      </c>
      <c r="D2091" t="s">
        <v>15</v>
      </c>
      <c r="E2091" t="s">
        <v>16</v>
      </c>
      <c r="F2091" s="1">
        <v>43102</v>
      </c>
      <c r="G2091">
        <v>2</v>
      </c>
      <c r="H2091">
        <v>2</v>
      </c>
      <c r="I2091">
        <v>17</v>
      </c>
      <c r="J2091">
        <v>15</v>
      </c>
      <c r="K2091">
        <v>0</v>
      </c>
      <c r="L2091">
        <v>654</v>
      </c>
      <c r="M2091">
        <v>30</v>
      </c>
      <c r="N2091" s="1">
        <f t="shared" si="256"/>
        <v>44938</v>
      </c>
      <c r="O2091" s="1">
        <f t="shared" si="257"/>
        <v>43101</v>
      </c>
      <c r="P2091" s="1">
        <f t="shared" si="258"/>
        <v>43132</v>
      </c>
      <c r="Q2091" s="8">
        <f t="shared" si="259"/>
        <v>0</v>
      </c>
      <c r="R2091" s="8">
        <f t="shared" si="260"/>
        <v>2</v>
      </c>
      <c r="S2091" s="8">
        <f t="shared" ca="1" si="261"/>
        <v>2</v>
      </c>
      <c r="T2091">
        <f t="shared" ca="1" si="262"/>
        <v>0.4</v>
      </c>
      <c r="U2091" s="8">
        <f t="shared" ca="1" si="263"/>
        <v>1.2000000000000002</v>
      </c>
      <c r="V2091" s="8">
        <f ca="1">RawData[[#This Row],[Z (smoothed demand size)]]/RawData[[#This Row],[X (smoothed interval)]]</f>
        <v>0.33333333333333331</v>
      </c>
    </row>
    <row r="2092" spans="1:22">
      <c r="A2092" t="s">
        <v>48</v>
      </c>
      <c r="B2092" t="s">
        <v>39</v>
      </c>
      <c r="C2092">
        <v>32</v>
      </c>
      <c r="D2092" t="s">
        <v>15</v>
      </c>
      <c r="E2092" t="s">
        <v>16</v>
      </c>
      <c r="F2092" s="1">
        <v>43103</v>
      </c>
      <c r="G2092">
        <v>2</v>
      </c>
      <c r="H2092">
        <v>2</v>
      </c>
      <c r="I2092">
        <v>15</v>
      </c>
      <c r="J2092">
        <v>13</v>
      </c>
      <c r="K2092">
        <v>0</v>
      </c>
      <c r="L2092">
        <v>662</v>
      </c>
      <c r="M2092">
        <v>60</v>
      </c>
      <c r="N2092" s="1">
        <f t="shared" si="256"/>
        <v>44938</v>
      </c>
      <c r="O2092" s="1">
        <f t="shared" si="257"/>
        <v>43101</v>
      </c>
      <c r="P2092" s="1">
        <f t="shared" si="258"/>
        <v>43160</v>
      </c>
      <c r="Q2092" s="8">
        <f t="shared" si="259"/>
        <v>0</v>
      </c>
      <c r="R2092" s="8">
        <f t="shared" si="260"/>
        <v>3</v>
      </c>
      <c r="S2092" s="8">
        <f t="shared" ca="1" si="261"/>
        <v>3</v>
      </c>
      <c r="T2092">
        <f t="shared" ca="1" si="262"/>
        <v>0.72000000000000008</v>
      </c>
      <c r="U2092" s="8">
        <f t="shared" ca="1" si="263"/>
        <v>1.1600000000000001</v>
      </c>
      <c r="V2092" s="8">
        <f ca="1">RawData[[#This Row],[Z (smoothed demand size)]]/RawData[[#This Row],[X (smoothed interval)]]</f>
        <v>0.62068965517241381</v>
      </c>
    </row>
    <row r="2093" spans="1:22">
      <c r="A2093" t="s">
        <v>48</v>
      </c>
      <c r="B2093" t="s">
        <v>39</v>
      </c>
      <c r="C2093">
        <v>32</v>
      </c>
      <c r="D2093" t="s">
        <v>15</v>
      </c>
      <c r="E2093" t="s">
        <v>16</v>
      </c>
      <c r="F2093" s="1">
        <v>43104</v>
      </c>
      <c r="G2093">
        <v>3</v>
      </c>
      <c r="H2093">
        <v>3</v>
      </c>
      <c r="I2093">
        <v>13</v>
      </c>
      <c r="J2093">
        <v>10</v>
      </c>
      <c r="K2093">
        <v>0</v>
      </c>
      <c r="L2093">
        <v>659</v>
      </c>
      <c r="M2093">
        <v>30</v>
      </c>
      <c r="N2093" s="1">
        <f t="shared" si="256"/>
        <v>44938</v>
      </c>
      <c r="O2093" s="1">
        <f t="shared" si="257"/>
        <v>43101</v>
      </c>
      <c r="P2093" s="1">
        <f t="shared" si="258"/>
        <v>43191</v>
      </c>
      <c r="Q2093" s="8">
        <f t="shared" si="259"/>
        <v>0</v>
      </c>
      <c r="R2093" s="8">
        <f t="shared" si="260"/>
        <v>4</v>
      </c>
      <c r="S2093" s="8">
        <f t="shared" ca="1" si="261"/>
        <v>4</v>
      </c>
      <c r="T2093">
        <f t="shared" ca="1" si="262"/>
        <v>1.1760000000000002</v>
      </c>
      <c r="U2093" s="8">
        <f t="shared" ca="1" si="263"/>
        <v>1.1280000000000001</v>
      </c>
      <c r="V2093" s="8">
        <f ca="1">RawData[[#This Row],[Z (smoothed demand size)]]/RawData[[#This Row],[X (smoothed interval)]]</f>
        <v>1.0425531914893618</v>
      </c>
    </row>
    <row r="2094" spans="1:22">
      <c r="A2094" t="s">
        <v>48</v>
      </c>
      <c r="B2094" t="s">
        <v>39</v>
      </c>
      <c r="C2094">
        <v>32</v>
      </c>
      <c r="D2094" t="s">
        <v>15</v>
      </c>
      <c r="E2094" t="s">
        <v>16</v>
      </c>
      <c r="F2094" s="1">
        <v>43105</v>
      </c>
      <c r="G2094">
        <v>3</v>
      </c>
      <c r="H2094">
        <v>3</v>
      </c>
      <c r="I2094">
        <v>10</v>
      </c>
      <c r="J2094">
        <v>7</v>
      </c>
      <c r="K2094">
        <v>0</v>
      </c>
      <c r="L2094">
        <v>664</v>
      </c>
      <c r="M2094">
        <v>15</v>
      </c>
      <c r="N2094" s="1">
        <f t="shared" si="256"/>
        <v>44938</v>
      </c>
      <c r="O2094" s="1">
        <f t="shared" si="257"/>
        <v>43101</v>
      </c>
      <c r="P2094" s="1">
        <f t="shared" si="258"/>
        <v>43221</v>
      </c>
      <c r="Q2094" s="8">
        <f t="shared" si="259"/>
        <v>0</v>
      </c>
      <c r="R2094" s="8">
        <f t="shared" si="260"/>
        <v>5</v>
      </c>
      <c r="S2094" s="8">
        <f t="shared" ca="1" si="261"/>
        <v>5</v>
      </c>
      <c r="T2094">
        <f t="shared" ca="1" si="262"/>
        <v>1.5408000000000004</v>
      </c>
      <c r="U2094" s="8">
        <f t="shared" ca="1" si="263"/>
        <v>1.1024</v>
      </c>
      <c r="V2094" s="8">
        <f ca="1">RawData[[#This Row],[Z (smoothed demand size)]]/RawData[[#This Row],[X (smoothed interval)]]</f>
        <v>1.3976777939042093</v>
      </c>
    </row>
    <row r="2095" spans="1:22">
      <c r="A2095" t="s">
        <v>48</v>
      </c>
      <c r="B2095" t="s">
        <v>39</v>
      </c>
      <c r="C2095">
        <v>32</v>
      </c>
      <c r="D2095" t="s">
        <v>15</v>
      </c>
      <c r="E2095" t="s">
        <v>16</v>
      </c>
      <c r="F2095" s="1">
        <v>43106</v>
      </c>
      <c r="G2095">
        <v>0</v>
      </c>
      <c r="H2095">
        <v>0</v>
      </c>
      <c r="I2095">
        <v>7</v>
      </c>
      <c r="J2095">
        <v>7</v>
      </c>
      <c r="K2095">
        <v>0</v>
      </c>
      <c r="L2095">
        <v>768</v>
      </c>
      <c r="M2095">
        <v>60</v>
      </c>
      <c r="N2095" s="1">
        <f t="shared" si="256"/>
        <v>44938</v>
      </c>
      <c r="O2095" s="1">
        <f t="shared" si="257"/>
        <v>43101</v>
      </c>
      <c r="P2095" s="1">
        <f t="shared" si="258"/>
        <v>43252</v>
      </c>
      <c r="Q2095" s="8">
        <f t="shared" si="259"/>
        <v>0</v>
      </c>
      <c r="R2095" s="8">
        <f t="shared" si="260"/>
        <v>6</v>
      </c>
      <c r="S2095" s="8">
        <f t="shared" ca="1" si="261"/>
        <v>5</v>
      </c>
      <c r="T2095">
        <f t="shared" ca="1" si="262"/>
        <v>1.5408000000000004</v>
      </c>
      <c r="U2095" s="8">
        <f t="shared" ca="1" si="263"/>
        <v>1.1024</v>
      </c>
      <c r="V2095" s="8">
        <f ca="1">RawData[[#This Row],[Z (smoothed demand size)]]/RawData[[#This Row],[X (smoothed interval)]]</f>
        <v>1.3976777939042093</v>
      </c>
    </row>
    <row r="2096" spans="1:22">
      <c r="A2096" t="s">
        <v>48</v>
      </c>
      <c r="B2096" t="s">
        <v>39</v>
      </c>
      <c r="C2096">
        <v>32</v>
      </c>
      <c r="D2096" t="s">
        <v>15</v>
      </c>
      <c r="E2096" t="s">
        <v>16</v>
      </c>
      <c r="F2096" s="1">
        <v>43107</v>
      </c>
      <c r="G2096">
        <v>0</v>
      </c>
      <c r="H2096">
        <v>0</v>
      </c>
      <c r="I2096">
        <v>7</v>
      </c>
      <c r="J2096">
        <v>7</v>
      </c>
      <c r="K2096">
        <v>0</v>
      </c>
      <c r="L2096">
        <v>761</v>
      </c>
      <c r="M2096">
        <v>60</v>
      </c>
      <c r="N2096" s="1">
        <f t="shared" si="256"/>
        <v>44938</v>
      </c>
      <c r="O2096" s="1">
        <f t="shared" si="257"/>
        <v>43101</v>
      </c>
      <c r="P2096" s="1">
        <f t="shared" si="258"/>
        <v>43282</v>
      </c>
      <c r="Q2096" s="8">
        <f t="shared" si="259"/>
        <v>0</v>
      </c>
      <c r="R2096" s="8">
        <f t="shared" si="260"/>
        <v>7</v>
      </c>
      <c r="S2096" s="8">
        <f t="shared" ca="1" si="261"/>
        <v>5</v>
      </c>
      <c r="T2096">
        <f t="shared" ca="1" si="262"/>
        <v>1.5408000000000004</v>
      </c>
      <c r="U2096" s="8">
        <f t="shared" ca="1" si="263"/>
        <v>1.1024</v>
      </c>
      <c r="V2096" s="8">
        <f ca="1">RawData[[#This Row],[Z (smoothed demand size)]]/RawData[[#This Row],[X (smoothed interval)]]</f>
        <v>1.3976777939042093</v>
      </c>
    </row>
    <row r="2097" spans="1:22">
      <c r="A2097" t="s">
        <v>48</v>
      </c>
      <c r="B2097" t="s">
        <v>39</v>
      </c>
      <c r="C2097">
        <v>32</v>
      </c>
      <c r="D2097" t="s">
        <v>15</v>
      </c>
      <c r="E2097" t="s">
        <v>16</v>
      </c>
      <c r="F2097" s="1">
        <v>43108</v>
      </c>
      <c r="G2097">
        <v>0</v>
      </c>
      <c r="H2097">
        <v>0</v>
      </c>
      <c r="I2097">
        <v>7</v>
      </c>
      <c r="J2097">
        <v>7</v>
      </c>
      <c r="K2097">
        <v>0</v>
      </c>
      <c r="L2097">
        <v>769</v>
      </c>
      <c r="M2097">
        <v>60</v>
      </c>
      <c r="N2097" s="1">
        <f t="shared" si="256"/>
        <v>44938</v>
      </c>
      <c r="O2097" s="1">
        <f t="shared" si="257"/>
        <v>43101</v>
      </c>
      <c r="P2097" s="1">
        <f t="shared" si="258"/>
        <v>43313</v>
      </c>
      <c r="Q2097" s="8">
        <f t="shared" si="259"/>
        <v>0</v>
      </c>
      <c r="R2097" s="8">
        <f t="shared" si="260"/>
        <v>8</v>
      </c>
      <c r="S2097" s="8">
        <f t="shared" ca="1" si="261"/>
        <v>5</v>
      </c>
      <c r="T2097">
        <f t="shared" ca="1" si="262"/>
        <v>1.5408000000000004</v>
      </c>
      <c r="U2097" s="8">
        <f t="shared" ca="1" si="263"/>
        <v>1.1024</v>
      </c>
      <c r="V2097" s="8">
        <f ca="1">RawData[[#This Row],[Z (smoothed demand size)]]/RawData[[#This Row],[X (smoothed interval)]]</f>
        <v>1.3976777939042093</v>
      </c>
    </row>
    <row r="2098" spans="1:22">
      <c r="A2098" t="s">
        <v>48</v>
      </c>
      <c r="B2098" t="s">
        <v>39</v>
      </c>
      <c r="C2098">
        <v>32</v>
      </c>
      <c r="D2098" t="s">
        <v>15</v>
      </c>
      <c r="E2098" t="s">
        <v>16</v>
      </c>
      <c r="F2098" s="1">
        <v>43109</v>
      </c>
      <c r="G2098">
        <v>0</v>
      </c>
      <c r="H2098">
        <v>0</v>
      </c>
      <c r="I2098">
        <v>7</v>
      </c>
      <c r="J2098">
        <v>7</v>
      </c>
      <c r="K2098">
        <v>0</v>
      </c>
      <c r="L2098">
        <v>663</v>
      </c>
      <c r="M2098">
        <v>15</v>
      </c>
      <c r="N2098" s="1">
        <f t="shared" si="256"/>
        <v>44938</v>
      </c>
      <c r="O2098" s="1">
        <f t="shared" si="257"/>
        <v>43101</v>
      </c>
      <c r="P2098" s="1">
        <f t="shared" si="258"/>
        <v>43344</v>
      </c>
      <c r="Q2098" s="8">
        <f t="shared" si="259"/>
        <v>0</v>
      </c>
      <c r="R2098" s="8">
        <f t="shared" si="260"/>
        <v>9</v>
      </c>
      <c r="S2098" s="8">
        <f t="shared" ca="1" si="261"/>
        <v>5</v>
      </c>
      <c r="T2098">
        <f t="shared" ca="1" si="262"/>
        <v>1.5408000000000004</v>
      </c>
      <c r="U2098" s="8">
        <f t="shared" ca="1" si="263"/>
        <v>1.1024</v>
      </c>
      <c r="V2098" s="8">
        <f ca="1">RawData[[#This Row],[Z (smoothed demand size)]]/RawData[[#This Row],[X (smoothed interval)]]</f>
        <v>1.3976777939042093</v>
      </c>
    </row>
    <row r="2099" spans="1:22">
      <c r="A2099" t="s">
        <v>48</v>
      </c>
      <c r="B2099" t="s">
        <v>39</v>
      </c>
      <c r="C2099">
        <v>32</v>
      </c>
      <c r="D2099" t="s">
        <v>15</v>
      </c>
      <c r="E2099" t="s">
        <v>16</v>
      </c>
      <c r="F2099" s="1">
        <v>43110</v>
      </c>
      <c r="G2099">
        <v>2</v>
      </c>
      <c r="H2099">
        <v>2</v>
      </c>
      <c r="I2099">
        <v>7</v>
      </c>
      <c r="J2099">
        <v>5</v>
      </c>
      <c r="K2099">
        <v>0</v>
      </c>
      <c r="L2099">
        <v>663</v>
      </c>
      <c r="M2099">
        <v>15</v>
      </c>
      <c r="N2099" s="1">
        <f t="shared" si="256"/>
        <v>44938</v>
      </c>
      <c r="O2099" s="1">
        <f t="shared" si="257"/>
        <v>43101</v>
      </c>
      <c r="P2099" s="1">
        <f t="shared" si="258"/>
        <v>43374</v>
      </c>
      <c r="Q2099" s="8">
        <f t="shared" si="259"/>
        <v>0</v>
      </c>
      <c r="R2099" s="8">
        <f t="shared" si="260"/>
        <v>10</v>
      </c>
      <c r="S2099" s="8">
        <f t="shared" ca="1" si="261"/>
        <v>10</v>
      </c>
      <c r="T2099">
        <f t="shared" ca="1" si="262"/>
        <v>1.6326400000000003</v>
      </c>
      <c r="U2099" s="8">
        <f t="shared" ca="1" si="263"/>
        <v>1.88192</v>
      </c>
      <c r="V2099" s="8">
        <f ca="1">RawData[[#This Row],[Z (smoothed demand size)]]/RawData[[#This Row],[X (smoothed interval)]]</f>
        <v>0.86753953409284146</v>
      </c>
    </row>
    <row r="2100" spans="1:22">
      <c r="A2100" t="s">
        <v>48</v>
      </c>
      <c r="B2100" t="s">
        <v>39</v>
      </c>
      <c r="C2100">
        <v>32</v>
      </c>
      <c r="D2100" t="s">
        <v>15</v>
      </c>
      <c r="E2100" t="s">
        <v>16</v>
      </c>
      <c r="F2100" s="1">
        <v>43111</v>
      </c>
      <c r="G2100">
        <v>1</v>
      </c>
      <c r="H2100">
        <v>1</v>
      </c>
      <c r="I2100">
        <v>5</v>
      </c>
      <c r="J2100">
        <v>4</v>
      </c>
      <c r="K2100">
        <v>0</v>
      </c>
      <c r="L2100">
        <v>663</v>
      </c>
      <c r="M2100">
        <v>15</v>
      </c>
      <c r="N2100" s="1">
        <f t="shared" si="256"/>
        <v>44938</v>
      </c>
      <c r="O2100" s="1">
        <f t="shared" si="257"/>
        <v>43101</v>
      </c>
      <c r="P2100" s="1">
        <f t="shared" si="258"/>
        <v>43405</v>
      </c>
      <c r="Q2100" s="8">
        <f t="shared" si="259"/>
        <v>0</v>
      </c>
      <c r="R2100" s="8">
        <f t="shared" si="260"/>
        <v>11</v>
      </c>
      <c r="S2100" s="8">
        <f t="shared" ca="1" si="261"/>
        <v>11</v>
      </c>
      <c r="T2100">
        <f t="shared" ca="1" si="262"/>
        <v>1.5061120000000003</v>
      </c>
      <c r="U2100" s="8">
        <f t="shared" ca="1" si="263"/>
        <v>1.7055360000000002</v>
      </c>
      <c r="V2100" s="8">
        <f ca="1">RawData[[#This Row],[Z (smoothed demand size)]]/RawData[[#This Row],[X (smoothed interval)]]</f>
        <v>0.88307253555480514</v>
      </c>
    </row>
    <row r="2101" spans="1:22">
      <c r="A2101" t="s">
        <v>48</v>
      </c>
      <c r="B2101" t="s">
        <v>39</v>
      </c>
      <c r="C2101">
        <v>32</v>
      </c>
      <c r="D2101" t="s">
        <v>15</v>
      </c>
      <c r="E2101" t="s">
        <v>16</v>
      </c>
      <c r="F2101" s="1">
        <v>43112</v>
      </c>
      <c r="G2101">
        <v>1</v>
      </c>
      <c r="H2101">
        <v>1</v>
      </c>
      <c r="I2101">
        <v>4</v>
      </c>
      <c r="J2101">
        <v>3</v>
      </c>
      <c r="K2101">
        <v>0</v>
      </c>
      <c r="L2101">
        <v>763</v>
      </c>
      <c r="M2101">
        <v>45</v>
      </c>
      <c r="N2101" s="1">
        <f t="shared" si="256"/>
        <v>44938</v>
      </c>
      <c r="O2101" s="1">
        <f t="shared" si="257"/>
        <v>43101</v>
      </c>
      <c r="P2101" s="1">
        <f t="shared" si="258"/>
        <v>43435</v>
      </c>
      <c r="Q2101" s="8">
        <f t="shared" si="259"/>
        <v>0</v>
      </c>
      <c r="R2101" s="8">
        <f t="shared" si="260"/>
        <v>12</v>
      </c>
      <c r="S2101" s="8">
        <f t="shared" ca="1" si="261"/>
        <v>12</v>
      </c>
      <c r="T2101">
        <f t="shared" ca="1" si="262"/>
        <v>1.4048896000000004</v>
      </c>
      <c r="U2101" s="8">
        <f t="shared" ca="1" si="263"/>
        <v>1.5644288000000002</v>
      </c>
      <c r="V2101" s="8">
        <f ca="1">RawData[[#This Row],[Z (smoothed demand size)]]/RawData[[#This Row],[X (smoothed interval)]]</f>
        <v>0.8980207983898022</v>
      </c>
    </row>
    <row r="2102" spans="1:22">
      <c r="A2102" t="s">
        <v>48</v>
      </c>
      <c r="B2102" t="s">
        <v>39</v>
      </c>
      <c r="C2102">
        <v>32</v>
      </c>
      <c r="D2102" t="s">
        <v>15</v>
      </c>
      <c r="E2102" t="s">
        <v>16</v>
      </c>
      <c r="F2102" s="1">
        <v>43466</v>
      </c>
      <c r="G2102">
        <v>0</v>
      </c>
      <c r="H2102">
        <v>0</v>
      </c>
      <c r="I2102">
        <v>3</v>
      </c>
      <c r="J2102">
        <v>3</v>
      </c>
      <c r="K2102">
        <v>0</v>
      </c>
      <c r="L2102">
        <v>654</v>
      </c>
      <c r="M2102">
        <v>15</v>
      </c>
      <c r="N2102" s="1">
        <f t="shared" si="256"/>
        <v>44938</v>
      </c>
      <c r="O2102" s="1">
        <f t="shared" si="257"/>
        <v>43101</v>
      </c>
      <c r="P2102" s="1">
        <f t="shared" si="258"/>
        <v>43466</v>
      </c>
      <c r="Q2102" s="8">
        <f t="shared" si="259"/>
        <v>0</v>
      </c>
      <c r="R2102" s="8">
        <f t="shared" si="260"/>
        <v>13</v>
      </c>
      <c r="S2102" s="8">
        <f t="shared" ca="1" si="261"/>
        <v>12</v>
      </c>
      <c r="T2102">
        <f t="shared" ca="1" si="262"/>
        <v>1.4048896000000004</v>
      </c>
      <c r="U2102" s="8">
        <f t="shared" ca="1" si="263"/>
        <v>1.5644288000000002</v>
      </c>
      <c r="V2102" s="8">
        <f ca="1">RawData[[#This Row],[Z (smoothed demand size)]]/RawData[[#This Row],[X (smoothed interval)]]</f>
        <v>0.8980207983898022</v>
      </c>
    </row>
    <row r="2103" spans="1:22">
      <c r="A2103" t="s">
        <v>48</v>
      </c>
      <c r="B2103" t="s">
        <v>39</v>
      </c>
      <c r="C2103">
        <v>32</v>
      </c>
      <c r="D2103" t="s">
        <v>15</v>
      </c>
      <c r="E2103" t="s">
        <v>16</v>
      </c>
      <c r="F2103" s="1">
        <v>43467</v>
      </c>
      <c r="G2103">
        <v>0</v>
      </c>
      <c r="H2103">
        <v>0</v>
      </c>
      <c r="I2103">
        <v>11</v>
      </c>
      <c r="J2103">
        <v>11</v>
      </c>
      <c r="K2103">
        <v>0</v>
      </c>
      <c r="L2103">
        <v>651</v>
      </c>
      <c r="M2103">
        <v>45</v>
      </c>
      <c r="N2103" s="1">
        <f t="shared" si="256"/>
        <v>44938</v>
      </c>
      <c r="O2103" s="1">
        <f t="shared" si="257"/>
        <v>43101</v>
      </c>
      <c r="P2103" s="1">
        <f t="shared" si="258"/>
        <v>43497</v>
      </c>
      <c r="Q2103" s="8">
        <f t="shared" si="259"/>
        <v>0</v>
      </c>
      <c r="R2103" s="8">
        <f t="shared" si="260"/>
        <v>14</v>
      </c>
      <c r="S2103" s="8">
        <f t="shared" ca="1" si="261"/>
        <v>12</v>
      </c>
      <c r="T2103">
        <f t="shared" ca="1" si="262"/>
        <v>1.4048896000000004</v>
      </c>
      <c r="U2103" s="8">
        <f t="shared" ca="1" si="263"/>
        <v>1.5644288000000002</v>
      </c>
      <c r="V2103" s="8">
        <f ca="1">RawData[[#This Row],[Z (smoothed demand size)]]/RawData[[#This Row],[X (smoothed interval)]]</f>
        <v>0.8980207983898022</v>
      </c>
    </row>
    <row r="2104" spans="1:22">
      <c r="A2104" t="s">
        <v>48</v>
      </c>
      <c r="B2104" t="s">
        <v>39</v>
      </c>
      <c r="C2104">
        <v>32</v>
      </c>
      <c r="D2104" t="s">
        <v>15</v>
      </c>
      <c r="E2104" t="s">
        <v>16</v>
      </c>
      <c r="F2104" s="1">
        <v>43468</v>
      </c>
      <c r="G2104">
        <v>6</v>
      </c>
      <c r="H2104">
        <v>6</v>
      </c>
      <c r="I2104">
        <v>11</v>
      </c>
      <c r="J2104">
        <v>5</v>
      </c>
      <c r="K2104">
        <v>0</v>
      </c>
      <c r="L2104">
        <v>670</v>
      </c>
      <c r="M2104">
        <v>45</v>
      </c>
      <c r="N2104" s="1">
        <f t="shared" si="256"/>
        <v>44938</v>
      </c>
      <c r="O2104" s="1">
        <f t="shared" si="257"/>
        <v>43101</v>
      </c>
      <c r="P2104" s="1">
        <f t="shared" si="258"/>
        <v>43525</v>
      </c>
      <c r="Q2104" s="8">
        <f t="shared" si="259"/>
        <v>0</v>
      </c>
      <c r="R2104" s="8">
        <f t="shared" si="260"/>
        <v>15</v>
      </c>
      <c r="S2104" s="8">
        <f t="shared" ca="1" si="261"/>
        <v>15</v>
      </c>
      <c r="T2104">
        <f t="shared" ca="1" si="262"/>
        <v>2.3239116800000006</v>
      </c>
      <c r="U2104" s="8">
        <f t="shared" ca="1" si="263"/>
        <v>1.8515430400000004</v>
      </c>
      <c r="V2104" s="8">
        <f ca="1">RawData[[#This Row],[Z (smoothed demand size)]]/RawData[[#This Row],[X (smoothed interval)]]</f>
        <v>1.2551216092713675</v>
      </c>
    </row>
    <row r="2105" spans="1:22">
      <c r="A2105" t="s">
        <v>48</v>
      </c>
      <c r="B2105" t="s">
        <v>39</v>
      </c>
      <c r="C2105">
        <v>32</v>
      </c>
      <c r="D2105" t="s">
        <v>15</v>
      </c>
      <c r="E2105" t="s">
        <v>16</v>
      </c>
      <c r="F2105" s="1">
        <v>43469</v>
      </c>
      <c r="G2105">
        <v>0</v>
      </c>
      <c r="H2105">
        <v>0</v>
      </c>
      <c r="I2105">
        <v>5</v>
      </c>
      <c r="J2105">
        <v>5</v>
      </c>
      <c r="K2105">
        <v>0</v>
      </c>
      <c r="L2105">
        <v>664</v>
      </c>
      <c r="M2105">
        <v>45</v>
      </c>
      <c r="N2105" s="1">
        <f t="shared" si="256"/>
        <v>44938</v>
      </c>
      <c r="O2105" s="1">
        <f t="shared" si="257"/>
        <v>43101</v>
      </c>
      <c r="P2105" s="1">
        <f t="shared" si="258"/>
        <v>43556</v>
      </c>
      <c r="Q2105" s="8">
        <f t="shared" si="259"/>
        <v>0</v>
      </c>
      <c r="R2105" s="8">
        <f t="shared" si="260"/>
        <v>16</v>
      </c>
      <c r="S2105" s="8">
        <f t="shared" ca="1" si="261"/>
        <v>15</v>
      </c>
      <c r="T2105">
        <f t="shared" ca="1" si="262"/>
        <v>2.3239116800000006</v>
      </c>
      <c r="U2105" s="8">
        <f t="shared" ca="1" si="263"/>
        <v>1.8515430400000004</v>
      </c>
      <c r="V2105" s="8">
        <f ca="1">RawData[[#This Row],[Z (smoothed demand size)]]/RawData[[#This Row],[X (smoothed interval)]]</f>
        <v>1.2551216092713675</v>
      </c>
    </row>
    <row r="2106" spans="1:22">
      <c r="A2106" t="s">
        <v>48</v>
      </c>
      <c r="B2106" t="s">
        <v>39</v>
      </c>
      <c r="C2106">
        <v>32</v>
      </c>
      <c r="D2106" t="s">
        <v>15</v>
      </c>
      <c r="E2106" t="s">
        <v>16</v>
      </c>
      <c r="F2106" s="1">
        <v>43470</v>
      </c>
      <c r="G2106">
        <v>4</v>
      </c>
      <c r="H2106">
        <v>4</v>
      </c>
      <c r="I2106">
        <v>5</v>
      </c>
      <c r="J2106">
        <v>1</v>
      </c>
      <c r="K2106">
        <v>0</v>
      </c>
      <c r="L2106">
        <v>659</v>
      </c>
      <c r="M2106">
        <v>15</v>
      </c>
      <c r="N2106" s="1">
        <f t="shared" si="256"/>
        <v>44938</v>
      </c>
      <c r="O2106" s="1">
        <f t="shared" si="257"/>
        <v>43101</v>
      </c>
      <c r="P2106" s="1">
        <f t="shared" si="258"/>
        <v>43586</v>
      </c>
      <c r="Q2106" s="8">
        <f t="shared" si="259"/>
        <v>0</v>
      </c>
      <c r="R2106" s="8">
        <f t="shared" si="260"/>
        <v>17</v>
      </c>
      <c r="S2106" s="8">
        <f t="shared" ca="1" si="261"/>
        <v>17</v>
      </c>
      <c r="T2106">
        <f t="shared" ca="1" si="262"/>
        <v>2.6591293440000006</v>
      </c>
      <c r="U2106" s="8">
        <f t="shared" ca="1" si="263"/>
        <v>1.8812344320000003</v>
      </c>
      <c r="V2106" s="8">
        <f ca="1">RawData[[#This Row],[Z (smoothed demand size)]]/RawData[[#This Row],[X (smoothed interval)]]</f>
        <v>1.413502378421277</v>
      </c>
    </row>
    <row r="2107" spans="1:22">
      <c r="A2107" t="s">
        <v>48</v>
      </c>
      <c r="B2107" t="s">
        <v>39</v>
      </c>
      <c r="C2107">
        <v>32</v>
      </c>
      <c r="D2107" t="s">
        <v>15</v>
      </c>
      <c r="E2107" t="s">
        <v>16</v>
      </c>
      <c r="F2107" s="1">
        <v>43471</v>
      </c>
      <c r="G2107">
        <v>8</v>
      </c>
      <c r="H2107">
        <v>8</v>
      </c>
      <c r="I2107">
        <v>13</v>
      </c>
      <c r="J2107">
        <v>5</v>
      </c>
      <c r="K2107">
        <v>0</v>
      </c>
      <c r="L2107">
        <v>771</v>
      </c>
      <c r="M2107">
        <v>30</v>
      </c>
      <c r="N2107" s="1">
        <f t="shared" si="256"/>
        <v>44938</v>
      </c>
      <c r="O2107" s="1">
        <f t="shared" si="257"/>
        <v>43101</v>
      </c>
      <c r="P2107" s="1">
        <f t="shared" si="258"/>
        <v>43617</v>
      </c>
      <c r="Q2107" s="8">
        <f t="shared" si="259"/>
        <v>0</v>
      </c>
      <c r="R2107" s="8">
        <f t="shared" si="260"/>
        <v>18</v>
      </c>
      <c r="S2107" s="8">
        <f t="shared" ca="1" si="261"/>
        <v>18</v>
      </c>
      <c r="T2107">
        <f t="shared" ca="1" si="262"/>
        <v>3.7273034752000007</v>
      </c>
      <c r="U2107" s="8">
        <f t="shared" ca="1" si="263"/>
        <v>1.7049875456000003</v>
      </c>
      <c r="V2107" s="8">
        <f ca="1">RawData[[#This Row],[Z (smoothed demand size)]]/RawData[[#This Row],[X (smoothed interval)]]</f>
        <v>2.1861177137738736</v>
      </c>
    </row>
    <row r="2108" spans="1:22">
      <c r="A2108" t="s">
        <v>48</v>
      </c>
      <c r="B2108" t="s">
        <v>39</v>
      </c>
      <c r="C2108">
        <v>32</v>
      </c>
      <c r="D2108" t="s">
        <v>15</v>
      </c>
      <c r="E2108" t="s">
        <v>16</v>
      </c>
      <c r="F2108" s="1">
        <v>43472</v>
      </c>
      <c r="G2108">
        <v>1</v>
      </c>
      <c r="H2108">
        <v>1</v>
      </c>
      <c r="I2108">
        <v>5</v>
      </c>
      <c r="J2108">
        <v>4</v>
      </c>
      <c r="K2108">
        <v>0</v>
      </c>
      <c r="L2108">
        <v>784</v>
      </c>
      <c r="M2108">
        <v>45</v>
      </c>
      <c r="N2108" s="1">
        <f t="shared" si="256"/>
        <v>44938</v>
      </c>
      <c r="O2108" s="1">
        <f t="shared" si="257"/>
        <v>43101</v>
      </c>
      <c r="P2108" s="1">
        <f t="shared" si="258"/>
        <v>43647</v>
      </c>
      <c r="Q2108" s="8">
        <f t="shared" si="259"/>
        <v>0</v>
      </c>
      <c r="R2108" s="8">
        <f t="shared" si="260"/>
        <v>19</v>
      </c>
      <c r="S2108" s="8">
        <f t="shared" ca="1" si="261"/>
        <v>19</v>
      </c>
      <c r="T2108">
        <f t="shared" ca="1" si="262"/>
        <v>3.1818427801600011</v>
      </c>
      <c r="U2108" s="8">
        <f t="shared" ca="1" si="263"/>
        <v>1.5639900364800003</v>
      </c>
      <c r="V2108" s="8">
        <f ca="1">RawData[[#This Row],[Z (smoothed demand size)]]/RawData[[#This Row],[X (smoothed interval)]]</f>
        <v>2.0344392904965218</v>
      </c>
    </row>
    <row r="2109" spans="1:22">
      <c r="A2109" t="s">
        <v>48</v>
      </c>
      <c r="B2109" t="s">
        <v>39</v>
      </c>
      <c r="C2109">
        <v>32</v>
      </c>
      <c r="D2109" t="s">
        <v>15</v>
      </c>
      <c r="E2109" t="s">
        <v>16</v>
      </c>
      <c r="F2109" s="1">
        <v>43473</v>
      </c>
      <c r="G2109">
        <v>4</v>
      </c>
      <c r="H2109">
        <v>4</v>
      </c>
      <c r="I2109">
        <v>4</v>
      </c>
      <c r="J2109">
        <v>0</v>
      </c>
      <c r="K2109">
        <v>0</v>
      </c>
      <c r="L2109">
        <v>751</v>
      </c>
      <c r="M2109">
        <v>15</v>
      </c>
      <c r="N2109" s="1">
        <f t="shared" si="256"/>
        <v>44938</v>
      </c>
      <c r="O2109" s="1">
        <f t="shared" si="257"/>
        <v>43101</v>
      </c>
      <c r="P2109" s="1">
        <f t="shared" si="258"/>
        <v>43678</v>
      </c>
      <c r="Q2109" s="8">
        <f t="shared" si="259"/>
        <v>0</v>
      </c>
      <c r="R2109" s="8">
        <f t="shared" si="260"/>
        <v>20</v>
      </c>
      <c r="S2109" s="8">
        <f t="shared" ca="1" si="261"/>
        <v>20</v>
      </c>
      <c r="T2109">
        <f t="shared" ca="1" si="262"/>
        <v>3.3454742241280009</v>
      </c>
      <c r="U2109" s="8">
        <f t="shared" ca="1" si="263"/>
        <v>1.4511920291840004</v>
      </c>
      <c r="V2109" s="8">
        <f ca="1">RawData[[#This Row],[Z (smoothed demand size)]]/RawData[[#This Row],[X (smoothed interval)]]</f>
        <v>2.305328417500438</v>
      </c>
    </row>
    <row r="2110" spans="1:22">
      <c r="A2110" t="s">
        <v>48</v>
      </c>
      <c r="B2110" t="s">
        <v>39</v>
      </c>
      <c r="C2110">
        <v>32</v>
      </c>
      <c r="D2110" t="s">
        <v>15</v>
      </c>
      <c r="E2110" t="s">
        <v>16</v>
      </c>
      <c r="F2110" s="1">
        <v>43474</v>
      </c>
      <c r="G2110">
        <v>2</v>
      </c>
      <c r="H2110">
        <v>2</v>
      </c>
      <c r="I2110">
        <v>10</v>
      </c>
      <c r="J2110">
        <v>8</v>
      </c>
      <c r="K2110">
        <v>0</v>
      </c>
      <c r="L2110">
        <v>663</v>
      </c>
      <c r="M2110">
        <v>60</v>
      </c>
      <c r="N2110" s="1">
        <f t="shared" si="256"/>
        <v>44938</v>
      </c>
      <c r="O2110" s="1">
        <f t="shared" si="257"/>
        <v>43101</v>
      </c>
      <c r="P2110" s="1">
        <f t="shared" si="258"/>
        <v>43709</v>
      </c>
      <c r="Q2110" s="8">
        <f t="shared" si="259"/>
        <v>0</v>
      </c>
      <c r="R2110" s="8">
        <f t="shared" si="260"/>
        <v>21</v>
      </c>
      <c r="S2110" s="8">
        <f t="shared" ca="1" si="261"/>
        <v>21</v>
      </c>
      <c r="T2110">
        <f t="shared" ca="1" si="262"/>
        <v>3.0763793793024008</v>
      </c>
      <c r="U2110" s="8">
        <f t="shared" ca="1" si="263"/>
        <v>1.3609536233472004</v>
      </c>
      <c r="V2110" s="8">
        <f ca="1">RawData[[#This Row],[Z (smoothed demand size)]]/RawData[[#This Row],[X (smoothed interval)]]</f>
        <v>2.2604586420338064</v>
      </c>
    </row>
    <row r="2111" spans="1:22">
      <c r="A2111" t="s">
        <v>48</v>
      </c>
      <c r="B2111" t="s">
        <v>39</v>
      </c>
      <c r="C2111">
        <v>32</v>
      </c>
      <c r="D2111" t="s">
        <v>15</v>
      </c>
      <c r="E2111" t="s">
        <v>16</v>
      </c>
      <c r="F2111" s="1">
        <v>43475</v>
      </c>
      <c r="G2111">
        <v>3</v>
      </c>
      <c r="H2111">
        <v>3</v>
      </c>
      <c r="I2111">
        <v>8</v>
      </c>
      <c r="J2111">
        <v>5</v>
      </c>
      <c r="K2111">
        <v>0</v>
      </c>
      <c r="L2111">
        <v>667</v>
      </c>
      <c r="M2111">
        <v>45</v>
      </c>
      <c r="N2111" s="1">
        <f t="shared" si="256"/>
        <v>44938</v>
      </c>
      <c r="O2111" s="1">
        <f t="shared" si="257"/>
        <v>43101</v>
      </c>
      <c r="P2111" s="1">
        <f t="shared" si="258"/>
        <v>43739</v>
      </c>
      <c r="Q2111" s="8">
        <f t="shared" si="259"/>
        <v>0</v>
      </c>
      <c r="R2111" s="8">
        <f t="shared" si="260"/>
        <v>22</v>
      </c>
      <c r="S2111" s="8">
        <f t="shared" ca="1" si="261"/>
        <v>22</v>
      </c>
      <c r="T2111">
        <f t="shared" ca="1" si="262"/>
        <v>3.0611035034419207</v>
      </c>
      <c r="U2111" s="8">
        <f t="shared" ca="1" si="263"/>
        <v>1.2887628986777604</v>
      </c>
      <c r="V2111" s="8">
        <f ca="1">RawData[[#This Row],[Z (smoothed demand size)]]/RawData[[#This Row],[X (smoothed interval)]]</f>
        <v>2.3752262783034328</v>
      </c>
    </row>
    <row r="2112" spans="1:22">
      <c r="A2112" t="s">
        <v>48</v>
      </c>
      <c r="B2112" t="s">
        <v>39</v>
      </c>
      <c r="C2112">
        <v>32</v>
      </c>
      <c r="D2112" t="s">
        <v>15</v>
      </c>
      <c r="E2112" t="s">
        <v>16</v>
      </c>
      <c r="F2112" s="1">
        <v>43476</v>
      </c>
      <c r="G2112">
        <v>0</v>
      </c>
      <c r="H2112">
        <v>0</v>
      </c>
      <c r="I2112">
        <v>5</v>
      </c>
      <c r="J2112">
        <v>5</v>
      </c>
      <c r="K2112">
        <v>0</v>
      </c>
      <c r="L2112">
        <v>652</v>
      </c>
      <c r="M2112">
        <v>30</v>
      </c>
      <c r="N2112" s="1">
        <f t="shared" si="256"/>
        <v>44938</v>
      </c>
      <c r="O2112" s="1">
        <f t="shared" si="257"/>
        <v>43101</v>
      </c>
      <c r="P2112" s="1">
        <f t="shared" si="258"/>
        <v>43770</v>
      </c>
      <c r="Q2112" s="8">
        <f t="shared" si="259"/>
        <v>0</v>
      </c>
      <c r="R2112" s="8">
        <f t="shared" si="260"/>
        <v>23</v>
      </c>
      <c r="S2112" s="8">
        <f t="shared" ca="1" si="261"/>
        <v>22</v>
      </c>
      <c r="T2112">
        <f t="shared" ca="1" si="262"/>
        <v>3.0611035034419207</v>
      </c>
      <c r="U2112" s="8">
        <f t="shared" ca="1" si="263"/>
        <v>1.2887628986777604</v>
      </c>
      <c r="V2112" s="8">
        <f ca="1">RawData[[#This Row],[Z (smoothed demand size)]]/RawData[[#This Row],[X (smoothed interval)]]</f>
        <v>2.3752262783034328</v>
      </c>
    </row>
    <row r="2113" spans="1:22">
      <c r="A2113" t="s">
        <v>48</v>
      </c>
      <c r="B2113" t="s">
        <v>39</v>
      </c>
      <c r="C2113">
        <v>32</v>
      </c>
      <c r="D2113" t="s">
        <v>15</v>
      </c>
      <c r="E2113" t="s">
        <v>16</v>
      </c>
      <c r="F2113" s="1">
        <v>43477</v>
      </c>
      <c r="G2113">
        <v>0</v>
      </c>
      <c r="H2113">
        <v>0</v>
      </c>
      <c r="I2113">
        <v>5</v>
      </c>
      <c r="J2113">
        <v>5</v>
      </c>
      <c r="K2113">
        <v>0</v>
      </c>
      <c r="L2113">
        <v>751</v>
      </c>
      <c r="M2113">
        <v>30</v>
      </c>
      <c r="N2113" s="1">
        <f t="shared" si="256"/>
        <v>44938</v>
      </c>
      <c r="O2113" s="1">
        <f t="shared" si="257"/>
        <v>43101</v>
      </c>
      <c r="P2113" s="1">
        <f t="shared" si="258"/>
        <v>43800</v>
      </c>
      <c r="Q2113" s="8">
        <f t="shared" si="259"/>
        <v>0</v>
      </c>
      <c r="R2113" s="8">
        <f t="shared" si="260"/>
        <v>24</v>
      </c>
      <c r="S2113" s="8">
        <f t="shared" ca="1" si="261"/>
        <v>22</v>
      </c>
      <c r="T2113">
        <f t="shared" ca="1" si="262"/>
        <v>3.0611035034419207</v>
      </c>
      <c r="U2113" s="8">
        <f t="shared" ca="1" si="263"/>
        <v>1.2887628986777604</v>
      </c>
      <c r="V2113" s="8">
        <f ca="1">RawData[[#This Row],[Z (smoothed demand size)]]/RawData[[#This Row],[X (smoothed interval)]]</f>
        <v>2.3752262783034328</v>
      </c>
    </row>
    <row r="2114" spans="1:22">
      <c r="A2114" t="s">
        <v>48</v>
      </c>
      <c r="B2114" t="s">
        <v>39</v>
      </c>
      <c r="C2114">
        <v>32</v>
      </c>
      <c r="D2114" t="s">
        <v>15</v>
      </c>
      <c r="E2114" t="s">
        <v>16</v>
      </c>
      <c r="F2114" s="1">
        <v>43831</v>
      </c>
      <c r="G2114">
        <v>0</v>
      </c>
      <c r="H2114">
        <v>0</v>
      </c>
      <c r="I2114">
        <v>5</v>
      </c>
      <c r="J2114">
        <v>5</v>
      </c>
      <c r="K2114">
        <v>0</v>
      </c>
      <c r="L2114">
        <v>667</v>
      </c>
      <c r="M2114">
        <v>30</v>
      </c>
      <c r="N2114" s="1">
        <f t="shared" ref="N2114:N2177" si="264">MAX(F:F)</f>
        <v>44938</v>
      </c>
      <c r="O2114" s="1">
        <f t="shared" ref="O2114:O2177" si="265">MIN(F:F)</f>
        <v>43101</v>
      </c>
      <c r="P2114" s="1">
        <f t="shared" ref="P2114:P2177" si="266">DATE(YEAR(F2114), DAY(F2114), 1)</f>
        <v>43831</v>
      </c>
      <c r="Q2114" s="8">
        <f t="shared" ref="Q2114:Q2177" si="267" xml:space="preserve"> IF(A2114&lt;&gt;A2113, 1, 0)</f>
        <v>0</v>
      </c>
      <c r="R2114" s="8">
        <f t="shared" ref="R2114:R2177" si="268">IF(Q2114=1,1,R2113+1)</f>
        <v>25</v>
      </c>
      <c r="S2114" s="8">
        <f t="shared" ref="S2114:S2177" ca="1" si="269" xml:space="preserve"> IF(Q2114=1, IF(G2114&gt;0, R2114, 0), IF(G2114&gt;0, R2114, OFFSET(S2114,-1,0)))</f>
        <v>22</v>
      </c>
      <c r="T2114">
        <f t="shared" ref="T2114:T2177" ca="1" si="270" xml:space="preserve"> IF(Q2114=1, IF(G2114&gt;0, G2114, 0), IF(G2114&gt;0, $X$1*G2114+(1-$X$1)*OFFSET(T2114,-1,0), OFFSET(T2114,-1,0)))</f>
        <v>3.0611035034419207</v>
      </c>
      <c r="U2114" s="8">
        <f t="shared" ref="U2114:U2177" ca="1" si="271" xml:space="preserve"> IF(Q2114=1, 1, IF(G2114&gt;0, $X$1*(R2114-OFFSET(S2114,-1,0))+(1-$X$1)*OFFSET(U2114,-1,0), OFFSET(U2114,-1,0)))</f>
        <v>1.2887628986777604</v>
      </c>
      <c r="V2114" s="8">
        <f ca="1">RawData[[#This Row],[Z (smoothed demand size)]]/RawData[[#This Row],[X (smoothed interval)]]</f>
        <v>2.3752262783034328</v>
      </c>
    </row>
    <row r="2115" spans="1:22">
      <c r="A2115" t="s">
        <v>48</v>
      </c>
      <c r="B2115" t="s">
        <v>39</v>
      </c>
      <c r="C2115">
        <v>32</v>
      </c>
      <c r="D2115" t="s">
        <v>15</v>
      </c>
      <c r="E2115" t="s">
        <v>16</v>
      </c>
      <c r="F2115" s="1">
        <v>43832</v>
      </c>
      <c r="G2115">
        <v>3</v>
      </c>
      <c r="H2115">
        <v>3</v>
      </c>
      <c r="I2115">
        <v>5</v>
      </c>
      <c r="J2115">
        <v>2</v>
      </c>
      <c r="K2115">
        <v>0</v>
      </c>
      <c r="L2115">
        <v>661</v>
      </c>
      <c r="M2115">
        <v>45</v>
      </c>
      <c r="N2115" s="1">
        <f t="shared" si="264"/>
        <v>44938</v>
      </c>
      <c r="O2115" s="1">
        <f t="shared" si="265"/>
        <v>43101</v>
      </c>
      <c r="P2115" s="1">
        <f t="shared" si="266"/>
        <v>43862</v>
      </c>
      <c r="Q2115" s="8">
        <f t="shared" si="267"/>
        <v>0</v>
      </c>
      <c r="R2115" s="8">
        <f t="shared" si="268"/>
        <v>26</v>
      </c>
      <c r="S2115" s="8">
        <f t="shared" ca="1" si="269"/>
        <v>26</v>
      </c>
      <c r="T2115">
        <f t="shared" ca="1" si="270"/>
        <v>3.0488828027535368</v>
      </c>
      <c r="U2115" s="8">
        <f t="shared" ca="1" si="271"/>
        <v>1.8310103189422084</v>
      </c>
      <c r="V2115" s="8">
        <f ca="1">RawData[[#This Row],[Z (smoothed demand size)]]/RawData[[#This Row],[X (smoothed interval)]]</f>
        <v>1.6651368761891547</v>
      </c>
    </row>
    <row r="2116" spans="1:22">
      <c r="A2116" t="s">
        <v>48</v>
      </c>
      <c r="B2116" t="s">
        <v>39</v>
      </c>
      <c r="C2116">
        <v>32</v>
      </c>
      <c r="D2116" t="s">
        <v>15</v>
      </c>
      <c r="E2116" t="s">
        <v>16</v>
      </c>
      <c r="F2116" s="1">
        <v>43833</v>
      </c>
      <c r="G2116">
        <v>0</v>
      </c>
      <c r="H2116">
        <v>0</v>
      </c>
      <c r="I2116">
        <v>2</v>
      </c>
      <c r="J2116">
        <v>2</v>
      </c>
      <c r="K2116">
        <v>0</v>
      </c>
      <c r="L2116">
        <v>656</v>
      </c>
      <c r="M2116">
        <v>60</v>
      </c>
      <c r="N2116" s="1">
        <f t="shared" si="264"/>
        <v>44938</v>
      </c>
      <c r="O2116" s="1">
        <f t="shared" si="265"/>
        <v>43101</v>
      </c>
      <c r="P2116" s="1">
        <f t="shared" si="266"/>
        <v>43891</v>
      </c>
      <c r="Q2116" s="8">
        <f t="shared" si="267"/>
        <v>0</v>
      </c>
      <c r="R2116" s="8">
        <f t="shared" si="268"/>
        <v>27</v>
      </c>
      <c r="S2116" s="8">
        <f t="shared" ca="1" si="269"/>
        <v>26</v>
      </c>
      <c r="T2116">
        <f t="shared" ca="1" si="270"/>
        <v>3.0488828027535368</v>
      </c>
      <c r="U2116" s="8">
        <f t="shared" ca="1" si="271"/>
        <v>1.8310103189422084</v>
      </c>
      <c r="V2116" s="8">
        <f ca="1">RawData[[#This Row],[Z (smoothed demand size)]]/RawData[[#This Row],[X (smoothed interval)]]</f>
        <v>1.6651368761891547</v>
      </c>
    </row>
    <row r="2117" spans="1:22">
      <c r="A2117" t="s">
        <v>48</v>
      </c>
      <c r="B2117" t="s">
        <v>39</v>
      </c>
      <c r="C2117">
        <v>32</v>
      </c>
      <c r="D2117" t="s">
        <v>15</v>
      </c>
      <c r="E2117" t="s">
        <v>16</v>
      </c>
      <c r="F2117" s="1">
        <v>43834</v>
      </c>
      <c r="G2117">
        <v>0</v>
      </c>
      <c r="H2117">
        <v>0</v>
      </c>
      <c r="I2117">
        <v>12</v>
      </c>
      <c r="J2117">
        <v>12</v>
      </c>
      <c r="K2117">
        <v>0</v>
      </c>
      <c r="L2117">
        <v>650</v>
      </c>
      <c r="M2117">
        <v>15</v>
      </c>
      <c r="N2117" s="1">
        <f t="shared" si="264"/>
        <v>44938</v>
      </c>
      <c r="O2117" s="1">
        <f t="shared" si="265"/>
        <v>43101</v>
      </c>
      <c r="P2117" s="1">
        <f t="shared" si="266"/>
        <v>43922</v>
      </c>
      <c r="Q2117" s="8">
        <f t="shared" si="267"/>
        <v>0</v>
      </c>
      <c r="R2117" s="8">
        <f t="shared" si="268"/>
        <v>28</v>
      </c>
      <c r="S2117" s="8">
        <f t="shared" ca="1" si="269"/>
        <v>26</v>
      </c>
      <c r="T2117">
        <f t="shared" ca="1" si="270"/>
        <v>3.0488828027535368</v>
      </c>
      <c r="U2117" s="8">
        <f t="shared" ca="1" si="271"/>
        <v>1.8310103189422084</v>
      </c>
      <c r="V2117" s="8">
        <f ca="1">RawData[[#This Row],[Z (smoothed demand size)]]/RawData[[#This Row],[X (smoothed interval)]]</f>
        <v>1.6651368761891547</v>
      </c>
    </row>
    <row r="2118" spans="1:22">
      <c r="A2118" t="s">
        <v>48</v>
      </c>
      <c r="B2118" t="s">
        <v>39</v>
      </c>
      <c r="C2118">
        <v>32</v>
      </c>
      <c r="D2118" t="s">
        <v>15</v>
      </c>
      <c r="E2118" t="s">
        <v>16</v>
      </c>
      <c r="F2118" s="1">
        <v>43835</v>
      </c>
      <c r="G2118">
        <v>1</v>
      </c>
      <c r="H2118">
        <v>1</v>
      </c>
      <c r="I2118">
        <v>12</v>
      </c>
      <c r="J2118">
        <v>11</v>
      </c>
      <c r="K2118">
        <v>0</v>
      </c>
      <c r="L2118">
        <v>663</v>
      </c>
      <c r="M2118">
        <v>60</v>
      </c>
      <c r="N2118" s="1">
        <f t="shared" si="264"/>
        <v>44938</v>
      </c>
      <c r="O2118" s="1">
        <f t="shared" si="265"/>
        <v>43101</v>
      </c>
      <c r="P2118" s="1">
        <f t="shared" si="266"/>
        <v>43952</v>
      </c>
      <c r="Q2118" s="8">
        <f t="shared" si="267"/>
        <v>0</v>
      </c>
      <c r="R2118" s="8">
        <f t="shared" si="268"/>
        <v>29</v>
      </c>
      <c r="S2118" s="8">
        <f t="shared" ca="1" si="269"/>
        <v>29</v>
      </c>
      <c r="T2118">
        <f t="shared" ca="1" si="270"/>
        <v>2.6391062422028297</v>
      </c>
      <c r="U2118" s="8">
        <f t="shared" ca="1" si="271"/>
        <v>2.0648082551537668</v>
      </c>
      <c r="V2118" s="8">
        <f ca="1">RawData[[#This Row],[Z (smoothed demand size)]]/RawData[[#This Row],[X (smoothed interval)]]</f>
        <v>1.2781362315922622</v>
      </c>
    </row>
    <row r="2119" spans="1:22">
      <c r="A2119" t="s">
        <v>48</v>
      </c>
      <c r="B2119" t="s">
        <v>39</v>
      </c>
      <c r="C2119">
        <v>32</v>
      </c>
      <c r="D2119" t="s">
        <v>15</v>
      </c>
      <c r="E2119" t="s">
        <v>16</v>
      </c>
      <c r="F2119" s="1">
        <v>43836</v>
      </c>
      <c r="G2119">
        <v>1</v>
      </c>
      <c r="H2119">
        <v>1</v>
      </c>
      <c r="I2119">
        <v>11</v>
      </c>
      <c r="J2119">
        <v>10</v>
      </c>
      <c r="K2119">
        <v>0</v>
      </c>
      <c r="L2119">
        <v>750</v>
      </c>
      <c r="M2119">
        <v>30</v>
      </c>
      <c r="N2119" s="1">
        <f t="shared" si="264"/>
        <v>44938</v>
      </c>
      <c r="O2119" s="1">
        <f t="shared" si="265"/>
        <v>43101</v>
      </c>
      <c r="P2119" s="1">
        <f t="shared" si="266"/>
        <v>43983</v>
      </c>
      <c r="Q2119" s="8">
        <f t="shared" si="267"/>
        <v>0</v>
      </c>
      <c r="R2119" s="8">
        <f t="shared" si="268"/>
        <v>30</v>
      </c>
      <c r="S2119" s="8">
        <f t="shared" ca="1" si="269"/>
        <v>30</v>
      </c>
      <c r="T2119">
        <f t="shared" ca="1" si="270"/>
        <v>2.3112849937622642</v>
      </c>
      <c r="U2119" s="8">
        <f t="shared" ca="1" si="271"/>
        <v>1.8518466041230135</v>
      </c>
      <c r="V2119" s="8">
        <f ca="1">RawData[[#This Row],[Z (smoothed demand size)]]/RawData[[#This Row],[X (smoothed interval)]]</f>
        <v>1.2480974334571457</v>
      </c>
    </row>
    <row r="2120" spans="1:22">
      <c r="A2120" t="s">
        <v>48</v>
      </c>
      <c r="B2120" t="s">
        <v>39</v>
      </c>
      <c r="C2120">
        <v>32</v>
      </c>
      <c r="D2120" t="s">
        <v>15</v>
      </c>
      <c r="E2120" t="s">
        <v>16</v>
      </c>
      <c r="F2120" s="1">
        <v>43837</v>
      </c>
      <c r="G2120">
        <v>0</v>
      </c>
      <c r="H2120">
        <v>0</v>
      </c>
      <c r="I2120">
        <v>10</v>
      </c>
      <c r="J2120">
        <v>10</v>
      </c>
      <c r="K2120">
        <v>0</v>
      </c>
      <c r="L2120">
        <v>752</v>
      </c>
      <c r="M2120">
        <v>15</v>
      </c>
      <c r="N2120" s="1">
        <f t="shared" si="264"/>
        <v>44938</v>
      </c>
      <c r="O2120" s="1">
        <f t="shared" si="265"/>
        <v>43101</v>
      </c>
      <c r="P2120" s="1">
        <f t="shared" si="266"/>
        <v>44013</v>
      </c>
      <c r="Q2120" s="8">
        <f t="shared" si="267"/>
        <v>0</v>
      </c>
      <c r="R2120" s="8">
        <f t="shared" si="268"/>
        <v>31</v>
      </c>
      <c r="S2120" s="8">
        <f t="shared" ca="1" si="269"/>
        <v>30</v>
      </c>
      <c r="T2120">
        <f t="shared" ca="1" si="270"/>
        <v>2.3112849937622642</v>
      </c>
      <c r="U2120" s="8">
        <f t="shared" ca="1" si="271"/>
        <v>1.8518466041230135</v>
      </c>
      <c r="V2120" s="8">
        <f ca="1">RawData[[#This Row],[Z (smoothed demand size)]]/RawData[[#This Row],[X (smoothed interval)]]</f>
        <v>1.2480974334571457</v>
      </c>
    </row>
    <row r="2121" spans="1:22">
      <c r="A2121" t="s">
        <v>48</v>
      </c>
      <c r="B2121" t="s">
        <v>39</v>
      </c>
      <c r="C2121">
        <v>32</v>
      </c>
      <c r="D2121" t="s">
        <v>15</v>
      </c>
      <c r="E2121" t="s">
        <v>16</v>
      </c>
      <c r="F2121" s="1">
        <v>43838</v>
      </c>
      <c r="G2121">
        <v>3</v>
      </c>
      <c r="H2121">
        <v>3</v>
      </c>
      <c r="I2121">
        <v>10</v>
      </c>
      <c r="J2121">
        <v>7</v>
      </c>
      <c r="K2121">
        <v>0</v>
      </c>
      <c r="L2121">
        <v>753</v>
      </c>
      <c r="M2121">
        <v>30</v>
      </c>
      <c r="N2121" s="1">
        <f t="shared" si="264"/>
        <v>44938</v>
      </c>
      <c r="O2121" s="1">
        <f t="shared" si="265"/>
        <v>43101</v>
      </c>
      <c r="P2121" s="1">
        <f t="shared" si="266"/>
        <v>44044</v>
      </c>
      <c r="Q2121" s="8">
        <f t="shared" si="267"/>
        <v>0</v>
      </c>
      <c r="R2121" s="8">
        <f t="shared" si="268"/>
        <v>32</v>
      </c>
      <c r="S2121" s="8">
        <f t="shared" ca="1" si="269"/>
        <v>32</v>
      </c>
      <c r="T2121">
        <f t="shared" ca="1" si="270"/>
        <v>2.4490279950098115</v>
      </c>
      <c r="U2121" s="8">
        <f t="shared" ca="1" si="271"/>
        <v>1.8814772832984108</v>
      </c>
      <c r="V2121" s="8">
        <f ca="1">RawData[[#This Row],[Z (smoothed demand size)]]/RawData[[#This Row],[X (smoothed interval)]]</f>
        <v>1.3016516419036586</v>
      </c>
    </row>
    <row r="2122" spans="1:22">
      <c r="A2122" t="s">
        <v>48</v>
      </c>
      <c r="B2122" t="s">
        <v>39</v>
      </c>
      <c r="C2122">
        <v>32</v>
      </c>
      <c r="D2122" t="s">
        <v>15</v>
      </c>
      <c r="E2122" t="s">
        <v>16</v>
      </c>
      <c r="F2122" s="1">
        <v>43839</v>
      </c>
      <c r="G2122">
        <v>3</v>
      </c>
      <c r="H2122">
        <v>3</v>
      </c>
      <c r="I2122">
        <v>7</v>
      </c>
      <c r="J2122">
        <v>4</v>
      </c>
      <c r="K2122">
        <v>0</v>
      </c>
      <c r="L2122">
        <v>659</v>
      </c>
      <c r="M2122">
        <v>30</v>
      </c>
      <c r="N2122" s="1">
        <f t="shared" si="264"/>
        <v>44938</v>
      </c>
      <c r="O2122" s="1">
        <f t="shared" si="265"/>
        <v>43101</v>
      </c>
      <c r="P2122" s="1">
        <f t="shared" si="266"/>
        <v>44075</v>
      </c>
      <c r="Q2122" s="8">
        <f t="shared" si="267"/>
        <v>0</v>
      </c>
      <c r="R2122" s="8">
        <f t="shared" si="268"/>
        <v>33</v>
      </c>
      <c r="S2122" s="8">
        <f t="shared" ca="1" si="269"/>
        <v>33</v>
      </c>
      <c r="T2122">
        <f t="shared" ca="1" si="270"/>
        <v>2.5592223960078493</v>
      </c>
      <c r="U2122" s="8">
        <f t="shared" ca="1" si="271"/>
        <v>1.7051818266387286</v>
      </c>
      <c r="V2122" s="8">
        <f ca="1">RawData[[#This Row],[Z (smoothed demand size)]]/RawData[[#This Row],[X (smoothed interval)]]</f>
        <v>1.5008501474899096</v>
      </c>
    </row>
    <row r="2123" spans="1:22">
      <c r="A2123" t="s">
        <v>48</v>
      </c>
      <c r="B2123" t="s">
        <v>39</v>
      </c>
      <c r="C2123">
        <v>32</v>
      </c>
      <c r="D2123" t="s">
        <v>15</v>
      </c>
      <c r="E2123" t="s">
        <v>16</v>
      </c>
      <c r="F2123" s="1">
        <v>43840</v>
      </c>
      <c r="G2123">
        <v>2</v>
      </c>
      <c r="H2123">
        <v>2</v>
      </c>
      <c r="I2123">
        <v>4</v>
      </c>
      <c r="J2123">
        <v>2</v>
      </c>
      <c r="K2123">
        <v>0</v>
      </c>
      <c r="L2123">
        <v>654</v>
      </c>
      <c r="M2123">
        <v>45</v>
      </c>
      <c r="N2123" s="1">
        <f t="shared" si="264"/>
        <v>44938</v>
      </c>
      <c r="O2123" s="1">
        <f t="shared" si="265"/>
        <v>43101</v>
      </c>
      <c r="P2123" s="1">
        <f t="shared" si="266"/>
        <v>44105</v>
      </c>
      <c r="Q2123" s="8">
        <f t="shared" si="267"/>
        <v>0</v>
      </c>
      <c r="R2123" s="8">
        <f t="shared" si="268"/>
        <v>34</v>
      </c>
      <c r="S2123" s="8">
        <f t="shared" ca="1" si="269"/>
        <v>34</v>
      </c>
      <c r="T2123">
        <f t="shared" ca="1" si="270"/>
        <v>2.4473779168062793</v>
      </c>
      <c r="U2123" s="8">
        <f t="shared" ca="1" si="271"/>
        <v>1.5641454613109829</v>
      </c>
      <c r="V2123" s="8">
        <f ca="1">RawData[[#This Row],[Z (smoothed demand size)]]/RawData[[#This Row],[X (smoothed interval)]]</f>
        <v>1.5646741158939388</v>
      </c>
    </row>
    <row r="2124" spans="1:22">
      <c r="A2124" t="s">
        <v>48</v>
      </c>
      <c r="B2124" t="s">
        <v>39</v>
      </c>
      <c r="C2124">
        <v>32</v>
      </c>
      <c r="D2124" t="s">
        <v>15</v>
      </c>
      <c r="E2124" t="s">
        <v>16</v>
      </c>
      <c r="F2124" s="1">
        <v>43841</v>
      </c>
      <c r="G2124">
        <v>3</v>
      </c>
      <c r="H2124">
        <v>2</v>
      </c>
      <c r="I2124">
        <v>2</v>
      </c>
      <c r="J2124">
        <v>0</v>
      </c>
      <c r="K2124">
        <v>1</v>
      </c>
      <c r="L2124">
        <v>655</v>
      </c>
      <c r="M2124">
        <v>15</v>
      </c>
      <c r="N2124" s="1">
        <f t="shared" si="264"/>
        <v>44938</v>
      </c>
      <c r="O2124" s="1">
        <f t="shared" si="265"/>
        <v>43101</v>
      </c>
      <c r="P2124" s="1">
        <f t="shared" si="266"/>
        <v>44136</v>
      </c>
      <c r="Q2124" s="8">
        <f t="shared" si="267"/>
        <v>0</v>
      </c>
      <c r="R2124" s="8">
        <f t="shared" si="268"/>
        <v>35</v>
      </c>
      <c r="S2124" s="8">
        <f t="shared" ca="1" si="269"/>
        <v>35</v>
      </c>
      <c r="T2124">
        <f t="shared" ca="1" si="270"/>
        <v>2.5579023334450235</v>
      </c>
      <c r="U2124" s="8">
        <f t="shared" ca="1" si="271"/>
        <v>1.4513163690487862</v>
      </c>
      <c r="V2124" s="8">
        <f ca="1">RawData[[#This Row],[Z (smoothed demand size)]]/RawData[[#This Row],[X (smoothed interval)]]</f>
        <v>1.7624705322668617</v>
      </c>
    </row>
    <row r="2125" spans="1:22">
      <c r="A2125" t="s">
        <v>48</v>
      </c>
      <c r="B2125" t="s">
        <v>39</v>
      </c>
      <c r="C2125">
        <v>32</v>
      </c>
      <c r="D2125" t="s">
        <v>15</v>
      </c>
      <c r="E2125" t="s">
        <v>16</v>
      </c>
      <c r="F2125" s="1">
        <v>43842</v>
      </c>
      <c r="G2125">
        <v>3</v>
      </c>
      <c r="H2125">
        <v>3</v>
      </c>
      <c r="I2125">
        <v>10</v>
      </c>
      <c r="J2125">
        <v>7</v>
      </c>
      <c r="K2125">
        <v>0</v>
      </c>
      <c r="L2125">
        <v>767</v>
      </c>
      <c r="M2125">
        <v>45</v>
      </c>
      <c r="N2125" s="1">
        <f t="shared" si="264"/>
        <v>44938</v>
      </c>
      <c r="O2125" s="1">
        <f t="shared" si="265"/>
        <v>43101</v>
      </c>
      <c r="P2125" s="1">
        <f t="shared" si="266"/>
        <v>44166</v>
      </c>
      <c r="Q2125" s="8">
        <f t="shared" si="267"/>
        <v>0</v>
      </c>
      <c r="R2125" s="8">
        <f t="shared" si="268"/>
        <v>36</v>
      </c>
      <c r="S2125" s="8">
        <f t="shared" ca="1" si="269"/>
        <v>36</v>
      </c>
      <c r="T2125">
        <f t="shared" ca="1" si="270"/>
        <v>2.6463218667560189</v>
      </c>
      <c r="U2125" s="8">
        <f t="shared" ca="1" si="271"/>
        <v>1.361053095239029</v>
      </c>
      <c r="V2125" s="8">
        <f ca="1">RawData[[#This Row],[Z (smoothed demand size)]]/RawData[[#This Row],[X (smoothed interval)]]</f>
        <v>1.9443193480201963</v>
      </c>
    </row>
    <row r="2126" spans="1:22">
      <c r="A2126" t="s">
        <v>48</v>
      </c>
      <c r="B2126" t="s">
        <v>39</v>
      </c>
      <c r="C2126">
        <v>32</v>
      </c>
      <c r="D2126" t="s">
        <v>15</v>
      </c>
      <c r="E2126" t="s">
        <v>16</v>
      </c>
      <c r="F2126" s="1">
        <v>44197</v>
      </c>
      <c r="G2126">
        <v>0</v>
      </c>
      <c r="H2126">
        <v>0</v>
      </c>
      <c r="I2126">
        <v>7</v>
      </c>
      <c r="J2126">
        <v>7</v>
      </c>
      <c r="K2126">
        <v>0</v>
      </c>
      <c r="L2126">
        <v>660</v>
      </c>
      <c r="M2126">
        <v>15</v>
      </c>
      <c r="N2126" s="1">
        <f t="shared" si="264"/>
        <v>44938</v>
      </c>
      <c r="O2126" s="1">
        <f t="shared" si="265"/>
        <v>43101</v>
      </c>
      <c r="P2126" s="1">
        <f t="shared" si="266"/>
        <v>44197</v>
      </c>
      <c r="Q2126" s="8">
        <f t="shared" si="267"/>
        <v>0</v>
      </c>
      <c r="R2126" s="8">
        <f t="shared" si="268"/>
        <v>37</v>
      </c>
      <c r="S2126" s="8">
        <f t="shared" ca="1" si="269"/>
        <v>36</v>
      </c>
      <c r="T2126">
        <f t="shared" ca="1" si="270"/>
        <v>2.6463218667560189</v>
      </c>
      <c r="U2126" s="8">
        <f t="shared" ca="1" si="271"/>
        <v>1.361053095239029</v>
      </c>
      <c r="V2126" s="8">
        <f ca="1">RawData[[#This Row],[Z (smoothed demand size)]]/RawData[[#This Row],[X (smoothed interval)]]</f>
        <v>1.9443193480201963</v>
      </c>
    </row>
    <row r="2127" spans="1:22">
      <c r="A2127" t="s">
        <v>48</v>
      </c>
      <c r="B2127" t="s">
        <v>39</v>
      </c>
      <c r="C2127">
        <v>32</v>
      </c>
      <c r="D2127" t="s">
        <v>15</v>
      </c>
      <c r="E2127" t="s">
        <v>16</v>
      </c>
      <c r="F2127" s="1">
        <v>44198</v>
      </c>
      <c r="G2127">
        <v>2</v>
      </c>
      <c r="H2127">
        <v>2</v>
      </c>
      <c r="I2127">
        <v>7</v>
      </c>
      <c r="J2127">
        <v>5</v>
      </c>
      <c r="K2127">
        <v>0</v>
      </c>
      <c r="L2127">
        <v>659</v>
      </c>
      <c r="M2127">
        <v>30</v>
      </c>
      <c r="N2127" s="1">
        <f t="shared" si="264"/>
        <v>44938</v>
      </c>
      <c r="O2127" s="1">
        <f t="shared" si="265"/>
        <v>43101</v>
      </c>
      <c r="P2127" s="1">
        <f t="shared" si="266"/>
        <v>44228</v>
      </c>
      <c r="Q2127" s="8">
        <f t="shared" si="267"/>
        <v>0</v>
      </c>
      <c r="R2127" s="8">
        <f t="shared" si="268"/>
        <v>38</v>
      </c>
      <c r="S2127" s="8">
        <f t="shared" ca="1" si="269"/>
        <v>38</v>
      </c>
      <c r="T2127">
        <f t="shared" ca="1" si="270"/>
        <v>2.5170574934048151</v>
      </c>
      <c r="U2127" s="8">
        <f t="shared" ca="1" si="271"/>
        <v>1.4888424761912233</v>
      </c>
      <c r="V2127" s="8">
        <f ca="1">RawData[[#This Row],[Z (smoothed demand size)]]/RawData[[#This Row],[X (smoothed interval)]]</f>
        <v>1.6906137040393858</v>
      </c>
    </row>
    <row r="2128" spans="1:22">
      <c r="A2128" t="s">
        <v>48</v>
      </c>
      <c r="B2128" t="s">
        <v>39</v>
      </c>
      <c r="C2128">
        <v>32</v>
      </c>
      <c r="D2128" t="s">
        <v>15</v>
      </c>
      <c r="E2128" t="s">
        <v>16</v>
      </c>
      <c r="F2128" s="1">
        <v>44199</v>
      </c>
      <c r="G2128">
        <v>5</v>
      </c>
      <c r="H2128">
        <v>5</v>
      </c>
      <c r="I2128">
        <v>5</v>
      </c>
      <c r="J2128">
        <v>0</v>
      </c>
      <c r="K2128">
        <v>0</v>
      </c>
      <c r="L2128">
        <v>662</v>
      </c>
      <c r="M2128">
        <v>60</v>
      </c>
      <c r="N2128" s="1">
        <f t="shared" si="264"/>
        <v>44938</v>
      </c>
      <c r="O2128" s="1">
        <f t="shared" si="265"/>
        <v>43101</v>
      </c>
      <c r="P2128" s="1">
        <f t="shared" si="266"/>
        <v>44256</v>
      </c>
      <c r="Q2128" s="8">
        <f t="shared" si="267"/>
        <v>0</v>
      </c>
      <c r="R2128" s="8">
        <f t="shared" si="268"/>
        <v>39</v>
      </c>
      <c r="S2128" s="8">
        <f t="shared" ca="1" si="269"/>
        <v>39</v>
      </c>
      <c r="T2128">
        <f t="shared" ca="1" si="270"/>
        <v>3.0136459947238521</v>
      </c>
      <c r="U2128" s="8">
        <f t="shared" ca="1" si="271"/>
        <v>1.3910739809529786</v>
      </c>
      <c r="V2128" s="8">
        <f ca="1">RawData[[#This Row],[Z (smoothed demand size)]]/RawData[[#This Row],[X (smoothed interval)]]</f>
        <v>2.1664167657418933</v>
      </c>
    </row>
    <row r="2129" spans="1:22">
      <c r="A2129" t="s">
        <v>48</v>
      </c>
      <c r="B2129" t="s">
        <v>39</v>
      </c>
      <c r="C2129">
        <v>32</v>
      </c>
      <c r="D2129" t="s">
        <v>15</v>
      </c>
      <c r="E2129" t="s">
        <v>16</v>
      </c>
      <c r="F2129" s="1">
        <v>44200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652</v>
      </c>
      <c r="M2129">
        <v>30</v>
      </c>
      <c r="N2129" s="1">
        <f t="shared" si="264"/>
        <v>44938</v>
      </c>
      <c r="O2129" s="1">
        <f t="shared" si="265"/>
        <v>43101</v>
      </c>
      <c r="P2129" s="1">
        <f t="shared" si="266"/>
        <v>44287</v>
      </c>
      <c r="Q2129" s="8">
        <f t="shared" si="267"/>
        <v>0</v>
      </c>
      <c r="R2129" s="8">
        <f t="shared" si="268"/>
        <v>40</v>
      </c>
      <c r="S2129" s="8">
        <f t="shared" ca="1" si="269"/>
        <v>39</v>
      </c>
      <c r="T2129">
        <f t="shared" ca="1" si="270"/>
        <v>3.0136459947238521</v>
      </c>
      <c r="U2129" s="8">
        <f t="shared" ca="1" si="271"/>
        <v>1.3910739809529786</v>
      </c>
      <c r="V2129" s="8">
        <f ca="1">RawData[[#This Row],[Z (smoothed demand size)]]/RawData[[#This Row],[X (smoothed interval)]]</f>
        <v>2.1664167657418933</v>
      </c>
    </row>
    <row r="2130" spans="1:22">
      <c r="A2130" t="s">
        <v>48</v>
      </c>
      <c r="B2130" t="s">
        <v>39</v>
      </c>
      <c r="C2130">
        <v>32</v>
      </c>
      <c r="D2130" t="s">
        <v>15</v>
      </c>
      <c r="E2130" t="s">
        <v>16</v>
      </c>
      <c r="F2130" s="1">
        <v>44201</v>
      </c>
      <c r="G2130">
        <v>0</v>
      </c>
      <c r="H2130">
        <v>0</v>
      </c>
      <c r="I2130">
        <v>12</v>
      </c>
      <c r="J2130">
        <v>12</v>
      </c>
      <c r="K2130">
        <v>0</v>
      </c>
      <c r="L2130">
        <v>661</v>
      </c>
      <c r="M2130">
        <v>30</v>
      </c>
      <c r="N2130" s="1">
        <f t="shared" si="264"/>
        <v>44938</v>
      </c>
      <c r="O2130" s="1">
        <f t="shared" si="265"/>
        <v>43101</v>
      </c>
      <c r="P2130" s="1">
        <f t="shared" si="266"/>
        <v>44317</v>
      </c>
      <c r="Q2130" s="8">
        <f t="shared" si="267"/>
        <v>0</v>
      </c>
      <c r="R2130" s="8">
        <f t="shared" si="268"/>
        <v>41</v>
      </c>
      <c r="S2130" s="8">
        <f t="shared" ca="1" si="269"/>
        <v>39</v>
      </c>
      <c r="T2130">
        <f t="shared" ca="1" si="270"/>
        <v>3.0136459947238521</v>
      </c>
      <c r="U2130" s="8">
        <f t="shared" ca="1" si="271"/>
        <v>1.3910739809529786</v>
      </c>
      <c r="V2130" s="8">
        <f ca="1">RawData[[#This Row],[Z (smoothed demand size)]]/RawData[[#This Row],[X (smoothed interval)]]</f>
        <v>2.1664167657418933</v>
      </c>
    </row>
    <row r="2131" spans="1:22">
      <c r="A2131" t="s">
        <v>48</v>
      </c>
      <c r="B2131" t="s">
        <v>39</v>
      </c>
      <c r="C2131">
        <v>32</v>
      </c>
      <c r="D2131" t="s">
        <v>15</v>
      </c>
      <c r="E2131" t="s">
        <v>16</v>
      </c>
      <c r="F2131" s="1">
        <v>44202</v>
      </c>
      <c r="G2131">
        <v>1</v>
      </c>
      <c r="H2131">
        <v>1</v>
      </c>
      <c r="I2131">
        <v>12</v>
      </c>
      <c r="J2131">
        <v>11</v>
      </c>
      <c r="K2131">
        <v>0</v>
      </c>
      <c r="L2131">
        <v>761</v>
      </c>
      <c r="M2131">
        <v>30</v>
      </c>
      <c r="N2131" s="1">
        <f t="shared" si="264"/>
        <v>44938</v>
      </c>
      <c r="O2131" s="1">
        <f t="shared" si="265"/>
        <v>43101</v>
      </c>
      <c r="P2131" s="1">
        <f t="shared" si="266"/>
        <v>44348</v>
      </c>
      <c r="Q2131" s="8">
        <f t="shared" si="267"/>
        <v>0</v>
      </c>
      <c r="R2131" s="8">
        <f t="shared" si="268"/>
        <v>42</v>
      </c>
      <c r="S2131" s="8">
        <f t="shared" ca="1" si="269"/>
        <v>42</v>
      </c>
      <c r="T2131">
        <f t="shared" ca="1" si="270"/>
        <v>2.6109167957790822</v>
      </c>
      <c r="U2131" s="8">
        <f t="shared" ca="1" si="271"/>
        <v>1.7128591847623831</v>
      </c>
      <c r="V2131" s="8">
        <f ca="1">RawData[[#This Row],[Z (smoothed demand size)]]/RawData[[#This Row],[X (smoothed interval)]]</f>
        <v>1.5243032346183685</v>
      </c>
    </row>
    <row r="2132" spans="1:22">
      <c r="A2132" t="s">
        <v>48</v>
      </c>
      <c r="B2132" t="s">
        <v>39</v>
      </c>
      <c r="C2132">
        <v>32</v>
      </c>
      <c r="D2132" t="s">
        <v>15</v>
      </c>
      <c r="E2132" t="s">
        <v>16</v>
      </c>
      <c r="F2132" s="1">
        <v>44203</v>
      </c>
      <c r="G2132">
        <v>5</v>
      </c>
      <c r="H2132">
        <v>5</v>
      </c>
      <c r="I2132">
        <v>11</v>
      </c>
      <c r="J2132">
        <v>6</v>
      </c>
      <c r="K2132">
        <v>0</v>
      </c>
      <c r="L2132">
        <v>750</v>
      </c>
      <c r="M2132">
        <v>30</v>
      </c>
      <c r="N2132" s="1">
        <f t="shared" si="264"/>
        <v>44938</v>
      </c>
      <c r="O2132" s="1">
        <f t="shared" si="265"/>
        <v>43101</v>
      </c>
      <c r="P2132" s="1">
        <f t="shared" si="266"/>
        <v>44378</v>
      </c>
      <c r="Q2132" s="8">
        <f t="shared" si="267"/>
        <v>0</v>
      </c>
      <c r="R2132" s="8">
        <f t="shared" si="268"/>
        <v>43</v>
      </c>
      <c r="S2132" s="8">
        <f t="shared" ca="1" si="269"/>
        <v>43</v>
      </c>
      <c r="T2132">
        <f t="shared" ca="1" si="270"/>
        <v>3.0887334366232659</v>
      </c>
      <c r="U2132" s="8">
        <f t="shared" ca="1" si="271"/>
        <v>1.5702873478099064</v>
      </c>
      <c r="V2132" s="8">
        <f ca="1">RawData[[#This Row],[Z (smoothed demand size)]]/RawData[[#This Row],[X (smoothed interval)]]</f>
        <v>1.9669861321439988</v>
      </c>
    </row>
    <row r="2133" spans="1:22">
      <c r="A2133" t="s">
        <v>48</v>
      </c>
      <c r="B2133" t="s">
        <v>39</v>
      </c>
      <c r="C2133">
        <v>32</v>
      </c>
      <c r="D2133" t="s">
        <v>15</v>
      </c>
      <c r="E2133" t="s">
        <v>16</v>
      </c>
      <c r="F2133" s="1">
        <v>44204</v>
      </c>
      <c r="G2133">
        <v>4</v>
      </c>
      <c r="H2133">
        <v>4</v>
      </c>
      <c r="I2133">
        <v>6</v>
      </c>
      <c r="J2133">
        <v>2</v>
      </c>
      <c r="K2133">
        <v>0</v>
      </c>
      <c r="L2133">
        <v>762</v>
      </c>
      <c r="M2133">
        <v>15</v>
      </c>
      <c r="N2133" s="1">
        <f t="shared" si="264"/>
        <v>44938</v>
      </c>
      <c r="O2133" s="1">
        <f t="shared" si="265"/>
        <v>43101</v>
      </c>
      <c r="P2133" s="1">
        <f t="shared" si="266"/>
        <v>44409</v>
      </c>
      <c r="Q2133" s="8">
        <f t="shared" si="267"/>
        <v>0</v>
      </c>
      <c r="R2133" s="8">
        <f t="shared" si="268"/>
        <v>44</v>
      </c>
      <c r="S2133" s="8">
        <f t="shared" ca="1" si="269"/>
        <v>44</v>
      </c>
      <c r="T2133">
        <f t="shared" ca="1" si="270"/>
        <v>3.2709867492986131</v>
      </c>
      <c r="U2133" s="8">
        <f t="shared" ca="1" si="271"/>
        <v>1.4562298782479253</v>
      </c>
      <c r="V2133" s="8">
        <f ca="1">RawData[[#This Row],[Z (smoothed demand size)]]/RawData[[#This Row],[X (smoothed interval)]]</f>
        <v>2.2462021952427782</v>
      </c>
    </row>
    <row r="2134" spans="1:22">
      <c r="A2134" t="s">
        <v>48</v>
      </c>
      <c r="B2134" t="s">
        <v>39</v>
      </c>
      <c r="C2134">
        <v>32</v>
      </c>
      <c r="D2134" t="s">
        <v>15</v>
      </c>
      <c r="E2134" t="s">
        <v>16</v>
      </c>
      <c r="F2134" s="1">
        <v>44205</v>
      </c>
      <c r="G2134">
        <v>3</v>
      </c>
      <c r="H2134">
        <v>3</v>
      </c>
      <c r="I2134">
        <v>13</v>
      </c>
      <c r="J2134">
        <v>10</v>
      </c>
      <c r="K2134">
        <v>0</v>
      </c>
      <c r="L2134">
        <v>661</v>
      </c>
      <c r="M2134">
        <v>45</v>
      </c>
      <c r="N2134" s="1">
        <f t="shared" si="264"/>
        <v>44938</v>
      </c>
      <c r="O2134" s="1">
        <f t="shared" si="265"/>
        <v>43101</v>
      </c>
      <c r="P2134" s="1">
        <f t="shared" si="266"/>
        <v>44440</v>
      </c>
      <c r="Q2134" s="8">
        <f t="shared" si="267"/>
        <v>0</v>
      </c>
      <c r="R2134" s="8">
        <f t="shared" si="268"/>
        <v>45</v>
      </c>
      <c r="S2134" s="8">
        <f t="shared" ca="1" si="269"/>
        <v>45</v>
      </c>
      <c r="T2134">
        <f t="shared" ca="1" si="270"/>
        <v>3.2167893994388908</v>
      </c>
      <c r="U2134" s="8">
        <f t="shared" ca="1" si="271"/>
        <v>1.3649839025983401</v>
      </c>
      <c r="V2134" s="8">
        <f ca="1">RawData[[#This Row],[Z (smoothed demand size)]]/RawData[[#This Row],[X (smoothed interval)]]</f>
        <v>2.3566500625505635</v>
      </c>
    </row>
    <row r="2135" spans="1:22">
      <c r="A2135" t="s">
        <v>48</v>
      </c>
      <c r="B2135" t="s">
        <v>39</v>
      </c>
      <c r="C2135">
        <v>32</v>
      </c>
      <c r="D2135" t="s">
        <v>15</v>
      </c>
      <c r="E2135" t="s">
        <v>16</v>
      </c>
      <c r="F2135" s="1">
        <v>44206</v>
      </c>
      <c r="G2135">
        <v>1</v>
      </c>
      <c r="H2135">
        <v>1</v>
      </c>
      <c r="I2135">
        <v>10</v>
      </c>
      <c r="J2135">
        <v>9</v>
      </c>
      <c r="K2135">
        <v>0</v>
      </c>
      <c r="L2135">
        <v>661</v>
      </c>
      <c r="M2135">
        <v>45</v>
      </c>
      <c r="N2135" s="1">
        <f t="shared" si="264"/>
        <v>44938</v>
      </c>
      <c r="O2135" s="1">
        <f t="shared" si="265"/>
        <v>43101</v>
      </c>
      <c r="P2135" s="1">
        <f t="shared" si="266"/>
        <v>44470</v>
      </c>
      <c r="Q2135" s="8">
        <f t="shared" si="267"/>
        <v>0</v>
      </c>
      <c r="R2135" s="8">
        <f t="shared" si="268"/>
        <v>46</v>
      </c>
      <c r="S2135" s="8">
        <f t="shared" ca="1" si="269"/>
        <v>46</v>
      </c>
      <c r="T2135">
        <f t="shared" ca="1" si="270"/>
        <v>2.7734315195511128</v>
      </c>
      <c r="U2135" s="8">
        <f t="shared" ca="1" si="271"/>
        <v>1.2919871220786721</v>
      </c>
      <c r="V2135" s="8">
        <f ca="1">RawData[[#This Row],[Z (smoothed demand size)]]/RawData[[#This Row],[X (smoothed interval)]]</f>
        <v>2.1466402196710379</v>
      </c>
    </row>
    <row r="2136" spans="1:22">
      <c r="A2136" t="s">
        <v>48</v>
      </c>
      <c r="B2136" t="s">
        <v>39</v>
      </c>
      <c r="C2136">
        <v>32</v>
      </c>
      <c r="D2136" t="s">
        <v>15</v>
      </c>
      <c r="E2136" t="s">
        <v>16</v>
      </c>
      <c r="F2136" s="1">
        <v>44207</v>
      </c>
      <c r="G2136">
        <v>0</v>
      </c>
      <c r="H2136">
        <v>0</v>
      </c>
      <c r="I2136">
        <v>9</v>
      </c>
      <c r="J2136">
        <v>9</v>
      </c>
      <c r="K2136">
        <v>0</v>
      </c>
      <c r="L2136">
        <v>670</v>
      </c>
      <c r="M2136">
        <v>60</v>
      </c>
      <c r="N2136" s="1">
        <f t="shared" si="264"/>
        <v>44938</v>
      </c>
      <c r="O2136" s="1">
        <f t="shared" si="265"/>
        <v>43101</v>
      </c>
      <c r="P2136" s="1">
        <f t="shared" si="266"/>
        <v>44501</v>
      </c>
      <c r="Q2136" s="8">
        <f t="shared" si="267"/>
        <v>0</v>
      </c>
      <c r="R2136" s="8">
        <f t="shared" si="268"/>
        <v>47</v>
      </c>
      <c r="S2136" s="8">
        <f t="shared" ca="1" si="269"/>
        <v>46</v>
      </c>
      <c r="T2136">
        <f t="shared" ca="1" si="270"/>
        <v>2.7734315195511128</v>
      </c>
      <c r="U2136" s="8">
        <f t="shared" ca="1" si="271"/>
        <v>1.2919871220786721</v>
      </c>
      <c r="V2136" s="8">
        <f ca="1">RawData[[#This Row],[Z (smoothed demand size)]]/RawData[[#This Row],[X (smoothed interval)]]</f>
        <v>2.1466402196710379</v>
      </c>
    </row>
    <row r="2137" spans="1:22">
      <c r="A2137" t="s">
        <v>48</v>
      </c>
      <c r="B2137" t="s">
        <v>39</v>
      </c>
      <c r="C2137">
        <v>32</v>
      </c>
      <c r="D2137" t="s">
        <v>15</v>
      </c>
      <c r="E2137" t="s">
        <v>16</v>
      </c>
      <c r="F2137" s="1">
        <v>44208</v>
      </c>
      <c r="G2137">
        <v>1</v>
      </c>
      <c r="H2137">
        <v>1</v>
      </c>
      <c r="I2137">
        <v>9</v>
      </c>
      <c r="J2137">
        <v>8</v>
      </c>
      <c r="K2137">
        <v>0</v>
      </c>
      <c r="L2137">
        <v>759</v>
      </c>
      <c r="M2137">
        <v>60</v>
      </c>
      <c r="N2137" s="1">
        <f t="shared" si="264"/>
        <v>44938</v>
      </c>
      <c r="O2137" s="1">
        <f t="shared" si="265"/>
        <v>43101</v>
      </c>
      <c r="P2137" s="1">
        <f t="shared" si="266"/>
        <v>44531</v>
      </c>
      <c r="Q2137" s="8">
        <f t="shared" si="267"/>
        <v>0</v>
      </c>
      <c r="R2137" s="8">
        <f t="shared" si="268"/>
        <v>48</v>
      </c>
      <c r="S2137" s="8">
        <f t="shared" ca="1" si="269"/>
        <v>48</v>
      </c>
      <c r="T2137">
        <f t="shared" ca="1" si="270"/>
        <v>2.4187452156408904</v>
      </c>
      <c r="U2137" s="8">
        <f t="shared" ca="1" si="271"/>
        <v>1.4335896976629376</v>
      </c>
      <c r="V2137" s="8">
        <f ca="1">RawData[[#This Row],[Z (smoothed demand size)]]/RawData[[#This Row],[X (smoothed interval)]]</f>
        <v>1.6871948923628357</v>
      </c>
    </row>
    <row r="2138" spans="1:22">
      <c r="A2138" t="s">
        <v>48</v>
      </c>
      <c r="B2138" t="s">
        <v>39</v>
      </c>
      <c r="C2138">
        <v>32</v>
      </c>
      <c r="D2138" t="s">
        <v>15</v>
      </c>
      <c r="E2138" t="s">
        <v>16</v>
      </c>
      <c r="F2138" s="1">
        <v>44562</v>
      </c>
      <c r="G2138">
        <v>1</v>
      </c>
      <c r="H2138">
        <v>1</v>
      </c>
      <c r="I2138">
        <v>8</v>
      </c>
      <c r="J2138">
        <v>7</v>
      </c>
      <c r="K2138">
        <v>0</v>
      </c>
      <c r="L2138">
        <v>651</v>
      </c>
      <c r="M2138">
        <v>60</v>
      </c>
      <c r="N2138" s="1">
        <f t="shared" si="264"/>
        <v>44938</v>
      </c>
      <c r="O2138" s="1">
        <f t="shared" si="265"/>
        <v>43101</v>
      </c>
      <c r="P2138" s="1">
        <f t="shared" si="266"/>
        <v>44562</v>
      </c>
      <c r="Q2138" s="8">
        <f t="shared" si="267"/>
        <v>0</v>
      </c>
      <c r="R2138" s="8">
        <f t="shared" si="268"/>
        <v>49</v>
      </c>
      <c r="S2138" s="8">
        <f t="shared" ca="1" si="269"/>
        <v>49</v>
      </c>
      <c r="T2138">
        <f t="shared" ca="1" si="270"/>
        <v>2.1349961725127127</v>
      </c>
      <c r="U2138" s="8">
        <f t="shared" ca="1" si="271"/>
        <v>1.3468717581303502</v>
      </c>
      <c r="V2138" s="8">
        <f ca="1">RawData[[#This Row],[Z (smoothed demand size)]]/RawData[[#This Row],[X (smoothed interval)]]</f>
        <v>1.585151785702591</v>
      </c>
    </row>
    <row r="2139" spans="1:22">
      <c r="A2139" t="s">
        <v>48</v>
      </c>
      <c r="B2139" t="s">
        <v>39</v>
      </c>
      <c r="C2139">
        <v>32</v>
      </c>
      <c r="D2139" t="s">
        <v>15</v>
      </c>
      <c r="E2139" t="s">
        <v>16</v>
      </c>
      <c r="F2139" s="1">
        <v>44563</v>
      </c>
      <c r="G2139">
        <v>8</v>
      </c>
      <c r="H2139">
        <v>7</v>
      </c>
      <c r="I2139">
        <v>7</v>
      </c>
      <c r="J2139">
        <v>0</v>
      </c>
      <c r="K2139">
        <v>1</v>
      </c>
      <c r="L2139">
        <v>658</v>
      </c>
      <c r="M2139">
        <v>15</v>
      </c>
      <c r="N2139" s="1">
        <f t="shared" si="264"/>
        <v>44938</v>
      </c>
      <c r="O2139" s="1">
        <f t="shared" si="265"/>
        <v>43101</v>
      </c>
      <c r="P2139" s="1">
        <f t="shared" si="266"/>
        <v>44593</v>
      </c>
      <c r="Q2139" s="8">
        <f t="shared" si="267"/>
        <v>0</v>
      </c>
      <c r="R2139" s="8">
        <f t="shared" si="268"/>
        <v>50</v>
      </c>
      <c r="S2139" s="8">
        <f t="shared" ca="1" si="269"/>
        <v>50</v>
      </c>
      <c r="T2139">
        <f t="shared" ca="1" si="270"/>
        <v>3.3079969380101701</v>
      </c>
      <c r="U2139" s="8">
        <f t="shared" ca="1" si="271"/>
        <v>1.2774974065042801</v>
      </c>
      <c r="V2139" s="8">
        <f ca="1">RawData[[#This Row],[Z (smoothed demand size)]]/RawData[[#This Row],[X (smoothed interval)]]</f>
        <v>2.5894353453617653</v>
      </c>
    </row>
    <row r="2140" spans="1:22">
      <c r="A2140" t="s">
        <v>48</v>
      </c>
      <c r="B2140" t="s">
        <v>39</v>
      </c>
      <c r="C2140">
        <v>32</v>
      </c>
      <c r="D2140" t="s">
        <v>15</v>
      </c>
      <c r="E2140" t="s">
        <v>16</v>
      </c>
      <c r="F2140" s="1">
        <v>44564</v>
      </c>
      <c r="G2140">
        <v>2</v>
      </c>
      <c r="H2140">
        <v>2</v>
      </c>
      <c r="I2140">
        <v>11</v>
      </c>
      <c r="J2140">
        <v>9</v>
      </c>
      <c r="K2140">
        <v>0</v>
      </c>
      <c r="L2140">
        <v>657</v>
      </c>
      <c r="M2140">
        <v>15</v>
      </c>
      <c r="N2140" s="1">
        <f t="shared" si="264"/>
        <v>44938</v>
      </c>
      <c r="O2140" s="1">
        <f t="shared" si="265"/>
        <v>43101</v>
      </c>
      <c r="P2140" s="1">
        <f t="shared" si="266"/>
        <v>44621</v>
      </c>
      <c r="Q2140" s="8">
        <f t="shared" si="267"/>
        <v>0</v>
      </c>
      <c r="R2140" s="8">
        <f t="shared" si="268"/>
        <v>51</v>
      </c>
      <c r="S2140" s="8">
        <f t="shared" ca="1" si="269"/>
        <v>51</v>
      </c>
      <c r="T2140">
        <f t="shared" ca="1" si="270"/>
        <v>3.0463975504081362</v>
      </c>
      <c r="U2140" s="8">
        <f t="shared" ca="1" si="271"/>
        <v>1.2219979252034241</v>
      </c>
      <c r="V2140" s="8">
        <f ca="1">RawData[[#This Row],[Z (smoothed demand size)]]/RawData[[#This Row],[X (smoothed interval)]]</f>
        <v>2.4929645849447799</v>
      </c>
    </row>
    <row r="2141" spans="1:22">
      <c r="A2141" t="s">
        <v>48</v>
      </c>
      <c r="B2141" t="s">
        <v>39</v>
      </c>
      <c r="C2141">
        <v>32</v>
      </c>
      <c r="D2141" t="s">
        <v>15</v>
      </c>
      <c r="E2141" t="s">
        <v>16</v>
      </c>
      <c r="F2141" s="1">
        <v>44565</v>
      </c>
      <c r="G2141">
        <v>0</v>
      </c>
      <c r="H2141">
        <v>0</v>
      </c>
      <c r="I2141">
        <v>9</v>
      </c>
      <c r="J2141">
        <v>9</v>
      </c>
      <c r="K2141">
        <v>0</v>
      </c>
      <c r="L2141">
        <v>650</v>
      </c>
      <c r="M2141">
        <v>45</v>
      </c>
      <c r="N2141" s="1">
        <f t="shared" si="264"/>
        <v>44938</v>
      </c>
      <c r="O2141" s="1">
        <f t="shared" si="265"/>
        <v>43101</v>
      </c>
      <c r="P2141" s="1">
        <f t="shared" si="266"/>
        <v>44652</v>
      </c>
      <c r="Q2141" s="8">
        <f t="shared" si="267"/>
        <v>0</v>
      </c>
      <c r="R2141" s="8">
        <f t="shared" si="268"/>
        <v>52</v>
      </c>
      <c r="S2141" s="8">
        <f t="shared" ca="1" si="269"/>
        <v>51</v>
      </c>
      <c r="T2141">
        <f t="shared" ca="1" si="270"/>
        <v>3.0463975504081362</v>
      </c>
      <c r="U2141" s="8">
        <f t="shared" ca="1" si="271"/>
        <v>1.2219979252034241</v>
      </c>
      <c r="V2141" s="8">
        <f ca="1">RawData[[#This Row],[Z (smoothed demand size)]]/RawData[[#This Row],[X (smoothed interval)]]</f>
        <v>2.4929645849447799</v>
      </c>
    </row>
    <row r="2142" spans="1:22">
      <c r="A2142" t="s">
        <v>48</v>
      </c>
      <c r="B2142" t="s">
        <v>39</v>
      </c>
      <c r="C2142">
        <v>32</v>
      </c>
      <c r="D2142" t="s">
        <v>15</v>
      </c>
      <c r="E2142" t="s">
        <v>16</v>
      </c>
      <c r="F2142" s="1">
        <v>44566</v>
      </c>
      <c r="G2142">
        <v>1</v>
      </c>
      <c r="H2142">
        <v>1</v>
      </c>
      <c r="I2142">
        <v>9</v>
      </c>
      <c r="J2142">
        <v>8</v>
      </c>
      <c r="K2142">
        <v>0</v>
      </c>
      <c r="L2142">
        <v>644</v>
      </c>
      <c r="M2142">
        <v>60</v>
      </c>
      <c r="N2142" s="1">
        <f t="shared" si="264"/>
        <v>44938</v>
      </c>
      <c r="O2142" s="1">
        <f t="shared" si="265"/>
        <v>43101</v>
      </c>
      <c r="P2142" s="1">
        <f t="shared" si="266"/>
        <v>44682</v>
      </c>
      <c r="Q2142" s="8">
        <f t="shared" si="267"/>
        <v>0</v>
      </c>
      <c r="R2142" s="8">
        <f t="shared" si="268"/>
        <v>53</v>
      </c>
      <c r="S2142" s="8">
        <f t="shared" ca="1" si="269"/>
        <v>53</v>
      </c>
      <c r="T2142">
        <f t="shared" ca="1" si="270"/>
        <v>2.6371180403265093</v>
      </c>
      <c r="U2142" s="8">
        <f t="shared" ca="1" si="271"/>
        <v>1.3775983401627392</v>
      </c>
      <c r="V2142" s="8">
        <f ca="1">RawData[[#This Row],[Z (smoothed demand size)]]/RawData[[#This Row],[X (smoothed interval)]]</f>
        <v>1.9142865982365949</v>
      </c>
    </row>
    <row r="2143" spans="1:22">
      <c r="A2143" t="s">
        <v>48</v>
      </c>
      <c r="B2143" t="s">
        <v>39</v>
      </c>
      <c r="C2143">
        <v>32</v>
      </c>
      <c r="D2143" t="s">
        <v>15</v>
      </c>
      <c r="E2143" t="s">
        <v>16</v>
      </c>
      <c r="F2143" s="1">
        <v>44567</v>
      </c>
      <c r="G2143">
        <v>5</v>
      </c>
      <c r="H2143">
        <v>5</v>
      </c>
      <c r="I2143">
        <v>8</v>
      </c>
      <c r="J2143">
        <v>3</v>
      </c>
      <c r="K2143">
        <v>0</v>
      </c>
      <c r="L2143">
        <v>755</v>
      </c>
      <c r="M2143">
        <v>60</v>
      </c>
      <c r="N2143" s="1">
        <f t="shared" si="264"/>
        <v>44938</v>
      </c>
      <c r="O2143" s="1">
        <f t="shared" si="265"/>
        <v>43101</v>
      </c>
      <c r="P2143" s="1">
        <f t="shared" si="266"/>
        <v>44713</v>
      </c>
      <c r="Q2143" s="8">
        <f t="shared" si="267"/>
        <v>0</v>
      </c>
      <c r="R2143" s="8">
        <f t="shared" si="268"/>
        <v>54</v>
      </c>
      <c r="S2143" s="8">
        <f t="shared" ca="1" si="269"/>
        <v>54</v>
      </c>
      <c r="T2143">
        <f t="shared" ca="1" si="270"/>
        <v>3.1096944322612075</v>
      </c>
      <c r="U2143" s="8">
        <f t="shared" ca="1" si="271"/>
        <v>1.3020786721301914</v>
      </c>
      <c r="V2143" s="8">
        <f ca="1">RawData[[#This Row],[Z (smoothed demand size)]]/RawData[[#This Row],[X (smoothed interval)]]</f>
        <v>2.3882538734574075</v>
      </c>
    </row>
    <row r="2144" spans="1:22">
      <c r="A2144" t="s">
        <v>48</v>
      </c>
      <c r="B2144" t="s">
        <v>39</v>
      </c>
      <c r="C2144">
        <v>32</v>
      </c>
      <c r="D2144" t="s">
        <v>15</v>
      </c>
      <c r="E2144" t="s">
        <v>16</v>
      </c>
      <c r="F2144" s="1">
        <v>44568</v>
      </c>
      <c r="G2144">
        <v>0</v>
      </c>
      <c r="H2144">
        <v>0</v>
      </c>
      <c r="I2144">
        <v>3</v>
      </c>
      <c r="J2144">
        <v>3</v>
      </c>
      <c r="K2144">
        <v>0</v>
      </c>
      <c r="L2144">
        <v>763</v>
      </c>
      <c r="M2144">
        <v>60</v>
      </c>
      <c r="N2144" s="1">
        <f t="shared" si="264"/>
        <v>44938</v>
      </c>
      <c r="O2144" s="1">
        <f t="shared" si="265"/>
        <v>43101</v>
      </c>
      <c r="P2144" s="1">
        <f t="shared" si="266"/>
        <v>44743</v>
      </c>
      <c r="Q2144" s="8">
        <f t="shared" si="267"/>
        <v>0</v>
      </c>
      <c r="R2144" s="8">
        <f t="shared" si="268"/>
        <v>55</v>
      </c>
      <c r="S2144" s="8">
        <f t="shared" ca="1" si="269"/>
        <v>54</v>
      </c>
      <c r="T2144">
        <f t="shared" ca="1" si="270"/>
        <v>3.1096944322612075</v>
      </c>
      <c r="U2144" s="8">
        <f t="shared" ca="1" si="271"/>
        <v>1.3020786721301914</v>
      </c>
      <c r="V2144" s="8">
        <f ca="1">RawData[[#This Row],[Z (smoothed demand size)]]/RawData[[#This Row],[X (smoothed interval)]]</f>
        <v>2.3882538734574075</v>
      </c>
    </row>
    <row r="2145" spans="1:22">
      <c r="A2145" t="s">
        <v>48</v>
      </c>
      <c r="B2145" t="s">
        <v>39</v>
      </c>
      <c r="C2145">
        <v>32</v>
      </c>
      <c r="D2145" t="s">
        <v>15</v>
      </c>
      <c r="E2145" t="s">
        <v>16</v>
      </c>
      <c r="F2145" s="1">
        <v>44569</v>
      </c>
      <c r="G2145">
        <v>3</v>
      </c>
      <c r="H2145">
        <v>3</v>
      </c>
      <c r="I2145">
        <v>12</v>
      </c>
      <c r="J2145">
        <v>9</v>
      </c>
      <c r="K2145">
        <v>0</v>
      </c>
      <c r="L2145">
        <v>763</v>
      </c>
      <c r="M2145">
        <v>15</v>
      </c>
      <c r="N2145" s="1">
        <f t="shared" si="264"/>
        <v>44938</v>
      </c>
      <c r="O2145" s="1">
        <f t="shared" si="265"/>
        <v>43101</v>
      </c>
      <c r="P2145" s="1">
        <f t="shared" si="266"/>
        <v>44774</v>
      </c>
      <c r="Q2145" s="8">
        <f t="shared" si="267"/>
        <v>0</v>
      </c>
      <c r="R2145" s="8">
        <f t="shared" si="268"/>
        <v>56</v>
      </c>
      <c r="S2145" s="8">
        <f t="shared" ca="1" si="269"/>
        <v>56</v>
      </c>
      <c r="T2145">
        <f t="shared" ca="1" si="270"/>
        <v>3.0877555458089661</v>
      </c>
      <c r="U2145" s="8">
        <f t="shared" ca="1" si="271"/>
        <v>1.441662937704153</v>
      </c>
      <c r="V2145" s="8">
        <f ca="1">RawData[[#This Row],[Z (smoothed demand size)]]/RawData[[#This Row],[X (smoothed interval)]]</f>
        <v>2.1418012942236095</v>
      </c>
    </row>
    <row r="2146" spans="1:22">
      <c r="A2146" t="s">
        <v>48</v>
      </c>
      <c r="B2146" t="s">
        <v>39</v>
      </c>
      <c r="C2146">
        <v>32</v>
      </c>
      <c r="D2146" t="s">
        <v>15</v>
      </c>
      <c r="E2146" t="s">
        <v>16</v>
      </c>
      <c r="F2146" s="1">
        <v>44570</v>
      </c>
      <c r="G2146">
        <v>0</v>
      </c>
      <c r="H2146">
        <v>0</v>
      </c>
      <c r="I2146">
        <v>9</v>
      </c>
      <c r="J2146">
        <v>9</v>
      </c>
      <c r="K2146">
        <v>0</v>
      </c>
      <c r="L2146">
        <v>659</v>
      </c>
      <c r="M2146">
        <v>60</v>
      </c>
      <c r="N2146" s="1">
        <f t="shared" si="264"/>
        <v>44938</v>
      </c>
      <c r="O2146" s="1">
        <f t="shared" si="265"/>
        <v>43101</v>
      </c>
      <c r="P2146" s="1">
        <f t="shared" si="266"/>
        <v>44805</v>
      </c>
      <c r="Q2146" s="8">
        <f t="shared" si="267"/>
        <v>0</v>
      </c>
      <c r="R2146" s="8">
        <f t="shared" si="268"/>
        <v>57</v>
      </c>
      <c r="S2146" s="8">
        <f t="shared" ca="1" si="269"/>
        <v>56</v>
      </c>
      <c r="T2146">
        <f t="shared" ca="1" si="270"/>
        <v>3.0877555458089661</v>
      </c>
      <c r="U2146" s="8">
        <f t="shared" ca="1" si="271"/>
        <v>1.441662937704153</v>
      </c>
      <c r="V2146" s="8">
        <f ca="1">RawData[[#This Row],[Z (smoothed demand size)]]/RawData[[#This Row],[X (smoothed interval)]]</f>
        <v>2.1418012942236095</v>
      </c>
    </row>
    <row r="2147" spans="1:22">
      <c r="A2147" t="s">
        <v>48</v>
      </c>
      <c r="B2147" t="s">
        <v>39</v>
      </c>
      <c r="C2147">
        <v>32</v>
      </c>
      <c r="D2147" t="s">
        <v>15</v>
      </c>
      <c r="E2147" t="s">
        <v>16</v>
      </c>
      <c r="F2147" s="1">
        <v>44571</v>
      </c>
      <c r="G2147">
        <v>0</v>
      </c>
      <c r="H2147">
        <v>0</v>
      </c>
      <c r="I2147">
        <v>9</v>
      </c>
      <c r="J2147">
        <v>9</v>
      </c>
      <c r="K2147">
        <v>0</v>
      </c>
      <c r="L2147">
        <v>667</v>
      </c>
      <c r="M2147">
        <v>45</v>
      </c>
      <c r="N2147" s="1">
        <f t="shared" si="264"/>
        <v>44938</v>
      </c>
      <c r="O2147" s="1">
        <f t="shared" si="265"/>
        <v>43101</v>
      </c>
      <c r="P2147" s="1">
        <f t="shared" si="266"/>
        <v>44835</v>
      </c>
      <c r="Q2147" s="8">
        <f t="shared" si="267"/>
        <v>0</v>
      </c>
      <c r="R2147" s="8">
        <f t="shared" si="268"/>
        <v>58</v>
      </c>
      <c r="S2147" s="8">
        <f t="shared" ca="1" si="269"/>
        <v>56</v>
      </c>
      <c r="T2147">
        <f t="shared" ca="1" si="270"/>
        <v>3.0877555458089661</v>
      </c>
      <c r="U2147" s="8">
        <f t="shared" ca="1" si="271"/>
        <v>1.441662937704153</v>
      </c>
      <c r="V2147" s="8">
        <f ca="1">RawData[[#This Row],[Z (smoothed demand size)]]/RawData[[#This Row],[X (smoothed interval)]]</f>
        <v>2.1418012942236095</v>
      </c>
    </row>
    <row r="2148" spans="1:22">
      <c r="A2148" t="s">
        <v>48</v>
      </c>
      <c r="B2148" t="s">
        <v>39</v>
      </c>
      <c r="C2148">
        <v>32</v>
      </c>
      <c r="D2148" t="s">
        <v>15</v>
      </c>
      <c r="E2148" t="s">
        <v>16</v>
      </c>
      <c r="F2148" s="1">
        <v>44572</v>
      </c>
      <c r="G2148">
        <v>3</v>
      </c>
      <c r="H2148">
        <v>3</v>
      </c>
      <c r="I2148">
        <v>9</v>
      </c>
      <c r="J2148">
        <v>6</v>
      </c>
      <c r="K2148">
        <v>0</v>
      </c>
      <c r="L2148">
        <v>658</v>
      </c>
      <c r="M2148">
        <v>60</v>
      </c>
      <c r="N2148" s="1">
        <f t="shared" si="264"/>
        <v>44938</v>
      </c>
      <c r="O2148" s="1">
        <f t="shared" si="265"/>
        <v>43101</v>
      </c>
      <c r="P2148" s="1">
        <f t="shared" si="266"/>
        <v>44866</v>
      </c>
      <c r="Q2148" s="8">
        <f t="shared" si="267"/>
        <v>0</v>
      </c>
      <c r="R2148" s="8">
        <f t="shared" si="268"/>
        <v>59</v>
      </c>
      <c r="S2148" s="8">
        <f t="shared" ca="1" si="269"/>
        <v>59</v>
      </c>
      <c r="T2148">
        <f t="shared" ca="1" si="270"/>
        <v>3.070204436647173</v>
      </c>
      <c r="U2148" s="8">
        <f t="shared" ca="1" si="271"/>
        <v>1.7533303501633226</v>
      </c>
      <c r="V2148" s="8">
        <f ca="1">RawData[[#This Row],[Z (smoothed demand size)]]/RawData[[#This Row],[X (smoothed interval)]]</f>
        <v>1.7510701485097682</v>
      </c>
    </row>
    <row r="2149" spans="1:22">
      <c r="A2149" t="s">
        <v>48</v>
      </c>
      <c r="B2149" t="s">
        <v>39</v>
      </c>
      <c r="C2149">
        <v>32</v>
      </c>
      <c r="D2149" t="s">
        <v>15</v>
      </c>
      <c r="E2149" t="s">
        <v>16</v>
      </c>
      <c r="F2149" s="1">
        <v>44573</v>
      </c>
      <c r="G2149">
        <v>0</v>
      </c>
      <c r="H2149">
        <v>0</v>
      </c>
      <c r="I2149">
        <v>6</v>
      </c>
      <c r="J2149">
        <v>6</v>
      </c>
      <c r="K2149">
        <v>0</v>
      </c>
      <c r="L2149">
        <v>754</v>
      </c>
      <c r="M2149">
        <v>60</v>
      </c>
      <c r="N2149" s="1">
        <f t="shared" si="264"/>
        <v>44938</v>
      </c>
      <c r="O2149" s="1">
        <f t="shared" si="265"/>
        <v>43101</v>
      </c>
      <c r="P2149" s="1">
        <f t="shared" si="266"/>
        <v>44896</v>
      </c>
      <c r="Q2149" s="8">
        <f t="shared" si="267"/>
        <v>0</v>
      </c>
      <c r="R2149" s="8">
        <f t="shared" si="268"/>
        <v>60</v>
      </c>
      <c r="S2149" s="8">
        <f t="shared" ca="1" si="269"/>
        <v>59</v>
      </c>
      <c r="T2149">
        <f t="shared" ca="1" si="270"/>
        <v>3.070204436647173</v>
      </c>
      <c r="U2149" s="8">
        <f t="shared" ca="1" si="271"/>
        <v>1.7533303501633226</v>
      </c>
      <c r="V2149" s="8">
        <f ca="1">RawData[[#This Row],[Z (smoothed demand size)]]/RawData[[#This Row],[X (smoothed interval)]]</f>
        <v>1.7510701485097682</v>
      </c>
    </row>
    <row r="2150" spans="1:22">
      <c r="A2150" t="s">
        <v>48</v>
      </c>
      <c r="B2150" t="s">
        <v>39</v>
      </c>
      <c r="C2150">
        <v>32</v>
      </c>
      <c r="D2150" t="s">
        <v>15</v>
      </c>
      <c r="E2150" t="s">
        <v>16</v>
      </c>
      <c r="F2150" s="1">
        <v>44927</v>
      </c>
      <c r="G2150">
        <v>2</v>
      </c>
      <c r="H2150">
        <v>2</v>
      </c>
      <c r="I2150">
        <v>6</v>
      </c>
      <c r="J2150">
        <v>4</v>
      </c>
      <c r="K2150">
        <v>0</v>
      </c>
      <c r="L2150">
        <v>656</v>
      </c>
      <c r="M2150">
        <v>60</v>
      </c>
      <c r="N2150" s="1">
        <f t="shared" si="264"/>
        <v>44938</v>
      </c>
      <c r="O2150" s="1">
        <f t="shared" si="265"/>
        <v>43101</v>
      </c>
      <c r="P2150" s="1">
        <f t="shared" si="266"/>
        <v>44927</v>
      </c>
      <c r="Q2150" s="8">
        <f t="shared" si="267"/>
        <v>0</v>
      </c>
      <c r="R2150" s="8">
        <f t="shared" si="268"/>
        <v>61</v>
      </c>
      <c r="S2150" s="8">
        <f t="shared" ca="1" si="269"/>
        <v>61</v>
      </c>
      <c r="T2150">
        <f t="shared" ca="1" si="270"/>
        <v>2.8561635493177384</v>
      </c>
      <c r="U2150" s="8">
        <f t="shared" ca="1" si="271"/>
        <v>1.8026642801306583</v>
      </c>
      <c r="V2150" s="8">
        <f ca="1">RawData[[#This Row],[Z (smoothed demand size)]]/RawData[[#This Row],[X (smoothed interval)]]</f>
        <v>1.5844123505407905</v>
      </c>
    </row>
    <row r="2151" spans="1:22">
      <c r="A2151" t="s">
        <v>48</v>
      </c>
      <c r="B2151" t="s">
        <v>39</v>
      </c>
      <c r="C2151">
        <v>32</v>
      </c>
      <c r="D2151" t="s">
        <v>15</v>
      </c>
      <c r="E2151" t="s">
        <v>16</v>
      </c>
      <c r="F2151" s="1">
        <v>44928</v>
      </c>
      <c r="G2151">
        <v>1</v>
      </c>
      <c r="H2151">
        <v>1</v>
      </c>
      <c r="I2151">
        <v>4</v>
      </c>
      <c r="J2151">
        <v>3</v>
      </c>
      <c r="K2151">
        <v>0</v>
      </c>
      <c r="L2151">
        <v>650</v>
      </c>
      <c r="M2151">
        <v>60</v>
      </c>
      <c r="N2151" s="1">
        <f t="shared" si="264"/>
        <v>44938</v>
      </c>
      <c r="O2151" s="1">
        <f t="shared" si="265"/>
        <v>43101</v>
      </c>
      <c r="P2151" s="1">
        <f t="shared" si="266"/>
        <v>44958</v>
      </c>
      <c r="Q2151" s="8">
        <f t="shared" si="267"/>
        <v>0</v>
      </c>
      <c r="R2151" s="8">
        <f t="shared" si="268"/>
        <v>62</v>
      </c>
      <c r="S2151" s="8">
        <f t="shared" ca="1" si="269"/>
        <v>62</v>
      </c>
      <c r="T2151">
        <f t="shared" ca="1" si="270"/>
        <v>2.4849308394541909</v>
      </c>
      <c r="U2151" s="8">
        <f t="shared" ca="1" si="271"/>
        <v>1.6421314241045266</v>
      </c>
      <c r="V2151" s="8">
        <f ca="1">RawData[[#This Row],[Z (smoothed demand size)]]/RawData[[#This Row],[X (smoothed interval)]]</f>
        <v>1.5132350571814024</v>
      </c>
    </row>
    <row r="2152" spans="1:22">
      <c r="A2152" t="s">
        <v>48</v>
      </c>
      <c r="B2152" t="s">
        <v>39</v>
      </c>
      <c r="C2152">
        <v>32</v>
      </c>
      <c r="D2152" t="s">
        <v>15</v>
      </c>
      <c r="E2152" t="s">
        <v>16</v>
      </c>
      <c r="F2152" s="1">
        <v>44929</v>
      </c>
      <c r="G2152">
        <v>0</v>
      </c>
      <c r="H2152">
        <v>0</v>
      </c>
      <c r="I2152">
        <v>3</v>
      </c>
      <c r="J2152">
        <v>3</v>
      </c>
      <c r="K2152">
        <v>0</v>
      </c>
      <c r="L2152">
        <v>647</v>
      </c>
      <c r="M2152">
        <v>60</v>
      </c>
      <c r="N2152" s="1">
        <f t="shared" si="264"/>
        <v>44938</v>
      </c>
      <c r="O2152" s="1">
        <f t="shared" si="265"/>
        <v>43101</v>
      </c>
      <c r="P2152" s="1">
        <f t="shared" si="266"/>
        <v>44986</v>
      </c>
      <c r="Q2152" s="8">
        <f t="shared" si="267"/>
        <v>0</v>
      </c>
      <c r="R2152" s="8">
        <f t="shared" si="268"/>
        <v>63</v>
      </c>
      <c r="S2152" s="8">
        <f t="shared" ca="1" si="269"/>
        <v>62</v>
      </c>
      <c r="T2152">
        <f t="shared" ca="1" si="270"/>
        <v>2.4849308394541909</v>
      </c>
      <c r="U2152" s="8">
        <f t="shared" ca="1" si="271"/>
        <v>1.6421314241045266</v>
      </c>
      <c r="V2152" s="8">
        <f ca="1">RawData[[#This Row],[Z (smoothed demand size)]]/RawData[[#This Row],[X (smoothed interval)]]</f>
        <v>1.5132350571814024</v>
      </c>
    </row>
    <row r="2153" spans="1:22">
      <c r="A2153" t="s">
        <v>48</v>
      </c>
      <c r="B2153" t="s">
        <v>39</v>
      </c>
      <c r="C2153">
        <v>32</v>
      </c>
      <c r="D2153" t="s">
        <v>15</v>
      </c>
      <c r="E2153" t="s">
        <v>16</v>
      </c>
      <c r="F2153" s="1">
        <v>44930</v>
      </c>
      <c r="G2153">
        <v>0</v>
      </c>
      <c r="H2153">
        <v>0</v>
      </c>
      <c r="I2153">
        <v>12</v>
      </c>
      <c r="J2153">
        <v>12</v>
      </c>
      <c r="K2153">
        <v>0</v>
      </c>
      <c r="L2153">
        <v>649</v>
      </c>
      <c r="M2153">
        <v>60</v>
      </c>
      <c r="N2153" s="1">
        <f t="shared" si="264"/>
        <v>44938</v>
      </c>
      <c r="O2153" s="1">
        <f t="shared" si="265"/>
        <v>43101</v>
      </c>
      <c r="P2153" s="1">
        <f t="shared" si="266"/>
        <v>45017</v>
      </c>
      <c r="Q2153" s="8">
        <f t="shared" si="267"/>
        <v>0</v>
      </c>
      <c r="R2153" s="8">
        <f t="shared" si="268"/>
        <v>64</v>
      </c>
      <c r="S2153" s="8">
        <f t="shared" ca="1" si="269"/>
        <v>62</v>
      </c>
      <c r="T2153">
        <f t="shared" ca="1" si="270"/>
        <v>2.4849308394541909</v>
      </c>
      <c r="U2153" s="8">
        <f t="shared" ca="1" si="271"/>
        <v>1.6421314241045266</v>
      </c>
      <c r="V2153" s="8">
        <f ca="1">RawData[[#This Row],[Z (smoothed demand size)]]/RawData[[#This Row],[X (smoothed interval)]]</f>
        <v>1.5132350571814024</v>
      </c>
    </row>
    <row r="2154" spans="1:22">
      <c r="A2154" t="s">
        <v>48</v>
      </c>
      <c r="B2154" t="s">
        <v>39</v>
      </c>
      <c r="C2154">
        <v>32</v>
      </c>
      <c r="D2154" t="s">
        <v>15</v>
      </c>
      <c r="E2154" t="s">
        <v>16</v>
      </c>
      <c r="F2154" s="1">
        <v>44931</v>
      </c>
      <c r="G2154">
        <v>3</v>
      </c>
      <c r="H2154">
        <v>3</v>
      </c>
      <c r="I2154">
        <v>12</v>
      </c>
      <c r="J2154">
        <v>9</v>
      </c>
      <c r="K2154">
        <v>0</v>
      </c>
      <c r="L2154">
        <v>652</v>
      </c>
      <c r="M2154">
        <v>15</v>
      </c>
      <c r="N2154" s="1">
        <f t="shared" si="264"/>
        <v>44938</v>
      </c>
      <c r="O2154" s="1">
        <f t="shared" si="265"/>
        <v>43101</v>
      </c>
      <c r="P2154" s="1">
        <f t="shared" si="266"/>
        <v>45047</v>
      </c>
      <c r="Q2154" s="8">
        <f t="shared" si="267"/>
        <v>0</v>
      </c>
      <c r="R2154" s="8">
        <f t="shared" si="268"/>
        <v>65</v>
      </c>
      <c r="S2154" s="8">
        <f t="shared" ca="1" si="269"/>
        <v>65</v>
      </c>
      <c r="T2154">
        <f t="shared" ca="1" si="270"/>
        <v>2.5879446715633527</v>
      </c>
      <c r="U2154" s="8">
        <f t="shared" ca="1" si="271"/>
        <v>1.9137051392836215</v>
      </c>
      <c r="V2154" s="8">
        <f ca="1">RawData[[#This Row],[Z (smoothed demand size)]]/RawData[[#This Row],[X (smoothed interval)]]</f>
        <v>1.3523215350365452</v>
      </c>
    </row>
    <row r="2155" spans="1:22">
      <c r="A2155" t="s">
        <v>48</v>
      </c>
      <c r="B2155" t="s">
        <v>39</v>
      </c>
      <c r="C2155">
        <v>32</v>
      </c>
      <c r="D2155" t="s">
        <v>15</v>
      </c>
      <c r="E2155" t="s">
        <v>16</v>
      </c>
      <c r="F2155" s="1">
        <v>44932</v>
      </c>
      <c r="G2155">
        <v>4</v>
      </c>
      <c r="H2155">
        <v>4</v>
      </c>
      <c r="I2155">
        <v>9</v>
      </c>
      <c r="J2155">
        <v>5</v>
      </c>
      <c r="K2155">
        <v>0</v>
      </c>
      <c r="L2155">
        <v>760</v>
      </c>
      <c r="M2155">
        <v>30</v>
      </c>
      <c r="N2155" s="1">
        <f t="shared" si="264"/>
        <v>44938</v>
      </c>
      <c r="O2155" s="1">
        <f t="shared" si="265"/>
        <v>43101</v>
      </c>
      <c r="P2155" s="1">
        <f t="shared" si="266"/>
        <v>45078</v>
      </c>
      <c r="Q2155" s="8">
        <f t="shared" si="267"/>
        <v>0</v>
      </c>
      <c r="R2155" s="8">
        <f t="shared" si="268"/>
        <v>66</v>
      </c>
      <c r="S2155" s="8">
        <f t="shared" ca="1" si="269"/>
        <v>66</v>
      </c>
      <c r="T2155">
        <f t="shared" ca="1" si="270"/>
        <v>2.8703557372506827</v>
      </c>
      <c r="U2155" s="8">
        <f t="shared" ca="1" si="271"/>
        <v>1.7309641114268972</v>
      </c>
      <c r="V2155" s="8">
        <f ca="1">RawData[[#This Row],[Z (smoothed demand size)]]/RawData[[#This Row],[X (smoothed interval)]]</f>
        <v>1.6582410451505798</v>
      </c>
    </row>
    <row r="2156" spans="1:22">
      <c r="A2156" t="s">
        <v>48</v>
      </c>
      <c r="B2156" t="s">
        <v>39</v>
      </c>
      <c r="C2156">
        <v>32</v>
      </c>
      <c r="D2156" t="s">
        <v>15</v>
      </c>
      <c r="E2156" t="s">
        <v>16</v>
      </c>
      <c r="F2156" s="1">
        <v>44933</v>
      </c>
      <c r="G2156">
        <v>3</v>
      </c>
      <c r="H2156">
        <v>3</v>
      </c>
      <c r="I2156">
        <v>5</v>
      </c>
      <c r="J2156">
        <v>2</v>
      </c>
      <c r="K2156">
        <v>0</v>
      </c>
      <c r="L2156">
        <v>742</v>
      </c>
      <c r="M2156">
        <v>60</v>
      </c>
      <c r="N2156" s="1">
        <f t="shared" si="264"/>
        <v>44938</v>
      </c>
      <c r="O2156" s="1">
        <f t="shared" si="265"/>
        <v>43101</v>
      </c>
      <c r="P2156" s="1">
        <f t="shared" si="266"/>
        <v>45108</v>
      </c>
      <c r="Q2156" s="8">
        <f t="shared" si="267"/>
        <v>0</v>
      </c>
      <c r="R2156" s="8">
        <f t="shared" si="268"/>
        <v>67</v>
      </c>
      <c r="S2156" s="8">
        <f t="shared" ca="1" si="269"/>
        <v>67</v>
      </c>
      <c r="T2156">
        <f t="shared" ca="1" si="270"/>
        <v>2.8962845898005463</v>
      </c>
      <c r="U2156" s="8">
        <f t="shared" ca="1" si="271"/>
        <v>1.5847712891415178</v>
      </c>
      <c r="V2156" s="8">
        <f ca="1">RawData[[#This Row],[Z (smoothed demand size)]]/RawData[[#This Row],[X (smoothed interval)]]</f>
        <v>1.8275726028387886</v>
      </c>
    </row>
    <row r="2157" spans="1:22">
      <c r="A2157" t="s">
        <v>48</v>
      </c>
      <c r="B2157" t="s">
        <v>39</v>
      </c>
      <c r="C2157">
        <v>32</v>
      </c>
      <c r="D2157" t="s">
        <v>15</v>
      </c>
      <c r="E2157" t="s">
        <v>16</v>
      </c>
      <c r="F2157" s="1">
        <v>44934</v>
      </c>
      <c r="G2157">
        <v>3</v>
      </c>
      <c r="H2157">
        <v>2</v>
      </c>
      <c r="I2157">
        <v>2</v>
      </c>
      <c r="J2157">
        <v>0</v>
      </c>
      <c r="K2157">
        <v>1</v>
      </c>
      <c r="L2157">
        <v>746</v>
      </c>
      <c r="M2157">
        <v>15</v>
      </c>
      <c r="N2157" s="1">
        <f t="shared" si="264"/>
        <v>44938</v>
      </c>
      <c r="O2157" s="1">
        <f t="shared" si="265"/>
        <v>43101</v>
      </c>
      <c r="P2157" s="1">
        <f t="shared" si="266"/>
        <v>45139</v>
      </c>
      <c r="Q2157" s="8">
        <f t="shared" si="267"/>
        <v>0</v>
      </c>
      <c r="R2157" s="8">
        <f t="shared" si="268"/>
        <v>68</v>
      </c>
      <c r="S2157" s="8">
        <f t="shared" ca="1" si="269"/>
        <v>68</v>
      </c>
      <c r="T2157">
        <f t="shared" ca="1" si="270"/>
        <v>2.9170276718404371</v>
      </c>
      <c r="U2157" s="8">
        <f t="shared" ca="1" si="271"/>
        <v>1.4678170313132142</v>
      </c>
      <c r="V2157" s="8">
        <f ca="1">RawData[[#This Row],[Z (smoothed demand size)]]/RawData[[#This Row],[X (smoothed interval)]]</f>
        <v>1.9873237669348034</v>
      </c>
    </row>
    <row r="2158" spans="1:22">
      <c r="A2158" t="s">
        <v>48</v>
      </c>
      <c r="B2158" t="s">
        <v>39</v>
      </c>
      <c r="C2158">
        <v>32</v>
      </c>
      <c r="D2158" t="s">
        <v>15</v>
      </c>
      <c r="E2158" t="s">
        <v>16</v>
      </c>
      <c r="F2158" s="1">
        <v>44935</v>
      </c>
      <c r="G2158">
        <v>0</v>
      </c>
      <c r="H2158">
        <v>0</v>
      </c>
      <c r="I2158">
        <v>10</v>
      </c>
      <c r="J2158">
        <v>10</v>
      </c>
      <c r="K2158">
        <v>0</v>
      </c>
      <c r="L2158">
        <v>660</v>
      </c>
      <c r="M2158">
        <v>45</v>
      </c>
      <c r="N2158" s="1">
        <f t="shared" si="264"/>
        <v>44938</v>
      </c>
      <c r="O2158" s="1">
        <f t="shared" si="265"/>
        <v>43101</v>
      </c>
      <c r="P2158" s="1">
        <f t="shared" si="266"/>
        <v>45170</v>
      </c>
      <c r="Q2158" s="8">
        <f t="shared" si="267"/>
        <v>0</v>
      </c>
      <c r="R2158" s="8">
        <f t="shared" si="268"/>
        <v>69</v>
      </c>
      <c r="S2158" s="8">
        <f t="shared" ca="1" si="269"/>
        <v>68</v>
      </c>
      <c r="T2158">
        <f t="shared" ca="1" si="270"/>
        <v>2.9170276718404371</v>
      </c>
      <c r="U2158" s="8">
        <f t="shared" ca="1" si="271"/>
        <v>1.4678170313132142</v>
      </c>
      <c r="V2158" s="8">
        <f ca="1">RawData[[#This Row],[Z (smoothed demand size)]]/RawData[[#This Row],[X (smoothed interval)]]</f>
        <v>1.9873237669348034</v>
      </c>
    </row>
    <row r="2159" spans="1:22">
      <c r="A2159" t="s">
        <v>48</v>
      </c>
      <c r="B2159" t="s">
        <v>39</v>
      </c>
      <c r="C2159">
        <v>32</v>
      </c>
      <c r="D2159" t="s">
        <v>15</v>
      </c>
      <c r="E2159" t="s">
        <v>16</v>
      </c>
      <c r="F2159" s="1">
        <v>44936</v>
      </c>
      <c r="G2159">
        <v>0</v>
      </c>
      <c r="H2159">
        <v>0</v>
      </c>
      <c r="I2159">
        <v>10</v>
      </c>
      <c r="J2159">
        <v>10</v>
      </c>
      <c r="K2159">
        <v>0</v>
      </c>
      <c r="L2159">
        <v>653</v>
      </c>
      <c r="M2159">
        <v>30</v>
      </c>
      <c r="N2159" s="1">
        <f t="shared" si="264"/>
        <v>44938</v>
      </c>
      <c r="O2159" s="1">
        <f t="shared" si="265"/>
        <v>43101</v>
      </c>
      <c r="P2159" s="1">
        <f t="shared" si="266"/>
        <v>45200</v>
      </c>
      <c r="Q2159" s="8">
        <f t="shared" si="267"/>
        <v>0</v>
      </c>
      <c r="R2159" s="8">
        <f t="shared" si="268"/>
        <v>70</v>
      </c>
      <c r="S2159" s="8">
        <f t="shared" ca="1" si="269"/>
        <v>68</v>
      </c>
      <c r="T2159">
        <f t="shared" ca="1" si="270"/>
        <v>2.9170276718404371</v>
      </c>
      <c r="U2159" s="8">
        <f t="shared" ca="1" si="271"/>
        <v>1.4678170313132142</v>
      </c>
      <c r="V2159" s="8">
        <f ca="1">RawData[[#This Row],[Z (smoothed demand size)]]/RawData[[#This Row],[X (smoothed interval)]]</f>
        <v>1.9873237669348034</v>
      </c>
    </row>
    <row r="2160" spans="1:22">
      <c r="A2160" t="s">
        <v>48</v>
      </c>
      <c r="B2160" t="s">
        <v>39</v>
      </c>
      <c r="C2160">
        <v>32</v>
      </c>
      <c r="D2160" t="s">
        <v>15</v>
      </c>
      <c r="E2160" t="s">
        <v>16</v>
      </c>
      <c r="F2160" s="1">
        <v>44937</v>
      </c>
      <c r="G2160">
        <v>5</v>
      </c>
      <c r="H2160">
        <v>5</v>
      </c>
      <c r="I2160">
        <v>10</v>
      </c>
      <c r="J2160">
        <v>5</v>
      </c>
      <c r="K2160">
        <v>0</v>
      </c>
      <c r="L2160">
        <v>654</v>
      </c>
      <c r="M2160">
        <v>15</v>
      </c>
      <c r="N2160" s="1">
        <f t="shared" si="264"/>
        <v>44938</v>
      </c>
      <c r="O2160" s="1">
        <f t="shared" si="265"/>
        <v>43101</v>
      </c>
      <c r="P2160" s="1">
        <f t="shared" si="266"/>
        <v>45231</v>
      </c>
      <c r="Q2160" s="8">
        <f t="shared" si="267"/>
        <v>0</v>
      </c>
      <c r="R2160" s="8">
        <f t="shared" si="268"/>
        <v>71</v>
      </c>
      <c r="S2160" s="8">
        <f t="shared" ca="1" si="269"/>
        <v>71</v>
      </c>
      <c r="T2160">
        <f t="shared" ca="1" si="270"/>
        <v>3.3336221374723496</v>
      </c>
      <c r="U2160" s="8">
        <f t="shared" ca="1" si="271"/>
        <v>1.7742536250505714</v>
      </c>
      <c r="V2160" s="8">
        <f ca="1">RawData[[#This Row],[Z (smoothed demand size)]]/RawData[[#This Row],[X (smoothed interval)]]</f>
        <v>1.8788870375718307</v>
      </c>
    </row>
    <row r="2161" spans="1:22">
      <c r="A2161" t="s">
        <v>48</v>
      </c>
      <c r="B2161" t="s">
        <v>39</v>
      </c>
      <c r="C2161">
        <v>32</v>
      </c>
      <c r="D2161" t="s">
        <v>15</v>
      </c>
      <c r="E2161" t="s">
        <v>16</v>
      </c>
      <c r="F2161" s="1">
        <v>44938</v>
      </c>
      <c r="G2161">
        <v>2</v>
      </c>
      <c r="H2161">
        <v>2</v>
      </c>
      <c r="I2161">
        <v>5</v>
      </c>
      <c r="J2161">
        <v>3</v>
      </c>
      <c r="K2161">
        <v>0</v>
      </c>
      <c r="L2161">
        <v>750</v>
      </c>
      <c r="M2161">
        <v>15</v>
      </c>
      <c r="N2161" s="1">
        <f t="shared" si="264"/>
        <v>44938</v>
      </c>
      <c r="O2161" s="1">
        <f t="shared" si="265"/>
        <v>43101</v>
      </c>
      <c r="P2161" s="1">
        <f t="shared" si="266"/>
        <v>45261</v>
      </c>
      <c r="Q2161" s="8">
        <f t="shared" si="267"/>
        <v>0</v>
      </c>
      <c r="R2161" s="8">
        <f t="shared" si="268"/>
        <v>72</v>
      </c>
      <c r="S2161" s="8">
        <f t="shared" ca="1" si="269"/>
        <v>72</v>
      </c>
      <c r="T2161">
        <f t="shared" ca="1" si="270"/>
        <v>3.0668977099778796</v>
      </c>
      <c r="U2161" s="8">
        <f t="shared" ca="1" si="271"/>
        <v>1.6194029000404571</v>
      </c>
      <c r="V2161" s="8">
        <f ca="1">RawData[[#This Row],[Z (smoothed demand size)]]/RawData[[#This Row],[X (smoothed interval)]]</f>
        <v>1.8938447682792592</v>
      </c>
    </row>
    <row r="2162" spans="1:22">
      <c r="A2162" t="s">
        <v>49</v>
      </c>
      <c r="B2162" t="s">
        <v>39</v>
      </c>
      <c r="C2162">
        <v>32</v>
      </c>
      <c r="D2162" t="s">
        <v>18</v>
      </c>
      <c r="E2162" t="s">
        <v>16</v>
      </c>
      <c r="F2162" s="1">
        <v>43101</v>
      </c>
      <c r="G2162">
        <v>6</v>
      </c>
      <c r="H2162">
        <v>6</v>
      </c>
      <c r="I2162">
        <v>29</v>
      </c>
      <c r="J2162">
        <v>23</v>
      </c>
      <c r="K2162">
        <v>0</v>
      </c>
      <c r="L2162">
        <v>655</v>
      </c>
      <c r="M2162">
        <v>30</v>
      </c>
      <c r="N2162" s="1">
        <f t="shared" si="264"/>
        <v>44938</v>
      </c>
      <c r="O2162" s="1">
        <f t="shared" si="265"/>
        <v>43101</v>
      </c>
      <c r="P2162" s="1">
        <f t="shared" si="266"/>
        <v>43101</v>
      </c>
      <c r="Q2162" s="8">
        <f t="shared" si="267"/>
        <v>1</v>
      </c>
      <c r="R2162" s="8">
        <f t="shared" si="268"/>
        <v>1</v>
      </c>
      <c r="S2162" s="8">
        <f t="shared" ca="1" si="269"/>
        <v>1</v>
      </c>
      <c r="T2162">
        <f t="shared" ca="1" si="270"/>
        <v>6</v>
      </c>
      <c r="U2162" s="8">
        <f t="shared" ca="1" si="271"/>
        <v>1</v>
      </c>
      <c r="V2162" s="8">
        <f ca="1">RawData[[#This Row],[Z (smoothed demand size)]]/RawData[[#This Row],[X (smoothed interval)]]</f>
        <v>6</v>
      </c>
    </row>
    <row r="2163" spans="1:22">
      <c r="A2163" t="s">
        <v>49</v>
      </c>
      <c r="B2163" t="s">
        <v>39</v>
      </c>
      <c r="C2163">
        <v>32</v>
      </c>
      <c r="D2163" t="s">
        <v>18</v>
      </c>
      <c r="E2163" t="s">
        <v>16</v>
      </c>
      <c r="F2163" s="1">
        <v>43102</v>
      </c>
      <c r="G2163">
        <v>0</v>
      </c>
      <c r="H2163">
        <v>0</v>
      </c>
      <c r="I2163">
        <v>23</v>
      </c>
      <c r="J2163">
        <v>23</v>
      </c>
      <c r="K2163">
        <v>0</v>
      </c>
      <c r="L2163">
        <v>671</v>
      </c>
      <c r="M2163">
        <v>30</v>
      </c>
      <c r="N2163" s="1">
        <f t="shared" si="264"/>
        <v>44938</v>
      </c>
      <c r="O2163" s="1">
        <f t="shared" si="265"/>
        <v>43101</v>
      </c>
      <c r="P2163" s="1">
        <f t="shared" si="266"/>
        <v>43132</v>
      </c>
      <c r="Q2163" s="8">
        <f t="shared" si="267"/>
        <v>0</v>
      </c>
      <c r="R2163" s="8">
        <f t="shared" si="268"/>
        <v>2</v>
      </c>
      <c r="S2163" s="8">
        <f t="shared" ca="1" si="269"/>
        <v>1</v>
      </c>
      <c r="T2163">
        <f t="shared" ca="1" si="270"/>
        <v>6</v>
      </c>
      <c r="U2163" s="8">
        <f t="shared" ca="1" si="271"/>
        <v>1</v>
      </c>
      <c r="V2163" s="8">
        <f ca="1">RawData[[#This Row],[Z (smoothed demand size)]]/RawData[[#This Row],[X (smoothed interval)]]</f>
        <v>6</v>
      </c>
    </row>
    <row r="2164" spans="1:22">
      <c r="A2164" t="s">
        <v>49</v>
      </c>
      <c r="B2164" t="s">
        <v>39</v>
      </c>
      <c r="C2164">
        <v>32</v>
      </c>
      <c r="D2164" t="s">
        <v>18</v>
      </c>
      <c r="E2164" t="s">
        <v>16</v>
      </c>
      <c r="F2164" s="1">
        <v>43103</v>
      </c>
      <c r="G2164">
        <v>0</v>
      </c>
      <c r="H2164">
        <v>0</v>
      </c>
      <c r="I2164">
        <v>23</v>
      </c>
      <c r="J2164">
        <v>23</v>
      </c>
      <c r="K2164">
        <v>0</v>
      </c>
      <c r="L2164">
        <v>681</v>
      </c>
      <c r="M2164">
        <v>60</v>
      </c>
      <c r="N2164" s="1">
        <f t="shared" si="264"/>
        <v>44938</v>
      </c>
      <c r="O2164" s="1">
        <f t="shared" si="265"/>
        <v>43101</v>
      </c>
      <c r="P2164" s="1">
        <f t="shared" si="266"/>
        <v>43160</v>
      </c>
      <c r="Q2164" s="8">
        <f t="shared" si="267"/>
        <v>0</v>
      </c>
      <c r="R2164" s="8">
        <f t="shared" si="268"/>
        <v>3</v>
      </c>
      <c r="S2164" s="8">
        <f t="shared" ca="1" si="269"/>
        <v>1</v>
      </c>
      <c r="T2164">
        <f t="shared" ca="1" si="270"/>
        <v>6</v>
      </c>
      <c r="U2164" s="8">
        <f t="shared" ca="1" si="271"/>
        <v>1</v>
      </c>
      <c r="V2164" s="8">
        <f ca="1">RawData[[#This Row],[Z (smoothed demand size)]]/RawData[[#This Row],[X (smoothed interval)]]</f>
        <v>6</v>
      </c>
    </row>
    <row r="2165" spans="1:22">
      <c r="A2165" t="s">
        <v>49</v>
      </c>
      <c r="B2165" t="s">
        <v>39</v>
      </c>
      <c r="C2165">
        <v>32</v>
      </c>
      <c r="D2165" t="s">
        <v>18</v>
      </c>
      <c r="E2165" t="s">
        <v>16</v>
      </c>
      <c r="F2165" s="1">
        <v>43104</v>
      </c>
      <c r="G2165">
        <v>1</v>
      </c>
      <c r="H2165">
        <v>1</v>
      </c>
      <c r="I2165">
        <v>23</v>
      </c>
      <c r="J2165">
        <v>22</v>
      </c>
      <c r="K2165">
        <v>0</v>
      </c>
      <c r="L2165">
        <v>670</v>
      </c>
      <c r="M2165">
        <v>45</v>
      </c>
      <c r="N2165" s="1">
        <f t="shared" si="264"/>
        <v>44938</v>
      </c>
      <c r="O2165" s="1">
        <f t="shared" si="265"/>
        <v>43101</v>
      </c>
      <c r="P2165" s="1">
        <f t="shared" si="266"/>
        <v>43191</v>
      </c>
      <c r="Q2165" s="8">
        <f t="shared" si="267"/>
        <v>0</v>
      </c>
      <c r="R2165" s="8">
        <f t="shared" si="268"/>
        <v>4</v>
      </c>
      <c r="S2165" s="8">
        <f t="shared" ca="1" si="269"/>
        <v>4</v>
      </c>
      <c r="T2165">
        <f t="shared" ca="1" si="270"/>
        <v>5.0000000000000009</v>
      </c>
      <c r="U2165" s="8">
        <f t="shared" ca="1" si="271"/>
        <v>1.4000000000000001</v>
      </c>
      <c r="V2165" s="8">
        <f ca="1">RawData[[#This Row],[Z (smoothed demand size)]]/RawData[[#This Row],[X (smoothed interval)]]</f>
        <v>3.5714285714285716</v>
      </c>
    </row>
    <row r="2166" spans="1:22">
      <c r="A2166" t="s">
        <v>49</v>
      </c>
      <c r="B2166" t="s">
        <v>39</v>
      </c>
      <c r="C2166">
        <v>32</v>
      </c>
      <c r="D2166" t="s">
        <v>18</v>
      </c>
      <c r="E2166" t="s">
        <v>16</v>
      </c>
      <c r="F2166" s="1">
        <v>43105</v>
      </c>
      <c r="G2166">
        <v>0</v>
      </c>
      <c r="H2166">
        <v>0</v>
      </c>
      <c r="I2166">
        <v>22</v>
      </c>
      <c r="J2166">
        <v>22</v>
      </c>
      <c r="K2166">
        <v>0</v>
      </c>
      <c r="L2166">
        <v>668</v>
      </c>
      <c r="M2166">
        <v>15</v>
      </c>
      <c r="N2166" s="1">
        <f t="shared" si="264"/>
        <v>44938</v>
      </c>
      <c r="O2166" s="1">
        <f t="shared" si="265"/>
        <v>43101</v>
      </c>
      <c r="P2166" s="1">
        <f t="shared" si="266"/>
        <v>43221</v>
      </c>
      <c r="Q2166" s="8">
        <f t="shared" si="267"/>
        <v>0</v>
      </c>
      <c r="R2166" s="8">
        <f t="shared" si="268"/>
        <v>5</v>
      </c>
      <c r="S2166" s="8">
        <f t="shared" ca="1" si="269"/>
        <v>4</v>
      </c>
      <c r="T2166">
        <f t="shared" ca="1" si="270"/>
        <v>5.0000000000000009</v>
      </c>
      <c r="U2166" s="8">
        <f t="shared" ca="1" si="271"/>
        <v>1.4000000000000001</v>
      </c>
      <c r="V2166" s="8">
        <f ca="1">RawData[[#This Row],[Z (smoothed demand size)]]/RawData[[#This Row],[X (smoothed interval)]]</f>
        <v>3.5714285714285716</v>
      </c>
    </row>
    <row r="2167" spans="1:22">
      <c r="A2167" t="s">
        <v>49</v>
      </c>
      <c r="B2167" t="s">
        <v>39</v>
      </c>
      <c r="C2167">
        <v>32</v>
      </c>
      <c r="D2167" t="s">
        <v>18</v>
      </c>
      <c r="E2167" t="s">
        <v>16</v>
      </c>
      <c r="F2167" s="1">
        <v>43106</v>
      </c>
      <c r="G2167">
        <v>1</v>
      </c>
      <c r="H2167">
        <v>1</v>
      </c>
      <c r="I2167">
        <v>22</v>
      </c>
      <c r="J2167">
        <v>21</v>
      </c>
      <c r="K2167">
        <v>0</v>
      </c>
      <c r="L2167">
        <v>767</v>
      </c>
      <c r="M2167">
        <v>45</v>
      </c>
      <c r="N2167" s="1">
        <f t="shared" si="264"/>
        <v>44938</v>
      </c>
      <c r="O2167" s="1">
        <f t="shared" si="265"/>
        <v>43101</v>
      </c>
      <c r="P2167" s="1">
        <f t="shared" si="266"/>
        <v>43252</v>
      </c>
      <c r="Q2167" s="8">
        <f t="shared" si="267"/>
        <v>0</v>
      </c>
      <c r="R2167" s="8">
        <f t="shared" si="268"/>
        <v>6</v>
      </c>
      <c r="S2167" s="8">
        <f t="shared" ca="1" si="269"/>
        <v>6</v>
      </c>
      <c r="T2167">
        <f t="shared" ca="1" si="270"/>
        <v>4.2000000000000011</v>
      </c>
      <c r="U2167" s="8">
        <f t="shared" ca="1" si="271"/>
        <v>1.52</v>
      </c>
      <c r="V2167" s="8">
        <f ca="1">RawData[[#This Row],[Z (smoothed demand size)]]/RawData[[#This Row],[X (smoothed interval)]]</f>
        <v>2.7631578947368429</v>
      </c>
    </row>
    <row r="2168" spans="1:22">
      <c r="A2168" t="s">
        <v>49</v>
      </c>
      <c r="B2168" t="s">
        <v>39</v>
      </c>
      <c r="C2168">
        <v>32</v>
      </c>
      <c r="D2168" t="s">
        <v>18</v>
      </c>
      <c r="E2168" t="s">
        <v>16</v>
      </c>
      <c r="F2168" s="1">
        <v>43107</v>
      </c>
      <c r="G2168">
        <v>0</v>
      </c>
      <c r="H2168">
        <v>0</v>
      </c>
      <c r="I2168">
        <v>21</v>
      </c>
      <c r="J2168">
        <v>21</v>
      </c>
      <c r="K2168">
        <v>0</v>
      </c>
      <c r="L2168">
        <v>763</v>
      </c>
      <c r="M2168">
        <v>45</v>
      </c>
      <c r="N2168" s="1">
        <f t="shared" si="264"/>
        <v>44938</v>
      </c>
      <c r="O2168" s="1">
        <f t="shared" si="265"/>
        <v>43101</v>
      </c>
      <c r="P2168" s="1">
        <f t="shared" si="266"/>
        <v>43282</v>
      </c>
      <c r="Q2168" s="8">
        <f t="shared" si="267"/>
        <v>0</v>
      </c>
      <c r="R2168" s="8">
        <f t="shared" si="268"/>
        <v>7</v>
      </c>
      <c r="S2168" s="8">
        <f t="shared" ca="1" si="269"/>
        <v>6</v>
      </c>
      <c r="T2168">
        <f t="shared" ca="1" si="270"/>
        <v>4.2000000000000011</v>
      </c>
      <c r="U2168" s="8">
        <f t="shared" ca="1" si="271"/>
        <v>1.52</v>
      </c>
      <c r="V2168" s="8">
        <f ca="1">RawData[[#This Row],[Z (smoothed demand size)]]/RawData[[#This Row],[X (smoothed interval)]]</f>
        <v>2.7631578947368429</v>
      </c>
    </row>
    <row r="2169" spans="1:22">
      <c r="A2169" t="s">
        <v>49</v>
      </c>
      <c r="B2169" t="s">
        <v>39</v>
      </c>
      <c r="C2169">
        <v>32</v>
      </c>
      <c r="D2169" t="s">
        <v>18</v>
      </c>
      <c r="E2169" t="s">
        <v>16</v>
      </c>
      <c r="F2169" s="1">
        <v>43108</v>
      </c>
      <c r="G2169">
        <v>0</v>
      </c>
      <c r="H2169">
        <v>0</v>
      </c>
      <c r="I2169">
        <v>21</v>
      </c>
      <c r="J2169">
        <v>21</v>
      </c>
      <c r="K2169">
        <v>0</v>
      </c>
      <c r="L2169">
        <v>769</v>
      </c>
      <c r="M2169">
        <v>60</v>
      </c>
      <c r="N2169" s="1">
        <f t="shared" si="264"/>
        <v>44938</v>
      </c>
      <c r="O2169" s="1">
        <f t="shared" si="265"/>
        <v>43101</v>
      </c>
      <c r="P2169" s="1">
        <f t="shared" si="266"/>
        <v>43313</v>
      </c>
      <c r="Q2169" s="8">
        <f t="shared" si="267"/>
        <v>0</v>
      </c>
      <c r="R2169" s="8">
        <f t="shared" si="268"/>
        <v>8</v>
      </c>
      <c r="S2169" s="8">
        <f t="shared" ca="1" si="269"/>
        <v>6</v>
      </c>
      <c r="T2169">
        <f t="shared" ca="1" si="270"/>
        <v>4.2000000000000011</v>
      </c>
      <c r="U2169" s="8">
        <f t="shared" ca="1" si="271"/>
        <v>1.52</v>
      </c>
      <c r="V2169" s="8">
        <f ca="1">RawData[[#This Row],[Z (smoothed demand size)]]/RawData[[#This Row],[X (smoothed interval)]]</f>
        <v>2.7631578947368429</v>
      </c>
    </row>
    <row r="2170" spans="1:22">
      <c r="A2170" t="s">
        <v>49</v>
      </c>
      <c r="B2170" t="s">
        <v>39</v>
      </c>
      <c r="C2170">
        <v>32</v>
      </c>
      <c r="D2170" t="s">
        <v>18</v>
      </c>
      <c r="E2170" t="s">
        <v>16</v>
      </c>
      <c r="F2170" s="1">
        <v>43109</v>
      </c>
      <c r="G2170">
        <v>0</v>
      </c>
      <c r="H2170">
        <v>0</v>
      </c>
      <c r="I2170">
        <v>21</v>
      </c>
      <c r="J2170">
        <v>21</v>
      </c>
      <c r="K2170">
        <v>0</v>
      </c>
      <c r="L2170">
        <v>660</v>
      </c>
      <c r="M2170">
        <v>30</v>
      </c>
      <c r="N2170" s="1">
        <f t="shared" si="264"/>
        <v>44938</v>
      </c>
      <c r="O2170" s="1">
        <f t="shared" si="265"/>
        <v>43101</v>
      </c>
      <c r="P2170" s="1">
        <f t="shared" si="266"/>
        <v>43344</v>
      </c>
      <c r="Q2170" s="8">
        <f t="shared" si="267"/>
        <v>0</v>
      </c>
      <c r="R2170" s="8">
        <f t="shared" si="268"/>
        <v>9</v>
      </c>
      <c r="S2170" s="8">
        <f t="shared" ca="1" si="269"/>
        <v>6</v>
      </c>
      <c r="T2170">
        <f t="shared" ca="1" si="270"/>
        <v>4.2000000000000011</v>
      </c>
      <c r="U2170" s="8">
        <f t="shared" ca="1" si="271"/>
        <v>1.52</v>
      </c>
      <c r="V2170" s="8">
        <f ca="1">RawData[[#This Row],[Z (smoothed demand size)]]/RawData[[#This Row],[X (smoothed interval)]]</f>
        <v>2.7631578947368429</v>
      </c>
    </row>
    <row r="2171" spans="1:22">
      <c r="A2171" t="s">
        <v>49</v>
      </c>
      <c r="B2171" t="s">
        <v>39</v>
      </c>
      <c r="C2171">
        <v>32</v>
      </c>
      <c r="D2171" t="s">
        <v>18</v>
      </c>
      <c r="E2171" t="s">
        <v>16</v>
      </c>
      <c r="F2171" s="1">
        <v>43110</v>
      </c>
      <c r="G2171">
        <v>0</v>
      </c>
      <c r="H2171">
        <v>0</v>
      </c>
      <c r="I2171">
        <v>21</v>
      </c>
      <c r="J2171">
        <v>21</v>
      </c>
      <c r="K2171">
        <v>0</v>
      </c>
      <c r="L2171">
        <v>671</v>
      </c>
      <c r="M2171">
        <v>60</v>
      </c>
      <c r="N2171" s="1">
        <f t="shared" si="264"/>
        <v>44938</v>
      </c>
      <c r="O2171" s="1">
        <f t="shared" si="265"/>
        <v>43101</v>
      </c>
      <c r="P2171" s="1">
        <f t="shared" si="266"/>
        <v>43374</v>
      </c>
      <c r="Q2171" s="8">
        <f t="shared" si="267"/>
        <v>0</v>
      </c>
      <c r="R2171" s="8">
        <f t="shared" si="268"/>
        <v>10</v>
      </c>
      <c r="S2171" s="8">
        <f t="shared" ca="1" si="269"/>
        <v>6</v>
      </c>
      <c r="T2171">
        <f t="shared" ca="1" si="270"/>
        <v>4.2000000000000011</v>
      </c>
      <c r="U2171" s="8">
        <f t="shared" ca="1" si="271"/>
        <v>1.52</v>
      </c>
      <c r="V2171" s="8">
        <f ca="1">RawData[[#This Row],[Z (smoothed demand size)]]/RawData[[#This Row],[X (smoothed interval)]]</f>
        <v>2.7631578947368429</v>
      </c>
    </row>
    <row r="2172" spans="1:22">
      <c r="A2172" t="s">
        <v>49</v>
      </c>
      <c r="B2172" t="s">
        <v>39</v>
      </c>
      <c r="C2172">
        <v>32</v>
      </c>
      <c r="D2172" t="s">
        <v>18</v>
      </c>
      <c r="E2172" t="s">
        <v>16</v>
      </c>
      <c r="F2172" s="1">
        <v>43111</v>
      </c>
      <c r="G2172">
        <v>3</v>
      </c>
      <c r="H2172">
        <v>3</v>
      </c>
      <c r="I2172">
        <v>21</v>
      </c>
      <c r="J2172">
        <v>18</v>
      </c>
      <c r="K2172">
        <v>0</v>
      </c>
      <c r="L2172">
        <v>676</v>
      </c>
      <c r="M2172">
        <v>30</v>
      </c>
      <c r="N2172" s="1">
        <f t="shared" si="264"/>
        <v>44938</v>
      </c>
      <c r="O2172" s="1">
        <f t="shared" si="265"/>
        <v>43101</v>
      </c>
      <c r="P2172" s="1">
        <f t="shared" si="266"/>
        <v>43405</v>
      </c>
      <c r="Q2172" s="8">
        <f t="shared" si="267"/>
        <v>0</v>
      </c>
      <c r="R2172" s="8">
        <f t="shared" si="268"/>
        <v>11</v>
      </c>
      <c r="S2172" s="8">
        <f t="shared" ca="1" si="269"/>
        <v>11</v>
      </c>
      <c r="T2172">
        <f t="shared" ca="1" si="270"/>
        <v>3.9600000000000013</v>
      </c>
      <c r="U2172" s="8">
        <f t="shared" ca="1" si="271"/>
        <v>2.2160000000000002</v>
      </c>
      <c r="V2172" s="8">
        <f ca="1">RawData[[#This Row],[Z (smoothed demand size)]]/RawData[[#This Row],[X (smoothed interval)]]</f>
        <v>1.7870036101083038</v>
      </c>
    </row>
    <row r="2173" spans="1:22">
      <c r="A2173" t="s">
        <v>49</v>
      </c>
      <c r="B2173" t="s">
        <v>39</v>
      </c>
      <c r="C2173">
        <v>32</v>
      </c>
      <c r="D2173" t="s">
        <v>18</v>
      </c>
      <c r="E2173" t="s">
        <v>16</v>
      </c>
      <c r="F2173" s="1">
        <v>43112</v>
      </c>
      <c r="G2173">
        <v>1</v>
      </c>
      <c r="H2173">
        <v>1</v>
      </c>
      <c r="I2173">
        <v>18</v>
      </c>
      <c r="J2173">
        <v>17</v>
      </c>
      <c r="K2173">
        <v>0</v>
      </c>
      <c r="L2173">
        <v>765</v>
      </c>
      <c r="M2173">
        <v>45</v>
      </c>
      <c r="N2173" s="1">
        <f t="shared" si="264"/>
        <v>44938</v>
      </c>
      <c r="O2173" s="1">
        <f t="shared" si="265"/>
        <v>43101</v>
      </c>
      <c r="P2173" s="1">
        <f t="shared" si="266"/>
        <v>43435</v>
      </c>
      <c r="Q2173" s="8">
        <f t="shared" si="267"/>
        <v>0</v>
      </c>
      <c r="R2173" s="8">
        <f t="shared" si="268"/>
        <v>12</v>
      </c>
      <c r="S2173" s="8">
        <f t="shared" ca="1" si="269"/>
        <v>12</v>
      </c>
      <c r="T2173">
        <f t="shared" ca="1" si="270"/>
        <v>3.3680000000000012</v>
      </c>
      <c r="U2173" s="8">
        <f t="shared" ca="1" si="271"/>
        <v>1.9728000000000001</v>
      </c>
      <c r="V2173" s="8">
        <f ca="1">RawData[[#This Row],[Z (smoothed demand size)]]/RawData[[#This Row],[X (smoothed interval)]]</f>
        <v>1.7072181670721822</v>
      </c>
    </row>
    <row r="2174" spans="1:22">
      <c r="A2174" t="s">
        <v>49</v>
      </c>
      <c r="B2174" t="s">
        <v>39</v>
      </c>
      <c r="C2174">
        <v>32</v>
      </c>
      <c r="D2174" t="s">
        <v>18</v>
      </c>
      <c r="E2174" t="s">
        <v>16</v>
      </c>
      <c r="F2174" s="1">
        <v>43466</v>
      </c>
      <c r="G2174">
        <v>5</v>
      </c>
      <c r="H2174">
        <v>5</v>
      </c>
      <c r="I2174">
        <v>17</v>
      </c>
      <c r="J2174">
        <v>12</v>
      </c>
      <c r="K2174">
        <v>0</v>
      </c>
      <c r="L2174">
        <v>669</v>
      </c>
      <c r="M2174">
        <v>30</v>
      </c>
      <c r="N2174" s="1">
        <f t="shared" si="264"/>
        <v>44938</v>
      </c>
      <c r="O2174" s="1">
        <f t="shared" si="265"/>
        <v>43101</v>
      </c>
      <c r="P2174" s="1">
        <f t="shared" si="266"/>
        <v>43466</v>
      </c>
      <c r="Q2174" s="8">
        <f t="shared" si="267"/>
        <v>0</v>
      </c>
      <c r="R2174" s="8">
        <f t="shared" si="268"/>
        <v>13</v>
      </c>
      <c r="S2174" s="8">
        <f t="shared" ca="1" si="269"/>
        <v>13</v>
      </c>
      <c r="T2174">
        <f t="shared" ca="1" si="270"/>
        <v>3.6944000000000012</v>
      </c>
      <c r="U2174" s="8">
        <f t="shared" ca="1" si="271"/>
        <v>1.77824</v>
      </c>
      <c r="V2174" s="8">
        <f ca="1">RawData[[#This Row],[Z (smoothed demand size)]]/RawData[[#This Row],[X (smoothed interval)]]</f>
        <v>2.0775598344430453</v>
      </c>
    </row>
    <row r="2175" spans="1:22">
      <c r="A2175" t="s">
        <v>49</v>
      </c>
      <c r="B2175" t="s">
        <v>39</v>
      </c>
      <c r="C2175">
        <v>32</v>
      </c>
      <c r="D2175" t="s">
        <v>18</v>
      </c>
      <c r="E2175" t="s">
        <v>16</v>
      </c>
      <c r="F2175" s="1">
        <v>43467</v>
      </c>
      <c r="G2175">
        <v>2</v>
      </c>
      <c r="H2175">
        <v>2</v>
      </c>
      <c r="I2175">
        <v>12</v>
      </c>
      <c r="J2175">
        <v>10</v>
      </c>
      <c r="K2175">
        <v>0</v>
      </c>
      <c r="L2175">
        <v>666</v>
      </c>
      <c r="M2175">
        <v>30</v>
      </c>
      <c r="N2175" s="1">
        <f t="shared" si="264"/>
        <v>44938</v>
      </c>
      <c r="O2175" s="1">
        <f t="shared" si="265"/>
        <v>43101</v>
      </c>
      <c r="P2175" s="1">
        <f t="shared" si="266"/>
        <v>43497</v>
      </c>
      <c r="Q2175" s="8">
        <f t="shared" si="267"/>
        <v>0</v>
      </c>
      <c r="R2175" s="8">
        <f t="shared" si="268"/>
        <v>14</v>
      </c>
      <c r="S2175" s="8">
        <f t="shared" ca="1" si="269"/>
        <v>14</v>
      </c>
      <c r="T2175">
        <f t="shared" ca="1" si="270"/>
        <v>3.3555200000000012</v>
      </c>
      <c r="U2175" s="8">
        <f t="shared" ca="1" si="271"/>
        <v>1.622592</v>
      </c>
      <c r="V2175" s="8">
        <f ca="1">RawData[[#This Row],[Z (smoothed demand size)]]/RawData[[#This Row],[X (smoothed interval)]]</f>
        <v>2.0679998422277448</v>
      </c>
    </row>
    <row r="2176" spans="1:22">
      <c r="A2176" t="s">
        <v>49</v>
      </c>
      <c r="B2176" t="s">
        <v>39</v>
      </c>
      <c r="C2176">
        <v>32</v>
      </c>
      <c r="D2176" t="s">
        <v>18</v>
      </c>
      <c r="E2176" t="s">
        <v>16</v>
      </c>
      <c r="F2176" s="1">
        <v>43468</v>
      </c>
      <c r="G2176">
        <v>1</v>
      </c>
      <c r="H2176">
        <v>1</v>
      </c>
      <c r="I2176">
        <v>10</v>
      </c>
      <c r="J2176">
        <v>9</v>
      </c>
      <c r="K2176">
        <v>0</v>
      </c>
      <c r="L2176">
        <v>669</v>
      </c>
      <c r="M2176">
        <v>45</v>
      </c>
      <c r="N2176" s="1">
        <f t="shared" si="264"/>
        <v>44938</v>
      </c>
      <c r="O2176" s="1">
        <f t="shared" si="265"/>
        <v>43101</v>
      </c>
      <c r="P2176" s="1">
        <f t="shared" si="266"/>
        <v>43525</v>
      </c>
      <c r="Q2176" s="8">
        <f t="shared" si="267"/>
        <v>0</v>
      </c>
      <c r="R2176" s="8">
        <f t="shared" si="268"/>
        <v>15</v>
      </c>
      <c r="S2176" s="8">
        <f t="shared" ca="1" si="269"/>
        <v>15</v>
      </c>
      <c r="T2176">
        <f t="shared" ca="1" si="270"/>
        <v>2.8844160000000012</v>
      </c>
      <c r="U2176" s="8">
        <f t="shared" ca="1" si="271"/>
        <v>1.4980736000000001</v>
      </c>
      <c r="V2176" s="8">
        <f ca="1">RawData[[#This Row],[Z (smoothed demand size)]]/RawData[[#This Row],[X (smoothed interval)]]</f>
        <v>1.9254167485496045</v>
      </c>
    </row>
    <row r="2177" spans="1:22">
      <c r="A2177" t="s">
        <v>49</v>
      </c>
      <c r="B2177" t="s">
        <v>39</v>
      </c>
      <c r="C2177">
        <v>32</v>
      </c>
      <c r="D2177" t="s">
        <v>18</v>
      </c>
      <c r="E2177" t="s">
        <v>16</v>
      </c>
      <c r="F2177" s="1">
        <v>43469</v>
      </c>
      <c r="G2177">
        <v>3</v>
      </c>
      <c r="H2177">
        <v>3</v>
      </c>
      <c r="I2177">
        <v>9</v>
      </c>
      <c r="J2177">
        <v>6</v>
      </c>
      <c r="K2177">
        <v>0</v>
      </c>
      <c r="L2177">
        <v>672</v>
      </c>
      <c r="M2177">
        <v>45</v>
      </c>
      <c r="N2177" s="1">
        <f t="shared" si="264"/>
        <v>44938</v>
      </c>
      <c r="O2177" s="1">
        <f t="shared" si="265"/>
        <v>43101</v>
      </c>
      <c r="P2177" s="1">
        <f t="shared" si="266"/>
        <v>43556</v>
      </c>
      <c r="Q2177" s="8">
        <f t="shared" si="267"/>
        <v>0</v>
      </c>
      <c r="R2177" s="8">
        <f t="shared" si="268"/>
        <v>16</v>
      </c>
      <c r="S2177" s="8">
        <f t="shared" ca="1" si="269"/>
        <v>16</v>
      </c>
      <c r="T2177">
        <f t="shared" ca="1" si="270"/>
        <v>2.9075328000000011</v>
      </c>
      <c r="U2177" s="8">
        <f t="shared" ca="1" si="271"/>
        <v>1.3984588800000002</v>
      </c>
      <c r="V2177" s="8">
        <f ca="1">RawData[[#This Row],[Z (smoothed demand size)]]/RawData[[#This Row],[X (smoothed interval)]]</f>
        <v>2.0790978137304981</v>
      </c>
    </row>
    <row r="2178" spans="1:22">
      <c r="A2178" t="s">
        <v>49</v>
      </c>
      <c r="B2178" t="s">
        <v>39</v>
      </c>
      <c r="C2178">
        <v>32</v>
      </c>
      <c r="D2178" t="s">
        <v>18</v>
      </c>
      <c r="E2178" t="s">
        <v>16</v>
      </c>
      <c r="F2178" s="1">
        <v>43470</v>
      </c>
      <c r="G2178">
        <v>3</v>
      </c>
      <c r="H2178">
        <v>3</v>
      </c>
      <c r="I2178">
        <v>6</v>
      </c>
      <c r="J2178">
        <v>3</v>
      </c>
      <c r="K2178">
        <v>0</v>
      </c>
      <c r="L2178">
        <v>669</v>
      </c>
      <c r="M2178">
        <v>60</v>
      </c>
      <c r="N2178" s="1">
        <f t="shared" ref="N2178:N2241" si="272">MAX(F:F)</f>
        <v>44938</v>
      </c>
      <c r="O2178" s="1">
        <f t="shared" ref="O2178:O2241" si="273">MIN(F:F)</f>
        <v>43101</v>
      </c>
      <c r="P2178" s="1">
        <f t="shared" ref="P2178:P2241" si="274">DATE(YEAR(F2178), DAY(F2178), 1)</f>
        <v>43586</v>
      </c>
      <c r="Q2178" s="8">
        <f t="shared" ref="Q2178:Q2241" si="275" xml:space="preserve"> IF(A2178&lt;&gt;A2177, 1, 0)</f>
        <v>0</v>
      </c>
      <c r="R2178" s="8">
        <f t="shared" ref="R2178:R2241" si="276">IF(Q2178=1,1,R2177+1)</f>
        <v>17</v>
      </c>
      <c r="S2178" s="8">
        <f t="shared" ref="S2178:S2241" ca="1" si="277" xml:space="preserve"> IF(Q2178=1, IF(G2178&gt;0, R2178, 0), IF(G2178&gt;0, R2178, OFFSET(S2178,-1,0)))</f>
        <v>17</v>
      </c>
      <c r="T2178">
        <f t="shared" ref="T2178:T2241" ca="1" si="278" xml:space="preserve"> IF(Q2178=1, IF(G2178&gt;0, G2178, 0), IF(G2178&gt;0, $X$1*G2178+(1-$X$1)*OFFSET(T2178,-1,0), OFFSET(T2178,-1,0)))</f>
        <v>2.926026240000001</v>
      </c>
      <c r="U2178" s="8">
        <f t="shared" ref="U2178:U2241" ca="1" si="279" xml:space="preserve"> IF(Q2178=1, 1, IF(G2178&gt;0, $X$1*(R2178-OFFSET(S2178,-1,0))+(1-$X$1)*OFFSET(U2178,-1,0), OFFSET(U2178,-1,0)))</f>
        <v>1.3187671040000002</v>
      </c>
      <c r="V2178" s="8">
        <f ca="1">RawData[[#This Row],[Z (smoothed demand size)]]/RawData[[#This Row],[X (smoothed interval)]]</f>
        <v>2.2187588931547997</v>
      </c>
    </row>
    <row r="2179" spans="1:22">
      <c r="A2179" t="s">
        <v>49</v>
      </c>
      <c r="B2179" t="s">
        <v>39</v>
      </c>
      <c r="C2179">
        <v>32</v>
      </c>
      <c r="D2179" t="s">
        <v>18</v>
      </c>
      <c r="E2179" t="s">
        <v>16</v>
      </c>
      <c r="F2179" s="1">
        <v>43471</v>
      </c>
      <c r="G2179">
        <v>3</v>
      </c>
      <c r="H2179">
        <v>3</v>
      </c>
      <c r="I2179">
        <v>3</v>
      </c>
      <c r="J2179">
        <v>0</v>
      </c>
      <c r="K2179">
        <v>0</v>
      </c>
      <c r="L2179">
        <v>773</v>
      </c>
      <c r="M2179">
        <v>45</v>
      </c>
      <c r="N2179" s="1">
        <f t="shared" si="272"/>
        <v>44938</v>
      </c>
      <c r="O2179" s="1">
        <f t="shared" si="273"/>
        <v>43101</v>
      </c>
      <c r="P2179" s="1">
        <f t="shared" si="274"/>
        <v>43617</v>
      </c>
      <c r="Q2179" s="8">
        <f t="shared" si="275"/>
        <v>0</v>
      </c>
      <c r="R2179" s="8">
        <f t="shared" si="276"/>
        <v>18</v>
      </c>
      <c r="S2179" s="8">
        <f t="shared" ca="1" si="277"/>
        <v>18</v>
      </c>
      <c r="T2179">
        <f t="shared" ca="1" si="278"/>
        <v>2.9408209920000008</v>
      </c>
      <c r="U2179" s="8">
        <f t="shared" ca="1" si="279"/>
        <v>1.2550136832000001</v>
      </c>
      <c r="V2179" s="8">
        <f ca="1">RawData[[#This Row],[Z (smoothed demand size)]]/RawData[[#This Row],[X (smoothed interval)]]</f>
        <v>2.3432581105423287</v>
      </c>
    </row>
    <row r="2180" spans="1:22">
      <c r="A2180" t="s">
        <v>49</v>
      </c>
      <c r="B2180" t="s">
        <v>39</v>
      </c>
      <c r="C2180">
        <v>32</v>
      </c>
      <c r="D2180" t="s">
        <v>18</v>
      </c>
      <c r="E2180" t="s">
        <v>16</v>
      </c>
      <c r="F2180" s="1">
        <v>43472</v>
      </c>
      <c r="G2180">
        <v>5</v>
      </c>
      <c r="H2180">
        <v>5</v>
      </c>
      <c r="I2180">
        <v>9</v>
      </c>
      <c r="J2180">
        <v>4</v>
      </c>
      <c r="K2180">
        <v>0</v>
      </c>
      <c r="L2180">
        <v>770</v>
      </c>
      <c r="M2180">
        <v>30</v>
      </c>
      <c r="N2180" s="1">
        <f t="shared" si="272"/>
        <v>44938</v>
      </c>
      <c r="O2180" s="1">
        <f t="shared" si="273"/>
        <v>43101</v>
      </c>
      <c r="P2180" s="1">
        <f t="shared" si="274"/>
        <v>43647</v>
      </c>
      <c r="Q2180" s="8">
        <f t="shared" si="275"/>
        <v>0</v>
      </c>
      <c r="R2180" s="8">
        <f t="shared" si="276"/>
        <v>19</v>
      </c>
      <c r="S2180" s="8">
        <f t="shared" ca="1" si="277"/>
        <v>19</v>
      </c>
      <c r="T2180">
        <f t="shared" ca="1" si="278"/>
        <v>3.3526567936000009</v>
      </c>
      <c r="U2180" s="8">
        <f t="shared" ca="1" si="279"/>
        <v>1.20401094656</v>
      </c>
      <c r="V2180" s="8">
        <f ca="1">RawData[[#This Row],[Z (smoothed demand size)]]/RawData[[#This Row],[X (smoothed interval)]]</f>
        <v>2.7845733489208992</v>
      </c>
    </row>
    <row r="2181" spans="1:22">
      <c r="A2181" t="s">
        <v>49</v>
      </c>
      <c r="B2181" t="s">
        <v>39</v>
      </c>
      <c r="C2181">
        <v>32</v>
      </c>
      <c r="D2181" t="s">
        <v>18</v>
      </c>
      <c r="E2181" t="s">
        <v>16</v>
      </c>
      <c r="F2181" s="1">
        <v>43473</v>
      </c>
      <c r="G2181">
        <v>4</v>
      </c>
      <c r="H2181">
        <v>4</v>
      </c>
      <c r="I2181">
        <v>4</v>
      </c>
      <c r="J2181">
        <v>0</v>
      </c>
      <c r="K2181">
        <v>0</v>
      </c>
      <c r="L2181">
        <v>773</v>
      </c>
      <c r="M2181">
        <v>60</v>
      </c>
      <c r="N2181" s="1">
        <f t="shared" si="272"/>
        <v>44938</v>
      </c>
      <c r="O2181" s="1">
        <f t="shared" si="273"/>
        <v>43101</v>
      </c>
      <c r="P2181" s="1">
        <f t="shared" si="274"/>
        <v>43678</v>
      </c>
      <c r="Q2181" s="8">
        <f t="shared" si="275"/>
        <v>0</v>
      </c>
      <c r="R2181" s="8">
        <f t="shared" si="276"/>
        <v>20</v>
      </c>
      <c r="S2181" s="8">
        <f t="shared" ca="1" si="277"/>
        <v>20</v>
      </c>
      <c r="T2181">
        <f t="shared" ca="1" si="278"/>
        <v>3.4821254348800013</v>
      </c>
      <c r="U2181" s="8">
        <f t="shared" ca="1" si="279"/>
        <v>1.1632087572480001</v>
      </c>
      <c r="V2181" s="8">
        <f ca="1">RawData[[#This Row],[Z (smoothed demand size)]]/RawData[[#This Row],[X (smoothed interval)]]</f>
        <v>2.9935515986986334</v>
      </c>
    </row>
    <row r="2182" spans="1:22">
      <c r="A2182" t="s">
        <v>49</v>
      </c>
      <c r="B2182" t="s">
        <v>39</v>
      </c>
      <c r="C2182">
        <v>32</v>
      </c>
      <c r="D2182" t="s">
        <v>18</v>
      </c>
      <c r="E2182" t="s">
        <v>16</v>
      </c>
      <c r="F2182" s="1">
        <v>43474</v>
      </c>
      <c r="G2182">
        <v>3</v>
      </c>
      <c r="H2182">
        <v>0</v>
      </c>
      <c r="I2182">
        <v>0</v>
      </c>
      <c r="J2182">
        <v>0</v>
      </c>
      <c r="K2182">
        <v>1</v>
      </c>
      <c r="L2182">
        <v>668</v>
      </c>
      <c r="M2182">
        <v>30</v>
      </c>
      <c r="N2182" s="1">
        <f t="shared" si="272"/>
        <v>44938</v>
      </c>
      <c r="O2182" s="1">
        <f t="shared" si="273"/>
        <v>43101</v>
      </c>
      <c r="P2182" s="1">
        <f t="shared" si="274"/>
        <v>43709</v>
      </c>
      <c r="Q2182" s="8">
        <f t="shared" si="275"/>
        <v>0</v>
      </c>
      <c r="R2182" s="8">
        <f t="shared" si="276"/>
        <v>21</v>
      </c>
      <c r="S2182" s="8">
        <f t="shared" ca="1" si="277"/>
        <v>21</v>
      </c>
      <c r="T2182">
        <f t="shared" ca="1" si="278"/>
        <v>3.3857003479040011</v>
      </c>
      <c r="U2182" s="8">
        <f t="shared" ca="1" si="279"/>
        <v>1.1305670057984001</v>
      </c>
      <c r="V2182" s="8">
        <f ca="1">RawData[[#This Row],[Z (smoothed demand size)]]/RawData[[#This Row],[X (smoothed interval)]]</f>
        <v>2.9946923362698334</v>
      </c>
    </row>
    <row r="2183" spans="1:22">
      <c r="A2183" t="s">
        <v>49</v>
      </c>
      <c r="B2183" t="s">
        <v>39</v>
      </c>
      <c r="C2183">
        <v>32</v>
      </c>
      <c r="D2183" t="s">
        <v>18</v>
      </c>
      <c r="E2183" t="s">
        <v>16</v>
      </c>
      <c r="F2183" s="1">
        <v>43475</v>
      </c>
      <c r="G2183">
        <v>0</v>
      </c>
      <c r="H2183">
        <v>0</v>
      </c>
      <c r="I2183">
        <v>12</v>
      </c>
      <c r="J2183">
        <v>12</v>
      </c>
      <c r="K2183">
        <v>0</v>
      </c>
      <c r="L2183">
        <v>669</v>
      </c>
      <c r="M2183">
        <v>45</v>
      </c>
      <c r="N2183" s="1">
        <f t="shared" si="272"/>
        <v>44938</v>
      </c>
      <c r="O2183" s="1">
        <f t="shared" si="273"/>
        <v>43101</v>
      </c>
      <c r="P2183" s="1">
        <f t="shared" si="274"/>
        <v>43739</v>
      </c>
      <c r="Q2183" s="8">
        <f t="shared" si="275"/>
        <v>0</v>
      </c>
      <c r="R2183" s="8">
        <f t="shared" si="276"/>
        <v>22</v>
      </c>
      <c r="S2183" s="8">
        <f t="shared" ca="1" si="277"/>
        <v>21</v>
      </c>
      <c r="T2183">
        <f t="shared" ca="1" si="278"/>
        <v>3.3857003479040011</v>
      </c>
      <c r="U2183" s="8">
        <f t="shared" ca="1" si="279"/>
        <v>1.1305670057984001</v>
      </c>
      <c r="V2183" s="8">
        <f ca="1">RawData[[#This Row],[Z (smoothed demand size)]]/RawData[[#This Row],[X (smoothed interval)]]</f>
        <v>2.9946923362698334</v>
      </c>
    </row>
    <row r="2184" spans="1:22">
      <c r="A2184" t="s">
        <v>49</v>
      </c>
      <c r="B2184" t="s">
        <v>39</v>
      </c>
      <c r="C2184">
        <v>32</v>
      </c>
      <c r="D2184" t="s">
        <v>18</v>
      </c>
      <c r="E2184" t="s">
        <v>16</v>
      </c>
      <c r="F2184" s="1">
        <v>43476</v>
      </c>
      <c r="G2184">
        <v>0</v>
      </c>
      <c r="H2184">
        <v>0</v>
      </c>
      <c r="I2184">
        <v>12</v>
      </c>
      <c r="J2184">
        <v>12</v>
      </c>
      <c r="K2184">
        <v>0</v>
      </c>
      <c r="L2184">
        <v>671</v>
      </c>
      <c r="M2184">
        <v>30</v>
      </c>
      <c r="N2184" s="1">
        <f t="shared" si="272"/>
        <v>44938</v>
      </c>
      <c r="O2184" s="1">
        <f t="shared" si="273"/>
        <v>43101</v>
      </c>
      <c r="P2184" s="1">
        <f t="shared" si="274"/>
        <v>43770</v>
      </c>
      <c r="Q2184" s="8">
        <f t="shared" si="275"/>
        <v>0</v>
      </c>
      <c r="R2184" s="8">
        <f t="shared" si="276"/>
        <v>23</v>
      </c>
      <c r="S2184" s="8">
        <f t="shared" ca="1" si="277"/>
        <v>21</v>
      </c>
      <c r="T2184">
        <f t="shared" ca="1" si="278"/>
        <v>3.3857003479040011</v>
      </c>
      <c r="U2184" s="8">
        <f t="shared" ca="1" si="279"/>
        <v>1.1305670057984001</v>
      </c>
      <c r="V2184" s="8">
        <f ca="1">RawData[[#This Row],[Z (smoothed demand size)]]/RawData[[#This Row],[X (smoothed interval)]]</f>
        <v>2.9946923362698334</v>
      </c>
    </row>
    <row r="2185" spans="1:22">
      <c r="A2185" t="s">
        <v>49</v>
      </c>
      <c r="B2185" t="s">
        <v>39</v>
      </c>
      <c r="C2185">
        <v>32</v>
      </c>
      <c r="D2185" t="s">
        <v>18</v>
      </c>
      <c r="E2185" t="s">
        <v>16</v>
      </c>
      <c r="F2185" s="1">
        <v>43477</v>
      </c>
      <c r="G2185">
        <v>3</v>
      </c>
      <c r="H2185">
        <v>3</v>
      </c>
      <c r="I2185">
        <v>12</v>
      </c>
      <c r="J2185">
        <v>9</v>
      </c>
      <c r="K2185">
        <v>0</v>
      </c>
      <c r="L2185">
        <v>766</v>
      </c>
      <c r="M2185">
        <v>15</v>
      </c>
      <c r="N2185" s="1">
        <f t="shared" si="272"/>
        <v>44938</v>
      </c>
      <c r="O2185" s="1">
        <f t="shared" si="273"/>
        <v>43101</v>
      </c>
      <c r="P2185" s="1">
        <f t="shared" si="274"/>
        <v>43800</v>
      </c>
      <c r="Q2185" s="8">
        <f t="shared" si="275"/>
        <v>0</v>
      </c>
      <c r="R2185" s="8">
        <f t="shared" si="276"/>
        <v>24</v>
      </c>
      <c r="S2185" s="8">
        <f t="shared" ca="1" si="277"/>
        <v>24</v>
      </c>
      <c r="T2185">
        <f t="shared" ca="1" si="278"/>
        <v>3.3085602783232013</v>
      </c>
      <c r="U2185" s="8">
        <f t="shared" ca="1" si="279"/>
        <v>1.5044536046387202</v>
      </c>
      <c r="V2185" s="8">
        <f ca="1">RawData[[#This Row],[Z (smoothed demand size)]]/RawData[[#This Row],[X (smoothed interval)]]</f>
        <v>2.1991773412764828</v>
      </c>
    </row>
    <row r="2186" spans="1:22">
      <c r="A2186" t="s">
        <v>49</v>
      </c>
      <c r="B2186" t="s">
        <v>39</v>
      </c>
      <c r="C2186">
        <v>32</v>
      </c>
      <c r="D2186" t="s">
        <v>18</v>
      </c>
      <c r="E2186" t="s">
        <v>16</v>
      </c>
      <c r="F2186" s="1">
        <v>43831</v>
      </c>
      <c r="G2186">
        <v>2</v>
      </c>
      <c r="H2186">
        <v>2</v>
      </c>
      <c r="I2186">
        <v>9</v>
      </c>
      <c r="J2186">
        <v>7</v>
      </c>
      <c r="K2186">
        <v>0</v>
      </c>
      <c r="L2186">
        <v>667</v>
      </c>
      <c r="M2186">
        <v>60</v>
      </c>
      <c r="N2186" s="1">
        <f t="shared" si="272"/>
        <v>44938</v>
      </c>
      <c r="O2186" s="1">
        <f t="shared" si="273"/>
        <v>43101</v>
      </c>
      <c r="P2186" s="1">
        <f t="shared" si="274"/>
        <v>43831</v>
      </c>
      <c r="Q2186" s="8">
        <f t="shared" si="275"/>
        <v>0</v>
      </c>
      <c r="R2186" s="8">
        <f t="shared" si="276"/>
        <v>25</v>
      </c>
      <c r="S2186" s="8">
        <f t="shared" ca="1" si="277"/>
        <v>25</v>
      </c>
      <c r="T2186">
        <f t="shared" ca="1" si="278"/>
        <v>3.0468482226585611</v>
      </c>
      <c r="U2186" s="8">
        <f t="shared" ca="1" si="279"/>
        <v>1.4035628837109762</v>
      </c>
      <c r="V2186" s="8">
        <f ca="1">RawData[[#This Row],[Z (smoothed demand size)]]/RawData[[#This Row],[X (smoothed interval)]]</f>
        <v>2.1707956643900346</v>
      </c>
    </row>
    <row r="2187" spans="1:22">
      <c r="A2187" t="s">
        <v>49</v>
      </c>
      <c r="B2187" t="s">
        <v>39</v>
      </c>
      <c r="C2187">
        <v>32</v>
      </c>
      <c r="D2187" t="s">
        <v>18</v>
      </c>
      <c r="E2187" t="s">
        <v>16</v>
      </c>
      <c r="F2187" s="1">
        <v>43832</v>
      </c>
      <c r="G2187">
        <v>2</v>
      </c>
      <c r="H2187">
        <v>2</v>
      </c>
      <c r="I2187">
        <v>7</v>
      </c>
      <c r="J2187">
        <v>5</v>
      </c>
      <c r="K2187">
        <v>0</v>
      </c>
      <c r="L2187">
        <v>658</v>
      </c>
      <c r="M2187">
        <v>45</v>
      </c>
      <c r="N2187" s="1">
        <f t="shared" si="272"/>
        <v>44938</v>
      </c>
      <c r="O2187" s="1">
        <f t="shared" si="273"/>
        <v>43101</v>
      </c>
      <c r="P2187" s="1">
        <f t="shared" si="274"/>
        <v>43862</v>
      </c>
      <c r="Q2187" s="8">
        <f t="shared" si="275"/>
        <v>0</v>
      </c>
      <c r="R2187" s="8">
        <f t="shared" si="276"/>
        <v>26</v>
      </c>
      <c r="S2187" s="8">
        <f t="shared" ca="1" si="277"/>
        <v>26</v>
      </c>
      <c r="T2187">
        <f t="shared" ca="1" si="278"/>
        <v>2.837478578126849</v>
      </c>
      <c r="U2187" s="8">
        <f t="shared" ca="1" si="279"/>
        <v>1.3228503069687809</v>
      </c>
      <c r="V2187" s="8">
        <f ca="1">RawData[[#This Row],[Z (smoothed demand size)]]/RawData[[#This Row],[X (smoothed interval)]]</f>
        <v>2.1449732922757776</v>
      </c>
    </row>
    <row r="2188" spans="1:22">
      <c r="A2188" t="s">
        <v>49</v>
      </c>
      <c r="B2188" t="s">
        <v>39</v>
      </c>
      <c r="C2188">
        <v>32</v>
      </c>
      <c r="D2188" t="s">
        <v>18</v>
      </c>
      <c r="E2188" t="s">
        <v>16</v>
      </c>
      <c r="F2188" s="1">
        <v>43833</v>
      </c>
      <c r="G2188">
        <v>0</v>
      </c>
      <c r="H2188">
        <v>0</v>
      </c>
      <c r="I2188">
        <v>5</v>
      </c>
      <c r="J2188">
        <v>5</v>
      </c>
      <c r="K2188">
        <v>0</v>
      </c>
      <c r="L2188">
        <v>652</v>
      </c>
      <c r="M2188">
        <v>60</v>
      </c>
      <c r="N2188" s="1">
        <f t="shared" si="272"/>
        <v>44938</v>
      </c>
      <c r="O2188" s="1">
        <f t="shared" si="273"/>
        <v>43101</v>
      </c>
      <c r="P2188" s="1">
        <f t="shared" si="274"/>
        <v>43891</v>
      </c>
      <c r="Q2188" s="8">
        <f t="shared" si="275"/>
        <v>0</v>
      </c>
      <c r="R2188" s="8">
        <f t="shared" si="276"/>
        <v>27</v>
      </c>
      <c r="S2188" s="8">
        <f t="shared" ca="1" si="277"/>
        <v>26</v>
      </c>
      <c r="T2188">
        <f t="shared" ca="1" si="278"/>
        <v>2.837478578126849</v>
      </c>
      <c r="U2188" s="8">
        <f t="shared" ca="1" si="279"/>
        <v>1.3228503069687809</v>
      </c>
      <c r="V2188" s="8">
        <f ca="1">RawData[[#This Row],[Z (smoothed demand size)]]/RawData[[#This Row],[X (smoothed interval)]]</f>
        <v>2.1449732922757776</v>
      </c>
    </row>
    <row r="2189" spans="1:22">
      <c r="A2189" t="s">
        <v>49</v>
      </c>
      <c r="B2189" t="s">
        <v>39</v>
      </c>
      <c r="C2189">
        <v>32</v>
      </c>
      <c r="D2189" t="s">
        <v>18</v>
      </c>
      <c r="E2189" t="s">
        <v>16</v>
      </c>
      <c r="F2189" s="1">
        <v>43834</v>
      </c>
      <c r="G2189">
        <v>0</v>
      </c>
      <c r="H2189">
        <v>0</v>
      </c>
      <c r="I2189">
        <v>5</v>
      </c>
      <c r="J2189">
        <v>5</v>
      </c>
      <c r="K2189">
        <v>0</v>
      </c>
      <c r="L2189">
        <v>665</v>
      </c>
      <c r="M2189">
        <v>30</v>
      </c>
      <c r="N2189" s="1">
        <f t="shared" si="272"/>
        <v>44938</v>
      </c>
      <c r="O2189" s="1">
        <f t="shared" si="273"/>
        <v>43101</v>
      </c>
      <c r="P2189" s="1">
        <f t="shared" si="274"/>
        <v>43922</v>
      </c>
      <c r="Q2189" s="8">
        <f t="shared" si="275"/>
        <v>0</v>
      </c>
      <c r="R2189" s="8">
        <f t="shared" si="276"/>
        <v>28</v>
      </c>
      <c r="S2189" s="8">
        <f t="shared" ca="1" si="277"/>
        <v>26</v>
      </c>
      <c r="T2189">
        <f t="shared" ca="1" si="278"/>
        <v>2.837478578126849</v>
      </c>
      <c r="U2189" s="8">
        <f t="shared" ca="1" si="279"/>
        <v>1.3228503069687809</v>
      </c>
      <c r="V2189" s="8">
        <f ca="1">RawData[[#This Row],[Z (smoothed demand size)]]/RawData[[#This Row],[X (smoothed interval)]]</f>
        <v>2.1449732922757776</v>
      </c>
    </row>
    <row r="2190" spans="1:22">
      <c r="A2190" t="s">
        <v>49</v>
      </c>
      <c r="B2190" t="s">
        <v>39</v>
      </c>
      <c r="C2190">
        <v>32</v>
      </c>
      <c r="D2190" t="s">
        <v>18</v>
      </c>
      <c r="E2190" t="s">
        <v>16</v>
      </c>
      <c r="F2190" s="1">
        <v>43835</v>
      </c>
      <c r="G2190">
        <v>0</v>
      </c>
      <c r="H2190">
        <v>0</v>
      </c>
      <c r="I2190">
        <v>5</v>
      </c>
      <c r="J2190">
        <v>5</v>
      </c>
      <c r="K2190">
        <v>0</v>
      </c>
      <c r="L2190">
        <v>659</v>
      </c>
      <c r="M2190">
        <v>30</v>
      </c>
      <c r="N2190" s="1">
        <f t="shared" si="272"/>
        <v>44938</v>
      </c>
      <c r="O2190" s="1">
        <f t="shared" si="273"/>
        <v>43101</v>
      </c>
      <c r="P2190" s="1">
        <f t="shared" si="274"/>
        <v>43952</v>
      </c>
      <c r="Q2190" s="8">
        <f t="shared" si="275"/>
        <v>0</v>
      </c>
      <c r="R2190" s="8">
        <f t="shared" si="276"/>
        <v>29</v>
      </c>
      <c r="S2190" s="8">
        <f t="shared" ca="1" si="277"/>
        <v>26</v>
      </c>
      <c r="T2190">
        <f t="shared" ca="1" si="278"/>
        <v>2.837478578126849</v>
      </c>
      <c r="U2190" s="8">
        <f t="shared" ca="1" si="279"/>
        <v>1.3228503069687809</v>
      </c>
      <c r="V2190" s="8">
        <f ca="1">RawData[[#This Row],[Z (smoothed demand size)]]/RawData[[#This Row],[X (smoothed interval)]]</f>
        <v>2.1449732922757776</v>
      </c>
    </row>
    <row r="2191" spans="1:22">
      <c r="A2191" t="s">
        <v>49</v>
      </c>
      <c r="B2191" t="s">
        <v>39</v>
      </c>
      <c r="C2191">
        <v>32</v>
      </c>
      <c r="D2191" t="s">
        <v>18</v>
      </c>
      <c r="E2191" t="s">
        <v>16</v>
      </c>
      <c r="F2191" s="1">
        <v>43836</v>
      </c>
      <c r="G2191">
        <v>4</v>
      </c>
      <c r="H2191">
        <v>4</v>
      </c>
      <c r="I2191">
        <v>5</v>
      </c>
      <c r="J2191">
        <v>1</v>
      </c>
      <c r="K2191">
        <v>0</v>
      </c>
      <c r="L2191">
        <v>779</v>
      </c>
      <c r="M2191">
        <v>15</v>
      </c>
      <c r="N2191" s="1">
        <f t="shared" si="272"/>
        <v>44938</v>
      </c>
      <c r="O2191" s="1">
        <f t="shared" si="273"/>
        <v>43101</v>
      </c>
      <c r="P2191" s="1">
        <f t="shared" si="274"/>
        <v>43983</v>
      </c>
      <c r="Q2191" s="8">
        <f t="shared" si="275"/>
        <v>0</v>
      </c>
      <c r="R2191" s="8">
        <f t="shared" si="276"/>
        <v>30</v>
      </c>
      <c r="S2191" s="8">
        <f t="shared" ca="1" si="277"/>
        <v>30</v>
      </c>
      <c r="T2191">
        <f t="shared" ca="1" si="278"/>
        <v>3.0699828625014796</v>
      </c>
      <c r="U2191" s="8">
        <f t="shared" ca="1" si="279"/>
        <v>1.8582802455750249</v>
      </c>
      <c r="V2191" s="8">
        <f ca="1">RawData[[#This Row],[Z (smoothed demand size)]]/RawData[[#This Row],[X (smoothed interval)]]</f>
        <v>1.6520559101953465</v>
      </c>
    </row>
    <row r="2192" spans="1:22">
      <c r="A2192" t="s">
        <v>49</v>
      </c>
      <c r="B2192" t="s">
        <v>39</v>
      </c>
      <c r="C2192">
        <v>32</v>
      </c>
      <c r="D2192" t="s">
        <v>18</v>
      </c>
      <c r="E2192" t="s">
        <v>16</v>
      </c>
      <c r="F2192" s="1">
        <v>43837</v>
      </c>
      <c r="G2192">
        <v>3</v>
      </c>
      <c r="H2192">
        <v>3</v>
      </c>
      <c r="I2192">
        <v>10</v>
      </c>
      <c r="J2192">
        <v>7</v>
      </c>
      <c r="K2192">
        <v>0</v>
      </c>
      <c r="L2192">
        <v>758</v>
      </c>
      <c r="M2192">
        <v>60</v>
      </c>
      <c r="N2192" s="1">
        <f t="shared" si="272"/>
        <v>44938</v>
      </c>
      <c r="O2192" s="1">
        <f t="shared" si="273"/>
        <v>43101</v>
      </c>
      <c r="P2192" s="1">
        <f t="shared" si="274"/>
        <v>44013</v>
      </c>
      <c r="Q2192" s="8">
        <f t="shared" si="275"/>
        <v>0</v>
      </c>
      <c r="R2192" s="8">
        <f t="shared" si="276"/>
        <v>31</v>
      </c>
      <c r="S2192" s="8">
        <f t="shared" ca="1" si="277"/>
        <v>31</v>
      </c>
      <c r="T2192">
        <f t="shared" ca="1" si="278"/>
        <v>3.0559862900011838</v>
      </c>
      <c r="U2192" s="8">
        <f t="shared" ca="1" si="279"/>
        <v>1.6866241964600199</v>
      </c>
      <c r="V2192" s="8">
        <f ca="1">RawData[[#This Row],[Z (smoothed demand size)]]/RawData[[#This Row],[X (smoothed interval)]]</f>
        <v>1.8118952025088082</v>
      </c>
    </row>
    <row r="2193" spans="1:22">
      <c r="A2193" t="s">
        <v>49</v>
      </c>
      <c r="B2193" t="s">
        <v>39</v>
      </c>
      <c r="C2193">
        <v>32</v>
      </c>
      <c r="D2193" t="s">
        <v>18</v>
      </c>
      <c r="E2193" t="s">
        <v>16</v>
      </c>
      <c r="F2193" s="1">
        <v>43838</v>
      </c>
      <c r="G2193">
        <v>0</v>
      </c>
      <c r="H2193">
        <v>0</v>
      </c>
      <c r="I2193">
        <v>7</v>
      </c>
      <c r="J2193">
        <v>7</v>
      </c>
      <c r="K2193">
        <v>0</v>
      </c>
      <c r="L2193">
        <v>770</v>
      </c>
      <c r="M2193">
        <v>60</v>
      </c>
      <c r="N2193" s="1">
        <f t="shared" si="272"/>
        <v>44938</v>
      </c>
      <c r="O2193" s="1">
        <f t="shared" si="273"/>
        <v>43101</v>
      </c>
      <c r="P2193" s="1">
        <f t="shared" si="274"/>
        <v>44044</v>
      </c>
      <c r="Q2193" s="8">
        <f t="shared" si="275"/>
        <v>0</v>
      </c>
      <c r="R2193" s="8">
        <f t="shared" si="276"/>
        <v>32</v>
      </c>
      <c r="S2193" s="8">
        <f t="shared" ca="1" si="277"/>
        <v>31</v>
      </c>
      <c r="T2193">
        <f t="shared" ca="1" si="278"/>
        <v>3.0559862900011838</v>
      </c>
      <c r="U2193" s="8">
        <f t="shared" ca="1" si="279"/>
        <v>1.6866241964600199</v>
      </c>
      <c r="V2193" s="8">
        <f ca="1">RawData[[#This Row],[Z (smoothed demand size)]]/RawData[[#This Row],[X (smoothed interval)]]</f>
        <v>1.8118952025088082</v>
      </c>
    </row>
    <row r="2194" spans="1:22">
      <c r="A2194" t="s">
        <v>49</v>
      </c>
      <c r="B2194" t="s">
        <v>39</v>
      </c>
      <c r="C2194">
        <v>32</v>
      </c>
      <c r="D2194" t="s">
        <v>18</v>
      </c>
      <c r="E2194" t="s">
        <v>16</v>
      </c>
      <c r="F2194" s="1">
        <v>43839</v>
      </c>
      <c r="G2194">
        <v>0</v>
      </c>
      <c r="H2194">
        <v>0</v>
      </c>
      <c r="I2194">
        <v>7</v>
      </c>
      <c r="J2194">
        <v>7</v>
      </c>
      <c r="K2194">
        <v>0</v>
      </c>
      <c r="L2194">
        <v>660</v>
      </c>
      <c r="M2194">
        <v>15</v>
      </c>
      <c r="N2194" s="1">
        <f t="shared" si="272"/>
        <v>44938</v>
      </c>
      <c r="O2194" s="1">
        <f t="shared" si="273"/>
        <v>43101</v>
      </c>
      <c r="P2194" s="1">
        <f t="shared" si="274"/>
        <v>44075</v>
      </c>
      <c r="Q2194" s="8">
        <f t="shared" si="275"/>
        <v>0</v>
      </c>
      <c r="R2194" s="8">
        <f t="shared" si="276"/>
        <v>33</v>
      </c>
      <c r="S2194" s="8">
        <f t="shared" ca="1" si="277"/>
        <v>31</v>
      </c>
      <c r="T2194">
        <f t="shared" ca="1" si="278"/>
        <v>3.0559862900011838</v>
      </c>
      <c r="U2194" s="8">
        <f t="shared" ca="1" si="279"/>
        <v>1.6866241964600199</v>
      </c>
      <c r="V2194" s="8">
        <f ca="1">RawData[[#This Row],[Z (smoothed demand size)]]/RawData[[#This Row],[X (smoothed interval)]]</f>
        <v>1.8118952025088082</v>
      </c>
    </row>
    <row r="2195" spans="1:22">
      <c r="A2195" t="s">
        <v>49</v>
      </c>
      <c r="B2195" t="s">
        <v>39</v>
      </c>
      <c r="C2195">
        <v>32</v>
      </c>
      <c r="D2195" t="s">
        <v>18</v>
      </c>
      <c r="E2195" t="s">
        <v>16</v>
      </c>
      <c r="F2195" s="1">
        <v>43840</v>
      </c>
      <c r="G2195">
        <v>0</v>
      </c>
      <c r="H2195">
        <v>0</v>
      </c>
      <c r="I2195">
        <v>7</v>
      </c>
      <c r="J2195">
        <v>7</v>
      </c>
      <c r="K2195">
        <v>0</v>
      </c>
      <c r="L2195">
        <v>664</v>
      </c>
      <c r="M2195">
        <v>15</v>
      </c>
      <c r="N2195" s="1">
        <f t="shared" si="272"/>
        <v>44938</v>
      </c>
      <c r="O2195" s="1">
        <f t="shared" si="273"/>
        <v>43101</v>
      </c>
      <c r="P2195" s="1">
        <f t="shared" si="274"/>
        <v>44105</v>
      </c>
      <c r="Q2195" s="8">
        <f t="shared" si="275"/>
        <v>0</v>
      </c>
      <c r="R2195" s="8">
        <f t="shared" si="276"/>
        <v>34</v>
      </c>
      <c r="S2195" s="8">
        <f t="shared" ca="1" si="277"/>
        <v>31</v>
      </c>
      <c r="T2195">
        <f t="shared" ca="1" si="278"/>
        <v>3.0559862900011838</v>
      </c>
      <c r="U2195" s="8">
        <f t="shared" ca="1" si="279"/>
        <v>1.6866241964600199</v>
      </c>
      <c r="V2195" s="8">
        <f ca="1">RawData[[#This Row],[Z (smoothed demand size)]]/RawData[[#This Row],[X (smoothed interval)]]</f>
        <v>1.8118952025088082</v>
      </c>
    </row>
    <row r="2196" spans="1:22">
      <c r="A2196" t="s">
        <v>49</v>
      </c>
      <c r="B2196" t="s">
        <v>39</v>
      </c>
      <c r="C2196">
        <v>32</v>
      </c>
      <c r="D2196" t="s">
        <v>18</v>
      </c>
      <c r="E2196" t="s">
        <v>16</v>
      </c>
      <c r="F2196" s="1">
        <v>43841</v>
      </c>
      <c r="G2196">
        <v>4</v>
      </c>
      <c r="H2196">
        <v>4</v>
      </c>
      <c r="I2196">
        <v>7</v>
      </c>
      <c r="J2196">
        <v>3</v>
      </c>
      <c r="K2196">
        <v>0</v>
      </c>
      <c r="L2196">
        <v>657</v>
      </c>
      <c r="M2196">
        <v>45</v>
      </c>
      <c r="N2196" s="1">
        <f t="shared" si="272"/>
        <v>44938</v>
      </c>
      <c r="O2196" s="1">
        <f t="shared" si="273"/>
        <v>43101</v>
      </c>
      <c r="P2196" s="1">
        <f t="shared" si="274"/>
        <v>44136</v>
      </c>
      <c r="Q2196" s="8">
        <f t="shared" si="275"/>
        <v>0</v>
      </c>
      <c r="R2196" s="8">
        <f t="shared" si="276"/>
        <v>35</v>
      </c>
      <c r="S2196" s="8">
        <f t="shared" ca="1" si="277"/>
        <v>35</v>
      </c>
      <c r="T2196">
        <f t="shared" ca="1" si="278"/>
        <v>3.2447890320009476</v>
      </c>
      <c r="U2196" s="8">
        <f t="shared" ca="1" si="279"/>
        <v>2.1492993571680161</v>
      </c>
      <c r="V2196" s="8">
        <f ca="1">RawData[[#This Row],[Z (smoothed demand size)]]/RawData[[#This Row],[X (smoothed interval)]]</f>
        <v>1.5096961813064433</v>
      </c>
    </row>
    <row r="2197" spans="1:22">
      <c r="A2197" t="s">
        <v>49</v>
      </c>
      <c r="B2197" t="s">
        <v>39</v>
      </c>
      <c r="C2197">
        <v>32</v>
      </c>
      <c r="D2197" t="s">
        <v>18</v>
      </c>
      <c r="E2197" t="s">
        <v>16</v>
      </c>
      <c r="F2197" s="1">
        <v>43842</v>
      </c>
      <c r="G2197">
        <v>0</v>
      </c>
      <c r="H2197">
        <v>0</v>
      </c>
      <c r="I2197">
        <v>3</v>
      </c>
      <c r="J2197">
        <v>3</v>
      </c>
      <c r="K2197">
        <v>0</v>
      </c>
      <c r="L2197">
        <v>755</v>
      </c>
      <c r="M2197">
        <v>60</v>
      </c>
      <c r="N2197" s="1">
        <f t="shared" si="272"/>
        <v>44938</v>
      </c>
      <c r="O2197" s="1">
        <f t="shared" si="273"/>
        <v>43101</v>
      </c>
      <c r="P2197" s="1">
        <f t="shared" si="274"/>
        <v>44166</v>
      </c>
      <c r="Q2197" s="8">
        <f t="shared" si="275"/>
        <v>0</v>
      </c>
      <c r="R2197" s="8">
        <f t="shared" si="276"/>
        <v>36</v>
      </c>
      <c r="S2197" s="8">
        <f t="shared" ca="1" si="277"/>
        <v>35</v>
      </c>
      <c r="T2197">
        <f t="shared" ca="1" si="278"/>
        <v>3.2447890320009476</v>
      </c>
      <c r="U2197" s="8">
        <f t="shared" ca="1" si="279"/>
        <v>2.1492993571680161</v>
      </c>
      <c r="V2197" s="8">
        <f ca="1">RawData[[#This Row],[Z (smoothed demand size)]]/RawData[[#This Row],[X (smoothed interval)]]</f>
        <v>1.5096961813064433</v>
      </c>
    </row>
    <row r="2198" spans="1:22">
      <c r="A2198" t="s">
        <v>49</v>
      </c>
      <c r="B2198" t="s">
        <v>39</v>
      </c>
      <c r="C2198">
        <v>32</v>
      </c>
      <c r="D2198" t="s">
        <v>18</v>
      </c>
      <c r="E2198" t="s">
        <v>16</v>
      </c>
      <c r="F2198" s="1">
        <v>44197</v>
      </c>
      <c r="G2198">
        <v>1</v>
      </c>
      <c r="H2198">
        <v>1</v>
      </c>
      <c r="I2198">
        <v>10</v>
      </c>
      <c r="J2198">
        <v>9</v>
      </c>
      <c r="K2198">
        <v>0</v>
      </c>
      <c r="L2198">
        <v>664</v>
      </c>
      <c r="M2198">
        <v>15</v>
      </c>
      <c r="N2198" s="1">
        <f t="shared" si="272"/>
        <v>44938</v>
      </c>
      <c r="O2198" s="1">
        <f t="shared" si="273"/>
        <v>43101</v>
      </c>
      <c r="P2198" s="1">
        <f t="shared" si="274"/>
        <v>44197</v>
      </c>
      <c r="Q2198" s="8">
        <f t="shared" si="275"/>
        <v>0</v>
      </c>
      <c r="R2198" s="8">
        <f t="shared" si="276"/>
        <v>37</v>
      </c>
      <c r="S2198" s="8">
        <f t="shared" ca="1" si="277"/>
        <v>37</v>
      </c>
      <c r="T2198">
        <f t="shared" ca="1" si="278"/>
        <v>2.7958312256007583</v>
      </c>
      <c r="U2198" s="8">
        <f t="shared" ca="1" si="279"/>
        <v>2.119439485734413</v>
      </c>
      <c r="V2198" s="8">
        <f ca="1">RawData[[#This Row],[Z (smoothed demand size)]]/RawData[[#This Row],[X (smoothed interval)]]</f>
        <v>1.3191370852619397</v>
      </c>
    </row>
    <row r="2199" spans="1:22">
      <c r="A2199" t="s">
        <v>49</v>
      </c>
      <c r="B2199" t="s">
        <v>39</v>
      </c>
      <c r="C2199">
        <v>32</v>
      </c>
      <c r="D2199" t="s">
        <v>18</v>
      </c>
      <c r="E2199" t="s">
        <v>16</v>
      </c>
      <c r="F2199" s="1">
        <v>44198</v>
      </c>
      <c r="G2199">
        <v>0</v>
      </c>
      <c r="H2199">
        <v>0</v>
      </c>
      <c r="I2199">
        <v>9</v>
      </c>
      <c r="J2199">
        <v>9</v>
      </c>
      <c r="K2199">
        <v>0</v>
      </c>
      <c r="L2199">
        <v>660</v>
      </c>
      <c r="M2199">
        <v>30</v>
      </c>
      <c r="N2199" s="1">
        <f t="shared" si="272"/>
        <v>44938</v>
      </c>
      <c r="O2199" s="1">
        <f t="shared" si="273"/>
        <v>43101</v>
      </c>
      <c r="P2199" s="1">
        <f t="shared" si="274"/>
        <v>44228</v>
      </c>
      <c r="Q2199" s="8">
        <f t="shared" si="275"/>
        <v>0</v>
      </c>
      <c r="R2199" s="8">
        <f t="shared" si="276"/>
        <v>38</v>
      </c>
      <c r="S2199" s="8">
        <f t="shared" ca="1" si="277"/>
        <v>37</v>
      </c>
      <c r="T2199">
        <f t="shared" ca="1" si="278"/>
        <v>2.7958312256007583</v>
      </c>
      <c r="U2199" s="8">
        <f t="shared" ca="1" si="279"/>
        <v>2.119439485734413</v>
      </c>
      <c r="V2199" s="8">
        <f ca="1">RawData[[#This Row],[Z (smoothed demand size)]]/RawData[[#This Row],[X (smoothed interval)]]</f>
        <v>1.3191370852619397</v>
      </c>
    </row>
    <row r="2200" spans="1:22">
      <c r="A2200" t="s">
        <v>49</v>
      </c>
      <c r="B2200" t="s">
        <v>39</v>
      </c>
      <c r="C2200">
        <v>32</v>
      </c>
      <c r="D2200" t="s">
        <v>18</v>
      </c>
      <c r="E2200" t="s">
        <v>16</v>
      </c>
      <c r="F2200" s="1">
        <v>44199</v>
      </c>
      <c r="G2200">
        <v>2</v>
      </c>
      <c r="H2200">
        <v>2</v>
      </c>
      <c r="I2200">
        <v>9</v>
      </c>
      <c r="J2200">
        <v>7</v>
      </c>
      <c r="K2200">
        <v>0</v>
      </c>
      <c r="L2200">
        <v>667</v>
      </c>
      <c r="M2200">
        <v>30</v>
      </c>
      <c r="N2200" s="1">
        <f t="shared" si="272"/>
        <v>44938</v>
      </c>
      <c r="O2200" s="1">
        <f t="shared" si="273"/>
        <v>43101</v>
      </c>
      <c r="P2200" s="1">
        <f t="shared" si="274"/>
        <v>44256</v>
      </c>
      <c r="Q2200" s="8">
        <f t="shared" si="275"/>
        <v>0</v>
      </c>
      <c r="R2200" s="8">
        <f t="shared" si="276"/>
        <v>39</v>
      </c>
      <c r="S2200" s="8">
        <f t="shared" ca="1" si="277"/>
        <v>39</v>
      </c>
      <c r="T2200">
        <f t="shared" ca="1" si="278"/>
        <v>2.6366649804806066</v>
      </c>
      <c r="U2200" s="8">
        <f t="shared" ca="1" si="279"/>
        <v>2.0955515885875307</v>
      </c>
      <c r="V2200" s="8">
        <f ca="1">RawData[[#This Row],[Z (smoothed demand size)]]/RawData[[#This Row],[X (smoothed interval)]]</f>
        <v>1.258220028960396</v>
      </c>
    </row>
    <row r="2201" spans="1:22">
      <c r="A2201" t="s">
        <v>49</v>
      </c>
      <c r="B2201" t="s">
        <v>39</v>
      </c>
      <c r="C2201">
        <v>32</v>
      </c>
      <c r="D2201" t="s">
        <v>18</v>
      </c>
      <c r="E2201" t="s">
        <v>16</v>
      </c>
      <c r="F2201" s="1">
        <v>44200</v>
      </c>
      <c r="G2201">
        <v>1</v>
      </c>
      <c r="H2201">
        <v>1</v>
      </c>
      <c r="I2201">
        <v>7</v>
      </c>
      <c r="J2201">
        <v>6</v>
      </c>
      <c r="K2201">
        <v>0</v>
      </c>
      <c r="L2201">
        <v>671</v>
      </c>
      <c r="M2201">
        <v>30</v>
      </c>
      <c r="N2201" s="1">
        <f t="shared" si="272"/>
        <v>44938</v>
      </c>
      <c r="O2201" s="1">
        <f t="shared" si="273"/>
        <v>43101</v>
      </c>
      <c r="P2201" s="1">
        <f t="shared" si="274"/>
        <v>44287</v>
      </c>
      <c r="Q2201" s="8">
        <f t="shared" si="275"/>
        <v>0</v>
      </c>
      <c r="R2201" s="8">
        <f t="shared" si="276"/>
        <v>40</v>
      </c>
      <c r="S2201" s="8">
        <f t="shared" ca="1" si="277"/>
        <v>40</v>
      </c>
      <c r="T2201">
        <f t="shared" ca="1" si="278"/>
        <v>2.3093319843844857</v>
      </c>
      <c r="U2201" s="8">
        <f t="shared" ca="1" si="279"/>
        <v>1.8764412708700247</v>
      </c>
      <c r="V2201" s="8">
        <f ca="1">RawData[[#This Row],[Z (smoothed demand size)]]/RawData[[#This Row],[X (smoothed interval)]]</f>
        <v>1.2306977149962963</v>
      </c>
    </row>
    <row r="2202" spans="1:22">
      <c r="A2202" t="s">
        <v>49</v>
      </c>
      <c r="B2202" t="s">
        <v>39</v>
      </c>
      <c r="C2202">
        <v>32</v>
      </c>
      <c r="D2202" t="s">
        <v>18</v>
      </c>
      <c r="E2202" t="s">
        <v>16</v>
      </c>
      <c r="F2202" s="1">
        <v>44201</v>
      </c>
      <c r="G2202">
        <v>1</v>
      </c>
      <c r="H2202">
        <v>1</v>
      </c>
      <c r="I2202">
        <v>6</v>
      </c>
      <c r="J2202">
        <v>5</v>
      </c>
      <c r="K2202">
        <v>0</v>
      </c>
      <c r="L2202">
        <v>652</v>
      </c>
      <c r="M2202">
        <v>60</v>
      </c>
      <c r="N2202" s="1">
        <f t="shared" si="272"/>
        <v>44938</v>
      </c>
      <c r="O2202" s="1">
        <f t="shared" si="273"/>
        <v>43101</v>
      </c>
      <c r="P2202" s="1">
        <f t="shared" si="274"/>
        <v>44317</v>
      </c>
      <c r="Q2202" s="8">
        <f t="shared" si="275"/>
        <v>0</v>
      </c>
      <c r="R2202" s="8">
        <f t="shared" si="276"/>
        <v>41</v>
      </c>
      <c r="S2202" s="8">
        <f t="shared" ca="1" si="277"/>
        <v>41</v>
      </c>
      <c r="T2202">
        <f t="shared" ca="1" si="278"/>
        <v>2.0474655875075887</v>
      </c>
      <c r="U2202" s="8">
        <f t="shared" ca="1" si="279"/>
        <v>1.7011530166960198</v>
      </c>
      <c r="V2202" s="8">
        <f ca="1">RawData[[#This Row],[Z (smoothed demand size)]]/RawData[[#This Row],[X (smoothed interval)]]</f>
        <v>1.2035752030609081</v>
      </c>
    </row>
    <row r="2203" spans="1:22">
      <c r="A2203" t="s">
        <v>49</v>
      </c>
      <c r="B2203" t="s">
        <v>39</v>
      </c>
      <c r="C2203">
        <v>32</v>
      </c>
      <c r="D2203" t="s">
        <v>18</v>
      </c>
      <c r="E2203" t="s">
        <v>16</v>
      </c>
      <c r="F2203" s="1">
        <v>44202</v>
      </c>
      <c r="G2203">
        <v>3</v>
      </c>
      <c r="H2203">
        <v>3</v>
      </c>
      <c r="I2203">
        <v>5</v>
      </c>
      <c r="J2203">
        <v>2</v>
      </c>
      <c r="K2203">
        <v>0</v>
      </c>
      <c r="L2203">
        <v>770</v>
      </c>
      <c r="M2203">
        <v>45</v>
      </c>
      <c r="N2203" s="1">
        <f t="shared" si="272"/>
        <v>44938</v>
      </c>
      <c r="O2203" s="1">
        <f t="shared" si="273"/>
        <v>43101</v>
      </c>
      <c r="P2203" s="1">
        <f t="shared" si="274"/>
        <v>44348</v>
      </c>
      <c r="Q2203" s="8">
        <f t="shared" si="275"/>
        <v>0</v>
      </c>
      <c r="R2203" s="8">
        <f t="shared" si="276"/>
        <v>42</v>
      </c>
      <c r="S2203" s="8">
        <f t="shared" ca="1" si="277"/>
        <v>42</v>
      </c>
      <c r="T2203">
        <f t="shared" ca="1" si="278"/>
        <v>2.237972470006071</v>
      </c>
      <c r="U2203" s="8">
        <f t="shared" ca="1" si="279"/>
        <v>1.5609224133568158</v>
      </c>
      <c r="V2203" s="8">
        <f ca="1">RawData[[#This Row],[Z (smoothed demand size)]]/RawData[[#This Row],[X (smoothed interval)]]</f>
        <v>1.4337499742817046</v>
      </c>
    </row>
    <row r="2204" spans="1:22">
      <c r="A2204" t="s">
        <v>49</v>
      </c>
      <c r="B2204" t="s">
        <v>39</v>
      </c>
      <c r="C2204">
        <v>32</v>
      </c>
      <c r="D2204" t="s">
        <v>18</v>
      </c>
      <c r="E2204" t="s">
        <v>16</v>
      </c>
      <c r="F2204" s="1">
        <v>44203</v>
      </c>
      <c r="G2204">
        <v>1</v>
      </c>
      <c r="H2204">
        <v>1</v>
      </c>
      <c r="I2204">
        <v>2</v>
      </c>
      <c r="J2204">
        <v>1</v>
      </c>
      <c r="K2204">
        <v>0</v>
      </c>
      <c r="L2204">
        <v>754</v>
      </c>
      <c r="M2204">
        <v>45</v>
      </c>
      <c r="N2204" s="1">
        <f t="shared" si="272"/>
        <v>44938</v>
      </c>
      <c r="O2204" s="1">
        <f t="shared" si="273"/>
        <v>43101</v>
      </c>
      <c r="P2204" s="1">
        <f t="shared" si="274"/>
        <v>44378</v>
      </c>
      <c r="Q2204" s="8">
        <f t="shared" si="275"/>
        <v>0</v>
      </c>
      <c r="R2204" s="8">
        <f t="shared" si="276"/>
        <v>43</v>
      </c>
      <c r="S2204" s="8">
        <f t="shared" ca="1" si="277"/>
        <v>43</v>
      </c>
      <c r="T2204">
        <f t="shared" ca="1" si="278"/>
        <v>1.9903779760048568</v>
      </c>
      <c r="U2204" s="8">
        <f t="shared" ca="1" si="279"/>
        <v>1.4487379306854526</v>
      </c>
      <c r="V2204" s="8">
        <f ca="1">RawData[[#This Row],[Z (smoothed demand size)]]/RawData[[#This Row],[X (smoothed interval)]]</f>
        <v>1.3738702727712346</v>
      </c>
    </row>
    <row r="2205" spans="1:22">
      <c r="A2205" t="s">
        <v>49</v>
      </c>
      <c r="B2205" t="s">
        <v>39</v>
      </c>
      <c r="C2205">
        <v>32</v>
      </c>
      <c r="D2205" t="s">
        <v>18</v>
      </c>
      <c r="E2205" t="s">
        <v>16</v>
      </c>
      <c r="F2205" s="1">
        <v>44204</v>
      </c>
      <c r="G2205">
        <v>4</v>
      </c>
      <c r="H2205">
        <v>4</v>
      </c>
      <c r="I2205">
        <v>9</v>
      </c>
      <c r="J2205">
        <v>5</v>
      </c>
      <c r="K2205">
        <v>0</v>
      </c>
      <c r="L2205">
        <v>759</v>
      </c>
      <c r="M2205">
        <v>45</v>
      </c>
      <c r="N2205" s="1">
        <f t="shared" si="272"/>
        <v>44938</v>
      </c>
      <c r="O2205" s="1">
        <f t="shared" si="273"/>
        <v>43101</v>
      </c>
      <c r="P2205" s="1">
        <f t="shared" si="274"/>
        <v>44409</v>
      </c>
      <c r="Q2205" s="8">
        <f t="shared" si="275"/>
        <v>0</v>
      </c>
      <c r="R2205" s="8">
        <f t="shared" si="276"/>
        <v>44</v>
      </c>
      <c r="S2205" s="8">
        <f t="shared" ca="1" si="277"/>
        <v>44</v>
      </c>
      <c r="T2205">
        <f t="shared" ca="1" si="278"/>
        <v>2.3923023808038852</v>
      </c>
      <c r="U2205" s="8">
        <f t="shared" ca="1" si="279"/>
        <v>1.3589903445483622</v>
      </c>
      <c r="V2205" s="8">
        <f ca="1">RawData[[#This Row],[Z (smoothed demand size)]]/RawData[[#This Row],[X (smoothed interval)]]</f>
        <v>1.7603527430497874</v>
      </c>
    </row>
    <row r="2206" spans="1:22">
      <c r="A2206" t="s">
        <v>49</v>
      </c>
      <c r="B2206" t="s">
        <v>39</v>
      </c>
      <c r="C2206">
        <v>32</v>
      </c>
      <c r="D2206" t="s">
        <v>18</v>
      </c>
      <c r="E2206" t="s">
        <v>16</v>
      </c>
      <c r="F2206" s="1">
        <v>44205</v>
      </c>
      <c r="G2206">
        <v>4</v>
      </c>
      <c r="H2206">
        <v>4</v>
      </c>
      <c r="I2206">
        <v>5</v>
      </c>
      <c r="J2206">
        <v>1</v>
      </c>
      <c r="K2206">
        <v>0</v>
      </c>
      <c r="L2206">
        <v>653</v>
      </c>
      <c r="M2206">
        <v>60</v>
      </c>
      <c r="N2206" s="1">
        <f t="shared" si="272"/>
        <v>44938</v>
      </c>
      <c r="O2206" s="1">
        <f t="shared" si="273"/>
        <v>43101</v>
      </c>
      <c r="P2206" s="1">
        <f t="shared" si="274"/>
        <v>44440</v>
      </c>
      <c r="Q2206" s="8">
        <f t="shared" si="275"/>
        <v>0</v>
      </c>
      <c r="R2206" s="8">
        <f t="shared" si="276"/>
        <v>45</v>
      </c>
      <c r="S2206" s="8">
        <f t="shared" ca="1" si="277"/>
        <v>45</v>
      </c>
      <c r="T2206">
        <f t="shared" ca="1" si="278"/>
        <v>2.7138419046431084</v>
      </c>
      <c r="U2206" s="8">
        <f t="shared" ca="1" si="279"/>
        <v>1.2871922756386898</v>
      </c>
      <c r="V2206" s="8">
        <f ca="1">RawData[[#This Row],[Z (smoothed demand size)]]/RawData[[#This Row],[X (smoothed interval)]]</f>
        <v>2.1083422857680931</v>
      </c>
    </row>
    <row r="2207" spans="1:22">
      <c r="A2207" t="s">
        <v>49</v>
      </c>
      <c r="B2207" t="s">
        <v>39</v>
      </c>
      <c r="C2207">
        <v>32</v>
      </c>
      <c r="D2207" t="s">
        <v>18</v>
      </c>
      <c r="E2207" t="s">
        <v>16</v>
      </c>
      <c r="F2207" s="1">
        <v>44206</v>
      </c>
      <c r="G2207">
        <v>3</v>
      </c>
      <c r="H2207">
        <v>1</v>
      </c>
      <c r="I2207">
        <v>1</v>
      </c>
      <c r="J2207">
        <v>0</v>
      </c>
      <c r="K2207">
        <v>1</v>
      </c>
      <c r="L2207">
        <v>653</v>
      </c>
      <c r="M2207">
        <v>60</v>
      </c>
      <c r="N2207" s="1">
        <f t="shared" si="272"/>
        <v>44938</v>
      </c>
      <c r="O2207" s="1">
        <f t="shared" si="273"/>
        <v>43101</v>
      </c>
      <c r="P2207" s="1">
        <f t="shared" si="274"/>
        <v>44470</v>
      </c>
      <c r="Q2207" s="8">
        <f t="shared" si="275"/>
        <v>0</v>
      </c>
      <c r="R2207" s="8">
        <f t="shared" si="276"/>
        <v>46</v>
      </c>
      <c r="S2207" s="8">
        <f t="shared" ca="1" si="277"/>
        <v>46</v>
      </c>
      <c r="T2207">
        <f t="shared" ca="1" si="278"/>
        <v>2.7710735237144868</v>
      </c>
      <c r="U2207" s="8">
        <f t="shared" ca="1" si="279"/>
        <v>1.2297538205109517</v>
      </c>
      <c r="V2207" s="8">
        <f ca="1">RawData[[#This Row],[Z (smoothed demand size)]]/RawData[[#This Row],[X (smoothed interval)]]</f>
        <v>2.2533563039170965</v>
      </c>
    </row>
    <row r="2208" spans="1:22">
      <c r="A2208" t="s">
        <v>49</v>
      </c>
      <c r="B2208" t="s">
        <v>39</v>
      </c>
      <c r="C2208">
        <v>32</v>
      </c>
      <c r="D2208" t="s">
        <v>18</v>
      </c>
      <c r="E2208" t="s">
        <v>16</v>
      </c>
      <c r="F2208" s="1">
        <v>44207</v>
      </c>
      <c r="G2208">
        <v>2</v>
      </c>
      <c r="H2208">
        <v>2</v>
      </c>
      <c r="I2208">
        <v>12</v>
      </c>
      <c r="J2208">
        <v>10</v>
      </c>
      <c r="K2208">
        <v>0</v>
      </c>
      <c r="L2208">
        <v>649</v>
      </c>
      <c r="M2208">
        <v>15</v>
      </c>
      <c r="N2208" s="1">
        <f t="shared" si="272"/>
        <v>44938</v>
      </c>
      <c r="O2208" s="1">
        <f t="shared" si="273"/>
        <v>43101</v>
      </c>
      <c r="P2208" s="1">
        <f t="shared" si="274"/>
        <v>44501</v>
      </c>
      <c r="Q2208" s="8">
        <f t="shared" si="275"/>
        <v>0</v>
      </c>
      <c r="R2208" s="8">
        <f t="shared" si="276"/>
        <v>47</v>
      </c>
      <c r="S2208" s="8">
        <f t="shared" ca="1" si="277"/>
        <v>47</v>
      </c>
      <c r="T2208">
        <f t="shared" ca="1" si="278"/>
        <v>2.6168588189715893</v>
      </c>
      <c r="U2208" s="8">
        <f t="shared" ca="1" si="279"/>
        <v>1.1838030564087614</v>
      </c>
      <c r="V2208" s="8">
        <f ca="1">RawData[[#This Row],[Z (smoothed demand size)]]/RawData[[#This Row],[X (smoothed interval)]]</f>
        <v>2.2105525110825535</v>
      </c>
    </row>
    <row r="2209" spans="1:22">
      <c r="A2209" t="s">
        <v>49</v>
      </c>
      <c r="B2209" t="s">
        <v>39</v>
      </c>
      <c r="C2209">
        <v>32</v>
      </c>
      <c r="D2209" t="s">
        <v>18</v>
      </c>
      <c r="E2209" t="s">
        <v>16</v>
      </c>
      <c r="F2209" s="1">
        <v>44208</v>
      </c>
      <c r="G2209">
        <v>2</v>
      </c>
      <c r="H2209">
        <v>2</v>
      </c>
      <c r="I2209">
        <v>10</v>
      </c>
      <c r="J2209">
        <v>8</v>
      </c>
      <c r="K2209">
        <v>0</v>
      </c>
      <c r="L2209">
        <v>758</v>
      </c>
      <c r="M2209">
        <v>15</v>
      </c>
      <c r="N2209" s="1">
        <f t="shared" si="272"/>
        <v>44938</v>
      </c>
      <c r="O2209" s="1">
        <f t="shared" si="273"/>
        <v>43101</v>
      </c>
      <c r="P2209" s="1">
        <f t="shared" si="274"/>
        <v>44531</v>
      </c>
      <c r="Q2209" s="8">
        <f t="shared" si="275"/>
        <v>0</v>
      </c>
      <c r="R2209" s="8">
        <f t="shared" si="276"/>
        <v>48</v>
      </c>
      <c r="S2209" s="8">
        <f t="shared" ca="1" si="277"/>
        <v>48</v>
      </c>
      <c r="T2209">
        <f t="shared" ca="1" si="278"/>
        <v>2.4934870551772716</v>
      </c>
      <c r="U2209" s="8">
        <f t="shared" ca="1" si="279"/>
        <v>1.1470424451270091</v>
      </c>
      <c r="V2209" s="8">
        <f ca="1">RawData[[#This Row],[Z (smoothed demand size)]]/RawData[[#This Row],[X (smoothed interval)]]</f>
        <v>2.1738402670017796</v>
      </c>
    </row>
    <row r="2210" spans="1:22">
      <c r="A2210" t="s">
        <v>49</v>
      </c>
      <c r="B2210" t="s">
        <v>39</v>
      </c>
      <c r="C2210">
        <v>32</v>
      </c>
      <c r="D2210" t="s">
        <v>18</v>
      </c>
      <c r="E2210" t="s">
        <v>16</v>
      </c>
      <c r="F2210" s="1">
        <v>44562</v>
      </c>
      <c r="G2210">
        <v>5</v>
      </c>
      <c r="H2210">
        <v>5</v>
      </c>
      <c r="I2210">
        <v>8</v>
      </c>
      <c r="J2210">
        <v>3</v>
      </c>
      <c r="K2210">
        <v>0</v>
      </c>
      <c r="L2210">
        <v>660</v>
      </c>
      <c r="M2210">
        <v>15</v>
      </c>
      <c r="N2210" s="1">
        <f t="shared" si="272"/>
        <v>44938</v>
      </c>
      <c r="O2210" s="1">
        <f t="shared" si="273"/>
        <v>43101</v>
      </c>
      <c r="P2210" s="1">
        <f t="shared" si="274"/>
        <v>44562</v>
      </c>
      <c r="Q2210" s="8">
        <f t="shared" si="275"/>
        <v>0</v>
      </c>
      <c r="R2210" s="8">
        <f t="shared" si="276"/>
        <v>49</v>
      </c>
      <c r="S2210" s="8">
        <f t="shared" ca="1" si="277"/>
        <v>49</v>
      </c>
      <c r="T2210">
        <f t="shared" ca="1" si="278"/>
        <v>2.9947896441418171</v>
      </c>
      <c r="U2210" s="8">
        <f t="shared" ca="1" si="279"/>
        <v>1.1176339561016073</v>
      </c>
      <c r="V2210" s="8">
        <f ca="1">RawData[[#This Row],[Z (smoothed demand size)]]/RawData[[#This Row],[X (smoothed interval)]]</f>
        <v>2.6795800429935688</v>
      </c>
    </row>
    <row r="2211" spans="1:22">
      <c r="A2211" t="s">
        <v>49</v>
      </c>
      <c r="B2211" t="s">
        <v>39</v>
      </c>
      <c r="C2211">
        <v>32</v>
      </c>
      <c r="D2211" t="s">
        <v>18</v>
      </c>
      <c r="E2211" t="s">
        <v>16</v>
      </c>
      <c r="F2211" s="1">
        <v>44563</v>
      </c>
      <c r="G2211">
        <v>2</v>
      </c>
      <c r="H2211">
        <v>2</v>
      </c>
      <c r="I2211">
        <v>13</v>
      </c>
      <c r="J2211">
        <v>11</v>
      </c>
      <c r="K2211">
        <v>0</v>
      </c>
      <c r="L2211">
        <v>658</v>
      </c>
      <c r="M2211">
        <v>60</v>
      </c>
      <c r="N2211" s="1">
        <f t="shared" si="272"/>
        <v>44938</v>
      </c>
      <c r="O2211" s="1">
        <f t="shared" si="273"/>
        <v>43101</v>
      </c>
      <c r="P2211" s="1">
        <f t="shared" si="274"/>
        <v>44593</v>
      </c>
      <c r="Q2211" s="8">
        <f t="shared" si="275"/>
        <v>0</v>
      </c>
      <c r="R2211" s="8">
        <f t="shared" si="276"/>
        <v>50</v>
      </c>
      <c r="S2211" s="8">
        <f t="shared" ca="1" si="277"/>
        <v>50</v>
      </c>
      <c r="T2211">
        <f t="shared" ca="1" si="278"/>
        <v>2.7958317153134535</v>
      </c>
      <c r="U2211" s="8">
        <f t="shared" ca="1" si="279"/>
        <v>1.0941071648812859</v>
      </c>
      <c r="V2211" s="8">
        <f ca="1">RawData[[#This Row],[Z (smoothed demand size)]]/RawData[[#This Row],[X (smoothed interval)]]</f>
        <v>2.5553545439187486</v>
      </c>
    </row>
    <row r="2212" spans="1:22">
      <c r="A2212" t="s">
        <v>49</v>
      </c>
      <c r="B2212" t="s">
        <v>39</v>
      </c>
      <c r="C2212">
        <v>32</v>
      </c>
      <c r="D2212" t="s">
        <v>18</v>
      </c>
      <c r="E2212" t="s">
        <v>16</v>
      </c>
      <c r="F2212" s="1">
        <v>44564</v>
      </c>
      <c r="G2212">
        <v>4</v>
      </c>
      <c r="H2212">
        <v>4</v>
      </c>
      <c r="I2212">
        <v>11</v>
      </c>
      <c r="J2212">
        <v>7</v>
      </c>
      <c r="K2212">
        <v>0</v>
      </c>
      <c r="L2212">
        <v>648</v>
      </c>
      <c r="M2212">
        <v>15</v>
      </c>
      <c r="N2212" s="1">
        <f t="shared" si="272"/>
        <v>44938</v>
      </c>
      <c r="O2212" s="1">
        <f t="shared" si="273"/>
        <v>43101</v>
      </c>
      <c r="P2212" s="1">
        <f t="shared" si="274"/>
        <v>44621</v>
      </c>
      <c r="Q2212" s="8">
        <f t="shared" si="275"/>
        <v>0</v>
      </c>
      <c r="R2212" s="8">
        <f t="shared" si="276"/>
        <v>51</v>
      </c>
      <c r="S2212" s="8">
        <f t="shared" ca="1" si="277"/>
        <v>51</v>
      </c>
      <c r="T2212">
        <f t="shared" ca="1" si="278"/>
        <v>3.0366653722507628</v>
      </c>
      <c r="U2212" s="8">
        <f t="shared" ca="1" si="279"/>
        <v>1.0752857319050289</v>
      </c>
      <c r="V2212" s="8">
        <f ca="1">RawData[[#This Row],[Z (smoothed demand size)]]/RawData[[#This Row],[X (smoothed interval)]]</f>
        <v>2.8240543719210871</v>
      </c>
    </row>
    <row r="2213" spans="1:22">
      <c r="A2213" t="s">
        <v>49</v>
      </c>
      <c r="B2213" t="s">
        <v>39</v>
      </c>
      <c r="C2213">
        <v>32</v>
      </c>
      <c r="D2213" t="s">
        <v>18</v>
      </c>
      <c r="E2213" t="s">
        <v>16</v>
      </c>
      <c r="F2213" s="1">
        <v>44565</v>
      </c>
      <c r="G2213">
        <v>1</v>
      </c>
      <c r="H2213">
        <v>1</v>
      </c>
      <c r="I2213">
        <v>7</v>
      </c>
      <c r="J2213">
        <v>6</v>
      </c>
      <c r="K2213">
        <v>0</v>
      </c>
      <c r="L2213">
        <v>647</v>
      </c>
      <c r="M2213">
        <v>60</v>
      </c>
      <c r="N2213" s="1">
        <f t="shared" si="272"/>
        <v>44938</v>
      </c>
      <c r="O2213" s="1">
        <f t="shared" si="273"/>
        <v>43101</v>
      </c>
      <c r="P2213" s="1">
        <f t="shared" si="274"/>
        <v>44652</v>
      </c>
      <c r="Q2213" s="8">
        <f t="shared" si="275"/>
        <v>0</v>
      </c>
      <c r="R2213" s="8">
        <f t="shared" si="276"/>
        <v>52</v>
      </c>
      <c r="S2213" s="8">
        <f t="shared" ca="1" si="277"/>
        <v>52</v>
      </c>
      <c r="T2213">
        <f t="shared" ca="1" si="278"/>
        <v>2.6293322978006106</v>
      </c>
      <c r="U2213" s="8">
        <f t="shared" ca="1" si="279"/>
        <v>1.0602285855240232</v>
      </c>
      <c r="V2213" s="8">
        <f ca="1">RawData[[#This Row],[Z (smoothed demand size)]]/RawData[[#This Row],[X (smoothed interval)]]</f>
        <v>2.4799673709052565</v>
      </c>
    </row>
    <row r="2214" spans="1:22">
      <c r="A2214" t="s">
        <v>49</v>
      </c>
      <c r="B2214" t="s">
        <v>39</v>
      </c>
      <c r="C2214">
        <v>32</v>
      </c>
      <c r="D2214" t="s">
        <v>18</v>
      </c>
      <c r="E2214" t="s">
        <v>16</v>
      </c>
      <c r="F2214" s="1">
        <v>44566</v>
      </c>
      <c r="G2214">
        <v>0</v>
      </c>
      <c r="H2214">
        <v>0</v>
      </c>
      <c r="I2214">
        <v>6</v>
      </c>
      <c r="J2214">
        <v>6</v>
      </c>
      <c r="K2214">
        <v>0</v>
      </c>
      <c r="L2214">
        <v>660</v>
      </c>
      <c r="M2214">
        <v>15</v>
      </c>
      <c r="N2214" s="1">
        <f t="shared" si="272"/>
        <v>44938</v>
      </c>
      <c r="O2214" s="1">
        <f t="shared" si="273"/>
        <v>43101</v>
      </c>
      <c r="P2214" s="1">
        <f t="shared" si="274"/>
        <v>44682</v>
      </c>
      <c r="Q2214" s="8">
        <f t="shared" si="275"/>
        <v>0</v>
      </c>
      <c r="R2214" s="8">
        <f t="shared" si="276"/>
        <v>53</v>
      </c>
      <c r="S2214" s="8">
        <f t="shared" ca="1" si="277"/>
        <v>52</v>
      </c>
      <c r="T2214">
        <f t="shared" ca="1" si="278"/>
        <v>2.6293322978006106</v>
      </c>
      <c r="U2214" s="8">
        <f t="shared" ca="1" si="279"/>
        <v>1.0602285855240232</v>
      </c>
      <c r="V2214" s="8">
        <f ca="1">RawData[[#This Row],[Z (smoothed demand size)]]/RawData[[#This Row],[X (smoothed interval)]]</f>
        <v>2.4799673709052565</v>
      </c>
    </row>
    <row r="2215" spans="1:22">
      <c r="A2215" t="s">
        <v>49</v>
      </c>
      <c r="B2215" t="s">
        <v>39</v>
      </c>
      <c r="C2215">
        <v>32</v>
      </c>
      <c r="D2215" t="s">
        <v>18</v>
      </c>
      <c r="E2215" t="s">
        <v>16</v>
      </c>
      <c r="F2215" s="1">
        <v>44567</v>
      </c>
      <c r="G2215">
        <v>7</v>
      </c>
      <c r="H2215">
        <v>6</v>
      </c>
      <c r="I2215">
        <v>6</v>
      </c>
      <c r="J2215">
        <v>0</v>
      </c>
      <c r="K2215">
        <v>1</v>
      </c>
      <c r="L2215">
        <v>765</v>
      </c>
      <c r="M2215">
        <v>45</v>
      </c>
      <c r="N2215" s="1">
        <f t="shared" si="272"/>
        <v>44938</v>
      </c>
      <c r="O2215" s="1">
        <f t="shared" si="273"/>
        <v>43101</v>
      </c>
      <c r="P2215" s="1">
        <f t="shared" si="274"/>
        <v>44713</v>
      </c>
      <c r="Q2215" s="8">
        <f t="shared" si="275"/>
        <v>0</v>
      </c>
      <c r="R2215" s="8">
        <f t="shared" si="276"/>
        <v>54</v>
      </c>
      <c r="S2215" s="8">
        <f t="shared" ca="1" si="277"/>
        <v>54</v>
      </c>
      <c r="T2215">
        <f t="shared" ca="1" si="278"/>
        <v>3.5034658382404888</v>
      </c>
      <c r="U2215" s="8">
        <f t="shared" ca="1" si="279"/>
        <v>1.2481828684192187</v>
      </c>
      <c r="V2215" s="8">
        <f ca="1">RawData[[#This Row],[Z (smoothed demand size)]]/RawData[[#This Row],[X (smoothed interval)]]</f>
        <v>2.8068530075865485</v>
      </c>
    </row>
    <row r="2216" spans="1:22">
      <c r="A2216" t="s">
        <v>49</v>
      </c>
      <c r="B2216" t="s">
        <v>39</v>
      </c>
      <c r="C2216">
        <v>32</v>
      </c>
      <c r="D2216" t="s">
        <v>18</v>
      </c>
      <c r="E2216" t="s">
        <v>16</v>
      </c>
      <c r="F2216" s="1">
        <v>44568</v>
      </c>
      <c r="G2216">
        <v>1</v>
      </c>
      <c r="H2216">
        <v>0</v>
      </c>
      <c r="I2216">
        <v>0</v>
      </c>
      <c r="J2216">
        <v>0</v>
      </c>
      <c r="K2216">
        <v>1</v>
      </c>
      <c r="L2216">
        <v>761</v>
      </c>
      <c r="M2216">
        <v>60</v>
      </c>
      <c r="N2216" s="1">
        <f t="shared" si="272"/>
        <v>44938</v>
      </c>
      <c r="O2216" s="1">
        <f t="shared" si="273"/>
        <v>43101</v>
      </c>
      <c r="P2216" s="1">
        <f t="shared" si="274"/>
        <v>44743</v>
      </c>
      <c r="Q2216" s="8">
        <f t="shared" si="275"/>
        <v>0</v>
      </c>
      <c r="R2216" s="8">
        <f t="shared" si="276"/>
        <v>55</v>
      </c>
      <c r="S2216" s="8">
        <f t="shared" ca="1" si="277"/>
        <v>55</v>
      </c>
      <c r="T2216">
        <f t="shared" ca="1" si="278"/>
        <v>3.0027726705923916</v>
      </c>
      <c r="U2216" s="8">
        <f t="shared" ca="1" si="279"/>
        <v>1.1985462947353749</v>
      </c>
      <c r="V2216" s="8">
        <f ca="1">RawData[[#This Row],[Z (smoothed demand size)]]/RawData[[#This Row],[X (smoothed interval)]]</f>
        <v>2.5053455872185304</v>
      </c>
    </row>
    <row r="2217" spans="1:22">
      <c r="A2217" t="s">
        <v>49</v>
      </c>
      <c r="B2217" t="s">
        <v>39</v>
      </c>
      <c r="C2217">
        <v>32</v>
      </c>
      <c r="D2217" t="s">
        <v>18</v>
      </c>
      <c r="E2217" t="s">
        <v>16</v>
      </c>
      <c r="F2217" s="1">
        <v>44569</v>
      </c>
      <c r="G2217">
        <v>1</v>
      </c>
      <c r="H2217">
        <v>1</v>
      </c>
      <c r="I2217">
        <v>9</v>
      </c>
      <c r="J2217">
        <v>8</v>
      </c>
      <c r="K2217">
        <v>0</v>
      </c>
      <c r="L2217">
        <v>773</v>
      </c>
      <c r="M2217">
        <v>30</v>
      </c>
      <c r="N2217" s="1">
        <f t="shared" si="272"/>
        <v>44938</v>
      </c>
      <c r="O2217" s="1">
        <f t="shared" si="273"/>
        <v>43101</v>
      </c>
      <c r="P2217" s="1">
        <f t="shared" si="274"/>
        <v>44774</v>
      </c>
      <c r="Q2217" s="8">
        <f t="shared" si="275"/>
        <v>0</v>
      </c>
      <c r="R2217" s="8">
        <f t="shared" si="276"/>
        <v>56</v>
      </c>
      <c r="S2217" s="8">
        <f t="shared" ca="1" si="277"/>
        <v>56</v>
      </c>
      <c r="T2217">
        <f t="shared" ca="1" si="278"/>
        <v>2.6022181364739136</v>
      </c>
      <c r="U2217" s="8">
        <f t="shared" ca="1" si="279"/>
        <v>1.1588370357883</v>
      </c>
      <c r="V2217" s="8">
        <f ca="1">RawData[[#This Row],[Z (smoothed demand size)]]/RawData[[#This Row],[X (smoothed interval)]]</f>
        <v>2.2455427778969388</v>
      </c>
    </row>
    <row r="2218" spans="1:22">
      <c r="A2218" t="s">
        <v>49</v>
      </c>
      <c r="B2218" t="s">
        <v>39</v>
      </c>
      <c r="C2218">
        <v>32</v>
      </c>
      <c r="D2218" t="s">
        <v>18</v>
      </c>
      <c r="E2218" t="s">
        <v>16</v>
      </c>
      <c r="F2218" s="1">
        <v>44570</v>
      </c>
      <c r="G2218">
        <v>0</v>
      </c>
      <c r="H2218">
        <v>0</v>
      </c>
      <c r="I2218">
        <v>8</v>
      </c>
      <c r="J2218">
        <v>8</v>
      </c>
      <c r="K2218">
        <v>0</v>
      </c>
      <c r="L2218">
        <v>660</v>
      </c>
      <c r="M2218">
        <v>15</v>
      </c>
      <c r="N2218" s="1">
        <f t="shared" si="272"/>
        <v>44938</v>
      </c>
      <c r="O2218" s="1">
        <f t="shared" si="273"/>
        <v>43101</v>
      </c>
      <c r="P2218" s="1">
        <f t="shared" si="274"/>
        <v>44805</v>
      </c>
      <c r="Q2218" s="8">
        <f t="shared" si="275"/>
        <v>0</v>
      </c>
      <c r="R2218" s="8">
        <f t="shared" si="276"/>
        <v>57</v>
      </c>
      <c r="S2218" s="8">
        <f t="shared" ca="1" si="277"/>
        <v>56</v>
      </c>
      <c r="T2218">
        <f t="shared" ca="1" si="278"/>
        <v>2.6022181364739136</v>
      </c>
      <c r="U2218" s="8">
        <f t="shared" ca="1" si="279"/>
        <v>1.1588370357883</v>
      </c>
      <c r="V2218" s="8">
        <f ca="1">RawData[[#This Row],[Z (smoothed demand size)]]/RawData[[#This Row],[X (smoothed interval)]]</f>
        <v>2.2455427778969388</v>
      </c>
    </row>
    <row r="2219" spans="1:22">
      <c r="A2219" t="s">
        <v>49</v>
      </c>
      <c r="B2219" t="s">
        <v>39</v>
      </c>
      <c r="C2219">
        <v>32</v>
      </c>
      <c r="D2219" t="s">
        <v>18</v>
      </c>
      <c r="E2219" t="s">
        <v>16</v>
      </c>
      <c r="F2219" s="1">
        <v>44571</v>
      </c>
      <c r="G2219">
        <v>1</v>
      </c>
      <c r="H2219">
        <v>1</v>
      </c>
      <c r="I2219">
        <v>8</v>
      </c>
      <c r="J2219">
        <v>7</v>
      </c>
      <c r="K2219">
        <v>0</v>
      </c>
      <c r="L2219">
        <v>662</v>
      </c>
      <c r="M2219">
        <v>45</v>
      </c>
      <c r="N2219" s="1">
        <f t="shared" si="272"/>
        <v>44938</v>
      </c>
      <c r="O2219" s="1">
        <f t="shared" si="273"/>
        <v>43101</v>
      </c>
      <c r="P2219" s="1">
        <f t="shared" si="274"/>
        <v>44835</v>
      </c>
      <c r="Q2219" s="8">
        <f t="shared" si="275"/>
        <v>0</v>
      </c>
      <c r="R2219" s="8">
        <f t="shared" si="276"/>
        <v>58</v>
      </c>
      <c r="S2219" s="8">
        <f t="shared" ca="1" si="277"/>
        <v>58</v>
      </c>
      <c r="T2219">
        <f t="shared" ca="1" si="278"/>
        <v>2.2817745091791313</v>
      </c>
      <c r="U2219" s="8">
        <f t="shared" ca="1" si="279"/>
        <v>1.32706962863064</v>
      </c>
      <c r="V2219" s="8">
        <f ca="1">RawData[[#This Row],[Z (smoothed demand size)]]/RawData[[#This Row],[X (smoothed interval)]]</f>
        <v>1.7194082811868885</v>
      </c>
    </row>
    <row r="2220" spans="1:22">
      <c r="A2220" t="s">
        <v>49</v>
      </c>
      <c r="B2220" t="s">
        <v>39</v>
      </c>
      <c r="C2220">
        <v>32</v>
      </c>
      <c r="D2220" t="s">
        <v>18</v>
      </c>
      <c r="E2220" t="s">
        <v>16</v>
      </c>
      <c r="F2220" s="1">
        <v>44572</v>
      </c>
      <c r="G2220">
        <v>0</v>
      </c>
      <c r="H2220">
        <v>0</v>
      </c>
      <c r="I2220">
        <v>7</v>
      </c>
      <c r="J2220">
        <v>7</v>
      </c>
      <c r="K2220">
        <v>0</v>
      </c>
      <c r="L2220">
        <v>660</v>
      </c>
      <c r="M2220">
        <v>15</v>
      </c>
      <c r="N2220" s="1">
        <f t="shared" si="272"/>
        <v>44938</v>
      </c>
      <c r="O2220" s="1">
        <f t="shared" si="273"/>
        <v>43101</v>
      </c>
      <c r="P2220" s="1">
        <f t="shared" si="274"/>
        <v>44866</v>
      </c>
      <c r="Q2220" s="8">
        <f t="shared" si="275"/>
        <v>0</v>
      </c>
      <c r="R2220" s="8">
        <f t="shared" si="276"/>
        <v>59</v>
      </c>
      <c r="S2220" s="8">
        <f t="shared" ca="1" si="277"/>
        <v>58</v>
      </c>
      <c r="T2220">
        <f t="shared" ca="1" si="278"/>
        <v>2.2817745091791313</v>
      </c>
      <c r="U2220" s="8">
        <f t="shared" ca="1" si="279"/>
        <v>1.32706962863064</v>
      </c>
      <c r="V2220" s="8">
        <f ca="1">RawData[[#This Row],[Z (smoothed demand size)]]/RawData[[#This Row],[X (smoothed interval)]]</f>
        <v>1.7194082811868885</v>
      </c>
    </row>
    <row r="2221" spans="1:22">
      <c r="A2221" t="s">
        <v>49</v>
      </c>
      <c r="B2221" t="s">
        <v>39</v>
      </c>
      <c r="C2221">
        <v>32</v>
      </c>
      <c r="D2221" t="s">
        <v>18</v>
      </c>
      <c r="E2221" t="s">
        <v>16</v>
      </c>
      <c r="F2221" s="1">
        <v>44573</v>
      </c>
      <c r="G2221">
        <v>4</v>
      </c>
      <c r="H2221">
        <v>4</v>
      </c>
      <c r="I2221">
        <v>7</v>
      </c>
      <c r="J2221">
        <v>3</v>
      </c>
      <c r="K2221">
        <v>0</v>
      </c>
      <c r="L2221">
        <v>753</v>
      </c>
      <c r="M2221">
        <v>45</v>
      </c>
      <c r="N2221" s="1">
        <f t="shared" si="272"/>
        <v>44938</v>
      </c>
      <c r="O2221" s="1">
        <f t="shared" si="273"/>
        <v>43101</v>
      </c>
      <c r="P2221" s="1">
        <f t="shared" si="274"/>
        <v>44896</v>
      </c>
      <c r="Q2221" s="8">
        <f t="shared" si="275"/>
        <v>0</v>
      </c>
      <c r="R2221" s="8">
        <f t="shared" si="276"/>
        <v>60</v>
      </c>
      <c r="S2221" s="8">
        <f t="shared" ca="1" si="277"/>
        <v>60</v>
      </c>
      <c r="T2221">
        <f t="shared" ca="1" si="278"/>
        <v>2.6254196073433054</v>
      </c>
      <c r="U2221" s="8">
        <f t="shared" ca="1" si="279"/>
        <v>1.4616557029045123</v>
      </c>
      <c r="V2221" s="8">
        <f ca="1">RawData[[#This Row],[Z (smoothed demand size)]]/RawData[[#This Row],[X (smoothed interval)]]</f>
        <v>1.7961956445189062</v>
      </c>
    </row>
    <row r="2222" spans="1:22">
      <c r="A2222" t="s">
        <v>49</v>
      </c>
      <c r="B2222" t="s">
        <v>39</v>
      </c>
      <c r="C2222">
        <v>32</v>
      </c>
      <c r="D2222" t="s">
        <v>18</v>
      </c>
      <c r="E2222" t="s">
        <v>16</v>
      </c>
      <c r="F2222" s="1">
        <v>44927</v>
      </c>
      <c r="G2222">
        <v>0</v>
      </c>
      <c r="H2222">
        <v>0</v>
      </c>
      <c r="I2222">
        <v>3</v>
      </c>
      <c r="J2222">
        <v>3</v>
      </c>
      <c r="K2222">
        <v>0</v>
      </c>
      <c r="L2222">
        <v>657</v>
      </c>
      <c r="M2222">
        <v>30</v>
      </c>
      <c r="N2222" s="1">
        <f t="shared" si="272"/>
        <v>44938</v>
      </c>
      <c r="O2222" s="1">
        <f t="shared" si="273"/>
        <v>43101</v>
      </c>
      <c r="P2222" s="1">
        <f t="shared" si="274"/>
        <v>44927</v>
      </c>
      <c r="Q2222" s="8">
        <f t="shared" si="275"/>
        <v>0</v>
      </c>
      <c r="R2222" s="8">
        <f t="shared" si="276"/>
        <v>61</v>
      </c>
      <c r="S2222" s="8">
        <f t="shared" ca="1" si="277"/>
        <v>60</v>
      </c>
      <c r="T2222">
        <f t="shared" ca="1" si="278"/>
        <v>2.6254196073433054</v>
      </c>
      <c r="U2222" s="8">
        <f t="shared" ca="1" si="279"/>
        <v>1.4616557029045123</v>
      </c>
      <c r="V2222" s="8">
        <f ca="1">RawData[[#This Row],[Z (smoothed demand size)]]/RawData[[#This Row],[X (smoothed interval)]]</f>
        <v>1.7961956445189062</v>
      </c>
    </row>
    <row r="2223" spans="1:22">
      <c r="A2223" t="s">
        <v>49</v>
      </c>
      <c r="B2223" t="s">
        <v>39</v>
      </c>
      <c r="C2223">
        <v>32</v>
      </c>
      <c r="D2223" t="s">
        <v>18</v>
      </c>
      <c r="E2223" t="s">
        <v>16</v>
      </c>
      <c r="F2223" s="1">
        <v>44928</v>
      </c>
      <c r="G2223">
        <v>0</v>
      </c>
      <c r="H2223">
        <v>0</v>
      </c>
      <c r="I2223">
        <v>10</v>
      </c>
      <c r="J2223">
        <v>10</v>
      </c>
      <c r="K2223">
        <v>0</v>
      </c>
      <c r="L2223">
        <v>663</v>
      </c>
      <c r="M2223">
        <v>45</v>
      </c>
      <c r="N2223" s="1">
        <f t="shared" si="272"/>
        <v>44938</v>
      </c>
      <c r="O2223" s="1">
        <f t="shared" si="273"/>
        <v>43101</v>
      </c>
      <c r="P2223" s="1">
        <f t="shared" si="274"/>
        <v>44958</v>
      </c>
      <c r="Q2223" s="8">
        <f t="shared" si="275"/>
        <v>0</v>
      </c>
      <c r="R2223" s="8">
        <f t="shared" si="276"/>
        <v>62</v>
      </c>
      <c r="S2223" s="8">
        <f t="shared" ca="1" si="277"/>
        <v>60</v>
      </c>
      <c r="T2223">
        <f t="shared" ca="1" si="278"/>
        <v>2.6254196073433054</v>
      </c>
      <c r="U2223" s="8">
        <f t="shared" ca="1" si="279"/>
        <v>1.4616557029045123</v>
      </c>
      <c r="V2223" s="8">
        <f ca="1">RawData[[#This Row],[Z (smoothed demand size)]]/RawData[[#This Row],[X (smoothed interval)]]</f>
        <v>1.7961956445189062</v>
      </c>
    </row>
    <row r="2224" spans="1:22">
      <c r="A2224" t="s">
        <v>49</v>
      </c>
      <c r="B2224" t="s">
        <v>39</v>
      </c>
      <c r="C2224">
        <v>32</v>
      </c>
      <c r="D2224" t="s">
        <v>18</v>
      </c>
      <c r="E2224" t="s">
        <v>16</v>
      </c>
      <c r="F2224" s="1">
        <v>44929</v>
      </c>
      <c r="G2224">
        <v>0</v>
      </c>
      <c r="H2224">
        <v>0</v>
      </c>
      <c r="I2224">
        <v>10</v>
      </c>
      <c r="J2224">
        <v>10</v>
      </c>
      <c r="K2224">
        <v>0</v>
      </c>
      <c r="L2224">
        <v>664</v>
      </c>
      <c r="M2224">
        <v>60</v>
      </c>
      <c r="N2224" s="1">
        <f t="shared" si="272"/>
        <v>44938</v>
      </c>
      <c r="O2224" s="1">
        <f t="shared" si="273"/>
        <v>43101</v>
      </c>
      <c r="P2224" s="1">
        <f t="shared" si="274"/>
        <v>44986</v>
      </c>
      <c r="Q2224" s="8">
        <f t="shared" si="275"/>
        <v>0</v>
      </c>
      <c r="R2224" s="8">
        <f t="shared" si="276"/>
        <v>63</v>
      </c>
      <c r="S2224" s="8">
        <f t="shared" ca="1" si="277"/>
        <v>60</v>
      </c>
      <c r="T2224">
        <f t="shared" ca="1" si="278"/>
        <v>2.6254196073433054</v>
      </c>
      <c r="U2224" s="8">
        <f t="shared" ca="1" si="279"/>
        <v>1.4616557029045123</v>
      </c>
      <c r="V2224" s="8">
        <f ca="1">RawData[[#This Row],[Z (smoothed demand size)]]/RawData[[#This Row],[X (smoothed interval)]]</f>
        <v>1.7961956445189062</v>
      </c>
    </row>
    <row r="2225" spans="1:22">
      <c r="A2225" t="s">
        <v>49</v>
      </c>
      <c r="B2225" t="s">
        <v>39</v>
      </c>
      <c r="C2225">
        <v>32</v>
      </c>
      <c r="D2225" t="s">
        <v>18</v>
      </c>
      <c r="E2225" t="s">
        <v>16</v>
      </c>
      <c r="F2225" s="1">
        <v>44930</v>
      </c>
      <c r="G2225">
        <v>0</v>
      </c>
      <c r="H2225">
        <v>0</v>
      </c>
      <c r="I2225">
        <v>10</v>
      </c>
      <c r="J2225">
        <v>10</v>
      </c>
      <c r="K2225">
        <v>0</v>
      </c>
      <c r="L2225">
        <v>660</v>
      </c>
      <c r="M2225">
        <v>45</v>
      </c>
      <c r="N2225" s="1">
        <f t="shared" si="272"/>
        <v>44938</v>
      </c>
      <c r="O2225" s="1">
        <f t="shared" si="273"/>
        <v>43101</v>
      </c>
      <c r="P2225" s="1">
        <f t="shared" si="274"/>
        <v>45017</v>
      </c>
      <c r="Q2225" s="8">
        <f t="shared" si="275"/>
        <v>0</v>
      </c>
      <c r="R2225" s="8">
        <f t="shared" si="276"/>
        <v>64</v>
      </c>
      <c r="S2225" s="8">
        <f t="shared" ca="1" si="277"/>
        <v>60</v>
      </c>
      <c r="T2225">
        <f t="shared" ca="1" si="278"/>
        <v>2.6254196073433054</v>
      </c>
      <c r="U2225" s="8">
        <f t="shared" ca="1" si="279"/>
        <v>1.4616557029045123</v>
      </c>
      <c r="V2225" s="8">
        <f ca="1">RawData[[#This Row],[Z (smoothed demand size)]]/RawData[[#This Row],[X (smoothed interval)]]</f>
        <v>1.7961956445189062</v>
      </c>
    </row>
    <row r="2226" spans="1:22">
      <c r="A2226" t="s">
        <v>49</v>
      </c>
      <c r="B2226" t="s">
        <v>39</v>
      </c>
      <c r="C2226">
        <v>32</v>
      </c>
      <c r="D2226" t="s">
        <v>18</v>
      </c>
      <c r="E2226" t="s">
        <v>16</v>
      </c>
      <c r="F2226" s="1">
        <v>44931</v>
      </c>
      <c r="G2226">
        <v>0</v>
      </c>
      <c r="H2226">
        <v>0</v>
      </c>
      <c r="I2226">
        <v>10</v>
      </c>
      <c r="J2226">
        <v>10</v>
      </c>
      <c r="K2226">
        <v>0</v>
      </c>
      <c r="L2226">
        <v>668</v>
      </c>
      <c r="M2226">
        <v>60</v>
      </c>
      <c r="N2226" s="1">
        <f t="shared" si="272"/>
        <v>44938</v>
      </c>
      <c r="O2226" s="1">
        <f t="shared" si="273"/>
        <v>43101</v>
      </c>
      <c r="P2226" s="1">
        <f t="shared" si="274"/>
        <v>45047</v>
      </c>
      <c r="Q2226" s="8">
        <f t="shared" si="275"/>
        <v>0</v>
      </c>
      <c r="R2226" s="8">
        <f t="shared" si="276"/>
        <v>65</v>
      </c>
      <c r="S2226" s="8">
        <f t="shared" ca="1" si="277"/>
        <v>60</v>
      </c>
      <c r="T2226">
        <f t="shared" ca="1" si="278"/>
        <v>2.6254196073433054</v>
      </c>
      <c r="U2226" s="8">
        <f t="shared" ca="1" si="279"/>
        <v>1.4616557029045123</v>
      </c>
      <c r="V2226" s="8">
        <f ca="1">RawData[[#This Row],[Z (smoothed demand size)]]/RawData[[#This Row],[X (smoothed interval)]]</f>
        <v>1.7961956445189062</v>
      </c>
    </row>
    <row r="2227" spans="1:22">
      <c r="A2227" t="s">
        <v>49</v>
      </c>
      <c r="B2227" t="s">
        <v>39</v>
      </c>
      <c r="C2227">
        <v>32</v>
      </c>
      <c r="D2227" t="s">
        <v>18</v>
      </c>
      <c r="E2227" t="s">
        <v>16</v>
      </c>
      <c r="F2227" s="1">
        <v>44932</v>
      </c>
      <c r="G2227">
        <v>0</v>
      </c>
      <c r="H2227">
        <v>0</v>
      </c>
      <c r="I2227">
        <v>10</v>
      </c>
      <c r="J2227">
        <v>10</v>
      </c>
      <c r="K2227">
        <v>0</v>
      </c>
      <c r="L2227">
        <v>760</v>
      </c>
      <c r="M2227">
        <v>60</v>
      </c>
      <c r="N2227" s="1">
        <f t="shared" si="272"/>
        <v>44938</v>
      </c>
      <c r="O2227" s="1">
        <f t="shared" si="273"/>
        <v>43101</v>
      </c>
      <c r="P2227" s="1">
        <f t="shared" si="274"/>
        <v>45078</v>
      </c>
      <c r="Q2227" s="8">
        <f t="shared" si="275"/>
        <v>0</v>
      </c>
      <c r="R2227" s="8">
        <f t="shared" si="276"/>
        <v>66</v>
      </c>
      <c r="S2227" s="8">
        <f t="shared" ca="1" si="277"/>
        <v>60</v>
      </c>
      <c r="T2227">
        <f t="shared" ca="1" si="278"/>
        <v>2.6254196073433054</v>
      </c>
      <c r="U2227" s="8">
        <f t="shared" ca="1" si="279"/>
        <v>1.4616557029045123</v>
      </c>
      <c r="V2227" s="8">
        <f ca="1">RawData[[#This Row],[Z (smoothed demand size)]]/RawData[[#This Row],[X (smoothed interval)]]</f>
        <v>1.7961956445189062</v>
      </c>
    </row>
    <row r="2228" spans="1:22">
      <c r="A2228" t="s">
        <v>49</v>
      </c>
      <c r="B2228" t="s">
        <v>39</v>
      </c>
      <c r="C2228">
        <v>32</v>
      </c>
      <c r="D2228" t="s">
        <v>18</v>
      </c>
      <c r="E2228" t="s">
        <v>16</v>
      </c>
      <c r="F2228" s="1">
        <v>44933</v>
      </c>
      <c r="G2228">
        <v>0</v>
      </c>
      <c r="H2228">
        <v>0</v>
      </c>
      <c r="I2228">
        <v>10</v>
      </c>
      <c r="J2228">
        <v>10</v>
      </c>
      <c r="K2228">
        <v>0</v>
      </c>
      <c r="L2228">
        <v>759</v>
      </c>
      <c r="M2228">
        <v>45</v>
      </c>
      <c r="N2228" s="1">
        <f t="shared" si="272"/>
        <v>44938</v>
      </c>
      <c r="O2228" s="1">
        <f t="shared" si="273"/>
        <v>43101</v>
      </c>
      <c r="P2228" s="1">
        <f t="shared" si="274"/>
        <v>45108</v>
      </c>
      <c r="Q2228" s="8">
        <f t="shared" si="275"/>
        <v>0</v>
      </c>
      <c r="R2228" s="8">
        <f t="shared" si="276"/>
        <v>67</v>
      </c>
      <c r="S2228" s="8">
        <f t="shared" ca="1" si="277"/>
        <v>60</v>
      </c>
      <c r="T2228">
        <f t="shared" ca="1" si="278"/>
        <v>2.6254196073433054</v>
      </c>
      <c r="U2228" s="8">
        <f t="shared" ca="1" si="279"/>
        <v>1.4616557029045123</v>
      </c>
      <c r="V2228" s="8">
        <f ca="1">RawData[[#This Row],[Z (smoothed demand size)]]/RawData[[#This Row],[X (smoothed interval)]]</f>
        <v>1.7961956445189062</v>
      </c>
    </row>
    <row r="2229" spans="1:22">
      <c r="A2229" t="s">
        <v>49</v>
      </c>
      <c r="B2229" t="s">
        <v>39</v>
      </c>
      <c r="C2229">
        <v>32</v>
      </c>
      <c r="D2229" t="s">
        <v>18</v>
      </c>
      <c r="E2229" t="s">
        <v>16</v>
      </c>
      <c r="F2229" s="1">
        <v>44934</v>
      </c>
      <c r="G2229">
        <v>4</v>
      </c>
      <c r="H2229">
        <v>4</v>
      </c>
      <c r="I2229">
        <v>10</v>
      </c>
      <c r="J2229">
        <v>6</v>
      </c>
      <c r="K2229">
        <v>0</v>
      </c>
      <c r="L2229">
        <v>768</v>
      </c>
      <c r="M2229">
        <v>30</v>
      </c>
      <c r="N2229" s="1">
        <f t="shared" si="272"/>
        <v>44938</v>
      </c>
      <c r="O2229" s="1">
        <f t="shared" si="273"/>
        <v>43101</v>
      </c>
      <c r="P2229" s="1">
        <f t="shared" si="274"/>
        <v>45139</v>
      </c>
      <c r="Q2229" s="8">
        <f t="shared" si="275"/>
        <v>0</v>
      </c>
      <c r="R2229" s="8">
        <f t="shared" si="276"/>
        <v>68</v>
      </c>
      <c r="S2229" s="8">
        <f t="shared" ca="1" si="277"/>
        <v>68</v>
      </c>
      <c r="T2229">
        <f t="shared" ca="1" si="278"/>
        <v>2.9003356858746443</v>
      </c>
      <c r="U2229" s="8">
        <f t="shared" ca="1" si="279"/>
        <v>2.76932456232361</v>
      </c>
      <c r="V2229" s="8">
        <f ca="1">RawData[[#This Row],[Z (smoothed demand size)]]/RawData[[#This Row],[X (smoothed interval)]]</f>
        <v>1.0473079700853514</v>
      </c>
    </row>
    <row r="2230" spans="1:22">
      <c r="A2230" t="s">
        <v>49</v>
      </c>
      <c r="B2230" t="s">
        <v>39</v>
      </c>
      <c r="C2230">
        <v>32</v>
      </c>
      <c r="D2230" t="s">
        <v>18</v>
      </c>
      <c r="E2230" t="s">
        <v>16</v>
      </c>
      <c r="F2230" s="1">
        <v>44935</v>
      </c>
      <c r="G2230">
        <v>6</v>
      </c>
      <c r="H2230">
        <v>6</v>
      </c>
      <c r="I2230">
        <v>6</v>
      </c>
      <c r="J2230">
        <v>0</v>
      </c>
      <c r="K2230">
        <v>0</v>
      </c>
      <c r="L2230">
        <v>653</v>
      </c>
      <c r="M2230">
        <v>30</v>
      </c>
      <c r="N2230" s="1">
        <f t="shared" si="272"/>
        <v>44938</v>
      </c>
      <c r="O2230" s="1">
        <f t="shared" si="273"/>
        <v>43101</v>
      </c>
      <c r="P2230" s="1">
        <f t="shared" si="274"/>
        <v>45170</v>
      </c>
      <c r="Q2230" s="8">
        <f t="shared" si="275"/>
        <v>0</v>
      </c>
      <c r="R2230" s="8">
        <f t="shared" si="276"/>
        <v>69</v>
      </c>
      <c r="S2230" s="8">
        <f t="shared" ca="1" si="277"/>
        <v>69</v>
      </c>
      <c r="T2230">
        <f t="shared" ca="1" si="278"/>
        <v>3.5202685486997156</v>
      </c>
      <c r="U2230" s="8">
        <f t="shared" ca="1" si="279"/>
        <v>2.4154596498588883</v>
      </c>
      <c r="V2230" s="8">
        <f ca="1">RawData[[#This Row],[Z (smoothed demand size)]]/RawData[[#This Row],[X (smoothed interval)]]</f>
        <v>1.4573907491708133</v>
      </c>
    </row>
    <row r="2231" spans="1:22">
      <c r="A2231" t="s">
        <v>49</v>
      </c>
      <c r="B2231" t="s">
        <v>39</v>
      </c>
      <c r="C2231">
        <v>32</v>
      </c>
      <c r="D2231" t="s">
        <v>18</v>
      </c>
      <c r="E2231" t="s">
        <v>16</v>
      </c>
      <c r="F2231" s="1">
        <v>44936</v>
      </c>
      <c r="G2231">
        <v>0</v>
      </c>
      <c r="H2231">
        <v>0</v>
      </c>
      <c r="I2231">
        <v>12</v>
      </c>
      <c r="J2231">
        <v>12</v>
      </c>
      <c r="K2231">
        <v>0</v>
      </c>
      <c r="L2231">
        <v>667</v>
      </c>
      <c r="M2231">
        <v>15</v>
      </c>
      <c r="N2231" s="1">
        <f t="shared" si="272"/>
        <v>44938</v>
      </c>
      <c r="O2231" s="1">
        <f t="shared" si="273"/>
        <v>43101</v>
      </c>
      <c r="P2231" s="1">
        <f t="shared" si="274"/>
        <v>45200</v>
      </c>
      <c r="Q2231" s="8">
        <f t="shared" si="275"/>
        <v>0</v>
      </c>
      <c r="R2231" s="8">
        <f t="shared" si="276"/>
        <v>70</v>
      </c>
      <c r="S2231" s="8">
        <f t="shared" ca="1" si="277"/>
        <v>69</v>
      </c>
      <c r="T2231">
        <f t="shared" ca="1" si="278"/>
        <v>3.5202685486997156</v>
      </c>
      <c r="U2231" s="8">
        <f t="shared" ca="1" si="279"/>
        <v>2.4154596498588883</v>
      </c>
      <c r="V2231" s="8">
        <f ca="1">RawData[[#This Row],[Z (smoothed demand size)]]/RawData[[#This Row],[X (smoothed interval)]]</f>
        <v>1.4573907491708133</v>
      </c>
    </row>
    <row r="2232" spans="1:22">
      <c r="A2232" t="s">
        <v>49</v>
      </c>
      <c r="B2232" t="s">
        <v>39</v>
      </c>
      <c r="C2232">
        <v>32</v>
      </c>
      <c r="D2232" t="s">
        <v>18</v>
      </c>
      <c r="E2232" t="s">
        <v>16</v>
      </c>
      <c r="F2232" s="1">
        <v>44937</v>
      </c>
      <c r="G2232">
        <v>1</v>
      </c>
      <c r="H2232">
        <v>1</v>
      </c>
      <c r="I2232">
        <v>12</v>
      </c>
      <c r="J2232">
        <v>11</v>
      </c>
      <c r="K2232">
        <v>0</v>
      </c>
      <c r="L2232">
        <v>652</v>
      </c>
      <c r="M2232">
        <v>60</v>
      </c>
      <c r="N2232" s="1">
        <f t="shared" si="272"/>
        <v>44938</v>
      </c>
      <c r="O2232" s="1">
        <f t="shared" si="273"/>
        <v>43101</v>
      </c>
      <c r="P2232" s="1">
        <f t="shared" si="274"/>
        <v>45231</v>
      </c>
      <c r="Q2232" s="8">
        <f t="shared" si="275"/>
        <v>0</v>
      </c>
      <c r="R2232" s="8">
        <f t="shared" si="276"/>
        <v>71</v>
      </c>
      <c r="S2232" s="8">
        <f t="shared" ca="1" si="277"/>
        <v>71</v>
      </c>
      <c r="T2232">
        <f t="shared" ca="1" si="278"/>
        <v>3.0162148389597729</v>
      </c>
      <c r="U2232" s="8">
        <f t="shared" ca="1" si="279"/>
        <v>2.3323677198871109</v>
      </c>
      <c r="V2232" s="8">
        <f ca="1">RawData[[#This Row],[Z (smoothed demand size)]]/RawData[[#This Row],[X (smoothed interval)]]</f>
        <v>1.2931986724227864</v>
      </c>
    </row>
    <row r="2233" spans="1:22">
      <c r="A2233" t="s">
        <v>49</v>
      </c>
      <c r="B2233" t="s">
        <v>39</v>
      </c>
      <c r="C2233">
        <v>32</v>
      </c>
      <c r="D2233" t="s">
        <v>18</v>
      </c>
      <c r="E2233" t="s">
        <v>16</v>
      </c>
      <c r="F2233" s="1">
        <v>44938</v>
      </c>
      <c r="G2233">
        <v>0</v>
      </c>
      <c r="H2233">
        <v>0</v>
      </c>
      <c r="I2233">
        <v>11</v>
      </c>
      <c r="J2233">
        <v>11</v>
      </c>
      <c r="K2233">
        <v>0</v>
      </c>
      <c r="L2233">
        <v>755</v>
      </c>
      <c r="M2233">
        <v>15</v>
      </c>
      <c r="N2233" s="1">
        <f t="shared" si="272"/>
        <v>44938</v>
      </c>
      <c r="O2233" s="1">
        <f t="shared" si="273"/>
        <v>43101</v>
      </c>
      <c r="P2233" s="1">
        <f t="shared" si="274"/>
        <v>45261</v>
      </c>
      <c r="Q2233" s="8">
        <f t="shared" si="275"/>
        <v>0</v>
      </c>
      <c r="R2233" s="8">
        <f t="shared" si="276"/>
        <v>72</v>
      </c>
      <c r="S2233" s="8">
        <f t="shared" ca="1" si="277"/>
        <v>71</v>
      </c>
      <c r="T2233">
        <f t="shared" ca="1" si="278"/>
        <v>3.0162148389597729</v>
      </c>
      <c r="U2233" s="8">
        <f t="shared" ca="1" si="279"/>
        <v>2.3323677198871109</v>
      </c>
      <c r="V2233" s="8">
        <f ca="1">RawData[[#This Row],[Z (smoothed demand size)]]/RawData[[#This Row],[X (smoothed interval)]]</f>
        <v>1.2931986724227864</v>
      </c>
    </row>
    <row r="2234" spans="1:22">
      <c r="A2234" t="s">
        <v>50</v>
      </c>
      <c r="B2234" t="s">
        <v>39</v>
      </c>
      <c r="C2234">
        <v>49</v>
      </c>
      <c r="D2234" t="s">
        <v>18</v>
      </c>
      <c r="E2234" t="s">
        <v>16</v>
      </c>
      <c r="F2234" s="1">
        <v>43101</v>
      </c>
      <c r="G2234">
        <v>0</v>
      </c>
      <c r="H2234">
        <v>0</v>
      </c>
      <c r="I2234">
        <v>24</v>
      </c>
      <c r="J2234">
        <v>24</v>
      </c>
      <c r="K2234">
        <v>0</v>
      </c>
      <c r="L2234">
        <v>485</v>
      </c>
      <c r="M2234">
        <v>30</v>
      </c>
      <c r="N2234" s="1">
        <f t="shared" si="272"/>
        <v>44938</v>
      </c>
      <c r="O2234" s="1">
        <f t="shared" si="273"/>
        <v>43101</v>
      </c>
      <c r="P2234" s="1">
        <f t="shared" si="274"/>
        <v>43101</v>
      </c>
      <c r="Q2234" s="8">
        <f t="shared" si="275"/>
        <v>1</v>
      </c>
      <c r="R2234" s="8">
        <f t="shared" si="276"/>
        <v>1</v>
      </c>
      <c r="S2234" s="8">
        <f t="shared" ca="1" si="277"/>
        <v>0</v>
      </c>
      <c r="T2234">
        <f t="shared" ca="1" si="278"/>
        <v>0</v>
      </c>
      <c r="U2234" s="8">
        <f t="shared" ca="1" si="279"/>
        <v>1</v>
      </c>
      <c r="V2234" s="8">
        <f ca="1">RawData[[#This Row],[Z (smoothed demand size)]]/RawData[[#This Row],[X (smoothed interval)]]</f>
        <v>0</v>
      </c>
    </row>
    <row r="2235" spans="1:22">
      <c r="A2235" t="s">
        <v>50</v>
      </c>
      <c r="B2235" t="s">
        <v>39</v>
      </c>
      <c r="C2235">
        <v>49</v>
      </c>
      <c r="D2235" t="s">
        <v>18</v>
      </c>
      <c r="E2235" t="s">
        <v>16</v>
      </c>
      <c r="F2235" s="1">
        <v>43102</v>
      </c>
      <c r="G2235">
        <v>0</v>
      </c>
      <c r="H2235">
        <v>0</v>
      </c>
      <c r="I2235">
        <v>24</v>
      </c>
      <c r="J2235">
        <v>24</v>
      </c>
      <c r="K2235">
        <v>0</v>
      </c>
      <c r="L2235">
        <v>480</v>
      </c>
      <c r="M2235">
        <v>30</v>
      </c>
      <c r="N2235" s="1">
        <f t="shared" si="272"/>
        <v>44938</v>
      </c>
      <c r="O2235" s="1">
        <f t="shared" si="273"/>
        <v>43101</v>
      </c>
      <c r="P2235" s="1">
        <f t="shared" si="274"/>
        <v>43132</v>
      </c>
      <c r="Q2235" s="8">
        <f t="shared" si="275"/>
        <v>0</v>
      </c>
      <c r="R2235" s="8">
        <f t="shared" si="276"/>
        <v>2</v>
      </c>
      <c r="S2235" s="8">
        <f t="shared" ca="1" si="277"/>
        <v>0</v>
      </c>
      <c r="T2235">
        <f t="shared" ca="1" si="278"/>
        <v>0</v>
      </c>
      <c r="U2235" s="8">
        <f t="shared" ca="1" si="279"/>
        <v>1</v>
      </c>
      <c r="V2235" s="8">
        <f ca="1">RawData[[#This Row],[Z (smoothed demand size)]]/RawData[[#This Row],[X (smoothed interval)]]</f>
        <v>0</v>
      </c>
    </row>
    <row r="2236" spans="1:22">
      <c r="A2236" t="s">
        <v>50</v>
      </c>
      <c r="B2236" t="s">
        <v>39</v>
      </c>
      <c r="C2236">
        <v>49</v>
      </c>
      <c r="D2236" t="s">
        <v>18</v>
      </c>
      <c r="E2236" t="s">
        <v>16</v>
      </c>
      <c r="F2236" s="1">
        <v>43103</v>
      </c>
      <c r="G2236">
        <v>3</v>
      </c>
      <c r="H2236">
        <v>3</v>
      </c>
      <c r="I2236">
        <v>24</v>
      </c>
      <c r="J2236">
        <v>21</v>
      </c>
      <c r="K2236">
        <v>0</v>
      </c>
      <c r="L2236">
        <v>487</v>
      </c>
      <c r="M2236">
        <v>15</v>
      </c>
      <c r="N2236" s="1">
        <f t="shared" si="272"/>
        <v>44938</v>
      </c>
      <c r="O2236" s="1">
        <f t="shared" si="273"/>
        <v>43101</v>
      </c>
      <c r="P2236" s="1">
        <f t="shared" si="274"/>
        <v>43160</v>
      </c>
      <c r="Q2236" s="8">
        <f t="shared" si="275"/>
        <v>0</v>
      </c>
      <c r="R2236" s="8">
        <f t="shared" si="276"/>
        <v>3</v>
      </c>
      <c r="S2236" s="8">
        <f t="shared" ca="1" si="277"/>
        <v>3</v>
      </c>
      <c r="T2236">
        <f t="shared" ca="1" si="278"/>
        <v>0.60000000000000009</v>
      </c>
      <c r="U2236" s="8">
        <f t="shared" ca="1" si="279"/>
        <v>1.4000000000000001</v>
      </c>
      <c r="V2236" s="8">
        <f ca="1">RawData[[#This Row],[Z (smoothed demand size)]]/RawData[[#This Row],[X (smoothed interval)]]</f>
        <v>0.4285714285714286</v>
      </c>
    </row>
    <row r="2237" spans="1:22">
      <c r="A2237" t="s">
        <v>50</v>
      </c>
      <c r="B2237" t="s">
        <v>39</v>
      </c>
      <c r="C2237">
        <v>49</v>
      </c>
      <c r="D2237" t="s">
        <v>18</v>
      </c>
      <c r="E2237" t="s">
        <v>16</v>
      </c>
      <c r="F2237" s="1">
        <v>43104</v>
      </c>
      <c r="G2237">
        <v>0</v>
      </c>
      <c r="H2237">
        <v>0</v>
      </c>
      <c r="I2237">
        <v>21</v>
      </c>
      <c r="J2237">
        <v>21</v>
      </c>
      <c r="K2237">
        <v>0</v>
      </c>
      <c r="L2237">
        <v>481</v>
      </c>
      <c r="M2237">
        <v>30</v>
      </c>
      <c r="N2237" s="1">
        <f t="shared" si="272"/>
        <v>44938</v>
      </c>
      <c r="O2237" s="1">
        <f t="shared" si="273"/>
        <v>43101</v>
      </c>
      <c r="P2237" s="1">
        <f t="shared" si="274"/>
        <v>43191</v>
      </c>
      <c r="Q2237" s="8">
        <f t="shared" si="275"/>
        <v>0</v>
      </c>
      <c r="R2237" s="8">
        <f t="shared" si="276"/>
        <v>4</v>
      </c>
      <c r="S2237" s="8">
        <f t="shared" ca="1" si="277"/>
        <v>3</v>
      </c>
      <c r="T2237">
        <f t="shared" ca="1" si="278"/>
        <v>0.60000000000000009</v>
      </c>
      <c r="U2237" s="8">
        <f t="shared" ca="1" si="279"/>
        <v>1.4000000000000001</v>
      </c>
      <c r="V2237" s="8">
        <f ca="1">RawData[[#This Row],[Z (smoothed demand size)]]/RawData[[#This Row],[X (smoothed interval)]]</f>
        <v>0.4285714285714286</v>
      </c>
    </row>
    <row r="2238" spans="1:22">
      <c r="A2238" t="s">
        <v>50</v>
      </c>
      <c r="B2238" t="s">
        <v>39</v>
      </c>
      <c r="C2238">
        <v>49</v>
      </c>
      <c r="D2238" t="s">
        <v>18</v>
      </c>
      <c r="E2238" t="s">
        <v>16</v>
      </c>
      <c r="F2238" s="1">
        <v>43105</v>
      </c>
      <c r="G2238">
        <v>4</v>
      </c>
      <c r="H2238">
        <v>4</v>
      </c>
      <c r="I2238">
        <v>21</v>
      </c>
      <c r="J2238">
        <v>17</v>
      </c>
      <c r="K2238">
        <v>0</v>
      </c>
      <c r="L2238">
        <v>477</v>
      </c>
      <c r="M2238">
        <v>45</v>
      </c>
      <c r="N2238" s="1">
        <f t="shared" si="272"/>
        <v>44938</v>
      </c>
      <c r="O2238" s="1">
        <f t="shared" si="273"/>
        <v>43101</v>
      </c>
      <c r="P2238" s="1">
        <f t="shared" si="274"/>
        <v>43221</v>
      </c>
      <c r="Q2238" s="8">
        <f t="shared" si="275"/>
        <v>0</v>
      </c>
      <c r="R2238" s="8">
        <f t="shared" si="276"/>
        <v>5</v>
      </c>
      <c r="S2238" s="8">
        <f t="shared" ca="1" si="277"/>
        <v>5</v>
      </c>
      <c r="T2238">
        <f t="shared" ca="1" si="278"/>
        <v>1.2800000000000002</v>
      </c>
      <c r="U2238" s="8">
        <f t="shared" ca="1" si="279"/>
        <v>1.52</v>
      </c>
      <c r="V2238" s="8">
        <f ca="1">RawData[[#This Row],[Z (smoothed demand size)]]/RawData[[#This Row],[X (smoothed interval)]]</f>
        <v>0.84210526315789491</v>
      </c>
    </row>
    <row r="2239" spans="1:22">
      <c r="A2239" t="s">
        <v>50</v>
      </c>
      <c r="B2239" t="s">
        <v>39</v>
      </c>
      <c r="C2239">
        <v>49</v>
      </c>
      <c r="D2239" t="s">
        <v>18</v>
      </c>
      <c r="E2239" t="s">
        <v>16</v>
      </c>
      <c r="F2239" s="1">
        <v>43106</v>
      </c>
      <c r="G2239">
        <v>3</v>
      </c>
      <c r="H2239">
        <v>3</v>
      </c>
      <c r="I2239">
        <v>17</v>
      </c>
      <c r="J2239">
        <v>14</v>
      </c>
      <c r="K2239">
        <v>0</v>
      </c>
      <c r="L2239">
        <v>556</v>
      </c>
      <c r="M2239">
        <v>30</v>
      </c>
      <c r="N2239" s="1">
        <f t="shared" si="272"/>
        <v>44938</v>
      </c>
      <c r="O2239" s="1">
        <f t="shared" si="273"/>
        <v>43101</v>
      </c>
      <c r="P2239" s="1">
        <f t="shared" si="274"/>
        <v>43252</v>
      </c>
      <c r="Q2239" s="8">
        <f t="shared" si="275"/>
        <v>0</v>
      </c>
      <c r="R2239" s="8">
        <f t="shared" si="276"/>
        <v>6</v>
      </c>
      <c r="S2239" s="8">
        <f t="shared" ca="1" si="277"/>
        <v>6</v>
      </c>
      <c r="T2239">
        <f t="shared" ca="1" si="278"/>
        <v>1.6240000000000003</v>
      </c>
      <c r="U2239" s="8">
        <f t="shared" ca="1" si="279"/>
        <v>1.4160000000000001</v>
      </c>
      <c r="V2239" s="8">
        <f ca="1">RawData[[#This Row],[Z (smoothed demand size)]]/RawData[[#This Row],[X (smoothed interval)]]</f>
        <v>1.1468926553672318</v>
      </c>
    </row>
    <row r="2240" spans="1:22">
      <c r="A2240" t="s">
        <v>50</v>
      </c>
      <c r="B2240" t="s">
        <v>39</v>
      </c>
      <c r="C2240">
        <v>49</v>
      </c>
      <c r="D2240" t="s">
        <v>18</v>
      </c>
      <c r="E2240" t="s">
        <v>16</v>
      </c>
      <c r="F2240" s="1">
        <v>43107</v>
      </c>
      <c r="G2240">
        <v>4</v>
      </c>
      <c r="H2240">
        <v>4</v>
      </c>
      <c r="I2240">
        <v>14</v>
      </c>
      <c r="J2240">
        <v>10</v>
      </c>
      <c r="K2240">
        <v>0</v>
      </c>
      <c r="L2240">
        <v>556</v>
      </c>
      <c r="M2240">
        <v>45</v>
      </c>
      <c r="N2240" s="1">
        <f t="shared" si="272"/>
        <v>44938</v>
      </c>
      <c r="O2240" s="1">
        <f t="shared" si="273"/>
        <v>43101</v>
      </c>
      <c r="P2240" s="1">
        <f t="shared" si="274"/>
        <v>43282</v>
      </c>
      <c r="Q2240" s="8">
        <f t="shared" si="275"/>
        <v>0</v>
      </c>
      <c r="R2240" s="8">
        <f t="shared" si="276"/>
        <v>7</v>
      </c>
      <c r="S2240" s="8">
        <f t="shared" ca="1" si="277"/>
        <v>7</v>
      </c>
      <c r="T2240">
        <f t="shared" ca="1" si="278"/>
        <v>2.0992000000000006</v>
      </c>
      <c r="U2240" s="8">
        <f t="shared" ca="1" si="279"/>
        <v>1.3328000000000002</v>
      </c>
      <c r="V2240" s="8">
        <f ca="1">RawData[[#This Row],[Z (smoothed demand size)]]/RawData[[#This Row],[X (smoothed interval)]]</f>
        <v>1.5750300120048022</v>
      </c>
    </row>
    <row r="2241" spans="1:22">
      <c r="A2241" t="s">
        <v>50</v>
      </c>
      <c r="B2241" t="s">
        <v>39</v>
      </c>
      <c r="C2241">
        <v>49</v>
      </c>
      <c r="D2241" t="s">
        <v>18</v>
      </c>
      <c r="E2241" t="s">
        <v>16</v>
      </c>
      <c r="F2241" s="1">
        <v>43108</v>
      </c>
      <c r="G2241">
        <v>3</v>
      </c>
      <c r="H2241">
        <v>3</v>
      </c>
      <c r="I2241">
        <v>10</v>
      </c>
      <c r="J2241">
        <v>7</v>
      </c>
      <c r="K2241">
        <v>0</v>
      </c>
      <c r="L2241">
        <v>549</v>
      </c>
      <c r="M2241">
        <v>30</v>
      </c>
      <c r="N2241" s="1">
        <f t="shared" si="272"/>
        <v>44938</v>
      </c>
      <c r="O2241" s="1">
        <f t="shared" si="273"/>
        <v>43101</v>
      </c>
      <c r="P2241" s="1">
        <f t="shared" si="274"/>
        <v>43313</v>
      </c>
      <c r="Q2241" s="8">
        <f t="shared" si="275"/>
        <v>0</v>
      </c>
      <c r="R2241" s="8">
        <f t="shared" si="276"/>
        <v>8</v>
      </c>
      <c r="S2241" s="8">
        <f t="shared" ca="1" si="277"/>
        <v>8</v>
      </c>
      <c r="T2241">
        <f t="shared" ca="1" si="278"/>
        <v>2.2793600000000005</v>
      </c>
      <c r="U2241" s="8">
        <f t="shared" ca="1" si="279"/>
        <v>1.2662400000000003</v>
      </c>
      <c r="V2241" s="8">
        <f ca="1">RawData[[#This Row],[Z (smoothed demand size)]]/RawData[[#This Row],[X (smoothed interval)]]</f>
        <v>1.8001010866818297</v>
      </c>
    </row>
    <row r="2242" spans="1:22">
      <c r="A2242" t="s">
        <v>50</v>
      </c>
      <c r="B2242" t="s">
        <v>39</v>
      </c>
      <c r="C2242">
        <v>49</v>
      </c>
      <c r="D2242" t="s">
        <v>18</v>
      </c>
      <c r="E2242" t="s">
        <v>16</v>
      </c>
      <c r="F2242" s="1">
        <v>43109</v>
      </c>
      <c r="G2242">
        <v>1</v>
      </c>
      <c r="H2242">
        <v>1</v>
      </c>
      <c r="I2242">
        <v>7</v>
      </c>
      <c r="J2242">
        <v>6</v>
      </c>
      <c r="K2242">
        <v>0</v>
      </c>
      <c r="L2242">
        <v>481</v>
      </c>
      <c r="M2242">
        <v>45</v>
      </c>
      <c r="N2242" s="1">
        <f t="shared" ref="N2242:N2305" si="280">MAX(F:F)</f>
        <v>44938</v>
      </c>
      <c r="O2242" s="1">
        <f t="shared" ref="O2242:O2305" si="281">MIN(F:F)</f>
        <v>43101</v>
      </c>
      <c r="P2242" s="1">
        <f t="shared" ref="P2242:P2305" si="282">DATE(YEAR(F2242), DAY(F2242), 1)</f>
        <v>43344</v>
      </c>
      <c r="Q2242" s="8">
        <f t="shared" ref="Q2242:Q2305" si="283" xml:space="preserve"> IF(A2242&lt;&gt;A2241, 1, 0)</f>
        <v>0</v>
      </c>
      <c r="R2242" s="8">
        <f t="shared" ref="R2242:R2305" si="284">IF(Q2242=1,1,R2241+1)</f>
        <v>9</v>
      </c>
      <c r="S2242" s="8">
        <f t="shared" ref="S2242:S2305" ca="1" si="285" xml:space="preserve"> IF(Q2242=1, IF(G2242&gt;0, R2242, 0), IF(G2242&gt;0, R2242, OFFSET(S2242,-1,0)))</f>
        <v>9</v>
      </c>
      <c r="T2242">
        <f t="shared" ref="T2242:T2305" ca="1" si="286" xml:space="preserve"> IF(Q2242=1, IF(G2242&gt;0, G2242, 0), IF(G2242&gt;0, $X$1*G2242+(1-$X$1)*OFFSET(T2242,-1,0), OFFSET(T2242,-1,0)))</f>
        <v>2.0234880000000004</v>
      </c>
      <c r="U2242" s="8">
        <f t="shared" ref="U2242:U2305" ca="1" si="287" xml:space="preserve"> IF(Q2242=1, 1, IF(G2242&gt;0, $X$1*(R2242-OFFSET(S2242,-1,0))+(1-$X$1)*OFFSET(U2242,-1,0), OFFSET(U2242,-1,0)))</f>
        <v>1.2129920000000003</v>
      </c>
      <c r="V2242" s="8">
        <f ca="1">RawData[[#This Row],[Z (smoothed demand size)]]/RawData[[#This Row],[X (smoothed interval)]]</f>
        <v>1.6681791800770325</v>
      </c>
    </row>
    <row r="2243" spans="1:22">
      <c r="A2243" t="s">
        <v>50</v>
      </c>
      <c r="B2243" t="s">
        <v>39</v>
      </c>
      <c r="C2243">
        <v>49</v>
      </c>
      <c r="D2243" t="s">
        <v>18</v>
      </c>
      <c r="E2243" t="s">
        <v>16</v>
      </c>
      <c r="F2243" s="1">
        <v>43110</v>
      </c>
      <c r="G2243">
        <v>1</v>
      </c>
      <c r="H2243">
        <v>1</v>
      </c>
      <c r="I2243">
        <v>6</v>
      </c>
      <c r="J2243">
        <v>5</v>
      </c>
      <c r="K2243">
        <v>0</v>
      </c>
      <c r="L2243">
        <v>480</v>
      </c>
      <c r="M2243">
        <v>60</v>
      </c>
      <c r="N2243" s="1">
        <f t="shared" si="280"/>
        <v>44938</v>
      </c>
      <c r="O2243" s="1">
        <f t="shared" si="281"/>
        <v>43101</v>
      </c>
      <c r="P2243" s="1">
        <f t="shared" si="282"/>
        <v>43374</v>
      </c>
      <c r="Q2243" s="8">
        <f t="shared" si="283"/>
        <v>0</v>
      </c>
      <c r="R2243" s="8">
        <f t="shared" si="284"/>
        <v>10</v>
      </c>
      <c r="S2243" s="8">
        <f t="shared" ca="1" si="285"/>
        <v>10</v>
      </c>
      <c r="T2243">
        <f t="shared" ca="1" si="286"/>
        <v>1.8187904000000004</v>
      </c>
      <c r="U2243" s="8">
        <f t="shared" ca="1" si="287"/>
        <v>1.1703936000000004</v>
      </c>
      <c r="V2243" s="8">
        <f ca="1">RawData[[#This Row],[Z (smoothed demand size)]]/RawData[[#This Row],[X (smoothed interval)]]</f>
        <v>1.5539989282238043</v>
      </c>
    </row>
    <row r="2244" spans="1:22">
      <c r="A2244" t="s">
        <v>50</v>
      </c>
      <c r="B2244" t="s">
        <v>39</v>
      </c>
      <c r="C2244">
        <v>49</v>
      </c>
      <c r="D2244" t="s">
        <v>18</v>
      </c>
      <c r="E2244" t="s">
        <v>16</v>
      </c>
      <c r="F2244" s="1">
        <v>43111</v>
      </c>
      <c r="G2244">
        <v>1</v>
      </c>
      <c r="H2244">
        <v>1</v>
      </c>
      <c r="I2244">
        <v>5</v>
      </c>
      <c r="J2244">
        <v>4</v>
      </c>
      <c r="K2244">
        <v>0</v>
      </c>
      <c r="L2244">
        <v>483</v>
      </c>
      <c r="M2244">
        <v>15</v>
      </c>
      <c r="N2244" s="1">
        <f t="shared" si="280"/>
        <v>44938</v>
      </c>
      <c r="O2244" s="1">
        <f t="shared" si="281"/>
        <v>43101</v>
      </c>
      <c r="P2244" s="1">
        <f t="shared" si="282"/>
        <v>43405</v>
      </c>
      <c r="Q2244" s="8">
        <f t="shared" si="283"/>
        <v>0</v>
      </c>
      <c r="R2244" s="8">
        <f t="shared" si="284"/>
        <v>11</v>
      </c>
      <c r="S2244" s="8">
        <f t="shared" ca="1" si="285"/>
        <v>11</v>
      </c>
      <c r="T2244">
        <f t="shared" ca="1" si="286"/>
        <v>1.6550323200000003</v>
      </c>
      <c r="U2244" s="8">
        <f t="shared" ca="1" si="287"/>
        <v>1.1363148800000002</v>
      </c>
      <c r="V2244" s="8">
        <f ca="1">RawData[[#This Row],[Z (smoothed demand size)]]/RawData[[#This Row],[X (smoothed interval)]]</f>
        <v>1.4564909332173843</v>
      </c>
    </row>
    <row r="2245" spans="1:22">
      <c r="A2245" t="s">
        <v>50</v>
      </c>
      <c r="B2245" t="s">
        <v>39</v>
      </c>
      <c r="C2245">
        <v>49</v>
      </c>
      <c r="D2245" t="s">
        <v>18</v>
      </c>
      <c r="E2245" t="s">
        <v>16</v>
      </c>
      <c r="F2245" s="1">
        <v>43112</v>
      </c>
      <c r="G2245">
        <v>0</v>
      </c>
      <c r="H2245">
        <v>0</v>
      </c>
      <c r="I2245">
        <v>4</v>
      </c>
      <c r="J2245">
        <v>4</v>
      </c>
      <c r="K2245">
        <v>0</v>
      </c>
      <c r="L2245">
        <v>561</v>
      </c>
      <c r="M2245">
        <v>15</v>
      </c>
      <c r="N2245" s="1">
        <f t="shared" si="280"/>
        <v>44938</v>
      </c>
      <c r="O2245" s="1">
        <f t="shared" si="281"/>
        <v>43101</v>
      </c>
      <c r="P2245" s="1">
        <f t="shared" si="282"/>
        <v>43435</v>
      </c>
      <c r="Q2245" s="8">
        <f t="shared" si="283"/>
        <v>0</v>
      </c>
      <c r="R2245" s="8">
        <f t="shared" si="284"/>
        <v>12</v>
      </c>
      <c r="S2245" s="8">
        <f t="shared" ca="1" si="285"/>
        <v>11</v>
      </c>
      <c r="T2245">
        <f t="shared" ca="1" si="286"/>
        <v>1.6550323200000003</v>
      </c>
      <c r="U2245" s="8">
        <f t="shared" ca="1" si="287"/>
        <v>1.1363148800000002</v>
      </c>
      <c r="V2245" s="8">
        <f ca="1">RawData[[#This Row],[Z (smoothed demand size)]]/RawData[[#This Row],[X (smoothed interval)]]</f>
        <v>1.4564909332173843</v>
      </c>
    </row>
    <row r="2246" spans="1:22">
      <c r="A2246" t="s">
        <v>50</v>
      </c>
      <c r="B2246" t="s">
        <v>39</v>
      </c>
      <c r="C2246">
        <v>49</v>
      </c>
      <c r="D2246" t="s">
        <v>18</v>
      </c>
      <c r="E2246" t="s">
        <v>16</v>
      </c>
      <c r="F2246" s="1">
        <v>43466</v>
      </c>
      <c r="G2246">
        <v>1</v>
      </c>
      <c r="H2246">
        <v>1</v>
      </c>
      <c r="I2246">
        <v>4</v>
      </c>
      <c r="J2246">
        <v>3</v>
      </c>
      <c r="K2246">
        <v>0</v>
      </c>
      <c r="L2246">
        <v>484</v>
      </c>
      <c r="M2246">
        <v>15</v>
      </c>
      <c r="N2246" s="1">
        <f t="shared" si="280"/>
        <v>44938</v>
      </c>
      <c r="O2246" s="1">
        <f t="shared" si="281"/>
        <v>43101</v>
      </c>
      <c r="P2246" s="1">
        <f t="shared" si="282"/>
        <v>43466</v>
      </c>
      <c r="Q2246" s="8">
        <f t="shared" si="283"/>
        <v>0</v>
      </c>
      <c r="R2246" s="8">
        <f t="shared" si="284"/>
        <v>13</v>
      </c>
      <c r="S2246" s="8">
        <f t="shared" ca="1" si="285"/>
        <v>13</v>
      </c>
      <c r="T2246">
        <f t="shared" ca="1" si="286"/>
        <v>1.5240258560000004</v>
      </c>
      <c r="U2246" s="8">
        <f t="shared" ca="1" si="287"/>
        <v>1.3090519040000004</v>
      </c>
      <c r="V2246" s="8">
        <f ca="1">RawData[[#This Row],[Z (smoothed demand size)]]/RawData[[#This Row],[X (smoothed interval)]]</f>
        <v>1.1642211063924321</v>
      </c>
    </row>
    <row r="2247" spans="1:22">
      <c r="A2247" t="s">
        <v>50</v>
      </c>
      <c r="B2247" t="s">
        <v>39</v>
      </c>
      <c r="C2247">
        <v>49</v>
      </c>
      <c r="D2247" t="s">
        <v>18</v>
      </c>
      <c r="E2247" t="s">
        <v>16</v>
      </c>
      <c r="F2247" s="1">
        <v>43467</v>
      </c>
      <c r="G2247">
        <v>0</v>
      </c>
      <c r="H2247">
        <v>0</v>
      </c>
      <c r="I2247">
        <v>15</v>
      </c>
      <c r="J2247">
        <v>15</v>
      </c>
      <c r="K2247">
        <v>0</v>
      </c>
      <c r="L2247">
        <v>483</v>
      </c>
      <c r="M2247">
        <v>45</v>
      </c>
      <c r="N2247" s="1">
        <f t="shared" si="280"/>
        <v>44938</v>
      </c>
      <c r="O2247" s="1">
        <f t="shared" si="281"/>
        <v>43101</v>
      </c>
      <c r="P2247" s="1">
        <f t="shared" si="282"/>
        <v>43497</v>
      </c>
      <c r="Q2247" s="8">
        <f t="shared" si="283"/>
        <v>0</v>
      </c>
      <c r="R2247" s="8">
        <f t="shared" si="284"/>
        <v>14</v>
      </c>
      <c r="S2247" s="8">
        <f t="shared" ca="1" si="285"/>
        <v>13</v>
      </c>
      <c r="T2247">
        <f t="shared" ca="1" si="286"/>
        <v>1.5240258560000004</v>
      </c>
      <c r="U2247" s="8">
        <f t="shared" ca="1" si="287"/>
        <v>1.3090519040000004</v>
      </c>
      <c r="V2247" s="8">
        <f ca="1">RawData[[#This Row],[Z (smoothed demand size)]]/RawData[[#This Row],[X (smoothed interval)]]</f>
        <v>1.1642211063924321</v>
      </c>
    </row>
    <row r="2248" spans="1:22">
      <c r="A2248" t="s">
        <v>50</v>
      </c>
      <c r="B2248" t="s">
        <v>39</v>
      </c>
      <c r="C2248">
        <v>49</v>
      </c>
      <c r="D2248" t="s">
        <v>18</v>
      </c>
      <c r="E2248" t="s">
        <v>16</v>
      </c>
      <c r="F2248" s="1">
        <v>43468</v>
      </c>
      <c r="G2248">
        <v>1</v>
      </c>
      <c r="H2248">
        <v>1</v>
      </c>
      <c r="I2248">
        <v>15</v>
      </c>
      <c r="J2248">
        <v>14</v>
      </c>
      <c r="K2248">
        <v>0</v>
      </c>
      <c r="L2248">
        <v>475</v>
      </c>
      <c r="M2248">
        <v>60</v>
      </c>
      <c r="N2248" s="1">
        <f t="shared" si="280"/>
        <v>44938</v>
      </c>
      <c r="O2248" s="1">
        <f t="shared" si="281"/>
        <v>43101</v>
      </c>
      <c r="P2248" s="1">
        <f t="shared" si="282"/>
        <v>43525</v>
      </c>
      <c r="Q2248" s="8">
        <f t="shared" si="283"/>
        <v>0</v>
      </c>
      <c r="R2248" s="8">
        <f t="shared" si="284"/>
        <v>15</v>
      </c>
      <c r="S2248" s="8">
        <f t="shared" ca="1" si="285"/>
        <v>15</v>
      </c>
      <c r="T2248">
        <f t="shared" ca="1" si="286"/>
        <v>1.4192206848000004</v>
      </c>
      <c r="U2248" s="8">
        <f t="shared" ca="1" si="287"/>
        <v>1.4472415232000002</v>
      </c>
      <c r="V2248" s="8">
        <f ca="1">RawData[[#This Row],[Z (smoothed demand size)]]/RawData[[#This Row],[X (smoothed interval)]]</f>
        <v>0.9806384504930159</v>
      </c>
    </row>
    <row r="2249" spans="1:22">
      <c r="A2249" t="s">
        <v>50</v>
      </c>
      <c r="B2249" t="s">
        <v>39</v>
      </c>
      <c r="C2249">
        <v>49</v>
      </c>
      <c r="D2249" t="s">
        <v>18</v>
      </c>
      <c r="E2249" t="s">
        <v>16</v>
      </c>
      <c r="F2249" s="1">
        <v>43469</v>
      </c>
      <c r="G2249">
        <v>0</v>
      </c>
      <c r="H2249">
        <v>0</v>
      </c>
      <c r="I2249">
        <v>14</v>
      </c>
      <c r="J2249">
        <v>14</v>
      </c>
      <c r="K2249">
        <v>0</v>
      </c>
      <c r="L2249">
        <v>483</v>
      </c>
      <c r="M2249">
        <v>30</v>
      </c>
      <c r="N2249" s="1">
        <f t="shared" si="280"/>
        <v>44938</v>
      </c>
      <c r="O2249" s="1">
        <f t="shared" si="281"/>
        <v>43101</v>
      </c>
      <c r="P2249" s="1">
        <f t="shared" si="282"/>
        <v>43556</v>
      </c>
      <c r="Q2249" s="8">
        <f t="shared" si="283"/>
        <v>0</v>
      </c>
      <c r="R2249" s="8">
        <f t="shared" si="284"/>
        <v>16</v>
      </c>
      <c r="S2249" s="8">
        <f t="shared" ca="1" si="285"/>
        <v>15</v>
      </c>
      <c r="T2249">
        <f t="shared" ca="1" si="286"/>
        <v>1.4192206848000004</v>
      </c>
      <c r="U2249" s="8">
        <f t="shared" ca="1" si="287"/>
        <v>1.4472415232000002</v>
      </c>
      <c r="V2249" s="8">
        <f ca="1">RawData[[#This Row],[Z (smoothed demand size)]]/RawData[[#This Row],[X (smoothed interval)]]</f>
        <v>0.9806384504930159</v>
      </c>
    </row>
    <row r="2250" spans="1:22">
      <c r="A2250" t="s">
        <v>50</v>
      </c>
      <c r="B2250" t="s">
        <v>39</v>
      </c>
      <c r="C2250">
        <v>49</v>
      </c>
      <c r="D2250" t="s">
        <v>18</v>
      </c>
      <c r="E2250" t="s">
        <v>16</v>
      </c>
      <c r="F2250" s="1">
        <v>43470</v>
      </c>
      <c r="G2250">
        <v>0</v>
      </c>
      <c r="H2250">
        <v>0</v>
      </c>
      <c r="I2250">
        <v>14</v>
      </c>
      <c r="J2250">
        <v>14</v>
      </c>
      <c r="K2250">
        <v>0</v>
      </c>
      <c r="L2250">
        <v>478</v>
      </c>
      <c r="M2250">
        <v>60</v>
      </c>
      <c r="N2250" s="1">
        <f t="shared" si="280"/>
        <v>44938</v>
      </c>
      <c r="O2250" s="1">
        <f t="shared" si="281"/>
        <v>43101</v>
      </c>
      <c r="P2250" s="1">
        <f t="shared" si="282"/>
        <v>43586</v>
      </c>
      <c r="Q2250" s="8">
        <f t="shared" si="283"/>
        <v>0</v>
      </c>
      <c r="R2250" s="8">
        <f t="shared" si="284"/>
        <v>17</v>
      </c>
      <c r="S2250" s="8">
        <f t="shared" ca="1" si="285"/>
        <v>15</v>
      </c>
      <c r="T2250">
        <f t="shared" ca="1" si="286"/>
        <v>1.4192206848000004</v>
      </c>
      <c r="U2250" s="8">
        <f t="shared" ca="1" si="287"/>
        <v>1.4472415232000002</v>
      </c>
      <c r="V2250" s="8">
        <f ca="1">RawData[[#This Row],[Z (smoothed demand size)]]/RawData[[#This Row],[X (smoothed interval)]]</f>
        <v>0.9806384504930159</v>
      </c>
    </row>
    <row r="2251" spans="1:22">
      <c r="A2251" t="s">
        <v>50</v>
      </c>
      <c r="B2251" t="s">
        <v>39</v>
      </c>
      <c r="C2251">
        <v>49</v>
      </c>
      <c r="D2251" t="s">
        <v>18</v>
      </c>
      <c r="E2251" t="s">
        <v>16</v>
      </c>
      <c r="F2251" s="1">
        <v>43471</v>
      </c>
      <c r="G2251">
        <v>4</v>
      </c>
      <c r="H2251">
        <v>4</v>
      </c>
      <c r="I2251">
        <v>14</v>
      </c>
      <c r="J2251">
        <v>10</v>
      </c>
      <c r="K2251">
        <v>0</v>
      </c>
      <c r="L2251">
        <v>547</v>
      </c>
      <c r="M2251">
        <v>30</v>
      </c>
      <c r="N2251" s="1">
        <f t="shared" si="280"/>
        <v>44938</v>
      </c>
      <c r="O2251" s="1">
        <f t="shared" si="281"/>
        <v>43101</v>
      </c>
      <c r="P2251" s="1">
        <f t="shared" si="282"/>
        <v>43617</v>
      </c>
      <c r="Q2251" s="8">
        <f t="shared" si="283"/>
        <v>0</v>
      </c>
      <c r="R2251" s="8">
        <f t="shared" si="284"/>
        <v>18</v>
      </c>
      <c r="S2251" s="8">
        <f t="shared" ca="1" si="285"/>
        <v>18</v>
      </c>
      <c r="T2251">
        <f t="shared" ca="1" si="286"/>
        <v>1.9353765478400005</v>
      </c>
      <c r="U2251" s="8">
        <f t="shared" ca="1" si="287"/>
        <v>1.7577932185600003</v>
      </c>
      <c r="V2251" s="8">
        <f ca="1">RawData[[#This Row],[Z (smoothed demand size)]]/RawData[[#This Row],[X (smoothed interval)]]</f>
        <v>1.10102629103637</v>
      </c>
    </row>
    <row r="2252" spans="1:22">
      <c r="A2252" t="s">
        <v>50</v>
      </c>
      <c r="B2252" t="s">
        <v>39</v>
      </c>
      <c r="C2252">
        <v>49</v>
      </c>
      <c r="D2252" t="s">
        <v>18</v>
      </c>
      <c r="E2252" t="s">
        <v>16</v>
      </c>
      <c r="F2252" s="1">
        <v>43472</v>
      </c>
      <c r="G2252">
        <v>6</v>
      </c>
      <c r="H2252">
        <v>6</v>
      </c>
      <c r="I2252">
        <v>10</v>
      </c>
      <c r="J2252">
        <v>4</v>
      </c>
      <c r="K2252">
        <v>0</v>
      </c>
      <c r="L2252">
        <v>561</v>
      </c>
      <c r="M2252">
        <v>60</v>
      </c>
      <c r="N2252" s="1">
        <f t="shared" si="280"/>
        <v>44938</v>
      </c>
      <c r="O2252" s="1">
        <f t="shared" si="281"/>
        <v>43101</v>
      </c>
      <c r="P2252" s="1">
        <f t="shared" si="282"/>
        <v>43647</v>
      </c>
      <c r="Q2252" s="8">
        <f t="shared" si="283"/>
        <v>0</v>
      </c>
      <c r="R2252" s="8">
        <f t="shared" si="284"/>
        <v>19</v>
      </c>
      <c r="S2252" s="8">
        <f t="shared" ca="1" si="285"/>
        <v>19</v>
      </c>
      <c r="T2252">
        <f t="shared" ca="1" si="286"/>
        <v>2.7483012382720009</v>
      </c>
      <c r="U2252" s="8">
        <f t="shared" ca="1" si="287"/>
        <v>1.6062345748480003</v>
      </c>
      <c r="V2252" s="8">
        <f ca="1">RawData[[#This Row],[Z (smoothed demand size)]]/RawData[[#This Row],[X (smoothed interval)]]</f>
        <v>1.7110210932497676</v>
      </c>
    </row>
    <row r="2253" spans="1:22">
      <c r="A2253" t="s">
        <v>50</v>
      </c>
      <c r="B2253" t="s">
        <v>39</v>
      </c>
      <c r="C2253">
        <v>49</v>
      </c>
      <c r="D2253" t="s">
        <v>18</v>
      </c>
      <c r="E2253" t="s">
        <v>16</v>
      </c>
      <c r="F2253" s="1">
        <v>43473</v>
      </c>
      <c r="G2253">
        <v>0</v>
      </c>
      <c r="H2253">
        <v>0</v>
      </c>
      <c r="I2253">
        <v>4</v>
      </c>
      <c r="J2253">
        <v>4</v>
      </c>
      <c r="K2253">
        <v>0</v>
      </c>
      <c r="L2253">
        <v>549</v>
      </c>
      <c r="M2253">
        <v>45</v>
      </c>
      <c r="N2253" s="1">
        <f t="shared" si="280"/>
        <v>44938</v>
      </c>
      <c r="O2253" s="1">
        <f t="shared" si="281"/>
        <v>43101</v>
      </c>
      <c r="P2253" s="1">
        <f t="shared" si="282"/>
        <v>43678</v>
      </c>
      <c r="Q2253" s="8">
        <f t="shared" si="283"/>
        <v>0</v>
      </c>
      <c r="R2253" s="8">
        <f t="shared" si="284"/>
        <v>20</v>
      </c>
      <c r="S2253" s="8">
        <f t="shared" ca="1" si="285"/>
        <v>19</v>
      </c>
      <c r="T2253">
        <f t="shared" ca="1" si="286"/>
        <v>2.7483012382720009</v>
      </c>
      <c r="U2253" s="8">
        <f t="shared" ca="1" si="287"/>
        <v>1.6062345748480003</v>
      </c>
      <c r="V2253" s="8">
        <f ca="1">RawData[[#This Row],[Z (smoothed demand size)]]/RawData[[#This Row],[X (smoothed interval)]]</f>
        <v>1.7110210932497676</v>
      </c>
    </row>
    <row r="2254" spans="1:22">
      <c r="A2254" t="s">
        <v>50</v>
      </c>
      <c r="B2254" t="s">
        <v>39</v>
      </c>
      <c r="C2254">
        <v>49</v>
      </c>
      <c r="D2254" t="s">
        <v>18</v>
      </c>
      <c r="E2254" t="s">
        <v>16</v>
      </c>
      <c r="F2254" s="1">
        <v>43474</v>
      </c>
      <c r="G2254">
        <v>2</v>
      </c>
      <c r="H2254">
        <v>2</v>
      </c>
      <c r="I2254">
        <v>4</v>
      </c>
      <c r="J2254">
        <v>2</v>
      </c>
      <c r="K2254">
        <v>0</v>
      </c>
      <c r="L2254">
        <v>484</v>
      </c>
      <c r="M2254">
        <v>60</v>
      </c>
      <c r="N2254" s="1">
        <f t="shared" si="280"/>
        <v>44938</v>
      </c>
      <c r="O2254" s="1">
        <f t="shared" si="281"/>
        <v>43101</v>
      </c>
      <c r="P2254" s="1">
        <f t="shared" si="282"/>
        <v>43709</v>
      </c>
      <c r="Q2254" s="8">
        <f t="shared" si="283"/>
        <v>0</v>
      </c>
      <c r="R2254" s="8">
        <f t="shared" si="284"/>
        <v>21</v>
      </c>
      <c r="S2254" s="8">
        <f t="shared" ca="1" si="285"/>
        <v>21</v>
      </c>
      <c r="T2254">
        <f t="shared" ca="1" si="286"/>
        <v>2.5986409906176009</v>
      </c>
      <c r="U2254" s="8">
        <f t="shared" ca="1" si="287"/>
        <v>1.6849876598784004</v>
      </c>
      <c r="V2254" s="8">
        <f ca="1">RawData[[#This Row],[Z (smoothed demand size)]]/RawData[[#This Row],[X (smoothed interval)]]</f>
        <v>1.5422314670275601</v>
      </c>
    </row>
    <row r="2255" spans="1:22">
      <c r="A2255" t="s">
        <v>50</v>
      </c>
      <c r="B2255" t="s">
        <v>39</v>
      </c>
      <c r="C2255">
        <v>49</v>
      </c>
      <c r="D2255" t="s">
        <v>18</v>
      </c>
      <c r="E2255" t="s">
        <v>16</v>
      </c>
      <c r="F2255" s="1">
        <v>43475</v>
      </c>
      <c r="G2255">
        <v>2</v>
      </c>
      <c r="H2255">
        <v>2</v>
      </c>
      <c r="I2255">
        <v>2</v>
      </c>
      <c r="J2255">
        <v>0</v>
      </c>
      <c r="K2255">
        <v>0</v>
      </c>
      <c r="L2255">
        <v>481</v>
      </c>
      <c r="M2255">
        <v>15</v>
      </c>
      <c r="N2255" s="1">
        <f t="shared" si="280"/>
        <v>44938</v>
      </c>
      <c r="O2255" s="1">
        <f t="shared" si="281"/>
        <v>43101</v>
      </c>
      <c r="P2255" s="1">
        <f t="shared" si="282"/>
        <v>43739</v>
      </c>
      <c r="Q2255" s="8">
        <f t="shared" si="283"/>
        <v>0</v>
      </c>
      <c r="R2255" s="8">
        <f t="shared" si="284"/>
        <v>22</v>
      </c>
      <c r="S2255" s="8">
        <f t="shared" ca="1" si="285"/>
        <v>22</v>
      </c>
      <c r="T2255">
        <f t="shared" ca="1" si="286"/>
        <v>2.4789127924940808</v>
      </c>
      <c r="U2255" s="8">
        <f t="shared" ca="1" si="287"/>
        <v>1.5479901279027204</v>
      </c>
      <c r="V2255" s="8">
        <f ca="1">RawData[[#This Row],[Z (smoothed demand size)]]/RawData[[#This Row],[X (smoothed interval)]]</f>
        <v>1.6013750655197085</v>
      </c>
    </row>
    <row r="2256" spans="1:22">
      <c r="A2256" t="s">
        <v>50</v>
      </c>
      <c r="B2256" t="s">
        <v>39</v>
      </c>
      <c r="C2256">
        <v>49</v>
      </c>
      <c r="D2256" t="s">
        <v>18</v>
      </c>
      <c r="E2256" t="s">
        <v>16</v>
      </c>
      <c r="F2256" s="1">
        <v>43476</v>
      </c>
      <c r="G2256">
        <v>2</v>
      </c>
      <c r="H2256">
        <v>2</v>
      </c>
      <c r="I2256">
        <v>11</v>
      </c>
      <c r="J2256">
        <v>9</v>
      </c>
      <c r="K2256">
        <v>0</v>
      </c>
      <c r="L2256">
        <v>479</v>
      </c>
      <c r="M2256">
        <v>60</v>
      </c>
      <c r="N2256" s="1">
        <f t="shared" si="280"/>
        <v>44938</v>
      </c>
      <c r="O2256" s="1">
        <f t="shared" si="281"/>
        <v>43101</v>
      </c>
      <c r="P2256" s="1">
        <f t="shared" si="282"/>
        <v>43770</v>
      </c>
      <c r="Q2256" s="8">
        <f t="shared" si="283"/>
        <v>0</v>
      </c>
      <c r="R2256" s="8">
        <f t="shared" si="284"/>
        <v>23</v>
      </c>
      <c r="S2256" s="8">
        <f t="shared" ca="1" si="285"/>
        <v>23</v>
      </c>
      <c r="T2256">
        <f t="shared" ca="1" si="286"/>
        <v>2.3831302339952649</v>
      </c>
      <c r="U2256" s="8">
        <f t="shared" ca="1" si="287"/>
        <v>1.4383921023221764</v>
      </c>
      <c r="V2256" s="8">
        <f ca="1">RawData[[#This Row],[Z (smoothed demand size)]]/RawData[[#This Row],[X (smoothed interval)]]</f>
        <v>1.6568015286985236</v>
      </c>
    </row>
    <row r="2257" spans="1:22">
      <c r="A2257" t="s">
        <v>50</v>
      </c>
      <c r="B2257" t="s">
        <v>39</v>
      </c>
      <c r="C2257">
        <v>49</v>
      </c>
      <c r="D2257" t="s">
        <v>18</v>
      </c>
      <c r="E2257" t="s">
        <v>16</v>
      </c>
      <c r="F2257" s="1">
        <v>43477</v>
      </c>
      <c r="G2257">
        <v>3</v>
      </c>
      <c r="H2257">
        <v>3</v>
      </c>
      <c r="I2257">
        <v>9</v>
      </c>
      <c r="J2257">
        <v>6</v>
      </c>
      <c r="K2257">
        <v>0</v>
      </c>
      <c r="L2257">
        <v>563</v>
      </c>
      <c r="M2257">
        <v>15</v>
      </c>
      <c r="N2257" s="1">
        <f t="shared" si="280"/>
        <v>44938</v>
      </c>
      <c r="O2257" s="1">
        <f t="shared" si="281"/>
        <v>43101</v>
      </c>
      <c r="P2257" s="1">
        <f t="shared" si="282"/>
        <v>43800</v>
      </c>
      <c r="Q2257" s="8">
        <f t="shared" si="283"/>
        <v>0</v>
      </c>
      <c r="R2257" s="8">
        <f t="shared" si="284"/>
        <v>24</v>
      </c>
      <c r="S2257" s="8">
        <f t="shared" ca="1" si="285"/>
        <v>24</v>
      </c>
      <c r="T2257">
        <f t="shared" ca="1" si="286"/>
        <v>2.5065041871962119</v>
      </c>
      <c r="U2257" s="8">
        <f t="shared" ca="1" si="287"/>
        <v>1.3507136818577412</v>
      </c>
      <c r="V2257" s="8">
        <f ca="1">RawData[[#This Row],[Z (smoothed demand size)]]/RawData[[#This Row],[X (smoothed interval)]]</f>
        <v>1.8556887524444281</v>
      </c>
    </row>
    <row r="2258" spans="1:22">
      <c r="A2258" t="s">
        <v>50</v>
      </c>
      <c r="B2258" t="s">
        <v>39</v>
      </c>
      <c r="C2258">
        <v>49</v>
      </c>
      <c r="D2258" t="s">
        <v>18</v>
      </c>
      <c r="E2258" t="s">
        <v>16</v>
      </c>
      <c r="F2258" s="1">
        <v>43831</v>
      </c>
      <c r="G2258">
        <v>4</v>
      </c>
      <c r="H2258">
        <v>4</v>
      </c>
      <c r="I2258">
        <v>6</v>
      </c>
      <c r="J2258">
        <v>2</v>
      </c>
      <c r="K2258">
        <v>0</v>
      </c>
      <c r="L2258">
        <v>479</v>
      </c>
      <c r="M2258">
        <v>45</v>
      </c>
      <c r="N2258" s="1">
        <f t="shared" si="280"/>
        <v>44938</v>
      </c>
      <c r="O2258" s="1">
        <f t="shared" si="281"/>
        <v>43101</v>
      </c>
      <c r="P2258" s="1">
        <f t="shared" si="282"/>
        <v>43831</v>
      </c>
      <c r="Q2258" s="8">
        <f t="shared" si="283"/>
        <v>0</v>
      </c>
      <c r="R2258" s="8">
        <f t="shared" si="284"/>
        <v>25</v>
      </c>
      <c r="S2258" s="8">
        <f t="shared" ca="1" si="285"/>
        <v>25</v>
      </c>
      <c r="T2258">
        <f t="shared" ca="1" si="286"/>
        <v>2.8052033497569697</v>
      </c>
      <c r="U2258" s="8">
        <f t="shared" ca="1" si="287"/>
        <v>1.2805709454861929</v>
      </c>
      <c r="V2258" s="8">
        <f ca="1">RawData[[#This Row],[Z (smoothed demand size)]]/RawData[[#This Row],[X (smoothed interval)]]</f>
        <v>2.1905880026755735</v>
      </c>
    </row>
    <row r="2259" spans="1:22">
      <c r="A2259" t="s">
        <v>50</v>
      </c>
      <c r="B2259" t="s">
        <v>39</v>
      </c>
      <c r="C2259">
        <v>49</v>
      </c>
      <c r="D2259" t="s">
        <v>18</v>
      </c>
      <c r="E2259" t="s">
        <v>16</v>
      </c>
      <c r="F2259" s="1">
        <v>43832</v>
      </c>
      <c r="G2259">
        <v>4</v>
      </c>
      <c r="H2259">
        <v>2</v>
      </c>
      <c r="I2259">
        <v>2</v>
      </c>
      <c r="J2259">
        <v>0</v>
      </c>
      <c r="K2259">
        <v>1</v>
      </c>
      <c r="L2259">
        <v>480</v>
      </c>
      <c r="M2259">
        <v>15</v>
      </c>
      <c r="N2259" s="1">
        <f t="shared" si="280"/>
        <v>44938</v>
      </c>
      <c r="O2259" s="1">
        <f t="shared" si="281"/>
        <v>43101</v>
      </c>
      <c r="P2259" s="1">
        <f t="shared" si="282"/>
        <v>43862</v>
      </c>
      <c r="Q2259" s="8">
        <f t="shared" si="283"/>
        <v>0</v>
      </c>
      <c r="R2259" s="8">
        <f t="shared" si="284"/>
        <v>26</v>
      </c>
      <c r="S2259" s="8">
        <f t="shared" ca="1" si="285"/>
        <v>26</v>
      </c>
      <c r="T2259">
        <f t="shared" ca="1" si="286"/>
        <v>3.0441626798055763</v>
      </c>
      <c r="U2259" s="8">
        <f t="shared" ca="1" si="287"/>
        <v>1.2244567563889543</v>
      </c>
      <c r="V2259" s="8">
        <f ca="1">RawData[[#This Row],[Z (smoothed demand size)]]/RawData[[#This Row],[X (smoothed interval)]]</f>
        <v>2.4861332700577496</v>
      </c>
    </row>
    <row r="2260" spans="1:22">
      <c r="A2260" t="s">
        <v>50</v>
      </c>
      <c r="B2260" t="s">
        <v>39</v>
      </c>
      <c r="C2260">
        <v>49</v>
      </c>
      <c r="D2260" t="s">
        <v>18</v>
      </c>
      <c r="E2260" t="s">
        <v>16</v>
      </c>
      <c r="F2260" s="1">
        <v>43833</v>
      </c>
      <c r="G2260">
        <v>2</v>
      </c>
      <c r="H2260">
        <v>2</v>
      </c>
      <c r="I2260">
        <v>10</v>
      </c>
      <c r="J2260">
        <v>8</v>
      </c>
      <c r="K2260">
        <v>0</v>
      </c>
      <c r="L2260">
        <v>479</v>
      </c>
      <c r="M2260">
        <v>45</v>
      </c>
      <c r="N2260" s="1">
        <f t="shared" si="280"/>
        <v>44938</v>
      </c>
      <c r="O2260" s="1">
        <f t="shared" si="281"/>
        <v>43101</v>
      </c>
      <c r="P2260" s="1">
        <f t="shared" si="282"/>
        <v>43891</v>
      </c>
      <c r="Q2260" s="8">
        <f t="shared" si="283"/>
        <v>0</v>
      </c>
      <c r="R2260" s="8">
        <f t="shared" si="284"/>
        <v>27</v>
      </c>
      <c r="S2260" s="8">
        <f t="shared" ca="1" si="285"/>
        <v>27</v>
      </c>
      <c r="T2260">
        <f t="shared" ca="1" si="286"/>
        <v>2.8353301438444611</v>
      </c>
      <c r="U2260" s="8">
        <f t="shared" ca="1" si="287"/>
        <v>1.1795654051111635</v>
      </c>
      <c r="V2260" s="8">
        <f ca="1">RawData[[#This Row],[Z (smoothed demand size)]]/RawData[[#This Row],[X (smoothed interval)]]</f>
        <v>2.4037074430622662</v>
      </c>
    </row>
    <row r="2261" spans="1:22">
      <c r="A2261" t="s">
        <v>50</v>
      </c>
      <c r="B2261" t="s">
        <v>39</v>
      </c>
      <c r="C2261">
        <v>49</v>
      </c>
      <c r="D2261" t="s">
        <v>18</v>
      </c>
      <c r="E2261" t="s">
        <v>16</v>
      </c>
      <c r="F2261" s="1">
        <v>43834</v>
      </c>
      <c r="G2261">
        <v>5</v>
      </c>
      <c r="H2261">
        <v>5</v>
      </c>
      <c r="I2261">
        <v>8</v>
      </c>
      <c r="J2261">
        <v>3</v>
      </c>
      <c r="K2261">
        <v>0</v>
      </c>
      <c r="L2261">
        <v>483</v>
      </c>
      <c r="M2261">
        <v>15</v>
      </c>
      <c r="N2261" s="1">
        <f t="shared" si="280"/>
        <v>44938</v>
      </c>
      <c r="O2261" s="1">
        <f t="shared" si="281"/>
        <v>43101</v>
      </c>
      <c r="P2261" s="1">
        <f t="shared" si="282"/>
        <v>43922</v>
      </c>
      <c r="Q2261" s="8">
        <f t="shared" si="283"/>
        <v>0</v>
      </c>
      <c r="R2261" s="8">
        <f t="shared" si="284"/>
        <v>28</v>
      </c>
      <c r="S2261" s="8">
        <f t="shared" ca="1" si="285"/>
        <v>28</v>
      </c>
      <c r="T2261">
        <f t="shared" ca="1" si="286"/>
        <v>3.2682641150755689</v>
      </c>
      <c r="U2261" s="8">
        <f t="shared" ca="1" si="287"/>
        <v>1.1436523240889309</v>
      </c>
      <c r="V2261" s="8">
        <f ca="1">RawData[[#This Row],[Z (smoothed demand size)]]/RawData[[#This Row],[X (smoothed interval)]]</f>
        <v>2.85774273022981</v>
      </c>
    </row>
    <row r="2262" spans="1:22">
      <c r="A2262" t="s">
        <v>50</v>
      </c>
      <c r="B2262" t="s">
        <v>39</v>
      </c>
      <c r="C2262">
        <v>49</v>
      </c>
      <c r="D2262" t="s">
        <v>18</v>
      </c>
      <c r="E2262" t="s">
        <v>16</v>
      </c>
      <c r="F2262" s="1">
        <v>43835</v>
      </c>
      <c r="G2262">
        <v>1</v>
      </c>
      <c r="H2262">
        <v>1</v>
      </c>
      <c r="I2262">
        <v>14</v>
      </c>
      <c r="J2262">
        <v>13</v>
      </c>
      <c r="K2262">
        <v>0</v>
      </c>
      <c r="L2262">
        <v>481</v>
      </c>
      <c r="M2262">
        <v>30</v>
      </c>
      <c r="N2262" s="1">
        <f t="shared" si="280"/>
        <v>44938</v>
      </c>
      <c r="O2262" s="1">
        <f t="shared" si="281"/>
        <v>43101</v>
      </c>
      <c r="P2262" s="1">
        <f t="shared" si="282"/>
        <v>43952</v>
      </c>
      <c r="Q2262" s="8">
        <f t="shared" si="283"/>
        <v>0</v>
      </c>
      <c r="R2262" s="8">
        <f t="shared" si="284"/>
        <v>29</v>
      </c>
      <c r="S2262" s="8">
        <f t="shared" ca="1" si="285"/>
        <v>29</v>
      </c>
      <c r="T2262">
        <f t="shared" ca="1" si="286"/>
        <v>2.8146112920604556</v>
      </c>
      <c r="U2262" s="8">
        <f t="shared" ca="1" si="287"/>
        <v>1.1149218592711447</v>
      </c>
      <c r="V2262" s="8">
        <f ca="1">RawData[[#This Row],[Z (smoothed demand size)]]/RawData[[#This Row],[X (smoothed interval)]]</f>
        <v>2.5244919800033743</v>
      </c>
    </row>
    <row r="2263" spans="1:22">
      <c r="A2263" t="s">
        <v>50</v>
      </c>
      <c r="B2263" t="s">
        <v>39</v>
      </c>
      <c r="C2263">
        <v>49</v>
      </c>
      <c r="D2263" t="s">
        <v>18</v>
      </c>
      <c r="E2263" t="s">
        <v>16</v>
      </c>
      <c r="F2263" s="1">
        <v>43836</v>
      </c>
      <c r="G2263">
        <v>2</v>
      </c>
      <c r="H2263">
        <v>2</v>
      </c>
      <c r="I2263">
        <v>13</v>
      </c>
      <c r="J2263">
        <v>11</v>
      </c>
      <c r="K2263">
        <v>0</v>
      </c>
      <c r="L2263">
        <v>551</v>
      </c>
      <c r="M2263">
        <v>15</v>
      </c>
      <c r="N2263" s="1">
        <f t="shared" si="280"/>
        <v>44938</v>
      </c>
      <c r="O2263" s="1">
        <f t="shared" si="281"/>
        <v>43101</v>
      </c>
      <c r="P2263" s="1">
        <f t="shared" si="282"/>
        <v>43983</v>
      </c>
      <c r="Q2263" s="8">
        <f t="shared" si="283"/>
        <v>0</v>
      </c>
      <c r="R2263" s="8">
        <f t="shared" si="284"/>
        <v>30</v>
      </c>
      <c r="S2263" s="8">
        <f t="shared" ca="1" si="285"/>
        <v>30</v>
      </c>
      <c r="T2263">
        <f t="shared" ca="1" si="286"/>
        <v>2.6516890336483643</v>
      </c>
      <c r="U2263" s="8">
        <f t="shared" ca="1" si="287"/>
        <v>1.0919374874169159</v>
      </c>
      <c r="V2263" s="8">
        <f ca="1">RawData[[#This Row],[Z (smoothed demand size)]]/RawData[[#This Row],[X (smoothed interval)]]</f>
        <v>2.4284256783977551</v>
      </c>
    </row>
    <row r="2264" spans="1:22">
      <c r="A2264" t="s">
        <v>50</v>
      </c>
      <c r="B2264" t="s">
        <v>39</v>
      </c>
      <c r="C2264">
        <v>49</v>
      </c>
      <c r="D2264" t="s">
        <v>18</v>
      </c>
      <c r="E2264" t="s">
        <v>16</v>
      </c>
      <c r="F2264" s="1">
        <v>43837</v>
      </c>
      <c r="G2264">
        <v>3</v>
      </c>
      <c r="H2264">
        <v>3</v>
      </c>
      <c r="I2264">
        <v>11</v>
      </c>
      <c r="J2264">
        <v>8</v>
      </c>
      <c r="K2264">
        <v>0</v>
      </c>
      <c r="L2264">
        <v>549</v>
      </c>
      <c r="M2264">
        <v>60</v>
      </c>
      <c r="N2264" s="1">
        <f t="shared" si="280"/>
        <v>44938</v>
      </c>
      <c r="O2264" s="1">
        <f t="shared" si="281"/>
        <v>43101</v>
      </c>
      <c r="P2264" s="1">
        <f t="shared" si="282"/>
        <v>44013</v>
      </c>
      <c r="Q2264" s="8">
        <f t="shared" si="283"/>
        <v>0</v>
      </c>
      <c r="R2264" s="8">
        <f t="shared" si="284"/>
        <v>31</v>
      </c>
      <c r="S2264" s="8">
        <f t="shared" ca="1" si="285"/>
        <v>31</v>
      </c>
      <c r="T2264">
        <f t="shared" ca="1" si="286"/>
        <v>2.7213512269186917</v>
      </c>
      <c r="U2264" s="8">
        <f t="shared" ca="1" si="287"/>
        <v>1.0735499899335328</v>
      </c>
      <c r="V2264" s="8">
        <f ca="1">RawData[[#This Row],[Z (smoothed demand size)]]/RawData[[#This Row],[X (smoothed interval)]]</f>
        <v>2.534908716348812</v>
      </c>
    </row>
    <row r="2265" spans="1:22">
      <c r="A2265" t="s">
        <v>50</v>
      </c>
      <c r="B2265" t="s">
        <v>39</v>
      </c>
      <c r="C2265">
        <v>49</v>
      </c>
      <c r="D2265" t="s">
        <v>18</v>
      </c>
      <c r="E2265" t="s">
        <v>16</v>
      </c>
      <c r="F2265" s="1">
        <v>43838</v>
      </c>
      <c r="G2265">
        <v>4</v>
      </c>
      <c r="H2265">
        <v>4</v>
      </c>
      <c r="I2265">
        <v>8</v>
      </c>
      <c r="J2265">
        <v>4</v>
      </c>
      <c r="K2265">
        <v>0</v>
      </c>
      <c r="L2265">
        <v>554</v>
      </c>
      <c r="M2265">
        <v>30</v>
      </c>
      <c r="N2265" s="1">
        <f t="shared" si="280"/>
        <v>44938</v>
      </c>
      <c r="O2265" s="1">
        <f t="shared" si="281"/>
        <v>43101</v>
      </c>
      <c r="P2265" s="1">
        <f t="shared" si="282"/>
        <v>44044</v>
      </c>
      <c r="Q2265" s="8">
        <f t="shared" si="283"/>
        <v>0</v>
      </c>
      <c r="R2265" s="8">
        <f t="shared" si="284"/>
        <v>32</v>
      </c>
      <c r="S2265" s="8">
        <f t="shared" ca="1" si="285"/>
        <v>32</v>
      </c>
      <c r="T2265">
        <f t="shared" ca="1" si="286"/>
        <v>2.9770809815349537</v>
      </c>
      <c r="U2265" s="8">
        <f t="shared" ca="1" si="287"/>
        <v>1.0588399919468263</v>
      </c>
      <c r="V2265" s="8">
        <f ca="1">RawData[[#This Row],[Z (smoothed demand size)]]/RawData[[#This Row],[X (smoothed interval)]]</f>
        <v>2.8116438783740794</v>
      </c>
    </row>
    <row r="2266" spans="1:22">
      <c r="A2266" t="s">
        <v>50</v>
      </c>
      <c r="B2266" t="s">
        <v>39</v>
      </c>
      <c r="C2266">
        <v>49</v>
      </c>
      <c r="D2266" t="s">
        <v>18</v>
      </c>
      <c r="E2266" t="s">
        <v>16</v>
      </c>
      <c r="F2266" s="1">
        <v>43839</v>
      </c>
      <c r="G2266">
        <v>1</v>
      </c>
      <c r="H2266">
        <v>1</v>
      </c>
      <c r="I2266">
        <v>4</v>
      </c>
      <c r="J2266">
        <v>3</v>
      </c>
      <c r="K2266">
        <v>0</v>
      </c>
      <c r="L2266">
        <v>479</v>
      </c>
      <c r="M2266">
        <v>45</v>
      </c>
      <c r="N2266" s="1">
        <f t="shared" si="280"/>
        <v>44938</v>
      </c>
      <c r="O2266" s="1">
        <f t="shared" si="281"/>
        <v>43101</v>
      </c>
      <c r="P2266" s="1">
        <f t="shared" si="282"/>
        <v>44075</v>
      </c>
      <c r="Q2266" s="8">
        <f t="shared" si="283"/>
        <v>0</v>
      </c>
      <c r="R2266" s="8">
        <f t="shared" si="284"/>
        <v>33</v>
      </c>
      <c r="S2266" s="8">
        <f t="shared" ca="1" si="285"/>
        <v>33</v>
      </c>
      <c r="T2266">
        <f t="shared" ca="1" si="286"/>
        <v>2.5816647852279631</v>
      </c>
      <c r="U2266" s="8">
        <f t="shared" ca="1" si="287"/>
        <v>1.0470719935574611</v>
      </c>
      <c r="V2266" s="8">
        <f ca="1">RawData[[#This Row],[Z (smoothed demand size)]]/RawData[[#This Row],[X (smoothed interval)]]</f>
        <v>2.4656038945867258</v>
      </c>
    </row>
    <row r="2267" spans="1:22">
      <c r="A2267" t="s">
        <v>50</v>
      </c>
      <c r="B2267" t="s">
        <v>39</v>
      </c>
      <c r="C2267">
        <v>49</v>
      </c>
      <c r="D2267" t="s">
        <v>18</v>
      </c>
      <c r="E2267" t="s">
        <v>16</v>
      </c>
      <c r="F2267" s="1">
        <v>43840</v>
      </c>
      <c r="G2267">
        <v>0</v>
      </c>
      <c r="H2267">
        <v>0</v>
      </c>
      <c r="I2267">
        <v>3</v>
      </c>
      <c r="J2267">
        <v>3</v>
      </c>
      <c r="K2267">
        <v>0</v>
      </c>
      <c r="L2267">
        <v>490</v>
      </c>
      <c r="M2267">
        <v>60</v>
      </c>
      <c r="N2267" s="1">
        <f t="shared" si="280"/>
        <v>44938</v>
      </c>
      <c r="O2267" s="1">
        <f t="shared" si="281"/>
        <v>43101</v>
      </c>
      <c r="P2267" s="1">
        <f t="shared" si="282"/>
        <v>44105</v>
      </c>
      <c r="Q2267" s="8">
        <f t="shared" si="283"/>
        <v>0</v>
      </c>
      <c r="R2267" s="8">
        <f t="shared" si="284"/>
        <v>34</v>
      </c>
      <c r="S2267" s="8">
        <f t="shared" ca="1" si="285"/>
        <v>33</v>
      </c>
      <c r="T2267">
        <f t="shared" ca="1" si="286"/>
        <v>2.5816647852279631</v>
      </c>
      <c r="U2267" s="8">
        <f t="shared" ca="1" si="287"/>
        <v>1.0470719935574611</v>
      </c>
      <c r="V2267" s="8">
        <f ca="1">RawData[[#This Row],[Z (smoothed demand size)]]/RawData[[#This Row],[X (smoothed interval)]]</f>
        <v>2.4656038945867258</v>
      </c>
    </row>
    <row r="2268" spans="1:22">
      <c r="A2268" t="s">
        <v>50</v>
      </c>
      <c r="B2268" t="s">
        <v>39</v>
      </c>
      <c r="C2268">
        <v>49</v>
      </c>
      <c r="D2268" t="s">
        <v>18</v>
      </c>
      <c r="E2268" t="s">
        <v>16</v>
      </c>
      <c r="F2268" s="1">
        <v>43841</v>
      </c>
      <c r="G2268">
        <v>1</v>
      </c>
      <c r="H2268">
        <v>1</v>
      </c>
      <c r="I2268">
        <v>14</v>
      </c>
      <c r="J2268">
        <v>13</v>
      </c>
      <c r="K2268">
        <v>0</v>
      </c>
      <c r="L2268">
        <v>480</v>
      </c>
      <c r="M2268">
        <v>45</v>
      </c>
      <c r="N2268" s="1">
        <f t="shared" si="280"/>
        <v>44938</v>
      </c>
      <c r="O2268" s="1">
        <f t="shared" si="281"/>
        <v>43101</v>
      </c>
      <c r="P2268" s="1">
        <f t="shared" si="282"/>
        <v>44136</v>
      </c>
      <c r="Q2268" s="8">
        <f t="shared" si="283"/>
        <v>0</v>
      </c>
      <c r="R2268" s="8">
        <f t="shared" si="284"/>
        <v>35</v>
      </c>
      <c r="S2268" s="8">
        <f t="shared" ca="1" si="285"/>
        <v>35</v>
      </c>
      <c r="T2268">
        <f t="shared" ca="1" si="286"/>
        <v>2.2653318281823709</v>
      </c>
      <c r="U2268" s="8">
        <f t="shared" ca="1" si="287"/>
        <v>1.2376575948459689</v>
      </c>
      <c r="V2268" s="8">
        <f ca="1">RawData[[#This Row],[Z (smoothed demand size)]]/RawData[[#This Row],[X (smoothed interval)]]</f>
        <v>1.8303380818862909</v>
      </c>
    </row>
    <row r="2269" spans="1:22">
      <c r="A2269" t="s">
        <v>50</v>
      </c>
      <c r="B2269" t="s">
        <v>39</v>
      </c>
      <c r="C2269">
        <v>49</v>
      </c>
      <c r="D2269" t="s">
        <v>18</v>
      </c>
      <c r="E2269" t="s">
        <v>16</v>
      </c>
      <c r="F2269" s="1">
        <v>43842</v>
      </c>
      <c r="G2269">
        <v>5</v>
      </c>
      <c r="H2269">
        <v>5</v>
      </c>
      <c r="I2269">
        <v>13</v>
      </c>
      <c r="J2269">
        <v>8</v>
      </c>
      <c r="K2269">
        <v>0</v>
      </c>
      <c r="L2269">
        <v>556</v>
      </c>
      <c r="M2269">
        <v>45</v>
      </c>
      <c r="N2269" s="1">
        <f t="shared" si="280"/>
        <v>44938</v>
      </c>
      <c r="O2269" s="1">
        <f t="shared" si="281"/>
        <v>43101</v>
      </c>
      <c r="P2269" s="1">
        <f t="shared" si="282"/>
        <v>44166</v>
      </c>
      <c r="Q2269" s="8">
        <f t="shared" si="283"/>
        <v>0</v>
      </c>
      <c r="R2269" s="8">
        <f t="shared" si="284"/>
        <v>36</v>
      </c>
      <c r="S2269" s="8">
        <f t="shared" ca="1" si="285"/>
        <v>36</v>
      </c>
      <c r="T2269">
        <f t="shared" ca="1" si="286"/>
        <v>2.8122654625458967</v>
      </c>
      <c r="U2269" s="8">
        <f t="shared" ca="1" si="287"/>
        <v>1.1901260758767751</v>
      </c>
      <c r="V2269" s="8">
        <f ca="1">RawData[[#This Row],[Z (smoothed demand size)]]/RawData[[#This Row],[X (smoothed interval)]]</f>
        <v>2.3629979374026227</v>
      </c>
    </row>
    <row r="2270" spans="1:22">
      <c r="A2270" t="s">
        <v>50</v>
      </c>
      <c r="B2270" t="s">
        <v>39</v>
      </c>
      <c r="C2270">
        <v>49</v>
      </c>
      <c r="D2270" t="s">
        <v>18</v>
      </c>
      <c r="E2270" t="s">
        <v>16</v>
      </c>
      <c r="F2270" s="1">
        <v>44197</v>
      </c>
      <c r="G2270">
        <v>5</v>
      </c>
      <c r="H2270">
        <v>5</v>
      </c>
      <c r="I2270">
        <v>8</v>
      </c>
      <c r="J2270">
        <v>3</v>
      </c>
      <c r="K2270">
        <v>0</v>
      </c>
      <c r="L2270">
        <v>480</v>
      </c>
      <c r="M2270">
        <v>30</v>
      </c>
      <c r="N2270" s="1">
        <f t="shared" si="280"/>
        <v>44938</v>
      </c>
      <c r="O2270" s="1">
        <f t="shared" si="281"/>
        <v>43101</v>
      </c>
      <c r="P2270" s="1">
        <f t="shared" si="282"/>
        <v>44197</v>
      </c>
      <c r="Q2270" s="8">
        <f t="shared" si="283"/>
        <v>0</v>
      </c>
      <c r="R2270" s="8">
        <f t="shared" si="284"/>
        <v>37</v>
      </c>
      <c r="S2270" s="8">
        <f t="shared" ca="1" si="285"/>
        <v>37</v>
      </c>
      <c r="T2270">
        <f t="shared" ca="1" si="286"/>
        <v>3.2498123700367176</v>
      </c>
      <c r="U2270" s="8">
        <f t="shared" ca="1" si="287"/>
        <v>1.15210086070142</v>
      </c>
      <c r="V2270" s="8">
        <f ca="1">RawData[[#This Row],[Z (smoothed demand size)]]/RawData[[#This Row],[X (smoothed interval)]]</f>
        <v>2.8207707162532389</v>
      </c>
    </row>
    <row r="2271" spans="1:22">
      <c r="A2271" t="s">
        <v>50</v>
      </c>
      <c r="B2271" t="s">
        <v>39</v>
      </c>
      <c r="C2271">
        <v>49</v>
      </c>
      <c r="D2271" t="s">
        <v>18</v>
      </c>
      <c r="E2271" t="s">
        <v>16</v>
      </c>
      <c r="F2271" s="1">
        <v>44198</v>
      </c>
      <c r="G2271">
        <v>1</v>
      </c>
      <c r="H2271">
        <v>1</v>
      </c>
      <c r="I2271">
        <v>11</v>
      </c>
      <c r="J2271">
        <v>10</v>
      </c>
      <c r="K2271">
        <v>0</v>
      </c>
      <c r="L2271">
        <v>479</v>
      </c>
      <c r="M2271">
        <v>15</v>
      </c>
      <c r="N2271" s="1">
        <f t="shared" si="280"/>
        <v>44938</v>
      </c>
      <c r="O2271" s="1">
        <f t="shared" si="281"/>
        <v>43101</v>
      </c>
      <c r="P2271" s="1">
        <f t="shared" si="282"/>
        <v>44228</v>
      </c>
      <c r="Q2271" s="8">
        <f t="shared" si="283"/>
        <v>0</v>
      </c>
      <c r="R2271" s="8">
        <f t="shared" si="284"/>
        <v>38</v>
      </c>
      <c r="S2271" s="8">
        <f t="shared" ca="1" si="285"/>
        <v>38</v>
      </c>
      <c r="T2271">
        <f t="shared" ca="1" si="286"/>
        <v>2.7998498960293743</v>
      </c>
      <c r="U2271" s="8">
        <f t="shared" ca="1" si="287"/>
        <v>1.1216806885611361</v>
      </c>
      <c r="V2271" s="8">
        <f ca="1">RawData[[#This Row],[Z (smoothed demand size)]]/RawData[[#This Row],[X (smoothed interval)]]</f>
        <v>2.4961202636206132</v>
      </c>
    </row>
    <row r="2272" spans="1:22">
      <c r="A2272" t="s">
        <v>50</v>
      </c>
      <c r="B2272" t="s">
        <v>39</v>
      </c>
      <c r="C2272">
        <v>49</v>
      </c>
      <c r="D2272" t="s">
        <v>18</v>
      </c>
      <c r="E2272" t="s">
        <v>16</v>
      </c>
      <c r="F2272" s="1">
        <v>44199</v>
      </c>
      <c r="G2272">
        <v>3</v>
      </c>
      <c r="H2272">
        <v>3</v>
      </c>
      <c r="I2272">
        <v>10</v>
      </c>
      <c r="J2272">
        <v>7</v>
      </c>
      <c r="K2272">
        <v>0</v>
      </c>
      <c r="L2272">
        <v>485</v>
      </c>
      <c r="M2272">
        <v>60</v>
      </c>
      <c r="N2272" s="1">
        <f t="shared" si="280"/>
        <v>44938</v>
      </c>
      <c r="O2272" s="1">
        <f t="shared" si="281"/>
        <v>43101</v>
      </c>
      <c r="P2272" s="1">
        <f t="shared" si="282"/>
        <v>44256</v>
      </c>
      <c r="Q2272" s="8">
        <f t="shared" si="283"/>
        <v>0</v>
      </c>
      <c r="R2272" s="8">
        <f t="shared" si="284"/>
        <v>39</v>
      </c>
      <c r="S2272" s="8">
        <f t="shared" ca="1" si="285"/>
        <v>39</v>
      </c>
      <c r="T2272">
        <f t="shared" ca="1" si="286"/>
        <v>2.8398799168234996</v>
      </c>
      <c r="U2272" s="8">
        <f t="shared" ca="1" si="287"/>
        <v>1.097344550848909</v>
      </c>
      <c r="V2272" s="8">
        <f ca="1">RawData[[#This Row],[Z (smoothed demand size)]]/RawData[[#This Row],[X (smoothed interval)]]</f>
        <v>2.5879564578204359</v>
      </c>
    </row>
    <row r="2273" spans="1:22">
      <c r="A2273" t="s">
        <v>50</v>
      </c>
      <c r="B2273" t="s">
        <v>39</v>
      </c>
      <c r="C2273">
        <v>49</v>
      </c>
      <c r="D2273" t="s">
        <v>18</v>
      </c>
      <c r="E2273" t="s">
        <v>16</v>
      </c>
      <c r="F2273" s="1">
        <v>44200</v>
      </c>
      <c r="G2273">
        <v>0</v>
      </c>
      <c r="H2273">
        <v>0</v>
      </c>
      <c r="I2273">
        <v>7</v>
      </c>
      <c r="J2273">
        <v>7</v>
      </c>
      <c r="K2273">
        <v>0</v>
      </c>
      <c r="L2273">
        <v>483</v>
      </c>
      <c r="M2273">
        <v>60</v>
      </c>
      <c r="N2273" s="1">
        <f t="shared" si="280"/>
        <v>44938</v>
      </c>
      <c r="O2273" s="1">
        <f t="shared" si="281"/>
        <v>43101</v>
      </c>
      <c r="P2273" s="1">
        <f t="shared" si="282"/>
        <v>44287</v>
      </c>
      <c r="Q2273" s="8">
        <f t="shared" si="283"/>
        <v>0</v>
      </c>
      <c r="R2273" s="8">
        <f t="shared" si="284"/>
        <v>40</v>
      </c>
      <c r="S2273" s="8">
        <f t="shared" ca="1" si="285"/>
        <v>39</v>
      </c>
      <c r="T2273">
        <f t="shared" ca="1" si="286"/>
        <v>2.8398799168234996</v>
      </c>
      <c r="U2273" s="8">
        <f t="shared" ca="1" si="287"/>
        <v>1.097344550848909</v>
      </c>
      <c r="V2273" s="8">
        <f ca="1">RawData[[#This Row],[Z (smoothed demand size)]]/RawData[[#This Row],[X (smoothed interval)]]</f>
        <v>2.5879564578204359</v>
      </c>
    </row>
    <row r="2274" spans="1:22">
      <c r="A2274" t="s">
        <v>50</v>
      </c>
      <c r="B2274" t="s">
        <v>39</v>
      </c>
      <c r="C2274">
        <v>49</v>
      </c>
      <c r="D2274" t="s">
        <v>18</v>
      </c>
      <c r="E2274" t="s">
        <v>16</v>
      </c>
      <c r="F2274" s="1">
        <v>44201</v>
      </c>
      <c r="G2274">
        <v>0</v>
      </c>
      <c r="H2274">
        <v>0</v>
      </c>
      <c r="I2274">
        <v>7</v>
      </c>
      <c r="J2274">
        <v>7</v>
      </c>
      <c r="K2274">
        <v>0</v>
      </c>
      <c r="L2274">
        <v>483</v>
      </c>
      <c r="M2274">
        <v>15</v>
      </c>
      <c r="N2274" s="1">
        <f t="shared" si="280"/>
        <v>44938</v>
      </c>
      <c r="O2274" s="1">
        <f t="shared" si="281"/>
        <v>43101</v>
      </c>
      <c r="P2274" s="1">
        <f t="shared" si="282"/>
        <v>44317</v>
      </c>
      <c r="Q2274" s="8">
        <f t="shared" si="283"/>
        <v>0</v>
      </c>
      <c r="R2274" s="8">
        <f t="shared" si="284"/>
        <v>41</v>
      </c>
      <c r="S2274" s="8">
        <f t="shared" ca="1" si="285"/>
        <v>39</v>
      </c>
      <c r="T2274">
        <f t="shared" ca="1" si="286"/>
        <v>2.8398799168234996</v>
      </c>
      <c r="U2274" s="8">
        <f t="shared" ca="1" si="287"/>
        <v>1.097344550848909</v>
      </c>
      <c r="V2274" s="8">
        <f ca="1">RawData[[#This Row],[Z (smoothed demand size)]]/RawData[[#This Row],[X (smoothed interval)]]</f>
        <v>2.5879564578204359</v>
      </c>
    </row>
    <row r="2275" spans="1:22">
      <c r="A2275" t="s">
        <v>50</v>
      </c>
      <c r="B2275" t="s">
        <v>39</v>
      </c>
      <c r="C2275">
        <v>49</v>
      </c>
      <c r="D2275" t="s">
        <v>18</v>
      </c>
      <c r="E2275" t="s">
        <v>16</v>
      </c>
      <c r="F2275" s="1">
        <v>44202</v>
      </c>
      <c r="G2275">
        <v>0</v>
      </c>
      <c r="H2275">
        <v>0</v>
      </c>
      <c r="I2275">
        <v>7</v>
      </c>
      <c r="J2275">
        <v>7</v>
      </c>
      <c r="K2275">
        <v>0</v>
      </c>
      <c r="L2275">
        <v>556</v>
      </c>
      <c r="M2275">
        <v>60</v>
      </c>
      <c r="N2275" s="1">
        <f t="shared" si="280"/>
        <v>44938</v>
      </c>
      <c r="O2275" s="1">
        <f t="shared" si="281"/>
        <v>43101</v>
      </c>
      <c r="P2275" s="1">
        <f t="shared" si="282"/>
        <v>44348</v>
      </c>
      <c r="Q2275" s="8">
        <f t="shared" si="283"/>
        <v>0</v>
      </c>
      <c r="R2275" s="8">
        <f t="shared" si="284"/>
        <v>42</v>
      </c>
      <c r="S2275" s="8">
        <f t="shared" ca="1" si="285"/>
        <v>39</v>
      </c>
      <c r="T2275">
        <f t="shared" ca="1" si="286"/>
        <v>2.8398799168234996</v>
      </c>
      <c r="U2275" s="8">
        <f t="shared" ca="1" si="287"/>
        <v>1.097344550848909</v>
      </c>
      <c r="V2275" s="8">
        <f ca="1">RawData[[#This Row],[Z (smoothed demand size)]]/RawData[[#This Row],[X (smoothed interval)]]</f>
        <v>2.5879564578204359</v>
      </c>
    </row>
    <row r="2276" spans="1:22">
      <c r="A2276" t="s">
        <v>50</v>
      </c>
      <c r="B2276" t="s">
        <v>39</v>
      </c>
      <c r="C2276">
        <v>49</v>
      </c>
      <c r="D2276" t="s">
        <v>18</v>
      </c>
      <c r="E2276" t="s">
        <v>16</v>
      </c>
      <c r="F2276" s="1">
        <v>44203</v>
      </c>
      <c r="G2276">
        <v>3</v>
      </c>
      <c r="H2276">
        <v>3</v>
      </c>
      <c r="I2276">
        <v>7</v>
      </c>
      <c r="J2276">
        <v>4</v>
      </c>
      <c r="K2276">
        <v>0</v>
      </c>
      <c r="L2276">
        <v>544</v>
      </c>
      <c r="M2276">
        <v>45</v>
      </c>
      <c r="N2276" s="1">
        <f t="shared" si="280"/>
        <v>44938</v>
      </c>
      <c r="O2276" s="1">
        <f t="shared" si="281"/>
        <v>43101</v>
      </c>
      <c r="P2276" s="1">
        <f t="shared" si="282"/>
        <v>44378</v>
      </c>
      <c r="Q2276" s="8">
        <f t="shared" si="283"/>
        <v>0</v>
      </c>
      <c r="R2276" s="8">
        <f t="shared" si="284"/>
        <v>43</v>
      </c>
      <c r="S2276" s="8">
        <f t="shared" ca="1" si="285"/>
        <v>43</v>
      </c>
      <c r="T2276">
        <f t="shared" ca="1" si="286"/>
        <v>2.8719039334587997</v>
      </c>
      <c r="U2276" s="8">
        <f t="shared" ca="1" si="287"/>
        <v>1.6778756406791273</v>
      </c>
      <c r="V2276" s="8">
        <f ca="1">RawData[[#This Row],[Z (smoothed demand size)]]/RawData[[#This Row],[X (smoothed interval)]]</f>
        <v>1.7116309837458421</v>
      </c>
    </row>
    <row r="2277" spans="1:22">
      <c r="A2277" t="s">
        <v>50</v>
      </c>
      <c r="B2277" t="s">
        <v>39</v>
      </c>
      <c r="C2277">
        <v>49</v>
      </c>
      <c r="D2277" t="s">
        <v>18</v>
      </c>
      <c r="E2277" t="s">
        <v>16</v>
      </c>
      <c r="F2277" s="1">
        <v>44204</v>
      </c>
      <c r="G2277">
        <v>1</v>
      </c>
      <c r="H2277">
        <v>1</v>
      </c>
      <c r="I2277">
        <v>4</v>
      </c>
      <c r="J2277">
        <v>3</v>
      </c>
      <c r="K2277">
        <v>0</v>
      </c>
      <c r="L2277">
        <v>555</v>
      </c>
      <c r="M2277">
        <v>15</v>
      </c>
      <c r="N2277" s="1">
        <f t="shared" si="280"/>
        <v>44938</v>
      </c>
      <c r="O2277" s="1">
        <f t="shared" si="281"/>
        <v>43101</v>
      </c>
      <c r="P2277" s="1">
        <f t="shared" si="282"/>
        <v>44409</v>
      </c>
      <c r="Q2277" s="8">
        <f t="shared" si="283"/>
        <v>0</v>
      </c>
      <c r="R2277" s="8">
        <f t="shared" si="284"/>
        <v>44</v>
      </c>
      <c r="S2277" s="8">
        <f t="shared" ca="1" si="285"/>
        <v>44</v>
      </c>
      <c r="T2277">
        <f t="shared" ca="1" si="286"/>
        <v>2.49752314676704</v>
      </c>
      <c r="U2277" s="8">
        <f t="shared" ca="1" si="287"/>
        <v>1.5423005125433018</v>
      </c>
      <c r="V2277" s="8">
        <f ca="1">RawData[[#This Row],[Z (smoothed demand size)]]/RawData[[#This Row],[X (smoothed interval)]]</f>
        <v>1.6193492295794847</v>
      </c>
    </row>
    <row r="2278" spans="1:22">
      <c r="A2278" t="s">
        <v>50</v>
      </c>
      <c r="B2278" t="s">
        <v>39</v>
      </c>
      <c r="C2278">
        <v>49</v>
      </c>
      <c r="D2278" t="s">
        <v>18</v>
      </c>
      <c r="E2278" t="s">
        <v>16</v>
      </c>
      <c r="F2278" s="1">
        <v>44205</v>
      </c>
      <c r="G2278">
        <v>0</v>
      </c>
      <c r="H2278">
        <v>0</v>
      </c>
      <c r="I2278">
        <v>11</v>
      </c>
      <c r="J2278">
        <v>11</v>
      </c>
      <c r="K2278">
        <v>0</v>
      </c>
      <c r="L2278">
        <v>479</v>
      </c>
      <c r="M2278">
        <v>45</v>
      </c>
      <c r="N2278" s="1">
        <f t="shared" si="280"/>
        <v>44938</v>
      </c>
      <c r="O2278" s="1">
        <f t="shared" si="281"/>
        <v>43101</v>
      </c>
      <c r="P2278" s="1">
        <f t="shared" si="282"/>
        <v>44440</v>
      </c>
      <c r="Q2278" s="8">
        <f t="shared" si="283"/>
        <v>0</v>
      </c>
      <c r="R2278" s="8">
        <f t="shared" si="284"/>
        <v>45</v>
      </c>
      <c r="S2278" s="8">
        <f t="shared" ca="1" si="285"/>
        <v>44</v>
      </c>
      <c r="T2278">
        <f t="shared" ca="1" si="286"/>
        <v>2.49752314676704</v>
      </c>
      <c r="U2278" s="8">
        <f t="shared" ca="1" si="287"/>
        <v>1.5423005125433018</v>
      </c>
      <c r="V2278" s="8">
        <f ca="1">RawData[[#This Row],[Z (smoothed demand size)]]/RawData[[#This Row],[X (smoothed interval)]]</f>
        <v>1.6193492295794847</v>
      </c>
    </row>
    <row r="2279" spans="1:22">
      <c r="A2279" t="s">
        <v>50</v>
      </c>
      <c r="B2279" t="s">
        <v>39</v>
      </c>
      <c r="C2279">
        <v>49</v>
      </c>
      <c r="D2279" t="s">
        <v>18</v>
      </c>
      <c r="E2279" t="s">
        <v>16</v>
      </c>
      <c r="F2279" s="1">
        <v>44206</v>
      </c>
      <c r="G2279">
        <v>4</v>
      </c>
      <c r="H2279">
        <v>4</v>
      </c>
      <c r="I2279">
        <v>11</v>
      </c>
      <c r="J2279">
        <v>7</v>
      </c>
      <c r="K2279">
        <v>0</v>
      </c>
      <c r="L2279">
        <v>478</v>
      </c>
      <c r="M2279">
        <v>60</v>
      </c>
      <c r="N2279" s="1">
        <f t="shared" si="280"/>
        <v>44938</v>
      </c>
      <c r="O2279" s="1">
        <f t="shared" si="281"/>
        <v>43101</v>
      </c>
      <c r="P2279" s="1">
        <f t="shared" si="282"/>
        <v>44470</v>
      </c>
      <c r="Q2279" s="8">
        <f t="shared" si="283"/>
        <v>0</v>
      </c>
      <c r="R2279" s="8">
        <f t="shared" si="284"/>
        <v>46</v>
      </c>
      <c r="S2279" s="8">
        <f t="shared" ca="1" si="285"/>
        <v>46</v>
      </c>
      <c r="T2279">
        <f t="shared" ca="1" si="286"/>
        <v>2.7980185174136318</v>
      </c>
      <c r="U2279" s="8">
        <f t="shared" ca="1" si="287"/>
        <v>1.6338404100346415</v>
      </c>
      <c r="V2279" s="8">
        <f ca="1">RawData[[#This Row],[Z (smoothed demand size)]]/RawData[[#This Row],[X (smoothed interval)]]</f>
        <v>1.7125408945873157</v>
      </c>
    </row>
    <row r="2280" spans="1:22">
      <c r="A2280" t="s">
        <v>50</v>
      </c>
      <c r="B2280" t="s">
        <v>39</v>
      </c>
      <c r="C2280">
        <v>49</v>
      </c>
      <c r="D2280" t="s">
        <v>18</v>
      </c>
      <c r="E2280" t="s">
        <v>16</v>
      </c>
      <c r="F2280" s="1">
        <v>44207</v>
      </c>
      <c r="G2280">
        <v>2</v>
      </c>
      <c r="H2280">
        <v>2</v>
      </c>
      <c r="I2280">
        <v>7</v>
      </c>
      <c r="J2280">
        <v>5</v>
      </c>
      <c r="K2280">
        <v>0</v>
      </c>
      <c r="L2280">
        <v>497</v>
      </c>
      <c r="M2280">
        <v>15</v>
      </c>
      <c r="N2280" s="1">
        <f t="shared" si="280"/>
        <v>44938</v>
      </c>
      <c r="O2280" s="1">
        <f t="shared" si="281"/>
        <v>43101</v>
      </c>
      <c r="P2280" s="1">
        <f t="shared" si="282"/>
        <v>44501</v>
      </c>
      <c r="Q2280" s="8">
        <f t="shared" si="283"/>
        <v>0</v>
      </c>
      <c r="R2280" s="8">
        <f t="shared" si="284"/>
        <v>47</v>
      </c>
      <c r="S2280" s="8">
        <f t="shared" ca="1" si="285"/>
        <v>47</v>
      </c>
      <c r="T2280">
        <f t="shared" ca="1" si="286"/>
        <v>2.6384148139309054</v>
      </c>
      <c r="U2280" s="8">
        <f t="shared" ca="1" si="287"/>
        <v>1.5070723280277132</v>
      </c>
      <c r="V2280" s="8">
        <f ca="1">RawData[[#This Row],[Z (smoothed demand size)]]/RawData[[#This Row],[X (smoothed interval)]]</f>
        <v>1.7506889117815374</v>
      </c>
    </row>
    <row r="2281" spans="1:22">
      <c r="A2281" t="s">
        <v>50</v>
      </c>
      <c r="B2281" t="s">
        <v>39</v>
      </c>
      <c r="C2281">
        <v>49</v>
      </c>
      <c r="D2281" t="s">
        <v>18</v>
      </c>
      <c r="E2281" t="s">
        <v>16</v>
      </c>
      <c r="F2281" s="1">
        <v>44208</v>
      </c>
      <c r="G2281">
        <v>0</v>
      </c>
      <c r="H2281">
        <v>0</v>
      </c>
      <c r="I2281">
        <v>5</v>
      </c>
      <c r="J2281">
        <v>5</v>
      </c>
      <c r="K2281">
        <v>0</v>
      </c>
      <c r="L2281">
        <v>545</v>
      </c>
      <c r="M2281">
        <v>60</v>
      </c>
      <c r="N2281" s="1">
        <f t="shared" si="280"/>
        <v>44938</v>
      </c>
      <c r="O2281" s="1">
        <f t="shared" si="281"/>
        <v>43101</v>
      </c>
      <c r="P2281" s="1">
        <f t="shared" si="282"/>
        <v>44531</v>
      </c>
      <c r="Q2281" s="8">
        <f t="shared" si="283"/>
        <v>0</v>
      </c>
      <c r="R2281" s="8">
        <f t="shared" si="284"/>
        <v>48</v>
      </c>
      <c r="S2281" s="8">
        <f t="shared" ca="1" si="285"/>
        <v>47</v>
      </c>
      <c r="T2281">
        <f t="shared" ca="1" si="286"/>
        <v>2.6384148139309054</v>
      </c>
      <c r="U2281" s="8">
        <f t="shared" ca="1" si="287"/>
        <v>1.5070723280277132</v>
      </c>
      <c r="V2281" s="8">
        <f ca="1">RawData[[#This Row],[Z (smoothed demand size)]]/RawData[[#This Row],[X (smoothed interval)]]</f>
        <v>1.7506889117815374</v>
      </c>
    </row>
    <row r="2282" spans="1:22">
      <c r="A2282" t="s">
        <v>50</v>
      </c>
      <c r="B2282" t="s">
        <v>39</v>
      </c>
      <c r="C2282">
        <v>49</v>
      </c>
      <c r="D2282" t="s">
        <v>18</v>
      </c>
      <c r="E2282" t="s">
        <v>16</v>
      </c>
      <c r="F2282" s="1">
        <v>44562</v>
      </c>
      <c r="G2282">
        <v>1</v>
      </c>
      <c r="H2282">
        <v>1</v>
      </c>
      <c r="I2282">
        <v>5</v>
      </c>
      <c r="J2282">
        <v>4</v>
      </c>
      <c r="K2282">
        <v>0</v>
      </c>
      <c r="L2282">
        <v>479</v>
      </c>
      <c r="M2282">
        <v>30</v>
      </c>
      <c r="N2282" s="1">
        <f t="shared" si="280"/>
        <v>44938</v>
      </c>
      <c r="O2282" s="1">
        <f t="shared" si="281"/>
        <v>43101</v>
      </c>
      <c r="P2282" s="1">
        <f t="shared" si="282"/>
        <v>44562</v>
      </c>
      <c r="Q2282" s="8">
        <f t="shared" si="283"/>
        <v>0</v>
      </c>
      <c r="R2282" s="8">
        <f t="shared" si="284"/>
        <v>49</v>
      </c>
      <c r="S2282" s="8">
        <f t="shared" ca="1" si="285"/>
        <v>49</v>
      </c>
      <c r="T2282">
        <f t="shared" ca="1" si="286"/>
        <v>2.3107318511447246</v>
      </c>
      <c r="U2282" s="8">
        <f t="shared" ca="1" si="287"/>
        <v>1.6056578624221705</v>
      </c>
      <c r="V2282" s="8">
        <f ca="1">RawData[[#This Row],[Z (smoothed demand size)]]/RawData[[#This Row],[X (smoothed interval)]]</f>
        <v>1.4391184480976129</v>
      </c>
    </row>
    <row r="2283" spans="1:22">
      <c r="A2283" t="s">
        <v>50</v>
      </c>
      <c r="B2283" t="s">
        <v>39</v>
      </c>
      <c r="C2283">
        <v>49</v>
      </c>
      <c r="D2283" t="s">
        <v>18</v>
      </c>
      <c r="E2283" t="s">
        <v>16</v>
      </c>
      <c r="F2283" s="1">
        <v>44563</v>
      </c>
      <c r="G2283">
        <v>0</v>
      </c>
      <c r="H2283">
        <v>0</v>
      </c>
      <c r="I2283">
        <v>4</v>
      </c>
      <c r="J2283">
        <v>4</v>
      </c>
      <c r="K2283">
        <v>0</v>
      </c>
      <c r="L2283">
        <v>478</v>
      </c>
      <c r="M2283">
        <v>60</v>
      </c>
      <c r="N2283" s="1">
        <f t="shared" si="280"/>
        <v>44938</v>
      </c>
      <c r="O2283" s="1">
        <f t="shared" si="281"/>
        <v>43101</v>
      </c>
      <c r="P2283" s="1">
        <f t="shared" si="282"/>
        <v>44593</v>
      </c>
      <c r="Q2283" s="8">
        <f t="shared" si="283"/>
        <v>0</v>
      </c>
      <c r="R2283" s="8">
        <f t="shared" si="284"/>
        <v>50</v>
      </c>
      <c r="S2283" s="8">
        <f t="shared" ca="1" si="285"/>
        <v>49</v>
      </c>
      <c r="T2283">
        <f t="shared" ca="1" si="286"/>
        <v>2.3107318511447246</v>
      </c>
      <c r="U2283" s="8">
        <f t="shared" ca="1" si="287"/>
        <v>1.6056578624221705</v>
      </c>
      <c r="V2283" s="8">
        <f ca="1">RawData[[#This Row],[Z (smoothed demand size)]]/RawData[[#This Row],[X (smoothed interval)]]</f>
        <v>1.4391184480976129</v>
      </c>
    </row>
    <row r="2284" spans="1:22">
      <c r="A2284" t="s">
        <v>50</v>
      </c>
      <c r="B2284" t="s">
        <v>39</v>
      </c>
      <c r="C2284">
        <v>49</v>
      </c>
      <c r="D2284" t="s">
        <v>18</v>
      </c>
      <c r="E2284" t="s">
        <v>16</v>
      </c>
      <c r="F2284" s="1">
        <v>44564</v>
      </c>
      <c r="G2284">
        <v>4</v>
      </c>
      <c r="H2284">
        <v>4</v>
      </c>
      <c r="I2284">
        <v>4</v>
      </c>
      <c r="J2284">
        <v>0</v>
      </c>
      <c r="K2284">
        <v>0</v>
      </c>
      <c r="L2284">
        <v>479</v>
      </c>
      <c r="M2284">
        <v>30</v>
      </c>
      <c r="N2284" s="1">
        <f t="shared" si="280"/>
        <v>44938</v>
      </c>
      <c r="O2284" s="1">
        <f t="shared" si="281"/>
        <v>43101</v>
      </c>
      <c r="P2284" s="1">
        <f t="shared" si="282"/>
        <v>44621</v>
      </c>
      <c r="Q2284" s="8">
        <f t="shared" si="283"/>
        <v>0</v>
      </c>
      <c r="R2284" s="8">
        <f t="shared" si="284"/>
        <v>51</v>
      </c>
      <c r="S2284" s="8">
        <f t="shared" ca="1" si="285"/>
        <v>51</v>
      </c>
      <c r="T2284">
        <f t="shared" ca="1" si="286"/>
        <v>2.6485854809157798</v>
      </c>
      <c r="U2284" s="8">
        <f t="shared" ca="1" si="287"/>
        <v>1.6845262899377365</v>
      </c>
      <c r="V2284" s="8">
        <f ca="1">RawData[[#This Row],[Z (smoothed demand size)]]/RawData[[#This Row],[X (smoothed interval)]]</f>
        <v>1.5723028466440123</v>
      </c>
    </row>
    <row r="2285" spans="1:22">
      <c r="A2285" t="s">
        <v>50</v>
      </c>
      <c r="B2285" t="s">
        <v>39</v>
      </c>
      <c r="C2285">
        <v>49</v>
      </c>
      <c r="D2285" t="s">
        <v>18</v>
      </c>
      <c r="E2285" t="s">
        <v>16</v>
      </c>
      <c r="F2285" s="1">
        <v>44565</v>
      </c>
      <c r="G2285">
        <v>4</v>
      </c>
      <c r="H2285">
        <v>4</v>
      </c>
      <c r="I2285">
        <v>8</v>
      </c>
      <c r="J2285">
        <v>4</v>
      </c>
      <c r="K2285">
        <v>0</v>
      </c>
      <c r="L2285">
        <v>474</v>
      </c>
      <c r="M2285">
        <v>30</v>
      </c>
      <c r="N2285" s="1">
        <f t="shared" si="280"/>
        <v>44938</v>
      </c>
      <c r="O2285" s="1">
        <f t="shared" si="281"/>
        <v>43101</v>
      </c>
      <c r="P2285" s="1">
        <f t="shared" si="282"/>
        <v>44652</v>
      </c>
      <c r="Q2285" s="8">
        <f t="shared" si="283"/>
        <v>0</v>
      </c>
      <c r="R2285" s="8">
        <f t="shared" si="284"/>
        <v>52</v>
      </c>
      <c r="S2285" s="8">
        <f t="shared" ca="1" si="285"/>
        <v>52</v>
      </c>
      <c r="T2285">
        <f t="shared" ca="1" si="286"/>
        <v>2.9188683847326242</v>
      </c>
      <c r="U2285" s="8">
        <f t="shared" ca="1" si="287"/>
        <v>1.5476210319501893</v>
      </c>
      <c r="V2285" s="8">
        <f ca="1">RawData[[#This Row],[Z (smoothed demand size)]]/RawData[[#This Row],[X (smoothed interval)]]</f>
        <v>1.8860356149686708</v>
      </c>
    </row>
    <row r="2286" spans="1:22">
      <c r="A2286" t="s">
        <v>50</v>
      </c>
      <c r="B2286" t="s">
        <v>39</v>
      </c>
      <c r="C2286">
        <v>49</v>
      </c>
      <c r="D2286" t="s">
        <v>18</v>
      </c>
      <c r="E2286" t="s">
        <v>16</v>
      </c>
      <c r="F2286" s="1">
        <v>44566</v>
      </c>
      <c r="G2286">
        <v>0</v>
      </c>
      <c r="H2286">
        <v>0</v>
      </c>
      <c r="I2286">
        <v>4</v>
      </c>
      <c r="J2286">
        <v>4</v>
      </c>
      <c r="K2286">
        <v>0</v>
      </c>
      <c r="L2286">
        <v>480</v>
      </c>
      <c r="M2286">
        <v>45</v>
      </c>
      <c r="N2286" s="1">
        <f t="shared" si="280"/>
        <v>44938</v>
      </c>
      <c r="O2286" s="1">
        <f t="shared" si="281"/>
        <v>43101</v>
      </c>
      <c r="P2286" s="1">
        <f t="shared" si="282"/>
        <v>44682</v>
      </c>
      <c r="Q2286" s="8">
        <f t="shared" si="283"/>
        <v>0</v>
      </c>
      <c r="R2286" s="8">
        <f t="shared" si="284"/>
        <v>53</v>
      </c>
      <c r="S2286" s="8">
        <f t="shared" ca="1" si="285"/>
        <v>52</v>
      </c>
      <c r="T2286">
        <f t="shared" ca="1" si="286"/>
        <v>2.9188683847326242</v>
      </c>
      <c r="U2286" s="8">
        <f t="shared" ca="1" si="287"/>
        <v>1.5476210319501893</v>
      </c>
      <c r="V2286" s="8">
        <f ca="1">RawData[[#This Row],[Z (smoothed demand size)]]/RawData[[#This Row],[X (smoothed interval)]]</f>
        <v>1.8860356149686708</v>
      </c>
    </row>
    <row r="2287" spans="1:22">
      <c r="A2287" t="s">
        <v>50</v>
      </c>
      <c r="B2287" t="s">
        <v>39</v>
      </c>
      <c r="C2287">
        <v>49</v>
      </c>
      <c r="D2287" t="s">
        <v>18</v>
      </c>
      <c r="E2287" t="s">
        <v>16</v>
      </c>
      <c r="F2287" s="1">
        <v>44567</v>
      </c>
      <c r="G2287">
        <v>2</v>
      </c>
      <c r="H2287">
        <v>2</v>
      </c>
      <c r="I2287">
        <v>4</v>
      </c>
      <c r="J2287">
        <v>2</v>
      </c>
      <c r="K2287">
        <v>0</v>
      </c>
      <c r="L2287">
        <v>545</v>
      </c>
      <c r="M2287">
        <v>30</v>
      </c>
      <c r="N2287" s="1">
        <f t="shared" si="280"/>
        <v>44938</v>
      </c>
      <c r="O2287" s="1">
        <f t="shared" si="281"/>
        <v>43101</v>
      </c>
      <c r="P2287" s="1">
        <f t="shared" si="282"/>
        <v>44713</v>
      </c>
      <c r="Q2287" s="8">
        <f t="shared" si="283"/>
        <v>0</v>
      </c>
      <c r="R2287" s="8">
        <f t="shared" si="284"/>
        <v>54</v>
      </c>
      <c r="S2287" s="8">
        <f t="shared" ca="1" si="285"/>
        <v>54</v>
      </c>
      <c r="T2287">
        <f t="shared" ca="1" si="286"/>
        <v>2.7350947077860992</v>
      </c>
      <c r="U2287" s="8">
        <f t="shared" ca="1" si="287"/>
        <v>1.6380968255601513</v>
      </c>
      <c r="V2287" s="8">
        <f ca="1">RawData[[#This Row],[Z (smoothed demand size)]]/RawData[[#This Row],[X (smoothed interval)]]</f>
        <v>1.6696782907511141</v>
      </c>
    </row>
    <row r="2288" spans="1:22">
      <c r="A2288" t="s">
        <v>50</v>
      </c>
      <c r="B2288" t="s">
        <v>39</v>
      </c>
      <c r="C2288">
        <v>49</v>
      </c>
      <c r="D2288" t="s">
        <v>18</v>
      </c>
      <c r="E2288" t="s">
        <v>16</v>
      </c>
      <c r="F2288" s="1">
        <v>44568</v>
      </c>
      <c r="G2288">
        <v>0</v>
      </c>
      <c r="H2288">
        <v>0</v>
      </c>
      <c r="I2288">
        <v>10</v>
      </c>
      <c r="J2288">
        <v>10</v>
      </c>
      <c r="K2288">
        <v>0</v>
      </c>
      <c r="L2288">
        <v>553</v>
      </c>
      <c r="M2288">
        <v>30</v>
      </c>
      <c r="N2288" s="1">
        <f t="shared" si="280"/>
        <v>44938</v>
      </c>
      <c r="O2288" s="1">
        <f t="shared" si="281"/>
        <v>43101</v>
      </c>
      <c r="P2288" s="1">
        <f t="shared" si="282"/>
        <v>44743</v>
      </c>
      <c r="Q2288" s="8">
        <f t="shared" si="283"/>
        <v>0</v>
      </c>
      <c r="R2288" s="8">
        <f t="shared" si="284"/>
        <v>55</v>
      </c>
      <c r="S2288" s="8">
        <f t="shared" ca="1" si="285"/>
        <v>54</v>
      </c>
      <c r="T2288">
        <f t="shared" ca="1" si="286"/>
        <v>2.7350947077860992</v>
      </c>
      <c r="U2288" s="8">
        <f t="shared" ca="1" si="287"/>
        <v>1.6380968255601513</v>
      </c>
      <c r="V2288" s="8">
        <f ca="1">RawData[[#This Row],[Z (smoothed demand size)]]/RawData[[#This Row],[X (smoothed interval)]]</f>
        <v>1.6696782907511141</v>
      </c>
    </row>
    <row r="2289" spans="1:22">
      <c r="A2289" t="s">
        <v>50</v>
      </c>
      <c r="B2289" t="s">
        <v>39</v>
      </c>
      <c r="C2289">
        <v>49</v>
      </c>
      <c r="D2289" t="s">
        <v>18</v>
      </c>
      <c r="E2289" t="s">
        <v>16</v>
      </c>
      <c r="F2289" s="1">
        <v>44569</v>
      </c>
      <c r="G2289">
        <v>1</v>
      </c>
      <c r="H2289">
        <v>1</v>
      </c>
      <c r="I2289">
        <v>10</v>
      </c>
      <c r="J2289">
        <v>9</v>
      </c>
      <c r="K2289">
        <v>0</v>
      </c>
      <c r="L2289">
        <v>552</v>
      </c>
      <c r="M2289">
        <v>30</v>
      </c>
      <c r="N2289" s="1">
        <f t="shared" si="280"/>
        <v>44938</v>
      </c>
      <c r="O2289" s="1">
        <f t="shared" si="281"/>
        <v>43101</v>
      </c>
      <c r="P2289" s="1">
        <f t="shared" si="282"/>
        <v>44774</v>
      </c>
      <c r="Q2289" s="8">
        <f t="shared" si="283"/>
        <v>0</v>
      </c>
      <c r="R2289" s="8">
        <f t="shared" si="284"/>
        <v>56</v>
      </c>
      <c r="S2289" s="8">
        <f t="shared" ca="1" si="285"/>
        <v>56</v>
      </c>
      <c r="T2289">
        <f t="shared" ca="1" si="286"/>
        <v>2.3880757662288796</v>
      </c>
      <c r="U2289" s="8">
        <f t="shared" ca="1" si="287"/>
        <v>1.710477460448121</v>
      </c>
      <c r="V2289" s="8">
        <f ca="1">RawData[[#This Row],[Z (smoothed demand size)]]/RawData[[#This Row],[X (smoothed interval)]]</f>
        <v>1.396145708697756</v>
      </c>
    </row>
    <row r="2290" spans="1:22">
      <c r="A2290" t="s">
        <v>50</v>
      </c>
      <c r="B2290" t="s">
        <v>39</v>
      </c>
      <c r="C2290">
        <v>49</v>
      </c>
      <c r="D2290" t="s">
        <v>18</v>
      </c>
      <c r="E2290" t="s">
        <v>16</v>
      </c>
      <c r="F2290" s="1">
        <v>44570</v>
      </c>
      <c r="G2290">
        <v>2</v>
      </c>
      <c r="H2290">
        <v>2</v>
      </c>
      <c r="I2290">
        <v>9</v>
      </c>
      <c r="J2290">
        <v>7</v>
      </c>
      <c r="K2290">
        <v>0</v>
      </c>
      <c r="L2290">
        <v>478</v>
      </c>
      <c r="M2290">
        <v>45</v>
      </c>
      <c r="N2290" s="1">
        <f t="shared" si="280"/>
        <v>44938</v>
      </c>
      <c r="O2290" s="1">
        <f t="shared" si="281"/>
        <v>43101</v>
      </c>
      <c r="P2290" s="1">
        <f t="shared" si="282"/>
        <v>44805</v>
      </c>
      <c r="Q2290" s="8">
        <f t="shared" si="283"/>
        <v>0</v>
      </c>
      <c r="R2290" s="8">
        <f t="shared" si="284"/>
        <v>57</v>
      </c>
      <c r="S2290" s="8">
        <f t="shared" ca="1" si="285"/>
        <v>57</v>
      </c>
      <c r="T2290">
        <f t="shared" ca="1" si="286"/>
        <v>2.3104606129831038</v>
      </c>
      <c r="U2290" s="8">
        <f t="shared" ca="1" si="287"/>
        <v>1.5683819683584967</v>
      </c>
      <c r="V2290" s="8">
        <f ca="1">RawData[[#This Row],[Z (smoothed demand size)]]/RawData[[#This Row],[X (smoothed interval)]]</f>
        <v>1.4731491815104729</v>
      </c>
    </row>
    <row r="2291" spans="1:22">
      <c r="A2291" t="s">
        <v>50</v>
      </c>
      <c r="B2291" t="s">
        <v>39</v>
      </c>
      <c r="C2291">
        <v>49</v>
      </c>
      <c r="D2291" t="s">
        <v>18</v>
      </c>
      <c r="E2291" t="s">
        <v>16</v>
      </c>
      <c r="F2291" s="1">
        <v>44571</v>
      </c>
      <c r="G2291">
        <v>0</v>
      </c>
      <c r="H2291">
        <v>0</v>
      </c>
      <c r="I2291">
        <v>7</v>
      </c>
      <c r="J2291">
        <v>7</v>
      </c>
      <c r="K2291">
        <v>0</v>
      </c>
      <c r="L2291">
        <v>479</v>
      </c>
      <c r="M2291">
        <v>30</v>
      </c>
      <c r="N2291" s="1">
        <f t="shared" si="280"/>
        <v>44938</v>
      </c>
      <c r="O2291" s="1">
        <f t="shared" si="281"/>
        <v>43101</v>
      </c>
      <c r="P2291" s="1">
        <f t="shared" si="282"/>
        <v>44835</v>
      </c>
      <c r="Q2291" s="8">
        <f t="shared" si="283"/>
        <v>0</v>
      </c>
      <c r="R2291" s="8">
        <f t="shared" si="284"/>
        <v>58</v>
      </c>
      <c r="S2291" s="8">
        <f t="shared" ca="1" si="285"/>
        <v>57</v>
      </c>
      <c r="T2291">
        <f t="shared" ca="1" si="286"/>
        <v>2.3104606129831038</v>
      </c>
      <c r="U2291" s="8">
        <f t="shared" ca="1" si="287"/>
        <v>1.5683819683584967</v>
      </c>
      <c r="V2291" s="8">
        <f ca="1">RawData[[#This Row],[Z (smoothed demand size)]]/RawData[[#This Row],[X (smoothed interval)]]</f>
        <v>1.4731491815104729</v>
      </c>
    </row>
    <row r="2292" spans="1:22">
      <c r="A2292" t="s">
        <v>50</v>
      </c>
      <c r="B2292" t="s">
        <v>39</v>
      </c>
      <c r="C2292">
        <v>49</v>
      </c>
      <c r="D2292" t="s">
        <v>18</v>
      </c>
      <c r="E2292" t="s">
        <v>16</v>
      </c>
      <c r="F2292" s="1">
        <v>44572</v>
      </c>
      <c r="G2292">
        <v>0</v>
      </c>
      <c r="H2292">
        <v>0</v>
      </c>
      <c r="I2292">
        <v>7</v>
      </c>
      <c r="J2292">
        <v>7</v>
      </c>
      <c r="K2292">
        <v>0</v>
      </c>
      <c r="L2292">
        <v>487</v>
      </c>
      <c r="M2292">
        <v>30</v>
      </c>
      <c r="N2292" s="1">
        <f t="shared" si="280"/>
        <v>44938</v>
      </c>
      <c r="O2292" s="1">
        <f t="shared" si="281"/>
        <v>43101</v>
      </c>
      <c r="P2292" s="1">
        <f t="shared" si="282"/>
        <v>44866</v>
      </c>
      <c r="Q2292" s="8">
        <f t="shared" si="283"/>
        <v>0</v>
      </c>
      <c r="R2292" s="8">
        <f t="shared" si="284"/>
        <v>59</v>
      </c>
      <c r="S2292" s="8">
        <f t="shared" ca="1" si="285"/>
        <v>57</v>
      </c>
      <c r="T2292">
        <f t="shared" ca="1" si="286"/>
        <v>2.3104606129831038</v>
      </c>
      <c r="U2292" s="8">
        <f t="shared" ca="1" si="287"/>
        <v>1.5683819683584967</v>
      </c>
      <c r="V2292" s="8">
        <f ca="1">RawData[[#This Row],[Z (smoothed demand size)]]/RawData[[#This Row],[X (smoothed interval)]]</f>
        <v>1.4731491815104729</v>
      </c>
    </row>
    <row r="2293" spans="1:22">
      <c r="A2293" t="s">
        <v>50</v>
      </c>
      <c r="B2293" t="s">
        <v>39</v>
      </c>
      <c r="C2293">
        <v>49</v>
      </c>
      <c r="D2293" t="s">
        <v>18</v>
      </c>
      <c r="E2293" t="s">
        <v>16</v>
      </c>
      <c r="F2293" s="1">
        <v>44573</v>
      </c>
      <c r="G2293">
        <v>0</v>
      </c>
      <c r="H2293">
        <v>0</v>
      </c>
      <c r="I2293">
        <v>7</v>
      </c>
      <c r="J2293">
        <v>7</v>
      </c>
      <c r="K2293">
        <v>0</v>
      </c>
      <c r="L2293">
        <v>554</v>
      </c>
      <c r="M2293">
        <v>60</v>
      </c>
      <c r="N2293" s="1">
        <f t="shared" si="280"/>
        <v>44938</v>
      </c>
      <c r="O2293" s="1">
        <f t="shared" si="281"/>
        <v>43101</v>
      </c>
      <c r="P2293" s="1">
        <f t="shared" si="282"/>
        <v>44896</v>
      </c>
      <c r="Q2293" s="8">
        <f t="shared" si="283"/>
        <v>0</v>
      </c>
      <c r="R2293" s="8">
        <f t="shared" si="284"/>
        <v>60</v>
      </c>
      <c r="S2293" s="8">
        <f t="shared" ca="1" si="285"/>
        <v>57</v>
      </c>
      <c r="T2293">
        <f t="shared" ca="1" si="286"/>
        <v>2.3104606129831038</v>
      </c>
      <c r="U2293" s="8">
        <f t="shared" ca="1" si="287"/>
        <v>1.5683819683584967</v>
      </c>
      <c r="V2293" s="8">
        <f ca="1">RawData[[#This Row],[Z (smoothed demand size)]]/RawData[[#This Row],[X (smoothed interval)]]</f>
        <v>1.4731491815104729</v>
      </c>
    </row>
    <row r="2294" spans="1:22">
      <c r="A2294" t="s">
        <v>50</v>
      </c>
      <c r="B2294" t="s">
        <v>39</v>
      </c>
      <c r="C2294">
        <v>49</v>
      </c>
      <c r="D2294" t="s">
        <v>18</v>
      </c>
      <c r="E2294" t="s">
        <v>16</v>
      </c>
      <c r="F2294" s="1">
        <v>44927</v>
      </c>
      <c r="G2294">
        <v>2</v>
      </c>
      <c r="H2294">
        <v>2</v>
      </c>
      <c r="I2294">
        <v>7</v>
      </c>
      <c r="J2294">
        <v>5</v>
      </c>
      <c r="K2294">
        <v>0</v>
      </c>
      <c r="L2294">
        <v>479</v>
      </c>
      <c r="M2294">
        <v>45</v>
      </c>
      <c r="N2294" s="1">
        <f t="shared" si="280"/>
        <v>44938</v>
      </c>
      <c r="O2294" s="1">
        <f t="shared" si="281"/>
        <v>43101</v>
      </c>
      <c r="P2294" s="1">
        <f t="shared" si="282"/>
        <v>44927</v>
      </c>
      <c r="Q2294" s="8">
        <f t="shared" si="283"/>
        <v>0</v>
      </c>
      <c r="R2294" s="8">
        <f t="shared" si="284"/>
        <v>61</v>
      </c>
      <c r="S2294" s="8">
        <f t="shared" ca="1" si="285"/>
        <v>61</v>
      </c>
      <c r="T2294">
        <f t="shared" ca="1" si="286"/>
        <v>2.2483684903864831</v>
      </c>
      <c r="U2294" s="8">
        <f t="shared" ca="1" si="287"/>
        <v>2.0547055746867975</v>
      </c>
      <c r="V2294" s="8">
        <f ca="1">RawData[[#This Row],[Z (smoothed demand size)]]/RawData[[#This Row],[X (smoothed interval)]]</f>
        <v>1.0942533655846074</v>
      </c>
    </row>
    <row r="2295" spans="1:22">
      <c r="A2295" t="s">
        <v>50</v>
      </c>
      <c r="B2295" t="s">
        <v>39</v>
      </c>
      <c r="C2295">
        <v>49</v>
      </c>
      <c r="D2295" t="s">
        <v>18</v>
      </c>
      <c r="E2295" t="s">
        <v>16</v>
      </c>
      <c r="F2295" s="1">
        <v>44928</v>
      </c>
      <c r="G2295">
        <v>4</v>
      </c>
      <c r="H2295">
        <v>4</v>
      </c>
      <c r="I2295">
        <v>5</v>
      </c>
      <c r="J2295">
        <v>1</v>
      </c>
      <c r="K2295">
        <v>0</v>
      </c>
      <c r="L2295">
        <v>480</v>
      </c>
      <c r="M2295">
        <v>60</v>
      </c>
      <c r="N2295" s="1">
        <f t="shared" si="280"/>
        <v>44938</v>
      </c>
      <c r="O2295" s="1">
        <f t="shared" si="281"/>
        <v>43101</v>
      </c>
      <c r="P2295" s="1">
        <f t="shared" si="282"/>
        <v>44958</v>
      </c>
      <c r="Q2295" s="8">
        <f t="shared" si="283"/>
        <v>0</v>
      </c>
      <c r="R2295" s="8">
        <f t="shared" si="284"/>
        <v>62</v>
      </c>
      <c r="S2295" s="8">
        <f t="shared" ca="1" si="285"/>
        <v>62</v>
      </c>
      <c r="T2295">
        <f t="shared" ca="1" si="286"/>
        <v>2.5986947923091863</v>
      </c>
      <c r="U2295" s="8">
        <f t="shared" ca="1" si="287"/>
        <v>1.843764459749438</v>
      </c>
      <c r="V2295" s="8">
        <f ca="1">RawData[[#This Row],[Z (smoothed demand size)]]/RawData[[#This Row],[X (smoothed interval)]]</f>
        <v>1.4094505285465482</v>
      </c>
    </row>
    <row r="2296" spans="1:22">
      <c r="A2296" t="s">
        <v>50</v>
      </c>
      <c r="B2296" t="s">
        <v>39</v>
      </c>
      <c r="C2296">
        <v>49</v>
      </c>
      <c r="D2296" t="s">
        <v>18</v>
      </c>
      <c r="E2296" t="s">
        <v>16</v>
      </c>
      <c r="F2296" s="1">
        <v>44929</v>
      </c>
      <c r="G2296">
        <v>3</v>
      </c>
      <c r="H2296">
        <v>1</v>
      </c>
      <c r="I2296">
        <v>1</v>
      </c>
      <c r="J2296">
        <v>0</v>
      </c>
      <c r="K2296">
        <v>1</v>
      </c>
      <c r="L2296">
        <v>478</v>
      </c>
      <c r="M2296">
        <v>60</v>
      </c>
      <c r="N2296" s="1">
        <f t="shared" si="280"/>
        <v>44938</v>
      </c>
      <c r="O2296" s="1">
        <f t="shared" si="281"/>
        <v>43101</v>
      </c>
      <c r="P2296" s="1">
        <f t="shared" si="282"/>
        <v>44986</v>
      </c>
      <c r="Q2296" s="8">
        <f t="shared" si="283"/>
        <v>0</v>
      </c>
      <c r="R2296" s="8">
        <f t="shared" si="284"/>
        <v>63</v>
      </c>
      <c r="S2296" s="8">
        <f t="shared" ca="1" si="285"/>
        <v>63</v>
      </c>
      <c r="T2296">
        <f t="shared" ca="1" si="286"/>
        <v>2.6789558338473491</v>
      </c>
      <c r="U2296" s="8">
        <f t="shared" ca="1" si="287"/>
        <v>1.6750115677995505</v>
      </c>
      <c r="V2296" s="8">
        <f ca="1">RawData[[#This Row],[Z (smoothed demand size)]]/RawData[[#This Row],[X (smoothed interval)]]</f>
        <v>1.5993655717653772</v>
      </c>
    </row>
    <row r="2297" spans="1:22">
      <c r="A2297" t="s">
        <v>50</v>
      </c>
      <c r="B2297" t="s">
        <v>39</v>
      </c>
      <c r="C2297">
        <v>49</v>
      </c>
      <c r="D2297" t="s">
        <v>18</v>
      </c>
      <c r="E2297" t="s">
        <v>16</v>
      </c>
      <c r="F2297" s="1">
        <v>44930</v>
      </c>
      <c r="G2297">
        <v>3</v>
      </c>
      <c r="H2297">
        <v>3</v>
      </c>
      <c r="I2297">
        <v>9</v>
      </c>
      <c r="J2297">
        <v>6</v>
      </c>
      <c r="K2297">
        <v>0</v>
      </c>
      <c r="L2297">
        <v>480</v>
      </c>
      <c r="M2297">
        <v>60</v>
      </c>
      <c r="N2297" s="1">
        <f t="shared" si="280"/>
        <v>44938</v>
      </c>
      <c r="O2297" s="1">
        <f t="shared" si="281"/>
        <v>43101</v>
      </c>
      <c r="P2297" s="1">
        <f t="shared" si="282"/>
        <v>45017</v>
      </c>
      <c r="Q2297" s="8">
        <f t="shared" si="283"/>
        <v>0</v>
      </c>
      <c r="R2297" s="8">
        <f t="shared" si="284"/>
        <v>64</v>
      </c>
      <c r="S2297" s="8">
        <f t="shared" ca="1" si="285"/>
        <v>64</v>
      </c>
      <c r="T2297">
        <f t="shared" ca="1" si="286"/>
        <v>2.7431646670778793</v>
      </c>
      <c r="U2297" s="8">
        <f t="shared" ca="1" si="287"/>
        <v>1.5400092542396404</v>
      </c>
      <c r="V2297" s="8">
        <f ca="1">RawData[[#This Row],[Z (smoothed demand size)]]/RawData[[#This Row],[X (smoothed interval)]]</f>
        <v>1.7812650537819537</v>
      </c>
    </row>
    <row r="2298" spans="1:22">
      <c r="A2298" t="s">
        <v>50</v>
      </c>
      <c r="B2298" t="s">
        <v>39</v>
      </c>
      <c r="C2298">
        <v>49</v>
      </c>
      <c r="D2298" t="s">
        <v>18</v>
      </c>
      <c r="E2298" t="s">
        <v>16</v>
      </c>
      <c r="F2298" s="1">
        <v>44931</v>
      </c>
      <c r="G2298">
        <v>2</v>
      </c>
      <c r="H2298">
        <v>2</v>
      </c>
      <c r="I2298">
        <v>6</v>
      </c>
      <c r="J2298">
        <v>4</v>
      </c>
      <c r="K2298">
        <v>0</v>
      </c>
      <c r="L2298">
        <v>475</v>
      </c>
      <c r="M2298">
        <v>15</v>
      </c>
      <c r="N2298" s="1">
        <f t="shared" si="280"/>
        <v>44938</v>
      </c>
      <c r="O2298" s="1">
        <f t="shared" si="281"/>
        <v>43101</v>
      </c>
      <c r="P2298" s="1">
        <f t="shared" si="282"/>
        <v>45047</v>
      </c>
      <c r="Q2298" s="8">
        <f t="shared" si="283"/>
        <v>0</v>
      </c>
      <c r="R2298" s="8">
        <f t="shared" si="284"/>
        <v>65</v>
      </c>
      <c r="S2298" s="8">
        <f t="shared" ca="1" si="285"/>
        <v>65</v>
      </c>
      <c r="T2298">
        <f t="shared" ca="1" si="286"/>
        <v>2.5945317336623033</v>
      </c>
      <c r="U2298" s="8">
        <f t="shared" ca="1" si="287"/>
        <v>1.4320074033917123</v>
      </c>
      <c r="V2298" s="8">
        <f ca="1">RawData[[#This Row],[Z (smoothed demand size)]]/RawData[[#This Row],[X (smoothed interval)]]</f>
        <v>1.8118144693366458</v>
      </c>
    </row>
    <row r="2299" spans="1:22">
      <c r="A2299" t="s">
        <v>50</v>
      </c>
      <c r="B2299" t="s">
        <v>39</v>
      </c>
      <c r="C2299">
        <v>49</v>
      </c>
      <c r="D2299" t="s">
        <v>18</v>
      </c>
      <c r="E2299" t="s">
        <v>16</v>
      </c>
      <c r="F2299" s="1">
        <v>44932</v>
      </c>
      <c r="G2299">
        <v>5</v>
      </c>
      <c r="H2299">
        <v>4</v>
      </c>
      <c r="I2299">
        <v>4</v>
      </c>
      <c r="J2299">
        <v>0</v>
      </c>
      <c r="K2299">
        <v>1</v>
      </c>
      <c r="L2299">
        <v>562</v>
      </c>
      <c r="M2299">
        <v>45</v>
      </c>
      <c r="N2299" s="1">
        <f t="shared" si="280"/>
        <v>44938</v>
      </c>
      <c r="O2299" s="1">
        <f t="shared" si="281"/>
        <v>43101</v>
      </c>
      <c r="P2299" s="1">
        <f t="shared" si="282"/>
        <v>45078</v>
      </c>
      <c r="Q2299" s="8">
        <f t="shared" si="283"/>
        <v>0</v>
      </c>
      <c r="R2299" s="8">
        <f t="shared" si="284"/>
        <v>66</v>
      </c>
      <c r="S2299" s="8">
        <f t="shared" ca="1" si="285"/>
        <v>66</v>
      </c>
      <c r="T2299">
        <f t="shared" ca="1" si="286"/>
        <v>3.0756253869298429</v>
      </c>
      <c r="U2299" s="8">
        <f t="shared" ca="1" si="287"/>
        <v>1.3456059227133699</v>
      </c>
      <c r="V2299" s="8">
        <f ca="1">RawData[[#This Row],[Z (smoothed demand size)]]/RawData[[#This Row],[X (smoothed interval)]]</f>
        <v>2.2856806253705737</v>
      </c>
    </row>
    <row r="2300" spans="1:22">
      <c r="A2300" t="s">
        <v>50</v>
      </c>
      <c r="B2300" t="s">
        <v>39</v>
      </c>
      <c r="C2300">
        <v>49</v>
      </c>
      <c r="D2300" t="s">
        <v>18</v>
      </c>
      <c r="E2300" t="s">
        <v>16</v>
      </c>
      <c r="F2300" s="1">
        <v>44933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550</v>
      </c>
      <c r="M2300">
        <v>60</v>
      </c>
      <c r="N2300" s="1">
        <f t="shared" si="280"/>
        <v>44938</v>
      </c>
      <c r="O2300" s="1">
        <f t="shared" si="281"/>
        <v>43101</v>
      </c>
      <c r="P2300" s="1">
        <f t="shared" si="282"/>
        <v>45108</v>
      </c>
      <c r="Q2300" s="8">
        <f t="shared" si="283"/>
        <v>0</v>
      </c>
      <c r="R2300" s="8">
        <f t="shared" si="284"/>
        <v>67</v>
      </c>
      <c r="S2300" s="8">
        <f t="shared" ca="1" si="285"/>
        <v>66</v>
      </c>
      <c r="T2300">
        <f t="shared" ca="1" si="286"/>
        <v>3.0756253869298429</v>
      </c>
      <c r="U2300" s="8">
        <f t="shared" ca="1" si="287"/>
        <v>1.3456059227133699</v>
      </c>
      <c r="V2300" s="8">
        <f ca="1">RawData[[#This Row],[Z (smoothed demand size)]]/RawData[[#This Row],[X (smoothed interval)]]</f>
        <v>2.2856806253705737</v>
      </c>
    </row>
    <row r="2301" spans="1:22">
      <c r="A2301" t="s">
        <v>50</v>
      </c>
      <c r="B2301" t="s">
        <v>39</v>
      </c>
      <c r="C2301">
        <v>49</v>
      </c>
      <c r="D2301" t="s">
        <v>18</v>
      </c>
      <c r="E2301" t="s">
        <v>16</v>
      </c>
      <c r="F2301" s="1">
        <v>44934</v>
      </c>
      <c r="G2301">
        <v>0</v>
      </c>
      <c r="H2301">
        <v>0</v>
      </c>
      <c r="I2301">
        <v>12</v>
      </c>
      <c r="J2301">
        <v>12</v>
      </c>
      <c r="K2301">
        <v>0</v>
      </c>
      <c r="L2301">
        <v>565</v>
      </c>
      <c r="M2301">
        <v>30</v>
      </c>
      <c r="N2301" s="1">
        <f t="shared" si="280"/>
        <v>44938</v>
      </c>
      <c r="O2301" s="1">
        <f t="shared" si="281"/>
        <v>43101</v>
      </c>
      <c r="P2301" s="1">
        <f t="shared" si="282"/>
        <v>45139</v>
      </c>
      <c r="Q2301" s="8">
        <f t="shared" si="283"/>
        <v>0</v>
      </c>
      <c r="R2301" s="8">
        <f t="shared" si="284"/>
        <v>68</v>
      </c>
      <c r="S2301" s="8">
        <f t="shared" ca="1" si="285"/>
        <v>66</v>
      </c>
      <c r="T2301">
        <f t="shared" ca="1" si="286"/>
        <v>3.0756253869298429</v>
      </c>
      <c r="U2301" s="8">
        <f t="shared" ca="1" si="287"/>
        <v>1.3456059227133699</v>
      </c>
      <c r="V2301" s="8">
        <f ca="1">RawData[[#This Row],[Z (smoothed demand size)]]/RawData[[#This Row],[X (smoothed interval)]]</f>
        <v>2.2856806253705737</v>
      </c>
    </row>
    <row r="2302" spans="1:22">
      <c r="A2302" t="s">
        <v>50</v>
      </c>
      <c r="B2302" t="s">
        <v>39</v>
      </c>
      <c r="C2302">
        <v>49</v>
      </c>
      <c r="D2302" t="s">
        <v>18</v>
      </c>
      <c r="E2302" t="s">
        <v>16</v>
      </c>
      <c r="F2302" s="1">
        <v>44935</v>
      </c>
      <c r="G2302">
        <v>0</v>
      </c>
      <c r="H2302">
        <v>0</v>
      </c>
      <c r="I2302">
        <v>12</v>
      </c>
      <c r="J2302">
        <v>12</v>
      </c>
      <c r="K2302">
        <v>0</v>
      </c>
      <c r="L2302">
        <v>488</v>
      </c>
      <c r="M2302">
        <v>30</v>
      </c>
      <c r="N2302" s="1">
        <f t="shared" si="280"/>
        <v>44938</v>
      </c>
      <c r="O2302" s="1">
        <f t="shared" si="281"/>
        <v>43101</v>
      </c>
      <c r="P2302" s="1">
        <f t="shared" si="282"/>
        <v>45170</v>
      </c>
      <c r="Q2302" s="8">
        <f t="shared" si="283"/>
        <v>0</v>
      </c>
      <c r="R2302" s="8">
        <f t="shared" si="284"/>
        <v>69</v>
      </c>
      <c r="S2302" s="8">
        <f t="shared" ca="1" si="285"/>
        <v>66</v>
      </c>
      <c r="T2302">
        <f t="shared" ca="1" si="286"/>
        <v>3.0756253869298429</v>
      </c>
      <c r="U2302" s="8">
        <f t="shared" ca="1" si="287"/>
        <v>1.3456059227133699</v>
      </c>
      <c r="V2302" s="8">
        <f ca="1">RawData[[#This Row],[Z (smoothed demand size)]]/RawData[[#This Row],[X (smoothed interval)]]</f>
        <v>2.2856806253705737</v>
      </c>
    </row>
    <row r="2303" spans="1:22">
      <c r="A2303" t="s">
        <v>50</v>
      </c>
      <c r="B2303" t="s">
        <v>39</v>
      </c>
      <c r="C2303">
        <v>49</v>
      </c>
      <c r="D2303" t="s">
        <v>18</v>
      </c>
      <c r="E2303" t="s">
        <v>16</v>
      </c>
      <c r="F2303" s="1">
        <v>44936</v>
      </c>
      <c r="G2303">
        <v>2</v>
      </c>
      <c r="H2303">
        <v>2</v>
      </c>
      <c r="I2303">
        <v>12</v>
      </c>
      <c r="J2303">
        <v>10</v>
      </c>
      <c r="K2303">
        <v>0</v>
      </c>
      <c r="L2303">
        <v>475</v>
      </c>
      <c r="M2303">
        <v>30</v>
      </c>
      <c r="N2303" s="1">
        <f t="shared" si="280"/>
        <v>44938</v>
      </c>
      <c r="O2303" s="1">
        <f t="shared" si="281"/>
        <v>43101</v>
      </c>
      <c r="P2303" s="1">
        <f t="shared" si="282"/>
        <v>45200</v>
      </c>
      <c r="Q2303" s="8">
        <f t="shared" si="283"/>
        <v>0</v>
      </c>
      <c r="R2303" s="8">
        <f t="shared" si="284"/>
        <v>70</v>
      </c>
      <c r="S2303" s="8">
        <f t="shared" ca="1" si="285"/>
        <v>70</v>
      </c>
      <c r="T2303">
        <f t="shared" ca="1" si="286"/>
        <v>2.8605003095438746</v>
      </c>
      <c r="U2303" s="8">
        <f t="shared" ca="1" si="287"/>
        <v>1.8764847381706959</v>
      </c>
      <c r="V2303" s="8">
        <f ca="1">RawData[[#This Row],[Z (smoothed demand size)]]/RawData[[#This Row],[X (smoothed interval)]]</f>
        <v>1.5243930586573557</v>
      </c>
    </row>
    <row r="2304" spans="1:22">
      <c r="A2304" t="s">
        <v>50</v>
      </c>
      <c r="B2304" t="s">
        <v>39</v>
      </c>
      <c r="C2304">
        <v>49</v>
      </c>
      <c r="D2304" t="s">
        <v>18</v>
      </c>
      <c r="E2304" t="s">
        <v>16</v>
      </c>
      <c r="F2304" s="1">
        <v>44937</v>
      </c>
      <c r="G2304">
        <v>0</v>
      </c>
      <c r="H2304">
        <v>0</v>
      </c>
      <c r="I2304">
        <v>10</v>
      </c>
      <c r="J2304">
        <v>10</v>
      </c>
      <c r="K2304">
        <v>0</v>
      </c>
      <c r="L2304">
        <v>479</v>
      </c>
      <c r="M2304">
        <v>30</v>
      </c>
      <c r="N2304" s="1">
        <f t="shared" si="280"/>
        <v>44938</v>
      </c>
      <c r="O2304" s="1">
        <f t="shared" si="281"/>
        <v>43101</v>
      </c>
      <c r="P2304" s="1">
        <f t="shared" si="282"/>
        <v>45231</v>
      </c>
      <c r="Q2304" s="8">
        <f t="shared" si="283"/>
        <v>0</v>
      </c>
      <c r="R2304" s="8">
        <f t="shared" si="284"/>
        <v>71</v>
      </c>
      <c r="S2304" s="8">
        <f t="shared" ca="1" si="285"/>
        <v>70</v>
      </c>
      <c r="T2304">
        <f t="shared" ca="1" si="286"/>
        <v>2.8605003095438746</v>
      </c>
      <c r="U2304" s="8">
        <f t="shared" ca="1" si="287"/>
        <v>1.8764847381706959</v>
      </c>
      <c r="V2304" s="8">
        <f ca="1">RawData[[#This Row],[Z (smoothed demand size)]]/RawData[[#This Row],[X (smoothed interval)]]</f>
        <v>1.5243930586573557</v>
      </c>
    </row>
    <row r="2305" spans="1:22">
      <c r="A2305" t="s">
        <v>50</v>
      </c>
      <c r="B2305" t="s">
        <v>39</v>
      </c>
      <c r="C2305">
        <v>49</v>
      </c>
      <c r="D2305" t="s">
        <v>18</v>
      </c>
      <c r="E2305" t="s">
        <v>16</v>
      </c>
      <c r="F2305" s="1">
        <v>44938</v>
      </c>
      <c r="G2305">
        <v>2</v>
      </c>
      <c r="H2305">
        <v>2</v>
      </c>
      <c r="I2305">
        <v>10</v>
      </c>
      <c r="J2305">
        <v>8</v>
      </c>
      <c r="K2305">
        <v>0</v>
      </c>
      <c r="L2305">
        <v>551</v>
      </c>
      <c r="M2305">
        <v>60</v>
      </c>
      <c r="N2305" s="1">
        <f t="shared" si="280"/>
        <v>44938</v>
      </c>
      <c r="O2305" s="1">
        <f t="shared" si="281"/>
        <v>43101</v>
      </c>
      <c r="P2305" s="1">
        <f t="shared" si="282"/>
        <v>45261</v>
      </c>
      <c r="Q2305" s="8">
        <f t="shared" si="283"/>
        <v>0</v>
      </c>
      <c r="R2305" s="8">
        <f t="shared" si="284"/>
        <v>72</v>
      </c>
      <c r="S2305" s="8">
        <f t="shared" ca="1" si="285"/>
        <v>72</v>
      </c>
      <c r="T2305">
        <f t="shared" ca="1" si="286"/>
        <v>2.6884002476350997</v>
      </c>
      <c r="U2305" s="8">
        <f t="shared" ca="1" si="287"/>
        <v>1.9011877905365568</v>
      </c>
      <c r="V2305" s="8">
        <f ca="1">RawData[[#This Row],[Z (smoothed demand size)]]/RawData[[#This Row],[X (smoothed interval)]]</f>
        <v>1.4140634928422164</v>
      </c>
    </row>
    <row r="2306" spans="1:22">
      <c r="A2306" t="s">
        <v>51</v>
      </c>
      <c r="B2306" t="s">
        <v>39</v>
      </c>
      <c r="C2306">
        <v>32</v>
      </c>
      <c r="D2306" t="s">
        <v>15</v>
      </c>
      <c r="E2306" t="s">
        <v>16</v>
      </c>
      <c r="F2306" s="1">
        <v>43101</v>
      </c>
      <c r="G2306">
        <v>1</v>
      </c>
      <c r="H2306">
        <v>1</v>
      </c>
      <c r="I2306">
        <v>27</v>
      </c>
      <c r="J2306">
        <v>26</v>
      </c>
      <c r="K2306">
        <v>0</v>
      </c>
      <c r="L2306">
        <v>603</v>
      </c>
      <c r="M2306">
        <v>45</v>
      </c>
      <c r="N2306" s="1">
        <f t="shared" ref="N2306:N2369" si="288">MAX(F:F)</f>
        <v>44938</v>
      </c>
      <c r="O2306" s="1">
        <f t="shared" ref="O2306:O2369" si="289">MIN(F:F)</f>
        <v>43101</v>
      </c>
      <c r="P2306" s="1">
        <f t="shared" ref="P2306:P2369" si="290">DATE(YEAR(F2306), DAY(F2306), 1)</f>
        <v>43101</v>
      </c>
      <c r="Q2306" s="8">
        <f t="shared" ref="Q2306:Q2369" si="291" xml:space="preserve"> IF(A2306&lt;&gt;A2305, 1, 0)</f>
        <v>1</v>
      </c>
      <c r="R2306" s="8">
        <f t="shared" ref="R2306:R2369" si="292">IF(Q2306=1,1,R2305+1)</f>
        <v>1</v>
      </c>
      <c r="S2306" s="8">
        <f t="shared" ref="S2306:S2369" ca="1" si="293" xml:space="preserve"> IF(Q2306=1, IF(G2306&gt;0, R2306, 0), IF(G2306&gt;0, R2306, OFFSET(S2306,-1,0)))</f>
        <v>1</v>
      </c>
      <c r="T2306">
        <f t="shared" ref="T2306:T2369" ca="1" si="294" xml:space="preserve"> IF(Q2306=1, IF(G2306&gt;0, G2306, 0), IF(G2306&gt;0, $X$1*G2306+(1-$X$1)*OFFSET(T2306,-1,0), OFFSET(T2306,-1,0)))</f>
        <v>1</v>
      </c>
      <c r="U2306" s="8">
        <f t="shared" ref="U2306:U2369" ca="1" si="295" xml:space="preserve"> IF(Q2306=1, 1, IF(G2306&gt;0, $X$1*(R2306-OFFSET(S2306,-1,0))+(1-$X$1)*OFFSET(U2306,-1,0), OFFSET(U2306,-1,0)))</f>
        <v>1</v>
      </c>
      <c r="V2306" s="8">
        <f ca="1">RawData[[#This Row],[Z (smoothed demand size)]]/RawData[[#This Row],[X (smoothed interval)]]</f>
        <v>1</v>
      </c>
    </row>
    <row r="2307" spans="1:22">
      <c r="A2307" t="s">
        <v>51</v>
      </c>
      <c r="B2307" t="s">
        <v>39</v>
      </c>
      <c r="C2307">
        <v>32</v>
      </c>
      <c r="D2307" t="s">
        <v>15</v>
      </c>
      <c r="E2307" t="s">
        <v>16</v>
      </c>
      <c r="F2307" s="1">
        <v>43102</v>
      </c>
      <c r="G2307">
        <v>5</v>
      </c>
      <c r="H2307">
        <v>5</v>
      </c>
      <c r="I2307">
        <v>26</v>
      </c>
      <c r="J2307">
        <v>21</v>
      </c>
      <c r="K2307">
        <v>0</v>
      </c>
      <c r="L2307">
        <v>607</v>
      </c>
      <c r="M2307">
        <v>15</v>
      </c>
      <c r="N2307" s="1">
        <f t="shared" si="288"/>
        <v>44938</v>
      </c>
      <c r="O2307" s="1">
        <f t="shared" si="289"/>
        <v>43101</v>
      </c>
      <c r="P2307" s="1">
        <f t="shared" si="290"/>
        <v>43132</v>
      </c>
      <c r="Q2307" s="8">
        <f t="shared" si="291"/>
        <v>0</v>
      </c>
      <c r="R2307" s="8">
        <f t="shared" si="292"/>
        <v>2</v>
      </c>
      <c r="S2307" s="8">
        <f t="shared" ca="1" si="293"/>
        <v>2</v>
      </c>
      <c r="T2307">
        <f t="shared" ca="1" si="294"/>
        <v>1.8</v>
      </c>
      <c r="U2307" s="8">
        <f t="shared" ca="1" si="295"/>
        <v>1</v>
      </c>
      <c r="V2307" s="8">
        <f ca="1">RawData[[#This Row],[Z (smoothed demand size)]]/RawData[[#This Row],[X (smoothed interval)]]</f>
        <v>1.8</v>
      </c>
    </row>
    <row r="2308" spans="1:22">
      <c r="A2308" t="s">
        <v>51</v>
      </c>
      <c r="B2308" t="s">
        <v>39</v>
      </c>
      <c r="C2308">
        <v>32</v>
      </c>
      <c r="D2308" t="s">
        <v>15</v>
      </c>
      <c r="E2308" t="s">
        <v>16</v>
      </c>
      <c r="F2308" s="1">
        <v>43103</v>
      </c>
      <c r="G2308">
        <v>3</v>
      </c>
      <c r="H2308">
        <v>3</v>
      </c>
      <c r="I2308">
        <v>21</v>
      </c>
      <c r="J2308">
        <v>18</v>
      </c>
      <c r="K2308">
        <v>0</v>
      </c>
      <c r="L2308">
        <v>605</v>
      </c>
      <c r="M2308">
        <v>45</v>
      </c>
      <c r="N2308" s="1">
        <f t="shared" si="288"/>
        <v>44938</v>
      </c>
      <c r="O2308" s="1">
        <f t="shared" si="289"/>
        <v>43101</v>
      </c>
      <c r="P2308" s="1">
        <f t="shared" si="290"/>
        <v>43160</v>
      </c>
      <c r="Q2308" s="8">
        <f t="shared" si="291"/>
        <v>0</v>
      </c>
      <c r="R2308" s="8">
        <f t="shared" si="292"/>
        <v>3</v>
      </c>
      <c r="S2308" s="8">
        <f t="shared" ca="1" si="293"/>
        <v>3</v>
      </c>
      <c r="T2308">
        <f t="shared" ca="1" si="294"/>
        <v>2.04</v>
      </c>
      <c r="U2308" s="8">
        <f t="shared" ca="1" si="295"/>
        <v>1</v>
      </c>
      <c r="V2308" s="8">
        <f ca="1">RawData[[#This Row],[Z (smoothed demand size)]]/RawData[[#This Row],[X (smoothed interval)]]</f>
        <v>2.04</v>
      </c>
    </row>
    <row r="2309" spans="1:22">
      <c r="A2309" t="s">
        <v>51</v>
      </c>
      <c r="B2309" t="s">
        <v>39</v>
      </c>
      <c r="C2309">
        <v>32</v>
      </c>
      <c r="D2309" t="s">
        <v>15</v>
      </c>
      <c r="E2309" t="s">
        <v>16</v>
      </c>
      <c r="F2309" s="1">
        <v>43104</v>
      </c>
      <c r="G2309">
        <v>0</v>
      </c>
      <c r="H2309">
        <v>0</v>
      </c>
      <c r="I2309">
        <v>18</v>
      </c>
      <c r="J2309">
        <v>18</v>
      </c>
      <c r="K2309">
        <v>0</v>
      </c>
      <c r="L2309">
        <v>605</v>
      </c>
      <c r="M2309">
        <v>60</v>
      </c>
      <c r="N2309" s="1">
        <f t="shared" si="288"/>
        <v>44938</v>
      </c>
      <c r="O2309" s="1">
        <f t="shared" si="289"/>
        <v>43101</v>
      </c>
      <c r="P2309" s="1">
        <f t="shared" si="290"/>
        <v>43191</v>
      </c>
      <c r="Q2309" s="8">
        <f t="shared" si="291"/>
        <v>0</v>
      </c>
      <c r="R2309" s="8">
        <f t="shared" si="292"/>
        <v>4</v>
      </c>
      <c r="S2309" s="8">
        <f t="shared" ca="1" si="293"/>
        <v>3</v>
      </c>
      <c r="T2309">
        <f t="shared" ca="1" si="294"/>
        <v>2.04</v>
      </c>
      <c r="U2309" s="8">
        <f t="shared" ca="1" si="295"/>
        <v>1</v>
      </c>
      <c r="V2309" s="8">
        <f ca="1">RawData[[#This Row],[Z (smoothed demand size)]]/RawData[[#This Row],[X (smoothed interval)]]</f>
        <v>2.04</v>
      </c>
    </row>
    <row r="2310" spans="1:22">
      <c r="A2310" t="s">
        <v>51</v>
      </c>
      <c r="B2310" t="s">
        <v>39</v>
      </c>
      <c r="C2310">
        <v>32</v>
      </c>
      <c r="D2310" t="s">
        <v>15</v>
      </c>
      <c r="E2310" t="s">
        <v>16</v>
      </c>
      <c r="F2310" s="1">
        <v>43105</v>
      </c>
      <c r="G2310">
        <v>2</v>
      </c>
      <c r="H2310">
        <v>2</v>
      </c>
      <c r="I2310">
        <v>18</v>
      </c>
      <c r="J2310">
        <v>16</v>
      </c>
      <c r="K2310">
        <v>0</v>
      </c>
      <c r="L2310">
        <v>594</v>
      </c>
      <c r="M2310">
        <v>15</v>
      </c>
      <c r="N2310" s="1">
        <f t="shared" si="288"/>
        <v>44938</v>
      </c>
      <c r="O2310" s="1">
        <f t="shared" si="289"/>
        <v>43101</v>
      </c>
      <c r="P2310" s="1">
        <f t="shared" si="290"/>
        <v>43221</v>
      </c>
      <c r="Q2310" s="8">
        <f t="shared" si="291"/>
        <v>0</v>
      </c>
      <c r="R2310" s="8">
        <f t="shared" si="292"/>
        <v>5</v>
      </c>
      <c r="S2310" s="8">
        <f t="shared" ca="1" si="293"/>
        <v>5</v>
      </c>
      <c r="T2310">
        <f t="shared" ca="1" si="294"/>
        <v>2.032</v>
      </c>
      <c r="U2310" s="8">
        <f t="shared" ca="1" si="295"/>
        <v>1.2000000000000002</v>
      </c>
      <c r="V2310" s="8">
        <f ca="1">RawData[[#This Row],[Z (smoothed demand size)]]/RawData[[#This Row],[X (smoothed interval)]]</f>
        <v>1.6933333333333331</v>
      </c>
    </row>
    <row r="2311" spans="1:22">
      <c r="A2311" t="s">
        <v>51</v>
      </c>
      <c r="B2311" t="s">
        <v>39</v>
      </c>
      <c r="C2311">
        <v>32</v>
      </c>
      <c r="D2311" t="s">
        <v>15</v>
      </c>
      <c r="E2311" t="s">
        <v>16</v>
      </c>
      <c r="F2311" s="1">
        <v>43106</v>
      </c>
      <c r="G2311">
        <v>0</v>
      </c>
      <c r="H2311">
        <v>0</v>
      </c>
      <c r="I2311">
        <v>16</v>
      </c>
      <c r="J2311">
        <v>16</v>
      </c>
      <c r="K2311">
        <v>0</v>
      </c>
      <c r="L2311">
        <v>697</v>
      </c>
      <c r="M2311">
        <v>15</v>
      </c>
      <c r="N2311" s="1">
        <f t="shared" si="288"/>
        <v>44938</v>
      </c>
      <c r="O2311" s="1">
        <f t="shared" si="289"/>
        <v>43101</v>
      </c>
      <c r="P2311" s="1">
        <f t="shared" si="290"/>
        <v>43252</v>
      </c>
      <c r="Q2311" s="8">
        <f t="shared" si="291"/>
        <v>0</v>
      </c>
      <c r="R2311" s="8">
        <f t="shared" si="292"/>
        <v>6</v>
      </c>
      <c r="S2311" s="8">
        <f t="shared" ca="1" si="293"/>
        <v>5</v>
      </c>
      <c r="T2311">
        <f t="shared" ca="1" si="294"/>
        <v>2.032</v>
      </c>
      <c r="U2311" s="8">
        <f t="shared" ca="1" si="295"/>
        <v>1.2000000000000002</v>
      </c>
      <c r="V2311" s="8">
        <f ca="1">RawData[[#This Row],[Z (smoothed demand size)]]/RawData[[#This Row],[X (smoothed interval)]]</f>
        <v>1.6933333333333331</v>
      </c>
    </row>
    <row r="2312" spans="1:22">
      <c r="A2312" t="s">
        <v>51</v>
      </c>
      <c r="B2312" t="s">
        <v>39</v>
      </c>
      <c r="C2312">
        <v>32</v>
      </c>
      <c r="D2312" t="s">
        <v>15</v>
      </c>
      <c r="E2312" t="s">
        <v>16</v>
      </c>
      <c r="F2312" s="1">
        <v>43107</v>
      </c>
      <c r="G2312">
        <v>0</v>
      </c>
      <c r="H2312">
        <v>0</v>
      </c>
      <c r="I2312">
        <v>16</v>
      </c>
      <c r="J2312">
        <v>16</v>
      </c>
      <c r="K2312">
        <v>0</v>
      </c>
      <c r="L2312">
        <v>693</v>
      </c>
      <c r="M2312">
        <v>45</v>
      </c>
      <c r="N2312" s="1">
        <f t="shared" si="288"/>
        <v>44938</v>
      </c>
      <c r="O2312" s="1">
        <f t="shared" si="289"/>
        <v>43101</v>
      </c>
      <c r="P2312" s="1">
        <f t="shared" si="290"/>
        <v>43282</v>
      </c>
      <c r="Q2312" s="8">
        <f t="shared" si="291"/>
        <v>0</v>
      </c>
      <c r="R2312" s="8">
        <f t="shared" si="292"/>
        <v>7</v>
      </c>
      <c r="S2312" s="8">
        <f t="shared" ca="1" si="293"/>
        <v>5</v>
      </c>
      <c r="T2312">
        <f t="shared" ca="1" si="294"/>
        <v>2.032</v>
      </c>
      <c r="U2312" s="8">
        <f t="shared" ca="1" si="295"/>
        <v>1.2000000000000002</v>
      </c>
      <c r="V2312" s="8">
        <f ca="1">RawData[[#This Row],[Z (smoothed demand size)]]/RawData[[#This Row],[X (smoothed interval)]]</f>
        <v>1.6933333333333331</v>
      </c>
    </row>
    <row r="2313" spans="1:22">
      <c r="A2313" t="s">
        <v>51</v>
      </c>
      <c r="B2313" t="s">
        <v>39</v>
      </c>
      <c r="C2313">
        <v>32</v>
      </c>
      <c r="D2313" t="s">
        <v>15</v>
      </c>
      <c r="E2313" t="s">
        <v>16</v>
      </c>
      <c r="F2313" s="1">
        <v>43108</v>
      </c>
      <c r="G2313">
        <v>2</v>
      </c>
      <c r="H2313">
        <v>2</v>
      </c>
      <c r="I2313">
        <v>16</v>
      </c>
      <c r="J2313">
        <v>14</v>
      </c>
      <c r="K2313">
        <v>0</v>
      </c>
      <c r="L2313">
        <v>687</v>
      </c>
      <c r="M2313">
        <v>30</v>
      </c>
      <c r="N2313" s="1">
        <f t="shared" si="288"/>
        <v>44938</v>
      </c>
      <c r="O2313" s="1">
        <f t="shared" si="289"/>
        <v>43101</v>
      </c>
      <c r="P2313" s="1">
        <f t="shared" si="290"/>
        <v>43313</v>
      </c>
      <c r="Q2313" s="8">
        <f t="shared" si="291"/>
        <v>0</v>
      </c>
      <c r="R2313" s="8">
        <f t="shared" si="292"/>
        <v>8</v>
      </c>
      <c r="S2313" s="8">
        <f t="shared" ca="1" si="293"/>
        <v>8</v>
      </c>
      <c r="T2313">
        <f t="shared" ca="1" si="294"/>
        <v>2.0256000000000003</v>
      </c>
      <c r="U2313" s="8">
        <f t="shared" ca="1" si="295"/>
        <v>1.5600000000000003</v>
      </c>
      <c r="V2313" s="8">
        <f ca="1">RawData[[#This Row],[Z (smoothed demand size)]]/RawData[[#This Row],[X (smoothed interval)]]</f>
        <v>1.2984615384615383</v>
      </c>
    </row>
    <row r="2314" spans="1:22">
      <c r="A2314" t="s">
        <v>51</v>
      </c>
      <c r="B2314" t="s">
        <v>39</v>
      </c>
      <c r="C2314">
        <v>32</v>
      </c>
      <c r="D2314" t="s">
        <v>15</v>
      </c>
      <c r="E2314" t="s">
        <v>16</v>
      </c>
      <c r="F2314" s="1">
        <v>43109</v>
      </c>
      <c r="G2314">
        <v>4</v>
      </c>
      <c r="H2314">
        <v>4</v>
      </c>
      <c r="I2314">
        <v>14</v>
      </c>
      <c r="J2314">
        <v>10</v>
      </c>
      <c r="K2314">
        <v>0</v>
      </c>
      <c r="L2314">
        <v>604</v>
      </c>
      <c r="M2314">
        <v>60</v>
      </c>
      <c r="N2314" s="1">
        <f t="shared" si="288"/>
        <v>44938</v>
      </c>
      <c r="O2314" s="1">
        <f t="shared" si="289"/>
        <v>43101</v>
      </c>
      <c r="P2314" s="1">
        <f t="shared" si="290"/>
        <v>43344</v>
      </c>
      <c r="Q2314" s="8">
        <f t="shared" si="291"/>
        <v>0</v>
      </c>
      <c r="R2314" s="8">
        <f t="shared" si="292"/>
        <v>9</v>
      </c>
      <c r="S2314" s="8">
        <f t="shared" ca="1" si="293"/>
        <v>9</v>
      </c>
      <c r="T2314">
        <f t="shared" ca="1" si="294"/>
        <v>2.4204800000000004</v>
      </c>
      <c r="U2314" s="8">
        <f t="shared" ca="1" si="295"/>
        <v>1.4480000000000002</v>
      </c>
      <c r="V2314" s="8">
        <f ca="1">RawData[[#This Row],[Z (smoothed demand size)]]/RawData[[#This Row],[X (smoothed interval)]]</f>
        <v>1.6716022099447514</v>
      </c>
    </row>
    <row r="2315" spans="1:22">
      <c r="A2315" t="s">
        <v>51</v>
      </c>
      <c r="B2315" t="s">
        <v>39</v>
      </c>
      <c r="C2315">
        <v>32</v>
      </c>
      <c r="D2315" t="s">
        <v>15</v>
      </c>
      <c r="E2315" t="s">
        <v>16</v>
      </c>
      <c r="F2315" s="1">
        <v>43110</v>
      </c>
      <c r="G2315">
        <v>3</v>
      </c>
      <c r="H2315">
        <v>3</v>
      </c>
      <c r="I2315">
        <v>10</v>
      </c>
      <c r="J2315">
        <v>7</v>
      </c>
      <c r="K2315">
        <v>0</v>
      </c>
      <c r="L2315">
        <v>608</v>
      </c>
      <c r="M2315">
        <v>15</v>
      </c>
      <c r="N2315" s="1">
        <f t="shared" si="288"/>
        <v>44938</v>
      </c>
      <c r="O2315" s="1">
        <f t="shared" si="289"/>
        <v>43101</v>
      </c>
      <c r="P2315" s="1">
        <f t="shared" si="290"/>
        <v>43374</v>
      </c>
      <c r="Q2315" s="8">
        <f t="shared" si="291"/>
        <v>0</v>
      </c>
      <c r="R2315" s="8">
        <f t="shared" si="292"/>
        <v>10</v>
      </c>
      <c r="S2315" s="8">
        <f t="shared" ca="1" si="293"/>
        <v>10</v>
      </c>
      <c r="T2315">
        <f t="shared" ca="1" si="294"/>
        <v>2.5363840000000004</v>
      </c>
      <c r="U2315" s="8">
        <f t="shared" ca="1" si="295"/>
        <v>1.3584000000000001</v>
      </c>
      <c r="V2315" s="8">
        <f ca="1">RawData[[#This Row],[Z (smoothed demand size)]]/RawData[[#This Row],[X (smoothed interval)]]</f>
        <v>1.8671849234393407</v>
      </c>
    </row>
    <row r="2316" spans="1:22">
      <c r="A2316" t="s">
        <v>51</v>
      </c>
      <c r="B2316" t="s">
        <v>39</v>
      </c>
      <c r="C2316">
        <v>32</v>
      </c>
      <c r="D2316" t="s">
        <v>15</v>
      </c>
      <c r="E2316" t="s">
        <v>16</v>
      </c>
      <c r="F2316" s="1">
        <v>43111</v>
      </c>
      <c r="G2316">
        <v>0</v>
      </c>
      <c r="H2316">
        <v>0</v>
      </c>
      <c r="I2316">
        <v>7</v>
      </c>
      <c r="J2316">
        <v>7</v>
      </c>
      <c r="K2316">
        <v>0</v>
      </c>
      <c r="L2316">
        <v>599</v>
      </c>
      <c r="M2316">
        <v>60</v>
      </c>
      <c r="N2316" s="1">
        <f t="shared" si="288"/>
        <v>44938</v>
      </c>
      <c r="O2316" s="1">
        <f t="shared" si="289"/>
        <v>43101</v>
      </c>
      <c r="P2316" s="1">
        <f t="shared" si="290"/>
        <v>43405</v>
      </c>
      <c r="Q2316" s="8">
        <f t="shared" si="291"/>
        <v>0</v>
      </c>
      <c r="R2316" s="8">
        <f t="shared" si="292"/>
        <v>11</v>
      </c>
      <c r="S2316" s="8">
        <f t="shared" ca="1" si="293"/>
        <v>10</v>
      </c>
      <c r="T2316">
        <f t="shared" ca="1" si="294"/>
        <v>2.5363840000000004</v>
      </c>
      <c r="U2316" s="8">
        <f t="shared" ca="1" si="295"/>
        <v>1.3584000000000001</v>
      </c>
      <c r="V2316" s="8">
        <f ca="1">RawData[[#This Row],[Z (smoothed demand size)]]/RawData[[#This Row],[X (smoothed interval)]]</f>
        <v>1.8671849234393407</v>
      </c>
    </row>
    <row r="2317" spans="1:22">
      <c r="A2317" t="s">
        <v>51</v>
      </c>
      <c r="B2317" t="s">
        <v>39</v>
      </c>
      <c r="C2317">
        <v>32</v>
      </c>
      <c r="D2317" t="s">
        <v>15</v>
      </c>
      <c r="E2317" t="s">
        <v>16</v>
      </c>
      <c r="F2317" s="1">
        <v>43112</v>
      </c>
      <c r="G2317">
        <v>2</v>
      </c>
      <c r="H2317">
        <v>2</v>
      </c>
      <c r="I2317">
        <v>7</v>
      </c>
      <c r="J2317">
        <v>5</v>
      </c>
      <c r="K2317">
        <v>0</v>
      </c>
      <c r="L2317">
        <v>685</v>
      </c>
      <c r="M2317">
        <v>60</v>
      </c>
      <c r="N2317" s="1">
        <f t="shared" si="288"/>
        <v>44938</v>
      </c>
      <c r="O2317" s="1">
        <f t="shared" si="289"/>
        <v>43101</v>
      </c>
      <c r="P2317" s="1">
        <f t="shared" si="290"/>
        <v>43435</v>
      </c>
      <c r="Q2317" s="8">
        <f t="shared" si="291"/>
        <v>0</v>
      </c>
      <c r="R2317" s="8">
        <f t="shared" si="292"/>
        <v>12</v>
      </c>
      <c r="S2317" s="8">
        <f t="shared" ca="1" si="293"/>
        <v>12</v>
      </c>
      <c r="T2317">
        <f t="shared" ca="1" si="294"/>
        <v>2.4291072000000002</v>
      </c>
      <c r="U2317" s="8">
        <f t="shared" ca="1" si="295"/>
        <v>1.48672</v>
      </c>
      <c r="V2317" s="8">
        <f ca="1">RawData[[#This Row],[Z (smoothed demand size)]]/RawData[[#This Row],[X (smoothed interval)]]</f>
        <v>1.6338699956952218</v>
      </c>
    </row>
    <row r="2318" spans="1:22">
      <c r="A2318" t="s">
        <v>51</v>
      </c>
      <c r="B2318" t="s">
        <v>39</v>
      </c>
      <c r="C2318">
        <v>32</v>
      </c>
      <c r="D2318" t="s">
        <v>15</v>
      </c>
      <c r="E2318" t="s">
        <v>16</v>
      </c>
      <c r="F2318" s="1">
        <v>43466</v>
      </c>
      <c r="G2318">
        <v>0</v>
      </c>
      <c r="H2318">
        <v>0</v>
      </c>
      <c r="I2318">
        <v>5</v>
      </c>
      <c r="J2318">
        <v>5</v>
      </c>
      <c r="K2318">
        <v>0</v>
      </c>
      <c r="L2318">
        <v>594</v>
      </c>
      <c r="M2318">
        <v>45</v>
      </c>
      <c r="N2318" s="1">
        <f t="shared" si="288"/>
        <v>44938</v>
      </c>
      <c r="O2318" s="1">
        <f t="shared" si="289"/>
        <v>43101</v>
      </c>
      <c r="P2318" s="1">
        <f t="shared" si="290"/>
        <v>43466</v>
      </c>
      <c r="Q2318" s="8">
        <f t="shared" si="291"/>
        <v>0</v>
      </c>
      <c r="R2318" s="8">
        <f t="shared" si="292"/>
        <v>13</v>
      </c>
      <c r="S2318" s="8">
        <f t="shared" ca="1" si="293"/>
        <v>12</v>
      </c>
      <c r="T2318">
        <f t="shared" ca="1" si="294"/>
        <v>2.4291072000000002</v>
      </c>
      <c r="U2318" s="8">
        <f t="shared" ca="1" si="295"/>
        <v>1.48672</v>
      </c>
      <c r="V2318" s="8">
        <f ca="1">RawData[[#This Row],[Z (smoothed demand size)]]/RawData[[#This Row],[X (smoothed interval)]]</f>
        <v>1.6338699956952218</v>
      </c>
    </row>
    <row r="2319" spans="1:22">
      <c r="A2319" t="s">
        <v>51</v>
      </c>
      <c r="B2319" t="s">
        <v>39</v>
      </c>
      <c r="C2319">
        <v>32</v>
      </c>
      <c r="D2319" t="s">
        <v>15</v>
      </c>
      <c r="E2319" t="s">
        <v>16</v>
      </c>
      <c r="F2319" s="1">
        <v>43467</v>
      </c>
      <c r="G2319">
        <v>2</v>
      </c>
      <c r="H2319">
        <v>2</v>
      </c>
      <c r="I2319">
        <v>5</v>
      </c>
      <c r="J2319">
        <v>3</v>
      </c>
      <c r="K2319">
        <v>0</v>
      </c>
      <c r="L2319">
        <v>590</v>
      </c>
      <c r="M2319">
        <v>30</v>
      </c>
      <c r="N2319" s="1">
        <f t="shared" si="288"/>
        <v>44938</v>
      </c>
      <c r="O2319" s="1">
        <f t="shared" si="289"/>
        <v>43101</v>
      </c>
      <c r="P2319" s="1">
        <f t="shared" si="290"/>
        <v>43497</v>
      </c>
      <c r="Q2319" s="8">
        <f t="shared" si="291"/>
        <v>0</v>
      </c>
      <c r="R2319" s="8">
        <f t="shared" si="292"/>
        <v>14</v>
      </c>
      <c r="S2319" s="8">
        <f t="shared" ca="1" si="293"/>
        <v>14</v>
      </c>
      <c r="T2319">
        <f t="shared" ca="1" si="294"/>
        <v>2.3432857600000001</v>
      </c>
      <c r="U2319" s="8">
        <f t="shared" ca="1" si="295"/>
        <v>1.5893760000000001</v>
      </c>
      <c r="V2319" s="8">
        <f ca="1">RawData[[#This Row],[Z (smoothed demand size)]]/RawData[[#This Row],[X (smoothed interval)]]</f>
        <v>1.474343239107675</v>
      </c>
    </row>
    <row r="2320" spans="1:22">
      <c r="A2320" t="s">
        <v>51</v>
      </c>
      <c r="B2320" t="s">
        <v>39</v>
      </c>
      <c r="C2320">
        <v>32</v>
      </c>
      <c r="D2320" t="s">
        <v>15</v>
      </c>
      <c r="E2320" t="s">
        <v>16</v>
      </c>
      <c r="F2320" s="1">
        <v>43468</v>
      </c>
      <c r="G2320">
        <v>4</v>
      </c>
      <c r="H2320">
        <v>4</v>
      </c>
      <c r="I2320">
        <v>14</v>
      </c>
      <c r="J2320">
        <v>10</v>
      </c>
      <c r="K2320">
        <v>0</v>
      </c>
      <c r="L2320">
        <v>597</v>
      </c>
      <c r="M2320">
        <v>30</v>
      </c>
      <c r="N2320" s="1">
        <f t="shared" si="288"/>
        <v>44938</v>
      </c>
      <c r="O2320" s="1">
        <f t="shared" si="289"/>
        <v>43101</v>
      </c>
      <c r="P2320" s="1">
        <f t="shared" si="290"/>
        <v>43525</v>
      </c>
      <c r="Q2320" s="8">
        <f t="shared" si="291"/>
        <v>0</v>
      </c>
      <c r="R2320" s="8">
        <f t="shared" si="292"/>
        <v>15</v>
      </c>
      <c r="S2320" s="8">
        <f t="shared" ca="1" si="293"/>
        <v>15</v>
      </c>
      <c r="T2320">
        <f t="shared" ca="1" si="294"/>
        <v>2.6746286079999999</v>
      </c>
      <c r="U2320" s="8">
        <f t="shared" ca="1" si="295"/>
        <v>1.4715008000000001</v>
      </c>
      <c r="V2320" s="8">
        <f ca="1">RawData[[#This Row],[Z (smoothed demand size)]]/RawData[[#This Row],[X (smoothed interval)]]</f>
        <v>1.8176195405398352</v>
      </c>
    </row>
    <row r="2321" spans="1:22">
      <c r="A2321" t="s">
        <v>51</v>
      </c>
      <c r="B2321" t="s">
        <v>39</v>
      </c>
      <c r="C2321">
        <v>32</v>
      </c>
      <c r="D2321" t="s">
        <v>15</v>
      </c>
      <c r="E2321" t="s">
        <v>16</v>
      </c>
      <c r="F2321" s="1">
        <v>43469</v>
      </c>
      <c r="G2321">
        <v>8</v>
      </c>
      <c r="H2321">
        <v>8</v>
      </c>
      <c r="I2321">
        <v>10</v>
      </c>
      <c r="J2321">
        <v>2</v>
      </c>
      <c r="K2321">
        <v>0</v>
      </c>
      <c r="L2321">
        <v>602</v>
      </c>
      <c r="M2321">
        <v>30</v>
      </c>
      <c r="N2321" s="1">
        <f t="shared" si="288"/>
        <v>44938</v>
      </c>
      <c r="O2321" s="1">
        <f t="shared" si="289"/>
        <v>43101</v>
      </c>
      <c r="P2321" s="1">
        <f t="shared" si="290"/>
        <v>43556</v>
      </c>
      <c r="Q2321" s="8">
        <f t="shared" si="291"/>
        <v>0</v>
      </c>
      <c r="R2321" s="8">
        <f t="shared" si="292"/>
        <v>16</v>
      </c>
      <c r="S2321" s="8">
        <f t="shared" ca="1" si="293"/>
        <v>16</v>
      </c>
      <c r="T2321">
        <f t="shared" ca="1" si="294"/>
        <v>3.7397028863999999</v>
      </c>
      <c r="U2321" s="8">
        <f t="shared" ca="1" si="295"/>
        <v>1.3772006400000001</v>
      </c>
      <c r="V2321" s="8">
        <f ca="1">RawData[[#This Row],[Z (smoothed demand size)]]/RawData[[#This Row],[X (smoothed interval)]]</f>
        <v>2.7154379527444887</v>
      </c>
    </row>
    <row r="2322" spans="1:22">
      <c r="A2322" t="s">
        <v>51</v>
      </c>
      <c r="B2322" t="s">
        <v>39</v>
      </c>
      <c r="C2322">
        <v>32</v>
      </c>
      <c r="D2322" t="s">
        <v>15</v>
      </c>
      <c r="E2322" t="s">
        <v>16</v>
      </c>
      <c r="F2322" s="1">
        <v>43470</v>
      </c>
      <c r="G2322">
        <v>3</v>
      </c>
      <c r="H2322">
        <v>3</v>
      </c>
      <c r="I2322">
        <v>13</v>
      </c>
      <c r="J2322">
        <v>10</v>
      </c>
      <c r="K2322">
        <v>0</v>
      </c>
      <c r="L2322">
        <v>609</v>
      </c>
      <c r="M2322">
        <v>60</v>
      </c>
      <c r="N2322" s="1">
        <f t="shared" si="288"/>
        <v>44938</v>
      </c>
      <c r="O2322" s="1">
        <f t="shared" si="289"/>
        <v>43101</v>
      </c>
      <c r="P2322" s="1">
        <f t="shared" si="290"/>
        <v>43586</v>
      </c>
      <c r="Q2322" s="8">
        <f t="shared" si="291"/>
        <v>0</v>
      </c>
      <c r="R2322" s="8">
        <f t="shared" si="292"/>
        <v>17</v>
      </c>
      <c r="S2322" s="8">
        <f t="shared" ca="1" si="293"/>
        <v>17</v>
      </c>
      <c r="T2322">
        <f t="shared" ca="1" si="294"/>
        <v>3.5917623091200004</v>
      </c>
      <c r="U2322" s="8">
        <f t="shared" ca="1" si="295"/>
        <v>1.301760512</v>
      </c>
      <c r="V2322" s="8">
        <f ca="1">RawData[[#This Row],[Z (smoothed demand size)]]/RawData[[#This Row],[X (smoothed interval)]]</f>
        <v>2.759157522455252</v>
      </c>
    </row>
    <row r="2323" spans="1:22">
      <c r="A2323" t="s">
        <v>51</v>
      </c>
      <c r="B2323" t="s">
        <v>39</v>
      </c>
      <c r="C2323">
        <v>32</v>
      </c>
      <c r="D2323" t="s">
        <v>15</v>
      </c>
      <c r="E2323" t="s">
        <v>16</v>
      </c>
      <c r="F2323" s="1">
        <v>43471</v>
      </c>
      <c r="G2323">
        <v>0</v>
      </c>
      <c r="H2323">
        <v>0</v>
      </c>
      <c r="I2323">
        <v>10</v>
      </c>
      <c r="J2323">
        <v>10</v>
      </c>
      <c r="K2323">
        <v>0</v>
      </c>
      <c r="L2323">
        <v>682</v>
      </c>
      <c r="M2323">
        <v>45</v>
      </c>
      <c r="N2323" s="1">
        <f t="shared" si="288"/>
        <v>44938</v>
      </c>
      <c r="O2323" s="1">
        <f t="shared" si="289"/>
        <v>43101</v>
      </c>
      <c r="P2323" s="1">
        <f t="shared" si="290"/>
        <v>43617</v>
      </c>
      <c r="Q2323" s="8">
        <f t="shared" si="291"/>
        <v>0</v>
      </c>
      <c r="R2323" s="8">
        <f t="shared" si="292"/>
        <v>18</v>
      </c>
      <c r="S2323" s="8">
        <f t="shared" ca="1" si="293"/>
        <v>17</v>
      </c>
      <c r="T2323">
        <f t="shared" ca="1" si="294"/>
        <v>3.5917623091200004</v>
      </c>
      <c r="U2323" s="8">
        <f t="shared" ca="1" si="295"/>
        <v>1.301760512</v>
      </c>
      <c r="V2323" s="8">
        <f ca="1">RawData[[#This Row],[Z (smoothed demand size)]]/RawData[[#This Row],[X (smoothed interval)]]</f>
        <v>2.759157522455252</v>
      </c>
    </row>
    <row r="2324" spans="1:22">
      <c r="A2324" t="s">
        <v>51</v>
      </c>
      <c r="B2324" t="s">
        <v>39</v>
      </c>
      <c r="C2324">
        <v>32</v>
      </c>
      <c r="D2324" t="s">
        <v>15</v>
      </c>
      <c r="E2324" t="s">
        <v>16</v>
      </c>
      <c r="F2324" s="1">
        <v>43472</v>
      </c>
      <c r="G2324">
        <v>0</v>
      </c>
      <c r="H2324">
        <v>0</v>
      </c>
      <c r="I2324">
        <v>10</v>
      </c>
      <c r="J2324">
        <v>10</v>
      </c>
      <c r="K2324">
        <v>0</v>
      </c>
      <c r="L2324">
        <v>690</v>
      </c>
      <c r="M2324">
        <v>60</v>
      </c>
      <c r="N2324" s="1">
        <f t="shared" si="288"/>
        <v>44938</v>
      </c>
      <c r="O2324" s="1">
        <f t="shared" si="289"/>
        <v>43101</v>
      </c>
      <c r="P2324" s="1">
        <f t="shared" si="290"/>
        <v>43647</v>
      </c>
      <c r="Q2324" s="8">
        <f t="shared" si="291"/>
        <v>0</v>
      </c>
      <c r="R2324" s="8">
        <f t="shared" si="292"/>
        <v>19</v>
      </c>
      <c r="S2324" s="8">
        <f t="shared" ca="1" si="293"/>
        <v>17</v>
      </c>
      <c r="T2324">
        <f t="shared" ca="1" si="294"/>
        <v>3.5917623091200004</v>
      </c>
      <c r="U2324" s="8">
        <f t="shared" ca="1" si="295"/>
        <v>1.301760512</v>
      </c>
      <c r="V2324" s="8">
        <f ca="1">RawData[[#This Row],[Z (smoothed demand size)]]/RawData[[#This Row],[X (smoothed interval)]]</f>
        <v>2.759157522455252</v>
      </c>
    </row>
    <row r="2325" spans="1:22">
      <c r="A2325" t="s">
        <v>51</v>
      </c>
      <c r="B2325" t="s">
        <v>39</v>
      </c>
      <c r="C2325">
        <v>32</v>
      </c>
      <c r="D2325" t="s">
        <v>15</v>
      </c>
      <c r="E2325" t="s">
        <v>16</v>
      </c>
      <c r="F2325" s="1">
        <v>43473</v>
      </c>
      <c r="G2325">
        <v>3</v>
      </c>
      <c r="H2325">
        <v>3</v>
      </c>
      <c r="I2325">
        <v>10</v>
      </c>
      <c r="J2325">
        <v>7</v>
      </c>
      <c r="K2325">
        <v>0</v>
      </c>
      <c r="L2325">
        <v>688</v>
      </c>
      <c r="M2325">
        <v>45</v>
      </c>
      <c r="N2325" s="1">
        <f t="shared" si="288"/>
        <v>44938</v>
      </c>
      <c r="O2325" s="1">
        <f t="shared" si="289"/>
        <v>43101</v>
      </c>
      <c r="P2325" s="1">
        <f t="shared" si="290"/>
        <v>43678</v>
      </c>
      <c r="Q2325" s="8">
        <f t="shared" si="291"/>
        <v>0</v>
      </c>
      <c r="R2325" s="8">
        <f t="shared" si="292"/>
        <v>20</v>
      </c>
      <c r="S2325" s="8">
        <f t="shared" ca="1" si="293"/>
        <v>20</v>
      </c>
      <c r="T2325">
        <f t="shared" ca="1" si="294"/>
        <v>3.4734098472960007</v>
      </c>
      <c r="U2325" s="8">
        <f t="shared" ca="1" si="295"/>
        <v>1.6414084096000001</v>
      </c>
      <c r="V2325" s="8">
        <f ca="1">RawData[[#This Row],[Z (smoothed demand size)]]/RawData[[#This Row],[X (smoothed interval)]]</f>
        <v>2.1161155425921367</v>
      </c>
    </row>
    <row r="2326" spans="1:22">
      <c r="A2326" t="s">
        <v>51</v>
      </c>
      <c r="B2326" t="s">
        <v>39</v>
      </c>
      <c r="C2326">
        <v>32</v>
      </c>
      <c r="D2326" t="s">
        <v>15</v>
      </c>
      <c r="E2326" t="s">
        <v>16</v>
      </c>
      <c r="F2326" s="1">
        <v>43474</v>
      </c>
      <c r="G2326">
        <v>0</v>
      </c>
      <c r="H2326">
        <v>0</v>
      </c>
      <c r="I2326">
        <v>7</v>
      </c>
      <c r="J2326">
        <v>7</v>
      </c>
      <c r="K2326">
        <v>0</v>
      </c>
      <c r="L2326">
        <v>598</v>
      </c>
      <c r="M2326">
        <v>60</v>
      </c>
      <c r="N2326" s="1">
        <f t="shared" si="288"/>
        <v>44938</v>
      </c>
      <c r="O2326" s="1">
        <f t="shared" si="289"/>
        <v>43101</v>
      </c>
      <c r="P2326" s="1">
        <f t="shared" si="290"/>
        <v>43709</v>
      </c>
      <c r="Q2326" s="8">
        <f t="shared" si="291"/>
        <v>0</v>
      </c>
      <c r="R2326" s="8">
        <f t="shared" si="292"/>
        <v>21</v>
      </c>
      <c r="S2326" s="8">
        <f t="shared" ca="1" si="293"/>
        <v>20</v>
      </c>
      <c r="T2326">
        <f t="shared" ca="1" si="294"/>
        <v>3.4734098472960007</v>
      </c>
      <c r="U2326" s="8">
        <f t="shared" ca="1" si="295"/>
        <v>1.6414084096000001</v>
      </c>
      <c r="V2326" s="8">
        <f ca="1">RawData[[#This Row],[Z (smoothed demand size)]]/RawData[[#This Row],[X (smoothed interval)]]</f>
        <v>2.1161155425921367</v>
      </c>
    </row>
    <row r="2327" spans="1:22">
      <c r="A2327" t="s">
        <v>51</v>
      </c>
      <c r="B2327" t="s">
        <v>39</v>
      </c>
      <c r="C2327">
        <v>32</v>
      </c>
      <c r="D2327" t="s">
        <v>15</v>
      </c>
      <c r="E2327" t="s">
        <v>16</v>
      </c>
      <c r="F2327" s="1">
        <v>43475</v>
      </c>
      <c r="G2327">
        <v>0</v>
      </c>
      <c r="H2327">
        <v>0</v>
      </c>
      <c r="I2327">
        <v>7</v>
      </c>
      <c r="J2327">
        <v>7</v>
      </c>
      <c r="K2327">
        <v>0</v>
      </c>
      <c r="L2327">
        <v>589</v>
      </c>
      <c r="M2327">
        <v>15</v>
      </c>
      <c r="N2327" s="1">
        <f t="shared" si="288"/>
        <v>44938</v>
      </c>
      <c r="O2327" s="1">
        <f t="shared" si="289"/>
        <v>43101</v>
      </c>
      <c r="P2327" s="1">
        <f t="shared" si="290"/>
        <v>43739</v>
      </c>
      <c r="Q2327" s="8">
        <f t="shared" si="291"/>
        <v>0</v>
      </c>
      <c r="R2327" s="8">
        <f t="shared" si="292"/>
        <v>22</v>
      </c>
      <c r="S2327" s="8">
        <f t="shared" ca="1" si="293"/>
        <v>20</v>
      </c>
      <c r="T2327">
        <f t="shared" ca="1" si="294"/>
        <v>3.4734098472960007</v>
      </c>
      <c r="U2327" s="8">
        <f t="shared" ca="1" si="295"/>
        <v>1.6414084096000001</v>
      </c>
      <c r="V2327" s="8">
        <f ca="1">RawData[[#This Row],[Z (smoothed demand size)]]/RawData[[#This Row],[X (smoothed interval)]]</f>
        <v>2.1161155425921367</v>
      </c>
    </row>
    <row r="2328" spans="1:22">
      <c r="A2328" t="s">
        <v>51</v>
      </c>
      <c r="B2328" t="s">
        <v>39</v>
      </c>
      <c r="C2328">
        <v>32</v>
      </c>
      <c r="D2328" t="s">
        <v>15</v>
      </c>
      <c r="E2328" t="s">
        <v>16</v>
      </c>
      <c r="F2328" s="1">
        <v>43476</v>
      </c>
      <c r="G2328">
        <v>2</v>
      </c>
      <c r="H2328">
        <v>2</v>
      </c>
      <c r="I2328">
        <v>7</v>
      </c>
      <c r="J2328">
        <v>5</v>
      </c>
      <c r="K2328">
        <v>0</v>
      </c>
      <c r="L2328">
        <v>592</v>
      </c>
      <c r="M2328">
        <v>15</v>
      </c>
      <c r="N2328" s="1">
        <f t="shared" si="288"/>
        <v>44938</v>
      </c>
      <c r="O2328" s="1">
        <f t="shared" si="289"/>
        <v>43101</v>
      </c>
      <c r="P2328" s="1">
        <f t="shared" si="290"/>
        <v>43770</v>
      </c>
      <c r="Q2328" s="8">
        <f t="shared" si="291"/>
        <v>0</v>
      </c>
      <c r="R2328" s="8">
        <f t="shared" si="292"/>
        <v>23</v>
      </c>
      <c r="S2328" s="8">
        <f t="shared" ca="1" si="293"/>
        <v>23</v>
      </c>
      <c r="T2328">
        <f t="shared" ca="1" si="294"/>
        <v>3.1787278778368004</v>
      </c>
      <c r="U2328" s="8">
        <f t="shared" ca="1" si="295"/>
        <v>1.9131267276800004</v>
      </c>
      <c r="V2328" s="8">
        <f ca="1">RawData[[#This Row],[Z (smoothed demand size)]]/RawData[[#This Row],[X (smoothed interval)]]</f>
        <v>1.6615354497145947</v>
      </c>
    </row>
    <row r="2329" spans="1:22">
      <c r="A2329" t="s">
        <v>51</v>
      </c>
      <c r="B2329" t="s">
        <v>39</v>
      </c>
      <c r="C2329">
        <v>32</v>
      </c>
      <c r="D2329" t="s">
        <v>15</v>
      </c>
      <c r="E2329" t="s">
        <v>16</v>
      </c>
      <c r="F2329" s="1">
        <v>43477</v>
      </c>
      <c r="G2329">
        <v>4</v>
      </c>
      <c r="H2329">
        <v>4</v>
      </c>
      <c r="I2329">
        <v>5</v>
      </c>
      <c r="J2329">
        <v>1</v>
      </c>
      <c r="K2329">
        <v>0</v>
      </c>
      <c r="L2329">
        <v>700</v>
      </c>
      <c r="M2329">
        <v>15</v>
      </c>
      <c r="N2329" s="1">
        <f t="shared" si="288"/>
        <v>44938</v>
      </c>
      <c r="O2329" s="1">
        <f t="shared" si="289"/>
        <v>43101</v>
      </c>
      <c r="P2329" s="1">
        <f t="shared" si="290"/>
        <v>43800</v>
      </c>
      <c r="Q2329" s="8">
        <f t="shared" si="291"/>
        <v>0</v>
      </c>
      <c r="R2329" s="8">
        <f t="shared" si="292"/>
        <v>24</v>
      </c>
      <c r="S2329" s="8">
        <f t="shared" ca="1" si="293"/>
        <v>24</v>
      </c>
      <c r="T2329">
        <f t="shared" ca="1" si="294"/>
        <v>3.3429823022694407</v>
      </c>
      <c r="U2329" s="8">
        <f t="shared" ca="1" si="295"/>
        <v>1.7305013821440003</v>
      </c>
      <c r="V2329" s="8">
        <f ca="1">RawData[[#This Row],[Z (smoothed demand size)]]/RawData[[#This Row],[X (smoothed interval)]]</f>
        <v>1.9317998452723923</v>
      </c>
    </row>
    <row r="2330" spans="1:22">
      <c r="A2330" t="s">
        <v>51</v>
      </c>
      <c r="B2330" t="s">
        <v>39</v>
      </c>
      <c r="C2330">
        <v>32</v>
      </c>
      <c r="D2330" t="s">
        <v>15</v>
      </c>
      <c r="E2330" t="s">
        <v>16</v>
      </c>
      <c r="F2330" s="1">
        <v>43831</v>
      </c>
      <c r="G2330">
        <v>1</v>
      </c>
      <c r="H2330">
        <v>1</v>
      </c>
      <c r="I2330">
        <v>9</v>
      </c>
      <c r="J2330">
        <v>8</v>
      </c>
      <c r="K2330">
        <v>0</v>
      </c>
      <c r="L2330">
        <v>602</v>
      </c>
      <c r="M2330">
        <v>30</v>
      </c>
      <c r="N2330" s="1">
        <f t="shared" si="288"/>
        <v>44938</v>
      </c>
      <c r="O2330" s="1">
        <f t="shared" si="289"/>
        <v>43101</v>
      </c>
      <c r="P2330" s="1">
        <f t="shared" si="290"/>
        <v>43831</v>
      </c>
      <c r="Q2330" s="8">
        <f t="shared" si="291"/>
        <v>0</v>
      </c>
      <c r="R2330" s="8">
        <f t="shared" si="292"/>
        <v>25</v>
      </c>
      <c r="S2330" s="8">
        <f t="shared" ca="1" si="293"/>
        <v>25</v>
      </c>
      <c r="T2330">
        <f t="shared" ca="1" si="294"/>
        <v>2.874385841815553</v>
      </c>
      <c r="U2330" s="8">
        <f t="shared" ca="1" si="295"/>
        <v>1.5844011057152003</v>
      </c>
      <c r="V2330" s="8">
        <f ca="1">RawData[[#This Row],[Z (smoothed demand size)]]/RawData[[#This Row],[X (smoothed interval)]]</f>
        <v>1.8141781342156109</v>
      </c>
    </row>
    <row r="2331" spans="1:22">
      <c r="A2331" t="s">
        <v>51</v>
      </c>
      <c r="B2331" t="s">
        <v>39</v>
      </c>
      <c r="C2331">
        <v>32</v>
      </c>
      <c r="D2331" t="s">
        <v>15</v>
      </c>
      <c r="E2331" t="s">
        <v>16</v>
      </c>
      <c r="F2331" s="1">
        <v>43832</v>
      </c>
      <c r="G2331">
        <v>2</v>
      </c>
      <c r="H2331">
        <v>2</v>
      </c>
      <c r="I2331">
        <v>8</v>
      </c>
      <c r="J2331">
        <v>6</v>
      </c>
      <c r="K2331">
        <v>0</v>
      </c>
      <c r="L2331">
        <v>598</v>
      </c>
      <c r="M2331">
        <v>45</v>
      </c>
      <c r="N2331" s="1">
        <f t="shared" si="288"/>
        <v>44938</v>
      </c>
      <c r="O2331" s="1">
        <f t="shared" si="289"/>
        <v>43101</v>
      </c>
      <c r="P2331" s="1">
        <f t="shared" si="290"/>
        <v>43862</v>
      </c>
      <c r="Q2331" s="8">
        <f t="shared" si="291"/>
        <v>0</v>
      </c>
      <c r="R2331" s="8">
        <f t="shared" si="292"/>
        <v>26</v>
      </c>
      <c r="S2331" s="8">
        <f t="shared" ca="1" si="293"/>
        <v>26</v>
      </c>
      <c r="T2331">
        <f t="shared" ca="1" si="294"/>
        <v>2.6995086734524425</v>
      </c>
      <c r="U2331" s="8">
        <f t="shared" ca="1" si="295"/>
        <v>1.4675208845721603</v>
      </c>
      <c r="V2331" s="8">
        <f ca="1">RawData[[#This Row],[Z (smoothed demand size)]]/RawData[[#This Row],[X (smoothed interval)]]</f>
        <v>1.839502729965887</v>
      </c>
    </row>
    <row r="2332" spans="1:22">
      <c r="A2332" t="s">
        <v>51</v>
      </c>
      <c r="B2332" t="s">
        <v>39</v>
      </c>
      <c r="C2332">
        <v>32</v>
      </c>
      <c r="D2332" t="s">
        <v>15</v>
      </c>
      <c r="E2332" t="s">
        <v>16</v>
      </c>
      <c r="F2332" s="1">
        <v>43833</v>
      </c>
      <c r="G2332">
        <v>3</v>
      </c>
      <c r="H2332">
        <v>3</v>
      </c>
      <c r="I2332">
        <v>6</v>
      </c>
      <c r="J2332">
        <v>3</v>
      </c>
      <c r="K2332">
        <v>0</v>
      </c>
      <c r="L2332">
        <v>599</v>
      </c>
      <c r="M2332">
        <v>60</v>
      </c>
      <c r="N2332" s="1">
        <f t="shared" si="288"/>
        <v>44938</v>
      </c>
      <c r="O2332" s="1">
        <f t="shared" si="289"/>
        <v>43101</v>
      </c>
      <c r="P2332" s="1">
        <f t="shared" si="290"/>
        <v>43891</v>
      </c>
      <c r="Q2332" s="8">
        <f t="shared" si="291"/>
        <v>0</v>
      </c>
      <c r="R2332" s="8">
        <f t="shared" si="292"/>
        <v>27</v>
      </c>
      <c r="S2332" s="8">
        <f t="shared" ca="1" si="293"/>
        <v>27</v>
      </c>
      <c r="T2332">
        <f t="shared" ca="1" si="294"/>
        <v>2.7596069387619542</v>
      </c>
      <c r="U2332" s="8">
        <f t="shared" ca="1" si="295"/>
        <v>1.3740167076577283</v>
      </c>
      <c r="V2332" s="8">
        <f ca="1">RawData[[#This Row],[Z (smoothed demand size)]]/RawData[[#This Row],[X (smoothed interval)]]</f>
        <v>2.0084231315252539</v>
      </c>
    </row>
    <row r="2333" spans="1:22">
      <c r="A2333" t="s">
        <v>51</v>
      </c>
      <c r="B2333" t="s">
        <v>39</v>
      </c>
      <c r="C2333">
        <v>32</v>
      </c>
      <c r="D2333" t="s">
        <v>15</v>
      </c>
      <c r="E2333" t="s">
        <v>16</v>
      </c>
      <c r="F2333" s="1">
        <v>43834</v>
      </c>
      <c r="G2333">
        <v>0</v>
      </c>
      <c r="H2333">
        <v>0</v>
      </c>
      <c r="I2333">
        <v>3</v>
      </c>
      <c r="J2333">
        <v>3</v>
      </c>
      <c r="K2333">
        <v>0</v>
      </c>
      <c r="L2333">
        <v>601</v>
      </c>
      <c r="M2333">
        <v>15</v>
      </c>
      <c r="N2333" s="1">
        <f t="shared" si="288"/>
        <v>44938</v>
      </c>
      <c r="O2333" s="1">
        <f t="shared" si="289"/>
        <v>43101</v>
      </c>
      <c r="P2333" s="1">
        <f t="shared" si="290"/>
        <v>43922</v>
      </c>
      <c r="Q2333" s="8">
        <f t="shared" si="291"/>
        <v>0</v>
      </c>
      <c r="R2333" s="8">
        <f t="shared" si="292"/>
        <v>28</v>
      </c>
      <c r="S2333" s="8">
        <f t="shared" ca="1" si="293"/>
        <v>27</v>
      </c>
      <c r="T2333">
        <f t="shared" ca="1" si="294"/>
        <v>2.7596069387619542</v>
      </c>
      <c r="U2333" s="8">
        <f t="shared" ca="1" si="295"/>
        <v>1.3740167076577283</v>
      </c>
      <c r="V2333" s="8">
        <f ca="1">RawData[[#This Row],[Z (smoothed demand size)]]/RawData[[#This Row],[X (smoothed interval)]]</f>
        <v>2.0084231315252539</v>
      </c>
    </row>
    <row r="2334" spans="1:22">
      <c r="A2334" t="s">
        <v>51</v>
      </c>
      <c r="B2334" t="s">
        <v>39</v>
      </c>
      <c r="C2334">
        <v>32</v>
      </c>
      <c r="D2334" t="s">
        <v>15</v>
      </c>
      <c r="E2334" t="s">
        <v>16</v>
      </c>
      <c r="F2334" s="1">
        <v>43835</v>
      </c>
      <c r="G2334">
        <v>0</v>
      </c>
      <c r="H2334">
        <v>0</v>
      </c>
      <c r="I2334">
        <v>11</v>
      </c>
      <c r="J2334">
        <v>11</v>
      </c>
      <c r="K2334">
        <v>0</v>
      </c>
      <c r="L2334">
        <v>594</v>
      </c>
      <c r="M2334">
        <v>60</v>
      </c>
      <c r="N2334" s="1">
        <f t="shared" si="288"/>
        <v>44938</v>
      </c>
      <c r="O2334" s="1">
        <f t="shared" si="289"/>
        <v>43101</v>
      </c>
      <c r="P2334" s="1">
        <f t="shared" si="290"/>
        <v>43952</v>
      </c>
      <c r="Q2334" s="8">
        <f t="shared" si="291"/>
        <v>0</v>
      </c>
      <c r="R2334" s="8">
        <f t="shared" si="292"/>
        <v>29</v>
      </c>
      <c r="S2334" s="8">
        <f t="shared" ca="1" si="293"/>
        <v>27</v>
      </c>
      <c r="T2334">
        <f t="shared" ca="1" si="294"/>
        <v>2.7596069387619542</v>
      </c>
      <c r="U2334" s="8">
        <f t="shared" ca="1" si="295"/>
        <v>1.3740167076577283</v>
      </c>
      <c r="V2334" s="8">
        <f ca="1">RawData[[#This Row],[Z (smoothed demand size)]]/RawData[[#This Row],[X (smoothed interval)]]</f>
        <v>2.0084231315252539</v>
      </c>
    </row>
    <row r="2335" spans="1:22">
      <c r="A2335" t="s">
        <v>51</v>
      </c>
      <c r="B2335" t="s">
        <v>39</v>
      </c>
      <c r="C2335">
        <v>32</v>
      </c>
      <c r="D2335" t="s">
        <v>15</v>
      </c>
      <c r="E2335" t="s">
        <v>16</v>
      </c>
      <c r="F2335" s="1">
        <v>43836</v>
      </c>
      <c r="G2335">
        <v>2</v>
      </c>
      <c r="H2335">
        <v>2</v>
      </c>
      <c r="I2335">
        <v>11</v>
      </c>
      <c r="J2335">
        <v>9</v>
      </c>
      <c r="K2335">
        <v>0</v>
      </c>
      <c r="L2335">
        <v>683</v>
      </c>
      <c r="M2335">
        <v>30</v>
      </c>
      <c r="N2335" s="1">
        <f t="shared" si="288"/>
        <v>44938</v>
      </c>
      <c r="O2335" s="1">
        <f t="shared" si="289"/>
        <v>43101</v>
      </c>
      <c r="P2335" s="1">
        <f t="shared" si="290"/>
        <v>43983</v>
      </c>
      <c r="Q2335" s="8">
        <f t="shared" si="291"/>
        <v>0</v>
      </c>
      <c r="R2335" s="8">
        <f t="shared" si="292"/>
        <v>30</v>
      </c>
      <c r="S2335" s="8">
        <f t="shared" ca="1" si="293"/>
        <v>30</v>
      </c>
      <c r="T2335">
        <f t="shared" ca="1" si="294"/>
        <v>2.6076855510095633</v>
      </c>
      <c r="U2335" s="8">
        <f t="shared" ca="1" si="295"/>
        <v>1.6992133661261828</v>
      </c>
      <c r="V2335" s="8">
        <f ca="1">RawData[[#This Row],[Z (smoothed demand size)]]/RawData[[#This Row],[X (smoothed interval)]]</f>
        <v>1.5346427958923659</v>
      </c>
    </row>
    <row r="2336" spans="1:22">
      <c r="A2336" t="s">
        <v>51</v>
      </c>
      <c r="B2336" t="s">
        <v>39</v>
      </c>
      <c r="C2336">
        <v>32</v>
      </c>
      <c r="D2336" t="s">
        <v>15</v>
      </c>
      <c r="E2336" t="s">
        <v>16</v>
      </c>
      <c r="F2336" s="1">
        <v>43837</v>
      </c>
      <c r="G2336">
        <v>0</v>
      </c>
      <c r="H2336">
        <v>0</v>
      </c>
      <c r="I2336">
        <v>9</v>
      </c>
      <c r="J2336">
        <v>9</v>
      </c>
      <c r="K2336">
        <v>0</v>
      </c>
      <c r="L2336">
        <v>682</v>
      </c>
      <c r="M2336">
        <v>45</v>
      </c>
      <c r="N2336" s="1">
        <f t="shared" si="288"/>
        <v>44938</v>
      </c>
      <c r="O2336" s="1">
        <f t="shared" si="289"/>
        <v>43101</v>
      </c>
      <c r="P2336" s="1">
        <f t="shared" si="290"/>
        <v>44013</v>
      </c>
      <c r="Q2336" s="8">
        <f t="shared" si="291"/>
        <v>0</v>
      </c>
      <c r="R2336" s="8">
        <f t="shared" si="292"/>
        <v>31</v>
      </c>
      <c r="S2336" s="8">
        <f t="shared" ca="1" si="293"/>
        <v>30</v>
      </c>
      <c r="T2336">
        <f t="shared" ca="1" si="294"/>
        <v>2.6076855510095633</v>
      </c>
      <c r="U2336" s="8">
        <f t="shared" ca="1" si="295"/>
        <v>1.6992133661261828</v>
      </c>
      <c r="V2336" s="8">
        <f ca="1">RawData[[#This Row],[Z (smoothed demand size)]]/RawData[[#This Row],[X (smoothed interval)]]</f>
        <v>1.5346427958923659</v>
      </c>
    </row>
    <row r="2337" spans="1:22">
      <c r="A2337" t="s">
        <v>51</v>
      </c>
      <c r="B2337" t="s">
        <v>39</v>
      </c>
      <c r="C2337">
        <v>32</v>
      </c>
      <c r="D2337" t="s">
        <v>15</v>
      </c>
      <c r="E2337" t="s">
        <v>16</v>
      </c>
      <c r="F2337" s="1">
        <v>43838</v>
      </c>
      <c r="G2337">
        <v>0</v>
      </c>
      <c r="H2337">
        <v>0</v>
      </c>
      <c r="I2337">
        <v>9</v>
      </c>
      <c r="J2337">
        <v>9</v>
      </c>
      <c r="K2337">
        <v>0</v>
      </c>
      <c r="L2337">
        <v>687</v>
      </c>
      <c r="M2337">
        <v>15</v>
      </c>
      <c r="N2337" s="1">
        <f t="shared" si="288"/>
        <v>44938</v>
      </c>
      <c r="O2337" s="1">
        <f t="shared" si="289"/>
        <v>43101</v>
      </c>
      <c r="P2337" s="1">
        <f t="shared" si="290"/>
        <v>44044</v>
      </c>
      <c r="Q2337" s="8">
        <f t="shared" si="291"/>
        <v>0</v>
      </c>
      <c r="R2337" s="8">
        <f t="shared" si="292"/>
        <v>32</v>
      </c>
      <c r="S2337" s="8">
        <f t="shared" ca="1" si="293"/>
        <v>30</v>
      </c>
      <c r="T2337">
        <f t="shared" ca="1" si="294"/>
        <v>2.6076855510095633</v>
      </c>
      <c r="U2337" s="8">
        <f t="shared" ca="1" si="295"/>
        <v>1.6992133661261828</v>
      </c>
      <c r="V2337" s="8">
        <f ca="1">RawData[[#This Row],[Z (smoothed demand size)]]/RawData[[#This Row],[X (smoothed interval)]]</f>
        <v>1.5346427958923659</v>
      </c>
    </row>
    <row r="2338" spans="1:22">
      <c r="A2338" t="s">
        <v>51</v>
      </c>
      <c r="B2338" t="s">
        <v>39</v>
      </c>
      <c r="C2338">
        <v>32</v>
      </c>
      <c r="D2338" t="s">
        <v>15</v>
      </c>
      <c r="E2338" t="s">
        <v>16</v>
      </c>
      <c r="F2338" s="1">
        <v>43839</v>
      </c>
      <c r="G2338">
        <v>2</v>
      </c>
      <c r="H2338">
        <v>2</v>
      </c>
      <c r="I2338">
        <v>9</v>
      </c>
      <c r="J2338">
        <v>7</v>
      </c>
      <c r="K2338">
        <v>0</v>
      </c>
      <c r="L2338">
        <v>590</v>
      </c>
      <c r="M2338">
        <v>60</v>
      </c>
      <c r="N2338" s="1">
        <f t="shared" si="288"/>
        <v>44938</v>
      </c>
      <c r="O2338" s="1">
        <f t="shared" si="289"/>
        <v>43101</v>
      </c>
      <c r="P2338" s="1">
        <f t="shared" si="290"/>
        <v>44075</v>
      </c>
      <c r="Q2338" s="8">
        <f t="shared" si="291"/>
        <v>0</v>
      </c>
      <c r="R2338" s="8">
        <f t="shared" si="292"/>
        <v>33</v>
      </c>
      <c r="S2338" s="8">
        <f t="shared" ca="1" si="293"/>
        <v>33</v>
      </c>
      <c r="T2338">
        <f t="shared" ca="1" si="294"/>
        <v>2.4861484408076509</v>
      </c>
      <c r="U2338" s="8">
        <f t="shared" ca="1" si="295"/>
        <v>1.9593706929009465</v>
      </c>
      <c r="V2338" s="8">
        <f ca="1">RawData[[#This Row],[Z (smoothed demand size)]]/RawData[[#This Row],[X (smoothed interval)]]</f>
        <v>1.2688504782761569</v>
      </c>
    </row>
    <row r="2339" spans="1:22">
      <c r="A2339" t="s">
        <v>51</v>
      </c>
      <c r="B2339" t="s">
        <v>39</v>
      </c>
      <c r="C2339">
        <v>32</v>
      </c>
      <c r="D2339" t="s">
        <v>15</v>
      </c>
      <c r="E2339" t="s">
        <v>16</v>
      </c>
      <c r="F2339" s="1">
        <v>43840</v>
      </c>
      <c r="G2339">
        <v>3</v>
      </c>
      <c r="H2339">
        <v>3</v>
      </c>
      <c r="I2339">
        <v>7</v>
      </c>
      <c r="J2339">
        <v>4</v>
      </c>
      <c r="K2339">
        <v>0</v>
      </c>
      <c r="L2339">
        <v>592</v>
      </c>
      <c r="M2339">
        <v>30</v>
      </c>
      <c r="N2339" s="1">
        <f t="shared" si="288"/>
        <v>44938</v>
      </c>
      <c r="O2339" s="1">
        <f t="shared" si="289"/>
        <v>43101</v>
      </c>
      <c r="P2339" s="1">
        <f t="shared" si="290"/>
        <v>44105</v>
      </c>
      <c r="Q2339" s="8">
        <f t="shared" si="291"/>
        <v>0</v>
      </c>
      <c r="R2339" s="8">
        <f t="shared" si="292"/>
        <v>34</v>
      </c>
      <c r="S2339" s="8">
        <f t="shared" ca="1" si="293"/>
        <v>34</v>
      </c>
      <c r="T2339">
        <f t="shared" ca="1" si="294"/>
        <v>2.588918752646121</v>
      </c>
      <c r="U2339" s="8">
        <f t="shared" ca="1" si="295"/>
        <v>1.7674965543207573</v>
      </c>
      <c r="V2339" s="8">
        <f ca="1">RawData[[#This Row],[Z (smoothed demand size)]]/RawData[[#This Row],[X (smoothed interval)]]</f>
        <v>1.464737651859827</v>
      </c>
    </row>
    <row r="2340" spans="1:22">
      <c r="A2340" t="s">
        <v>51</v>
      </c>
      <c r="B2340" t="s">
        <v>39</v>
      </c>
      <c r="C2340">
        <v>32</v>
      </c>
      <c r="D2340" t="s">
        <v>15</v>
      </c>
      <c r="E2340" t="s">
        <v>16</v>
      </c>
      <c r="F2340" s="1">
        <v>43841</v>
      </c>
      <c r="G2340">
        <v>0</v>
      </c>
      <c r="H2340">
        <v>0</v>
      </c>
      <c r="I2340">
        <v>4</v>
      </c>
      <c r="J2340">
        <v>4</v>
      </c>
      <c r="K2340">
        <v>0</v>
      </c>
      <c r="L2340">
        <v>599</v>
      </c>
      <c r="M2340">
        <v>60</v>
      </c>
      <c r="N2340" s="1">
        <f t="shared" si="288"/>
        <v>44938</v>
      </c>
      <c r="O2340" s="1">
        <f t="shared" si="289"/>
        <v>43101</v>
      </c>
      <c r="P2340" s="1">
        <f t="shared" si="290"/>
        <v>44136</v>
      </c>
      <c r="Q2340" s="8">
        <f t="shared" si="291"/>
        <v>0</v>
      </c>
      <c r="R2340" s="8">
        <f t="shared" si="292"/>
        <v>35</v>
      </c>
      <c r="S2340" s="8">
        <f t="shared" ca="1" si="293"/>
        <v>34</v>
      </c>
      <c r="T2340">
        <f t="shared" ca="1" si="294"/>
        <v>2.588918752646121</v>
      </c>
      <c r="U2340" s="8">
        <f t="shared" ca="1" si="295"/>
        <v>1.7674965543207573</v>
      </c>
      <c r="V2340" s="8">
        <f ca="1">RawData[[#This Row],[Z (smoothed demand size)]]/RawData[[#This Row],[X (smoothed interval)]]</f>
        <v>1.464737651859827</v>
      </c>
    </row>
    <row r="2341" spans="1:22">
      <c r="A2341" t="s">
        <v>51</v>
      </c>
      <c r="B2341" t="s">
        <v>39</v>
      </c>
      <c r="C2341">
        <v>32</v>
      </c>
      <c r="D2341" t="s">
        <v>15</v>
      </c>
      <c r="E2341" t="s">
        <v>16</v>
      </c>
      <c r="F2341" s="1">
        <v>43842</v>
      </c>
      <c r="G2341">
        <v>2</v>
      </c>
      <c r="H2341">
        <v>2</v>
      </c>
      <c r="I2341">
        <v>4</v>
      </c>
      <c r="J2341">
        <v>2</v>
      </c>
      <c r="K2341">
        <v>0</v>
      </c>
      <c r="L2341">
        <v>683</v>
      </c>
      <c r="M2341">
        <v>15</v>
      </c>
      <c r="N2341" s="1">
        <f t="shared" si="288"/>
        <v>44938</v>
      </c>
      <c r="O2341" s="1">
        <f t="shared" si="289"/>
        <v>43101</v>
      </c>
      <c r="P2341" s="1">
        <f t="shared" si="290"/>
        <v>44166</v>
      </c>
      <c r="Q2341" s="8">
        <f t="shared" si="291"/>
        <v>0</v>
      </c>
      <c r="R2341" s="8">
        <f t="shared" si="292"/>
        <v>36</v>
      </c>
      <c r="S2341" s="8">
        <f t="shared" ca="1" si="293"/>
        <v>36</v>
      </c>
      <c r="T2341">
        <f t="shared" ca="1" si="294"/>
        <v>2.4711350021168967</v>
      </c>
      <c r="U2341" s="8">
        <f t="shared" ca="1" si="295"/>
        <v>1.8139972434566061</v>
      </c>
      <c r="V2341" s="8">
        <f ca="1">RawData[[#This Row],[Z (smoothed demand size)]]/RawData[[#This Row],[X (smoothed interval)]]</f>
        <v>1.3622595133651374</v>
      </c>
    </row>
    <row r="2342" spans="1:22">
      <c r="A2342" t="s">
        <v>51</v>
      </c>
      <c r="B2342" t="s">
        <v>39</v>
      </c>
      <c r="C2342">
        <v>32</v>
      </c>
      <c r="D2342" t="s">
        <v>15</v>
      </c>
      <c r="E2342" t="s">
        <v>16</v>
      </c>
      <c r="F2342" s="1">
        <v>44197</v>
      </c>
      <c r="G2342">
        <v>1</v>
      </c>
      <c r="H2342">
        <v>1</v>
      </c>
      <c r="I2342">
        <v>12</v>
      </c>
      <c r="J2342">
        <v>11</v>
      </c>
      <c r="K2342">
        <v>0</v>
      </c>
      <c r="L2342">
        <v>584</v>
      </c>
      <c r="M2342">
        <v>60</v>
      </c>
      <c r="N2342" s="1">
        <f t="shared" si="288"/>
        <v>44938</v>
      </c>
      <c r="O2342" s="1">
        <f t="shared" si="289"/>
        <v>43101</v>
      </c>
      <c r="P2342" s="1">
        <f t="shared" si="290"/>
        <v>44197</v>
      </c>
      <c r="Q2342" s="8">
        <f t="shared" si="291"/>
        <v>0</v>
      </c>
      <c r="R2342" s="8">
        <f t="shared" si="292"/>
        <v>37</v>
      </c>
      <c r="S2342" s="8">
        <f t="shared" ca="1" si="293"/>
        <v>37</v>
      </c>
      <c r="T2342">
        <f t="shared" ca="1" si="294"/>
        <v>2.1769080016935174</v>
      </c>
      <c r="U2342" s="8">
        <f t="shared" ca="1" si="295"/>
        <v>1.6511977947652849</v>
      </c>
      <c r="V2342" s="8">
        <f ca="1">RawData[[#This Row],[Z (smoothed demand size)]]/RawData[[#This Row],[X (smoothed interval)]]</f>
        <v>1.3183811222343362</v>
      </c>
    </row>
    <row r="2343" spans="1:22">
      <c r="A2343" t="s">
        <v>51</v>
      </c>
      <c r="B2343" t="s">
        <v>39</v>
      </c>
      <c r="C2343">
        <v>32</v>
      </c>
      <c r="D2343" t="s">
        <v>15</v>
      </c>
      <c r="E2343" t="s">
        <v>16</v>
      </c>
      <c r="F2343" s="1">
        <v>44198</v>
      </c>
      <c r="G2343">
        <v>3</v>
      </c>
      <c r="H2343">
        <v>3</v>
      </c>
      <c r="I2343">
        <v>11</v>
      </c>
      <c r="J2343">
        <v>8</v>
      </c>
      <c r="K2343">
        <v>0</v>
      </c>
      <c r="L2343">
        <v>592</v>
      </c>
      <c r="M2343">
        <v>15</v>
      </c>
      <c r="N2343" s="1">
        <f t="shared" si="288"/>
        <v>44938</v>
      </c>
      <c r="O2343" s="1">
        <f t="shared" si="289"/>
        <v>43101</v>
      </c>
      <c r="P2343" s="1">
        <f t="shared" si="290"/>
        <v>44228</v>
      </c>
      <c r="Q2343" s="8">
        <f t="shared" si="291"/>
        <v>0</v>
      </c>
      <c r="R2343" s="8">
        <f t="shared" si="292"/>
        <v>38</v>
      </c>
      <c r="S2343" s="8">
        <f t="shared" ca="1" si="293"/>
        <v>38</v>
      </c>
      <c r="T2343">
        <f t="shared" ca="1" si="294"/>
        <v>2.3415264013548143</v>
      </c>
      <c r="U2343" s="8">
        <f t="shared" ca="1" si="295"/>
        <v>1.520958235812228</v>
      </c>
      <c r="V2343" s="8">
        <f ca="1">RawData[[#This Row],[Z (smoothed demand size)]]/RawData[[#This Row],[X (smoothed interval)]]</f>
        <v>1.5395073620179869</v>
      </c>
    </row>
    <row r="2344" spans="1:22">
      <c r="A2344" t="s">
        <v>51</v>
      </c>
      <c r="B2344" t="s">
        <v>39</v>
      </c>
      <c r="C2344">
        <v>32</v>
      </c>
      <c r="D2344" t="s">
        <v>15</v>
      </c>
      <c r="E2344" t="s">
        <v>16</v>
      </c>
      <c r="F2344" s="1">
        <v>44199</v>
      </c>
      <c r="G2344">
        <v>0</v>
      </c>
      <c r="H2344">
        <v>0</v>
      </c>
      <c r="I2344">
        <v>8</v>
      </c>
      <c r="J2344">
        <v>8</v>
      </c>
      <c r="K2344">
        <v>0</v>
      </c>
      <c r="L2344">
        <v>598</v>
      </c>
      <c r="M2344">
        <v>60</v>
      </c>
      <c r="N2344" s="1">
        <f t="shared" si="288"/>
        <v>44938</v>
      </c>
      <c r="O2344" s="1">
        <f t="shared" si="289"/>
        <v>43101</v>
      </c>
      <c r="P2344" s="1">
        <f t="shared" si="290"/>
        <v>44256</v>
      </c>
      <c r="Q2344" s="8">
        <f t="shared" si="291"/>
        <v>0</v>
      </c>
      <c r="R2344" s="8">
        <f t="shared" si="292"/>
        <v>39</v>
      </c>
      <c r="S2344" s="8">
        <f t="shared" ca="1" si="293"/>
        <v>38</v>
      </c>
      <c r="T2344">
        <f t="shared" ca="1" si="294"/>
        <v>2.3415264013548143</v>
      </c>
      <c r="U2344" s="8">
        <f t="shared" ca="1" si="295"/>
        <v>1.520958235812228</v>
      </c>
      <c r="V2344" s="8">
        <f ca="1">RawData[[#This Row],[Z (smoothed demand size)]]/RawData[[#This Row],[X (smoothed interval)]]</f>
        <v>1.5395073620179869</v>
      </c>
    </row>
    <row r="2345" spans="1:22">
      <c r="A2345" t="s">
        <v>51</v>
      </c>
      <c r="B2345" t="s">
        <v>39</v>
      </c>
      <c r="C2345">
        <v>32</v>
      </c>
      <c r="D2345" t="s">
        <v>15</v>
      </c>
      <c r="E2345" t="s">
        <v>16</v>
      </c>
      <c r="F2345" s="1">
        <v>44200</v>
      </c>
      <c r="G2345">
        <v>0</v>
      </c>
      <c r="H2345">
        <v>0</v>
      </c>
      <c r="I2345">
        <v>8</v>
      </c>
      <c r="J2345">
        <v>8</v>
      </c>
      <c r="K2345">
        <v>0</v>
      </c>
      <c r="L2345">
        <v>595</v>
      </c>
      <c r="M2345">
        <v>60</v>
      </c>
      <c r="N2345" s="1">
        <f t="shared" si="288"/>
        <v>44938</v>
      </c>
      <c r="O2345" s="1">
        <f t="shared" si="289"/>
        <v>43101</v>
      </c>
      <c r="P2345" s="1">
        <f t="shared" si="290"/>
        <v>44287</v>
      </c>
      <c r="Q2345" s="8">
        <f t="shared" si="291"/>
        <v>0</v>
      </c>
      <c r="R2345" s="8">
        <f t="shared" si="292"/>
        <v>40</v>
      </c>
      <c r="S2345" s="8">
        <f t="shared" ca="1" si="293"/>
        <v>38</v>
      </c>
      <c r="T2345">
        <f t="shared" ca="1" si="294"/>
        <v>2.3415264013548143</v>
      </c>
      <c r="U2345" s="8">
        <f t="shared" ca="1" si="295"/>
        <v>1.520958235812228</v>
      </c>
      <c r="V2345" s="8">
        <f ca="1">RawData[[#This Row],[Z (smoothed demand size)]]/RawData[[#This Row],[X (smoothed interval)]]</f>
        <v>1.5395073620179869</v>
      </c>
    </row>
    <row r="2346" spans="1:22">
      <c r="A2346" t="s">
        <v>51</v>
      </c>
      <c r="B2346" t="s">
        <v>39</v>
      </c>
      <c r="C2346">
        <v>32</v>
      </c>
      <c r="D2346" t="s">
        <v>15</v>
      </c>
      <c r="E2346" t="s">
        <v>16</v>
      </c>
      <c r="F2346" s="1">
        <v>44201</v>
      </c>
      <c r="G2346">
        <v>2</v>
      </c>
      <c r="H2346">
        <v>2</v>
      </c>
      <c r="I2346">
        <v>8</v>
      </c>
      <c r="J2346">
        <v>6</v>
      </c>
      <c r="K2346">
        <v>0</v>
      </c>
      <c r="L2346">
        <v>585</v>
      </c>
      <c r="M2346">
        <v>30</v>
      </c>
      <c r="N2346" s="1">
        <f t="shared" si="288"/>
        <v>44938</v>
      </c>
      <c r="O2346" s="1">
        <f t="shared" si="289"/>
        <v>43101</v>
      </c>
      <c r="P2346" s="1">
        <f t="shared" si="290"/>
        <v>44317</v>
      </c>
      <c r="Q2346" s="8">
        <f t="shared" si="291"/>
        <v>0</v>
      </c>
      <c r="R2346" s="8">
        <f t="shared" si="292"/>
        <v>41</v>
      </c>
      <c r="S2346" s="8">
        <f t="shared" ca="1" si="293"/>
        <v>41</v>
      </c>
      <c r="T2346">
        <f t="shared" ca="1" si="294"/>
        <v>2.2732211210838513</v>
      </c>
      <c r="U2346" s="8">
        <f t="shared" ca="1" si="295"/>
        <v>1.8167665886497826</v>
      </c>
      <c r="V2346" s="8">
        <f ca="1">RawData[[#This Row],[Z (smoothed demand size)]]/RawData[[#This Row],[X (smoothed interval)]]</f>
        <v>1.2512455564109117</v>
      </c>
    </row>
    <row r="2347" spans="1:22">
      <c r="A2347" t="s">
        <v>51</v>
      </c>
      <c r="B2347" t="s">
        <v>39</v>
      </c>
      <c r="C2347">
        <v>32</v>
      </c>
      <c r="D2347" t="s">
        <v>15</v>
      </c>
      <c r="E2347" t="s">
        <v>16</v>
      </c>
      <c r="F2347" s="1">
        <v>44202</v>
      </c>
      <c r="G2347">
        <v>6</v>
      </c>
      <c r="H2347">
        <v>6</v>
      </c>
      <c r="I2347">
        <v>6</v>
      </c>
      <c r="J2347">
        <v>0</v>
      </c>
      <c r="K2347">
        <v>0</v>
      </c>
      <c r="L2347">
        <v>691</v>
      </c>
      <c r="M2347">
        <v>60</v>
      </c>
      <c r="N2347" s="1">
        <f t="shared" si="288"/>
        <v>44938</v>
      </c>
      <c r="O2347" s="1">
        <f t="shared" si="289"/>
        <v>43101</v>
      </c>
      <c r="P2347" s="1">
        <f t="shared" si="290"/>
        <v>44348</v>
      </c>
      <c r="Q2347" s="8">
        <f t="shared" si="291"/>
        <v>0</v>
      </c>
      <c r="R2347" s="8">
        <f t="shared" si="292"/>
        <v>42</v>
      </c>
      <c r="S2347" s="8">
        <f t="shared" ca="1" si="293"/>
        <v>42</v>
      </c>
      <c r="T2347">
        <f t="shared" ca="1" si="294"/>
        <v>3.0185768968670814</v>
      </c>
      <c r="U2347" s="8">
        <f t="shared" ca="1" si="295"/>
        <v>1.6534132709198262</v>
      </c>
      <c r="V2347" s="8">
        <f ca="1">RawData[[#This Row],[Z (smoothed demand size)]]/RawData[[#This Row],[X (smoothed interval)]]</f>
        <v>1.8256638857070429</v>
      </c>
    </row>
    <row r="2348" spans="1:22">
      <c r="A2348" t="s">
        <v>51</v>
      </c>
      <c r="B2348" t="s">
        <v>39</v>
      </c>
      <c r="C2348">
        <v>32</v>
      </c>
      <c r="D2348" t="s">
        <v>15</v>
      </c>
      <c r="E2348" t="s">
        <v>16</v>
      </c>
      <c r="F2348" s="1">
        <v>44203</v>
      </c>
      <c r="G2348">
        <v>3</v>
      </c>
      <c r="H2348">
        <v>0</v>
      </c>
      <c r="I2348">
        <v>0</v>
      </c>
      <c r="J2348">
        <v>0</v>
      </c>
      <c r="K2348">
        <v>1</v>
      </c>
      <c r="L2348">
        <v>682</v>
      </c>
      <c r="M2348">
        <v>15</v>
      </c>
      <c r="N2348" s="1">
        <f t="shared" si="288"/>
        <v>44938</v>
      </c>
      <c r="O2348" s="1">
        <f t="shared" si="289"/>
        <v>43101</v>
      </c>
      <c r="P2348" s="1">
        <f t="shared" si="290"/>
        <v>44378</v>
      </c>
      <c r="Q2348" s="8">
        <f t="shared" si="291"/>
        <v>0</v>
      </c>
      <c r="R2348" s="8">
        <f t="shared" si="292"/>
        <v>43</v>
      </c>
      <c r="S2348" s="8">
        <f t="shared" ca="1" si="293"/>
        <v>43</v>
      </c>
      <c r="T2348">
        <f t="shared" ca="1" si="294"/>
        <v>3.0148615174936655</v>
      </c>
      <c r="U2348" s="8">
        <f t="shared" ca="1" si="295"/>
        <v>1.522730616735861</v>
      </c>
      <c r="V2348" s="8">
        <f ca="1">RawData[[#This Row],[Z (smoothed demand size)]]/RawData[[#This Row],[X (smoothed interval)]]</f>
        <v>1.9799047082643875</v>
      </c>
    </row>
    <row r="2349" spans="1:22">
      <c r="A2349" t="s">
        <v>51</v>
      </c>
      <c r="B2349" t="s">
        <v>39</v>
      </c>
      <c r="C2349">
        <v>32</v>
      </c>
      <c r="D2349" t="s">
        <v>15</v>
      </c>
      <c r="E2349" t="s">
        <v>16</v>
      </c>
      <c r="F2349" s="1">
        <v>44204</v>
      </c>
      <c r="G2349">
        <v>0</v>
      </c>
      <c r="H2349">
        <v>0</v>
      </c>
      <c r="I2349">
        <v>12</v>
      </c>
      <c r="J2349">
        <v>12</v>
      </c>
      <c r="K2349">
        <v>0</v>
      </c>
      <c r="L2349">
        <v>686</v>
      </c>
      <c r="M2349">
        <v>15</v>
      </c>
      <c r="N2349" s="1">
        <f t="shared" si="288"/>
        <v>44938</v>
      </c>
      <c r="O2349" s="1">
        <f t="shared" si="289"/>
        <v>43101</v>
      </c>
      <c r="P2349" s="1">
        <f t="shared" si="290"/>
        <v>44409</v>
      </c>
      <c r="Q2349" s="8">
        <f t="shared" si="291"/>
        <v>0</v>
      </c>
      <c r="R2349" s="8">
        <f t="shared" si="292"/>
        <v>44</v>
      </c>
      <c r="S2349" s="8">
        <f t="shared" ca="1" si="293"/>
        <v>43</v>
      </c>
      <c r="T2349">
        <f t="shared" ca="1" si="294"/>
        <v>3.0148615174936655</v>
      </c>
      <c r="U2349" s="8">
        <f t="shared" ca="1" si="295"/>
        <v>1.522730616735861</v>
      </c>
      <c r="V2349" s="8">
        <f ca="1">RawData[[#This Row],[Z (smoothed demand size)]]/RawData[[#This Row],[X (smoothed interval)]]</f>
        <v>1.9799047082643875</v>
      </c>
    </row>
    <row r="2350" spans="1:22">
      <c r="A2350" t="s">
        <v>51</v>
      </c>
      <c r="B2350" t="s">
        <v>39</v>
      </c>
      <c r="C2350">
        <v>32</v>
      </c>
      <c r="D2350" t="s">
        <v>15</v>
      </c>
      <c r="E2350" t="s">
        <v>16</v>
      </c>
      <c r="F2350" s="1">
        <v>44205</v>
      </c>
      <c r="G2350">
        <v>0</v>
      </c>
      <c r="H2350">
        <v>0</v>
      </c>
      <c r="I2350">
        <v>12</v>
      </c>
      <c r="J2350">
        <v>12</v>
      </c>
      <c r="K2350">
        <v>0</v>
      </c>
      <c r="L2350">
        <v>601</v>
      </c>
      <c r="M2350">
        <v>15</v>
      </c>
      <c r="N2350" s="1">
        <f t="shared" si="288"/>
        <v>44938</v>
      </c>
      <c r="O2350" s="1">
        <f t="shared" si="289"/>
        <v>43101</v>
      </c>
      <c r="P2350" s="1">
        <f t="shared" si="290"/>
        <v>44440</v>
      </c>
      <c r="Q2350" s="8">
        <f t="shared" si="291"/>
        <v>0</v>
      </c>
      <c r="R2350" s="8">
        <f t="shared" si="292"/>
        <v>45</v>
      </c>
      <c r="S2350" s="8">
        <f t="shared" ca="1" si="293"/>
        <v>43</v>
      </c>
      <c r="T2350">
        <f t="shared" ca="1" si="294"/>
        <v>3.0148615174936655</v>
      </c>
      <c r="U2350" s="8">
        <f t="shared" ca="1" si="295"/>
        <v>1.522730616735861</v>
      </c>
      <c r="V2350" s="8">
        <f ca="1">RawData[[#This Row],[Z (smoothed demand size)]]/RawData[[#This Row],[X (smoothed interval)]]</f>
        <v>1.9799047082643875</v>
      </c>
    </row>
    <row r="2351" spans="1:22">
      <c r="A2351" t="s">
        <v>51</v>
      </c>
      <c r="B2351" t="s">
        <v>39</v>
      </c>
      <c r="C2351">
        <v>32</v>
      </c>
      <c r="D2351" t="s">
        <v>15</v>
      </c>
      <c r="E2351" t="s">
        <v>16</v>
      </c>
      <c r="F2351" s="1">
        <v>44206</v>
      </c>
      <c r="G2351">
        <v>0</v>
      </c>
      <c r="H2351">
        <v>0</v>
      </c>
      <c r="I2351">
        <v>12</v>
      </c>
      <c r="J2351">
        <v>12</v>
      </c>
      <c r="K2351">
        <v>0</v>
      </c>
      <c r="L2351">
        <v>594</v>
      </c>
      <c r="M2351">
        <v>30</v>
      </c>
      <c r="N2351" s="1">
        <f t="shared" si="288"/>
        <v>44938</v>
      </c>
      <c r="O2351" s="1">
        <f t="shared" si="289"/>
        <v>43101</v>
      </c>
      <c r="P2351" s="1">
        <f t="shared" si="290"/>
        <v>44470</v>
      </c>
      <c r="Q2351" s="8">
        <f t="shared" si="291"/>
        <v>0</v>
      </c>
      <c r="R2351" s="8">
        <f t="shared" si="292"/>
        <v>46</v>
      </c>
      <c r="S2351" s="8">
        <f t="shared" ca="1" si="293"/>
        <v>43</v>
      </c>
      <c r="T2351">
        <f t="shared" ca="1" si="294"/>
        <v>3.0148615174936655</v>
      </c>
      <c r="U2351" s="8">
        <f t="shared" ca="1" si="295"/>
        <v>1.522730616735861</v>
      </c>
      <c r="V2351" s="8">
        <f ca="1">RawData[[#This Row],[Z (smoothed demand size)]]/RawData[[#This Row],[X (smoothed interval)]]</f>
        <v>1.9799047082643875</v>
      </c>
    </row>
    <row r="2352" spans="1:22">
      <c r="A2352" t="s">
        <v>51</v>
      </c>
      <c r="B2352" t="s">
        <v>39</v>
      </c>
      <c r="C2352">
        <v>32</v>
      </c>
      <c r="D2352" t="s">
        <v>15</v>
      </c>
      <c r="E2352" t="s">
        <v>16</v>
      </c>
      <c r="F2352" s="1">
        <v>44207</v>
      </c>
      <c r="G2352">
        <v>0</v>
      </c>
      <c r="H2352">
        <v>0</v>
      </c>
      <c r="I2352">
        <v>12</v>
      </c>
      <c r="J2352">
        <v>12</v>
      </c>
      <c r="K2352">
        <v>0</v>
      </c>
      <c r="L2352">
        <v>583</v>
      </c>
      <c r="M2352">
        <v>45</v>
      </c>
      <c r="N2352" s="1">
        <f t="shared" si="288"/>
        <v>44938</v>
      </c>
      <c r="O2352" s="1">
        <f t="shared" si="289"/>
        <v>43101</v>
      </c>
      <c r="P2352" s="1">
        <f t="shared" si="290"/>
        <v>44501</v>
      </c>
      <c r="Q2352" s="8">
        <f t="shared" si="291"/>
        <v>0</v>
      </c>
      <c r="R2352" s="8">
        <f t="shared" si="292"/>
        <v>47</v>
      </c>
      <c r="S2352" s="8">
        <f t="shared" ca="1" si="293"/>
        <v>43</v>
      </c>
      <c r="T2352">
        <f t="shared" ca="1" si="294"/>
        <v>3.0148615174936655</v>
      </c>
      <c r="U2352" s="8">
        <f t="shared" ca="1" si="295"/>
        <v>1.522730616735861</v>
      </c>
      <c r="V2352" s="8">
        <f ca="1">RawData[[#This Row],[Z (smoothed demand size)]]/RawData[[#This Row],[X (smoothed interval)]]</f>
        <v>1.9799047082643875</v>
      </c>
    </row>
    <row r="2353" spans="1:22">
      <c r="A2353" t="s">
        <v>51</v>
      </c>
      <c r="B2353" t="s">
        <v>39</v>
      </c>
      <c r="C2353">
        <v>32</v>
      </c>
      <c r="D2353" t="s">
        <v>15</v>
      </c>
      <c r="E2353" t="s">
        <v>16</v>
      </c>
      <c r="F2353" s="1">
        <v>44208</v>
      </c>
      <c r="G2353">
        <v>2</v>
      </c>
      <c r="H2353">
        <v>2</v>
      </c>
      <c r="I2353">
        <v>12</v>
      </c>
      <c r="J2353">
        <v>10</v>
      </c>
      <c r="K2353">
        <v>0</v>
      </c>
      <c r="L2353">
        <v>696</v>
      </c>
      <c r="M2353">
        <v>15</v>
      </c>
      <c r="N2353" s="1">
        <f t="shared" si="288"/>
        <v>44938</v>
      </c>
      <c r="O2353" s="1">
        <f t="shared" si="289"/>
        <v>43101</v>
      </c>
      <c r="P2353" s="1">
        <f t="shared" si="290"/>
        <v>44531</v>
      </c>
      <c r="Q2353" s="8">
        <f t="shared" si="291"/>
        <v>0</v>
      </c>
      <c r="R2353" s="8">
        <f t="shared" si="292"/>
        <v>48</v>
      </c>
      <c r="S2353" s="8">
        <f t="shared" ca="1" si="293"/>
        <v>48</v>
      </c>
      <c r="T2353">
        <f t="shared" ca="1" si="294"/>
        <v>2.8118892139949323</v>
      </c>
      <c r="U2353" s="8">
        <f t="shared" ca="1" si="295"/>
        <v>2.2181844933886889</v>
      </c>
      <c r="V2353" s="8">
        <f ca="1">RawData[[#This Row],[Z (smoothed demand size)]]/RawData[[#This Row],[X (smoothed interval)]]</f>
        <v>1.2676534446867622</v>
      </c>
    </row>
    <row r="2354" spans="1:22">
      <c r="A2354" t="s">
        <v>51</v>
      </c>
      <c r="B2354" t="s">
        <v>39</v>
      </c>
      <c r="C2354">
        <v>32</v>
      </c>
      <c r="D2354" t="s">
        <v>15</v>
      </c>
      <c r="E2354" t="s">
        <v>16</v>
      </c>
      <c r="F2354" s="1">
        <v>44562</v>
      </c>
      <c r="G2354">
        <v>0</v>
      </c>
      <c r="H2354">
        <v>0</v>
      </c>
      <c r="I2354">
        <v>10</v>
      </c>
      <c r="J2354">
        <v>10</v>
      </c>
      <c r="K2354">
        <v>0</v>
      </c>
      <c r="L2354">
        <v>580</v>
      </c>
      <c r="M2354">
        <v>30</v>
      </c>
      <c r="N2354" s="1">
        <f t="shared" si="288"/>
        <v>44938</v>
      </c>
      <c r="O2354" s="1">
        <f t="shared" si="289"/>
        <v>43101</v>
      </c>
      <c r="P2354" s="1">
        <f t="shared" si="290"/>
        <v>44562</v>
      </c>
      <c r="Q2354" s="8">
        <f t="shared" si="291"/>
        <v>0</v>
      </c>
      <c r="R2354" s="8">
        <f t="shared" si="292"/>
        <v>49</v>
      </c>
      <c r="S2354" s="8">
        <f t="shared" ca="1" si="293"/>
        <v>48</v>
      </c>
      <c r="T2354">
        <f t="shared" ca="1" si="294"/>
        <v>2.8118892139949323</v>
      </c>
      <c r="U2354" s="8">
        <f t="shared" ca="1" si="295"/>
        <v>2.2181844933886889</v>
      </c>
      <c r="V2354" s="8">
        <f ca="1">RawData[[#This Row],[Z (smoothed demand size)]]/RawData[[#This Row],[X (smoothed interval)]]</f>
        <v>1.2676534446867622</v>
      </c>
    </row>
    <row r="2355" spans="1:22">
      <c r="A2355" t="s">
        <v>51</v>
      </c>
      <c r="B2355" t="s">
        <v>39</v>
      </c>
      <c r="C2355">
        <v>32</v>
      </c>
      <c r="D2355" t="s">
        <v>15</v>
      </c>
      <c r="E2355" t="s">
        <v>16</v>
      </c>
      <c r="F2355" s="1">
        <v>44563</v>
      </c>
      <c r="G2355">
        <v>3</v>
      </c>
      <c r="H2355">
        <v>3</v>
      </c>
      <c r="I2355">
        <v>10</v>
      </c>
      <c r="J2355">
        <v>7</v>
      </c>
      <c r="K2355">
        <v>0</v>
      </c>
      <c r="L2355">
        <v>591</v>
      </c>
      <c r="M2355">
        <v>30</v>
      </c>
      <c r="N2355" s="1">
        <f t="shared" si="288"/>
        <v>44938</v>
      </c>
      <c r="O2355" s="1">
        <f t="shared" si="289"/>
        <v>43101</v>
      </c>
      <c r="P2355" s="1">
        <f t="shared" si="290"/>
        <v>44593</v>
      </c>
      <c r="Q2355" s="8">
        <f t="shared" si="291"/>
        <v>0</v>
      </c>
      <c r="R2355" s="8">
        <f t="shared" si="292"/>
        <v>50</v>
      </c>
      <c r="S2355" s="8">
        <f t="shared" ca="1" si="293"/>
        <v>50</v>
      </c>
      <c r="T2355">
        <f t="shared" ca="1" si="294"/>
        <v>2.8495113711959461</v>
      </c>
      <c r="U2355" s="8">
        <f t="shared" ca="1" si="295"/>
        <v>2.1745475947109512</v>
      </c>
      <c r="V2355" s="8">
        <f ca="1">RawData[[#This Row],[Z (smoothed demand size)]]/RawData[[#This Row],[X (smoothed interval)]]</f>
        <v>1.3103927355403382</v>
      </c>
    </row>
    <row r="2356" spans="1:22">
      <c r="A2356" t="s">
        <v>51</v>
      </c>
      <c r="B2356" t="s">
        <v>39</v>
      </c>
      <c r="C2356">
        <v>32</v>
      </c>
      <c r="D2356" t="s">
        <v>15</v>
      </c>
      <c r="E2356" t="s">
        <v>16</v>
      </c>
      <c r="F2356" s="1">
        <v>44564</v>
      </c>
      <c r="G2356">
        <v>3</v>
      </c>
      <c r="H2356">
        <v>3</v>
      </c>
      <c r="I2356">
        <v>7</v>
      </c>
      <c r="J2356">
        <v>4</v>
      </c>
      <c r="K2356">
        <v>0</v>
      </c>
      <c r="L2356">
        <v>600</v>
      </c>
      <c r="M2356">
        <v>45</v>
      </c>
      <c r="N2356" s="1">
        <f t="shared" si="288"/>
        <v>44938</v>
      </c>
      <c r="O2356" s="1">
        <f t="shared" si="289"/>
        <v>43101</v>
      </c>
      <c r="P2356" s="1">
        <f t="shared" si="290"/>
        <v>44621</v>
      </c>
      <c r="Q2356" s="8">
        <f t="shared" si="291"/>
        <v>0</v>
      </c>
      <c r="R2356" s="8">
        <f t="shared" si="292"/>
        <v>51</v>
      </c>
      <c r="S2356" s="8">
        <f t="shared" ca="1" si="293"/>
        <v>51</v>
      </c>
      <c r="T2356">
        <f t="shared" ca="1" si="294"/>
        <v>2.8796090969567572</v>
      </c>
      <c r="U2356" s="8">
        <f t="shared" ca="1" si="295"/>
        <v>1.939638075768761</v>
      </c>
      <c r="V2356" s="8">
        <f ca="1">RawData[[#This Row],[Z (smoothed demand size)]]/RawData[[#This Row],[X (smoothed interval)]]</f>
        <v>1.4846115535319369</v>
      </c>
    </row>
    <row r="2357" spans="1:22">
      <c r="A2357" t="s">
        <v>51</v>
      </c>
      <c r="B2357" t="s">
        <v>39</v>
      </c>
      <c r="C2357">
        <v>32</v>
      </c>
      <c r="D2357" t="s">
        <v>15</v>
      </c>
      <c r="E2357" t="s">
        <v>16</v>
      </c>
      <c r="F2357" s="1">
        <v>44565</v>
      </c>
      <c r="G2357">
        <v>1</v>
      </c>
      <c r="H2357">
        <v>1</v>
      </c>
      <c r="I2357">
        <v>4</v>
      </c>
      <c r="J2357">
        <v>3</v>
      </c>
      <c r="K2357">
        <v>0</v>
      </c>
      <c r="L2357">
        <v>589</v>
      </c>
      <c r="M2357">
        <v>30</v>
      </c>
      <c r="N2357" s="1">
        <f t="shared" si="288"/>
        <v>44938</v>
      </c>
      <c r="O2357" s="1">
        <f t="shared" si="289"/>
        <v>43101</v>
      </c>
      <c r="P2357" s="1">
        <f t="shared" si="290"/>
        <v>44652</v>
      </c>
      <c r="Q2357" s="8">
        <f t="shared" si="291"/>
        <v>0</v>
      </c>
      <c r="R2357" s="8">
        <f t="shared" si="292"/>
        <v>52</v>
      </c>
      <c r="S2357" s="8">
        <f t="shared" ca="1" si="293"/>
        <v>52</v>
      </c>
      <c r="T2357">
        <f t="shared" ca="1" si="294"/>
        <v>2.503687277565406</v>
      </c>
      <c r="U2357" s="8">
        <f t="shared" ca="1" si="295"/>
        <v>1.7517104606150089</v>
      </c>
      <c r="V2357" s="8">
        <f ca="1">RawData[[#This Row],[Z (smoothed demand size)]]/RawData[[#This Row],[X (smoothed interval)]]</f>
        <v>1.4292814559584153</v>
      </c>
    </row>
    <row r="2358" spans="1:22">
      <c r="A2358" t="s">
        <v>51</v>
      </c>
      <c r="B2358" t="s">
        <v>39</v>
      </c>
      <c r="C2358">
        <v>32</v>
      </c>
      <c r="D2358" t="s">
        <v>15</v>
      </c>
      <c r="E2358" t="s">
        <v>16</v>
      </c>
      <c r="F2358" s="1">
        <v>44566</v>
      </c>
      <c r="G2358">
        <v>0</v>
      </c>
      <c r="H2358">
        <v>0</v>
      </c>
      <c r="I2358">
        <v>12</v>
      </c>
      <c r="J2358">
        <v>12</v>
      </c>
      <c r="K2358">
        <v>0</v>
      </c>
      <c r="L2358">
        <v>589</v>
      </c>
      <c r="M2358">
        <v>45</v>
      </c>
      <c r="N2358" s="1">
        <f t="shared" si="288"/>
        <v>44938</v>
      </c>
      <c r="O2358" s="1">
        <f t="shared" si="289"/>
        <v>43101</v>
      </c>
      <c r="P2358" s="1">
        <f t="shared" si="290"/>
        <v>44682</v>
      </c>
      <c r="Q2358" s="8">
        <f t="shared" si="291"/>
        <v>0</v>
      </c>
      <c r="R2358" s="8">
        <f t="shared" si="292"/>
        <v>53</v>
      </c>
      <c r="S2358" s="8">
        <f t="shared" ca="1" si="293"/>
        <v>52</v>
      </c>
      <c r="T2358">
        <f t="shared" ca="1" si="294"/>
        <v>2.503687277565406</v>
      </c>
      <c r="U2358" s="8">
        <f t="shared" ca="1" si="295"/>
        <v>1.7517104606150089</v>
      </c>
      <c r="V2358" s="8">
        <f ca="1">RawData[[#This Row],[Z (smoothed demand size)]]/RawData[[#This Row],[X (smoothed interval)]]</f>
        <v>1.4292814559584153</v>
      </c>
    </row>
    <row r="2359" spans="1:22">
      <c r="A2359" t="s">
        <v>51</v>
      </c>
      <c r="B2359" t="s">
        <v>39</v>
      </c>
      <c r="C2359">
        <v>32</v>
      </c>
      <c r="D2359" t="s">
        <v>15</v>
      </c>
      <c r="E2359" t="s">
        <v>16</v>
      </c>
      <c r="F2359" s="1">
        <v>44567</v>
      </c>
      <c r="G2359">
        <v>2</v>
      </c>
      <c r="H2359">
        <v>2</v>
      </c>
      <c r="I2359">
        <v>12</v>
      </c>
      <c r="J2359">
        <v>10</v>
      </c>
      <c r="K2359">
        <v>0</v>
      </c>
      <c r="L2359">
        <v>680</v>
      </c>
      <c r="M2359">
        <v>45</v>
      </c>
      <c r="N2359" s="1">
        <f t="shared" si="288"/>
        <v>44938</v>
      </c>
      <c r="O2359" s="1">
        <f t="shared" si="289"/>
        <v>43101</v>
      </c>
      <c r="P2359" s="1">
        <f t="shared" si="290"/>
        <v>44713</v>
      </c>
      <c r="Q2359" s="8">
        <f t="shared" si="291"/>
        <v>0</v>
      </c>
      <c r="R2359" s="8">
        <f t="shared" si="292"/>
        <v>54</v>
      </c>
      <c r="S2359" s="8">
        <f t="shared" ca="1" si="293"/>
        <v>54</v>
      </c>
      <c r="T2359">
        <f t="shared" ca="1" si="294"/>
        <v>2.4029498220523249</v>
      </c>
      <c r="U2359" s="8">
        <f t="shared" ca="1" si="295"/>
        <v>1.8013683684920072</v>
      </c>
      <c r="V2359" s="8">
        <f ca="1">RawData[[#This Row],[Z (smoothed demand size)]]/RawData[[#This Row],[X (smoothed interval)]]</f>
        <v>1.3339580421654256</v>
      </c>
    </row>
    <row r="2360" spans="1:22">
      <c r="A2360" t="s">
        <v>51</v>
      </c>
      <c r="B2360" t="s">
        <v>39</v>
      </c>
      <c r="C2360">
        <v>32</v>
      </c>
      <c r="D2360" t="s">
        <v>15</v>
      </c>
      <c r="E2360" t="s">
        <v>16</v>
      </c>
      <c r="F2360" s="1">
        <v>44568</v>
      </c>
      <c r="G2360">
        <v>2</v>
      </c>
      <c r="H2360">
        <v>2</v>
      </c>
      <c r="I2360">
        <v>10</v>
      </c>
      <c r="J2360">
        <v>8</v>
      </c>
      <c r="K2360">
        <v>0</v>
      </c>
      <c r="L2360">
        <v>680</v>
      </c>
      <c r="M2360">
        <v>60</v>
      </c>
      <c r="N2360" s="1">
        <f t="shared" si="288"/>
        <v>44938</v>
      </c>
      <c r="O2360" s="1">
        <f t="shared" si="289"/>
        <v>43101</v>
      </c>
      <c r="P2360" s="1">
        <f t="shared" si="290"/>
        <v>44743</v>
      </c>
      <c r="Q2360" s="8">
        <f t="shared" si="291"/>
        <v>0</v>
      </c>
      <c r="R2360" s="8">
        <f t="shared" si="292"/>
        <v>55</v>
      </c>
      <c r="S2360" s="8">
        <f t="shared" ca="1" si="293"/>
        <v>55</v>
      </c>
      <c r="T2360">
        <f t="shared" ca="1" si="294"/>
        <v>2.3223598576418598</v>
      </c>
      <c r="U2360" s="8">
        <f t="shared" ca="1" si="295"/>
        <v>1.6410946947936058</v>
      </c>
      <c r="V2360" s="8">
        <f ca="1">RawData[[#This Row],[Z (smoothed demand size)]]/RawData[[#This Row],[X (smoothed interval)]]</f>
        <v>1.4151284901532961</v>
      </c>
    </row>
    <row r="2361" spans="1:22">
      <c r="A2361" t="s">
        <v>51</v>
      </c>
      <c r="B2361" t="s">
        <v>39</v>
      </c>
      <c r="C2361">
        <v>32</v>
      </c>
      <c r="D2361" t="s">
        <v>15</v>
      </c>
      <c r="E2361" t="s">
        <v>16</v>
      </c>
      <c r="F2361" s="1">
        <v>44569</v>
      </c>
      <c r="G2361">
        <v>5</v>
      </c>
      <c r="H2361">
        <v>5</v>
      </c>
      <c r="I2361">
        <v>8</v>
      </c>
      <c r="J2361">
        <v>3</v>
      </c>
      <c r="K2361">
        <v>0</v>
      </c>
      <c r="L2361">
        <v>676</v>
      </c>
      <c r="M2361">
        <v>60</v>
      </c>
      <c r="N2361" s="1">
        <f t="shared" si="288"/>
        <v>44938</v>
      </c>
      <c r="O2361" s="1">
        <f t="shared" si="289"/>
        <v>43101</v>
      </c>
      <c r="P2361" s="1">
        <f t="shared" si="290"/>
        <v>44774</v>
      </c>
      <c r="Q2361" s="8">
        <f t="shared" si="291"/>
        <v>0</v>
      </c>
      <c r="R2361" s="8">
        <f t="shared" si="292"/>
        <v>56</v>
      </c>
      <c r="S2361" s="8">
        <f t="shared" ca="1" si="293"/>
        <v>56</v>
      </c>
      <c r="T2361">
        <f t="shared" ca="1" si="294"/>
        <v>2.8578878861134882</v>
      </c>
      <c r="U2361" s="8">
        <f t="shared" ca="1" si="295"/>
        <v>1.5128757558348847</v>
      </c>
      <c r="V2361" s="8">
        <f ca="1">RawData[[#This Row],[Z (smoothed demand size)]]/RawData[[#This Row],[X (smoothed interval)]]</f>
        <v>1.8890433501172441</v>
      </c>
    </row>
    <row r="2362" spans="1:22">
      <c r="A2362" t="s">
        <v>51</v>
      </c>
      <c r="B2362" t="s">
        <v>39</v>
      </c>
      <c r="C2362">
        <v>32</v>
      </c>
      <c r="D2362" t="s">
        <v>15</v>
      </c>
      <c r="E2362" t="s">
        <v>16</v>
      </c>
      <c r="F2362" s="1">
        <v>44570</v>
      </c>
      <c r="G2362">
        <v>0</v>
      </c>
      <c r="H2362">
        <v>0</v>
      </c>
      <c r="I2362">
        <v>3</v>
      </c>
      <c r="J2362">
        <v>3</v>
      </c>
      <c r="K2362">
        <v>0</v>
      </c>
      <c r="L2362">
        <v>589</v>
      </c>
      <c r="M2362">
        <v>60</v>
      </c>
      <c r="N2362" s="1">
        <f t="shared" si="288"/>
        <v>44938</v>
      </c>
      <c r="O2362" s="1">
        <f t="shared" si="289"/>
        <v>43101</v>
      </c>
      <c r="P2362" s="1">
        <f t="shared" si="290"/>
        <v>44805</v>
      </c>
      <c r="Q2362" s="8">
        <f t="shared" si="291"/>
        <v>0</v>
      </c>
      <c r="R2362" s="8">
        <f t="shared" si="292"/>
        <v>57</v>
      </c>
      <c r="S2362" s="8">
        <f t="shared" ca="1" si="293"/>
        <v>56</v>
      </c>
      <c r="T2362">
        <f t="shared" ca="1" si="294"/>
        <v>2.8578878861134882</v>
      </c>
      <c r="U2362" s="8">
        <f t="shared" ca="1" si="295"/>
        <v>1.5128757558348847</v>
      </c>
      <c r="V2362" s="8">
        <f ca="1">RawData[[#This Row],[Z (smoothed demand size)]]/RawData[[#This Row],[X (smoothed interval)]]</f>
        <v>1.8890433501172441</v>
      </c>
    </row>
    <row r="2363" spans="1:22">
      <c r="A2363" t="s">
        <v>51</v>
      </c>
      <c r="B2363" t="s">
        <v>39</v>
      </c>
      <c r="C2363">
        <v>32</v>
      </c>
      <c r="D2363" t="s">
        <v>15</v>
      </c>
      <c r="E2363" t="s">
        <v>16</v>
      </c>
      <c r="F2363" s="1">
        <v>44571</v>
      </c>
      <c r="G2363">
        <v>0</v>
      </c>
      <c r="H2363">
        <v>0</v>
      </c>
      <c r="I2363">
        <v>15</v>
      </c>
      <c r="J2363">
        <v>15</v>
      </c>
      <c r="K2363">
        <v>0</v>
      </c>
      <c r="L2363">
        <v>599</v>
      </c>
      <c r="M2363">
        <v>30</v>
      </c>
      <c r="N2363" s="1">
        <f t="shared" si="288"/>
        <v>44938</v>
      </c>
      <c r="O2363" s="1">
        <f t="shared" si="289"/>
        <v>43101</v>
      </c>
      <c r="P2363" s="1">
        <f t="shared" si="290"/>
        <v>44835</v>
      </c>
      <c r="Q2363" s="8">
        <f t="shared" si="291"/>
        <v>0</v>
      </c>
      <c r="R2363" s="8">
        <f t="shared" si="292"/>
        <v>58</v>
      </c>
      <c r="S2363" s="8">
        <f t="shared" ca="1" si="293"/>
        <v>56</v>
      </c>
      <c r="T2363">
        <f t="shared" ca="1" si="294"/>
        <v>2.8578878861134882</v>
      </c>
      <c r="U2363" s="8">
        <f t="shared" ca="1" si="295"/>
        <v>1.5128757558348847</v>
      </c>
      <c r="V2363" s="8">
        <f ca="1">RawData[[#This Row],[Z (smoothed demand size)]]/RawData[[#This Row],[X (smoothed interval)]]</f>
        <v>1.8890433501172441</v>
      </c>
    </row>
    <row r="2364" spans="1:22">
      <c r="A2364" t="s">
        <v>51</v>
      </c>
      <c r="B2364" t="s">
        <v>39</v>
      </c>
      <c r="C2364">
        <v>32</v>
      </c>
      <c r="D2364" t="s">
        <v>15</v>
      </c>
      <c r="E2364" t="s">
        <v>16</v>
      </c>
      <c r="F2364" s="1">
        <v>44572</v>
      </c>
      <c r="G2364">
        <v>1</v>
      </c>
      <c r="H2364">
        <v>1</v>
      </c>
      <c r="I2364">
        <v>15</v>
      </c>
      <c r="J2364">
        <v>14</v>
      </c>
      <c r="K2364">
        <v>0</v>
      </c>
      <c r="L2364">
        <v>590</v>
      </c>
      <c r="M2364">
        <v>45</v>
      </c>
      <c r="N2364" s="1">
        <f t="shared" si="288"/>
        <v>44938</v>
      </c>
      <c r="O2364" s="1">
        <f t="shared" si="289"/>
        <v>43101</v>
      </c>
      <c r="P2364" s="1">
        <f t="shared" si="290"/>
        <v>44866</v>
      </c>
      <c r="Q2364" s="8">
        <f t="shared" si="291"/>
        <v>0</v>
      </c>
      <c r="R2364" s="8">
        <f t="shared" si="292"/>
        <v>59</v>
      </c>
      <c r="S2364" s="8">
        <f t="shared" ca="1" si="293"/>
        <v>59</v>
      </c>
      <c r="T2364">
        <f t="shared" ca="1" si="294"/>
        <v>2.4863103088907907</v>
      </c>
      <c r="U2364" s="8">
        <f t="shared" ca="1" si="295"/>
        <v>1.810300604667908</v>
      </c>
      <c r="V2364" s="8">
        <f ca="1">RawData[[#This Row],[Z (smoothed demand size)]]/RawData[[#This Row],[X (smoothed interval)]]</f>
        <v>1.3734240062008343</v>
      </c>
    </row>
    <row r="2365" spans="1:22">
      <c r="A2365" t="s">
        <v>51</v>
      </c>
      <c r="B2365" t="s">
        <v>39</v>
      </c>
      <c r="C2365">
        <v>32</v>
      </c>
      <c r="D2365" t="s">
        <v>15</v>
      </c>
      <c r="E2365" t="s">
        <v>16</v>
      </c>
      <c r="F2365" s="1">
        <v>44573</v>
      </c>
      <c r="G2365">
        <v>0</v>
      </c>
      <c r="H2365">
        <v>0</v>
      </c>
      <c r="I2365">
        <v>14</v>
      </c>
      <c r="J2365">
        <v>14</v>
      </c>
      <c r="K2365">
        <v>0</v>
      </c>
      <c r="L2365">
        <v>685</v>
      </c>
      <c r="M2365">
        <v>45</v>
      </c>
      <c r="N2365" s="1">
        <f t="shared" si="288"/>
        <v>44938</v>
      </c>
      <c r="O2365" s="1">
        <f t="shared" si="289"/>
        <v>43101</v>
      </c>
      <c r="P2365" s="1">
        <f t="shared" si="290"/>
        <v>44896</v>
      </c>
      <c r="Q2365" s="8">
        <f t="shared" si="291"/>
        <v>0</v>
      </c>
      <c r="R2365" s="8">
        <f t="shared" si="292"/>
        <v>60</v>
      </c>
      <c r="S2365" s="8">
        <f t="shared" ca="1" si="293"/>
        <v>59</v>
      </c>
      <c r="T2365">
        <f t="shared" ca="1" si="294"/>
        <v>2.4863103088907907</v>
      </c>
      <c r="U2365" s="8">
        <f t="shared" ca="1" si="295"/>
        <v>1.810300604667908</v>
      </c>
      <c r="V2365" s="8">
        <f ca="1">RawData[[#This Row],[Z (smoothed demand size)]]/RawData[[#This Row],[X (smoothed interval)]]</f>
        <v>1.3734240062008343</v>
      </c>
    </row>
    <row r="2366" spans="1:22">
      <c r="A2366" t="s">
        <v>51</v>
      </c>
      <c r="B2366" t="s">
        <v>39</v>
      </c>
      <c r="C2366">
        <v>32</v>
      </c>
      <c r="D2366" t="s">
        <v>15</v>
      </c>
      <c r="E2366" t="s">
        <v>16</v>
      </c>
      <c r="F2366" s="1">
        <v>44927</v>
      </c>
      <c r="G2366">
        <v>3</v>
      </c>
      <c r="H2366">
        <v>3</v>
      </c>
      <c r="I2366">
        <v>14</v>
      </c>
      <c r="J2366">
        <v>11</v>
      </c>
      <c r="K2366">
        <v>0</v>
      </c>
      <c r="L2366">
        <v>586</v>
      </c>
      <c r="M2366">
        <v>45</v>
      </c>
      <c r="N2366" s="1">
        <f t="shared" si="288"/>
        <v>44938</v>
      </c>
      <c r="O2366" s="1">
        <f t="shared" si="289"/>
        <v>43101</v>
      </c>
      <c r="P2366" s="1">
        <f t="shared" si="290"/>
        <v>44927</v>
      </c>
      <c r="Q2366" s="8">
        <f t="shared" si="291"/>
        <v>0</v>
      </c>
      <c r="R2366" s="8">
        <f t="shared" si="292"/>
        <v>61</v>
      </c>
      <c r="S2366" s="8">
        <f t="shared" ca="1" si="293"/>
        <v>61</v>
      </c>
      <c r="T2366">
        <f t="shared" ca="1" si="294"/>
        <v>2.5890482471126326</v>
      </c>
      <c r="U2366" s="8">
        <f t="shared" ca="1" si="295"/>
        <v>1.8482404837343265</v>
      </c>
      <c r="V2366" s="8">
        <f ca="1">RawData[[#This Row],[Z (smoothed demand size)]]/RawData[[#This Row],[X (smoothed interval)]]</f>
        <v>1.4008178426443303</v>
      </c>
    </row>
    <row r="2367" spans="1:22">
      <c r="A2367" t="s">
        <v>51</v>
      </c>
      <c r="B2367" t="s">
        <v>39</v>
      </c>
      <c r="C2367">
        <v>32</v>
      </c>
      <c r="D2367" t="s">
        <v>15</v>
      </c>
      <c r="E2367" t="s">
        <v>16</v>
      </c>
      <c r="F2367" s="1">
        <v>44928</v>
      </c>
      <c r="G2367">
        <v>2</v>
      </c>
      <c r="H2367">
        <v>2</v>
      </c>
      <c r="I2367">
        <v>11</v>
      </c>
      <c r="J2367">
        <v>9</v>
      </c>
      <c r="K2367">
        <v>0</v>
      </c>
      <c r="L2367">
        <v>599</v>
      </c>
      <c r="M2367">
        <v>60</v>
      </c>
      <c r="N2367" s="1">
        <f t="shared" si="288"/>
        <v>44938</v>
      </c>
      <c r="O2367" s="1">
        <f t="shared" si="289"/>
        <v>43101</v>
      </c>
      <c r="P2367" s="1">
        <f t="shared" si="290"/>
        <v>44958</v>
      </c>
      <c r="Q2367" s="8">
        <f t="shared" si="291"/>
        <v>0</v>
      </c>
      <c r="R2367" s="8">
        <f t="shared" si="292"/>
        <v>62</v>
      </c>
      <c r="S2367" s="8">
        <f t="shared" ca="1" si="293"/>
        <v>62</v>
      </c>
      <c r="T2367">
        <f t="shared" ca="1" si="294"/>
        <v>2.4712385976901059</v>
      </c>
      <c r="U2367" s="8">
        <f t="shared" ca="1" si="295"/>
        <v>1.6785923869874613</v>
      </c>
      <c r="V2367" s="8">
        <f ca="1">RawData[[#This Row],[Z (smoothed demand size)]]/RawData[[#This Row],[X (smoothed interval)]]</f>
        <v>1.4722088678867371</v>
      </c>
    </row>
    <row r="2368" spans="1:22">
      <c r="A2368" t="s">
        <v>51</v>
      </c>
      <c r="B2368" t="s">
        <v>39</v>
      </c>
      <c r="C2368">
        <v>32</v>
      </c>
      <c r="D2368" t="s">
        <v>15</v>
      </c>
      <c r="E2368" t="s">
        <v>16</v>
      </c>
      <c r="F2368" s="1">
        <v>44929</v>
      </c>
      <c r="G2368">
        <v>0</v>
      </c>
      <c r="H2368">
        <v>0</v>
      </c>
      <c r="I2368">
        <v>9</v>
      </c>
      <c r="J2368">
        <v>9</v>
      </c>
      <c r="K2368">
        <v>0</v>
      </c>
      <c r="L2368">
        <v>597</v>
      </c>
      <c r="M2368">
        <v>60</v>
      </c>
      <c r="N2368" s="1">
        <f t="shared" si="288"/>
        <v>44938</v>
      </c>
      <c r="O2368" s="1">
        <f t="shared" si="289"/>
        <v>43101</v>
      </c>
      <c r="P2368" s="1">
        <f t="shared" si="290"/>
        <v>44986</v>
      </c>
      <c r="Q2368" s="8">
        <f t="shared" si="291"/>
        <v>0</v>
      </c>
      <c r="R2368" s="8">
        <f t="shared" si="292"/>
        <v>63</v>
      </c>
      <c r="S2368" s="8">
        <f t="shared" ca="1" si="293"/>
        <v>62</v>
      </c>
      <c r="T2368">
        <f t="shared" ca="1" si="294"/>
        <v>2.4712385976901059</v>
      </c>
      <c r="U2368" s="8">
        <f t="shared" ca="1" si="295"/>
        <v>1.6785923869874613</v>
      </c>
      <c r="V2368" s="8">
        <f ca="1">RawData[[#This Row],[Z (smoothed demand size)]]/RawData[[#This Row],[X (smoothed interval)]]</f>
        <v>1.4722088678867371</v>
      </c>
    </row>
    <row r="2369" spans="1:22">
      <c r="A2369" t="s">
        <v>51</v>
      </c>
      <c r="B2369" t="s">
        <v>39</v>
      </c>
      <c r="C2369">
        <v>32</v>
      </c>
      <c r="D2369" t="s">
        <v>15</v>
      </c>
      <c r="E2369" t="s">
        <v>16</v>
      </c>
      <c r="F2369" s="1">
        <v>44930</v>
      </c>
      <c r="G2369">
        <v>1</v>
      </c>
      <c r="H2369">
        <v>1</v>
      </c>
      <c r="I2369">
        <v>9</v>
      </c>
      <c r="J2369">
        <v>8</v>
      </c>
      <c r="K2369">
        <v>0</v>
      </c>
      <c r="L2369">
        <v>590</v>
      </c>
      <c r="M2369">
        <v>30</v>
      </c>
      <c r="N2369" s="1">
        <f t="shared" si="288"/>
        <v>44938</v>
      </c>
      <c r="O2369" s="1">
        <f t="shared" si="289"/>
        <v>43101</v>
      </c>
      <c r="P2369" s="1">
        <f t="shared" si="290"/>
        <v>45017</v>
      </c>
      <c r="Q2369" s="8">
        <f t="shared" si="291"/>
        <v>0</v>
      </c>
      <c r="R2369" s="8">
        <f t="shared" si="292"/>
        <v>64</v>
      </c>
      <c r="S2369" s="8">
        <f t="shared" ca="1" si="293"/>
        <v>64</v>
      </c>
      <c r="T2369">
        <f t="shared" ca="1" si="294"/>
        <v>2.1769908781520848</v>
      </c>
      <c r="U2369" s="8">
        <f t="shared" ca="1" si="295"/>
        <v>1.742873909589969</v>
      </c>
      <c r="V2369" s="8">
        <f ca="1">RawData[[#This Row],[Z (smoothed demand size)]]/RawData[[#This Row],[X (smoothed interval)]]</f>
        <v>1.2490811103278532</v>
      </c>
    </row>
    <row r="2370" spans="1:22">
      <c r="A2370" t="s">
        <v>51</v>
      </c>
      <c r="B2370" t="s">
        <v>39</v>
      </c>
      <c r="C2370">
        <v>32</v>
      </c>
      <c r="D2370" t="s">
        <v>15</v>
      </c>
      <c r="E2370" t="s">
        <v>16</v>
      </c>
      <c r="F2370" s="1">
        <v>44931</v>
      </c>
      <c r="G2370">
        <v>0</v>
      </c>
      <c r="H2370">
        <v>0</v>
      </c>
      <c r="I2370">
        <v>8</v>
      </c>
      <c r="J2370">
        <v>8</v>
      </c>
      <c r="K2370">
        <v>0</v>
      </c>
      <c r="L2370">
        <v>595</v>
      </c>
      <c r="M2370">
        <v>15</v>
      </c>
      <c r="N2370" s="1">
        <f t="shared" ref="N2370:N2433" si="296">MAX(F:F)</f>
        <v>44938</v>
      </c>
      <c r="O2370" s="1">
        <f t="shared" ref="O2370:O2433" si="297">MIN(F:F)</f>
        <v>43101</v>
      </c>
      <c r="P2370" s="1">
        <f t="shared" ref="P2370:P2433" si="298">DATE(YEAR(F2370), DAY(F2370), 1)</f>
        <v>45047</v>
      </c>
      <c r="Q2370" s="8">
        <f t="shared" ref="Q2370:Q2433" si="299" xml:space="preserve"> IF(A2370&lt;&gt;A2369, 1, 0)</f>
        <v>0</v>
      </c>
      <c r="R2370" s="8">
        <f t="shared" ref="R2370:R2433" si="300">IF(Q2370=1,1,R2369+1)</f>
        <v>65</v>
      </c>
      <c r="S2370" s="8">
        <f t="shared" ref="S2370:S2433" ca="1" si="301" xml:space="preserve"> IF(Q2370=1, IF(G2370&gt;0, R2370, 0), IF(G2370&gt;0, R2370, OFFSET(S2370,-1,0)))</f>
        <v>64</v>
      </c>
      <c r="T2370">
        <f t="shared" ref="T2370:T2433" ca="1" si="302" xml:space="preserve"> IF(Q2370=1, IF(G2370&gt;0, G2370, 0), IF(G2370&gt;0, $X$1*G2370+(1-$X$1)*OFFSET(T2370,-1,0), OFFSET(T2370,-1,0)))</f>
        <v>2.1769908781520848</v>
      </c>
      <c r="U2370" s="8">
        <f t="shared" ref="U2370:U2433" ca="1" si="303" xml:space="preserve"> IF(Q2370=1, 1, IF(G2370&gt;0, $X$1*(R2370-OFFSET(S2370,-1,0))+(1-$X$1)*OFFSET(U2370,-1,0), OFFSET(U2370,-1,0)))</f>
        <v>1.742873909589969</v>
      </c>
      <c r="V2370" s="8">
        <f ca="1">RawData[[#This Row],[Z (smoothed demand size)]]/RawData[[#This Row],[X (smoothed interval)]]</f>
        <v>1.2490811103278532</v>
      </c>
    </row>
    <row r="2371" spans="1:22">
      <c r="A2371" t="s">
        <v>51</v>
      </c>
      <c r="B2371" t="s">
        <v>39</v>
      </c>
      <c r="C2371">
        <v>32</v>
      </c>
      <c r="D2371" t="s">
        <v>15</v>
      </c>
      <c r="E2371" t="s">
        <v>16</v>
      </c>
      <c r="F2371" s="1">
        <v>44932</v>
      </c>
      <c r="G2371">
        <v>1</v>
      </c>
      <c r="H2371">
        <v>1</v>
      </c>
      <c r="I2371">
        <v>8</v>
      </c>
      <c r="J2371">
        <v>7</v>
      </c>
      <c r="K2371">
        <v>0</v>
      </c>
      <c r="L2371">
        <v>690</v>
      </c>
      <c r="M2371">
        <v>45</v>
      </c>
      <c r="N2371" s="1">
        <f t="shared" si="296"/>
        <v>44938</v>
      </c>
      <c r="O2371" s="1">
        <f t="shared" si="297"/>
        <v>43101</v>
      </c>
      <c r="P2371" s="1">
        <f t="shared" si="298"/>
        <v>45078</v>
      </c>
      <c r="Q2371" s="8">
        <f t="shared" si="299"/>
        <v>0</v>
      </c>
      <c r="R2371" s="8">
        <f t="shared" si="300"/>
        <v>66</v>
      </c>
      <c r="S2371" s="8">
        <f t="shared" ca="1" si="301"/>
        <v>66</v>
      </c>
      <c r="T2371">
        <f t="shared" ca="1" si="302"/>
        <v>1.9415927025216679</v>
      </c>
      <c r="U2371" s="8">
        <f t="shared" ca="1" si="303"/>
        <v>1.7942991276719753</v>
      </c>
      <c r="V2371" s="8">
        <f ca="1">RawData[[#This Row],[Z (smoothed demand size)]]/RawData[[#This Row],[X (smoothed interval)]]</f>
        <v>1.0820897544774486</v>
      </c>
    </row>
    <row r="2372" spans="1:22">
      <c r="A2372" t="s">
        <v>51</v>
      </c>
      <c r="B2372" t="s">
        <v>39</v>
      </c>
      <c r="C2372">
        <v>32</v>
      </c>
      <c r="D2372" t="s">
        <v>15</v>
      </c>
      <c r="E2372" t="s">
        <v>16</v>
      </c>
      <c r="F2372" s="1">
        <v>44933</v>
      </c>
      <c r="G2372">
        <v>3</v>
      </c>
      <c r="H2372">
        <v>3</v>
      </c>
      <c r="I2372">
        <v>7</v>
      </c>
      <c r="J2372">
        <v>4</v>
      </c>
      <c r="K2372">
        <v>0</v>
      </c>
      <c r="L2372">
        <v>673</v>
      </c>
      <c r="M2372">
        <v>45</v>
      </c>
      <c r="N2372" s="1">
        <f t="shared" si="296"/>
        <v>44938</v>
      </c>
      <c r="O2372" s="1">
        <f t="shared" si="297"/>
        <v>43101</v>
      </c>
      <c r="P2372" s="1">
        <f t="shared" si="298"/>
        <v>45108</v>
      </c>
      <c r="Q2372" s="8">
        <f t="shared" si="299"/>
        <v>0</v>
      </c>
      <c r="R2372" s="8">
        <f t="shared" si="300"/>
        <v>67</v>
      </c>
      <c r="S2372" s="8">
        <f t="shared" ca="1" si="301"/>
        <v>67</v>
      </c>
      <c r="T2372">
        <f t="shared" ca="1" si="302"/>
        <v>2.1532741620173343</v>
      </c>
      <c r="U2372" s="8">
        <f t="shared" ca="1" si="303"/>
        <v>1.6354393021375804</v>
      </c>
      <c r="V2372" s="8">
        <f ca="1">RawData[[#This Row],[Z (smoothed demand size)]]/RawData[[#This Row],[X (smoothed interval)]]</f>
        <v>1.3166334936447501</v>
      </c>
    </row>
    <row r="2373" spans="1:22">
      <c r="A2373" t="s">
        <v>51</v>
      </c>
      <c r="B2373" t="s">
        <v>39</v>
      </c>
      <c r="C2373">
        <v>32</v>
      </c>
      <c r="D2373" t="s">
        <v>15</v>
      </c>
      <c r="E2373" t="s">
        <v>16</v>
      </c>
      <c r="F2373" s="1">
        <v>44934</v>
      </c>
      <c r="G2373">
        <v>0</v>
      </c>
      <c r="H2373">
        <v>0</v>
      </c>
      <c r="I2373">
        <v>4</v>
      </c>
      <c r="J2373">
        <v>4</v>
      </c>
      <c r="K2373">
        <v>0</v>
      </c>
      <c r="L2373">
        <v>672</v>
      </c>
      <c r="M2373">
        <v>45</v>
      </c>
      <c r="N2373" s="1">
        <f t="shared" si="296"/>
        <v>44938</v>
      </c>
      <c r="O2373" s="1">
        <f t="shared" si="297"/>
        <v>43101</v>
      </c>
      <c r="P2373" s="1">
        <f t="shared" si="298"/>
        <v>45139</v>
      </c>
      <c r="Q2373" s="8">
        <f t="shared" si="299"/>
        <v>0</v>
      </c>
      <c r="R2373" s="8">
        <f t="shared" si="300"/>
        <v>68</v>
      </c>
      <c r="S2373" s="8">
        <f t="shared" ca="1" si="301"/>
        <v>67</v>
      </c>
      <c r="T2373">
        <f t="shared" ca="1" si="302"/>
        <v>2.1532741620173343</v>
      </c>
      <c r="U2373" s="8">
        <f t="shared" ca="1" si="303"/>
        <v>1.6354393021375804</v>
      </c>
      <c r="V2373" s="8">
        <f ca="1">RawData[[#This Row],[Z (smoothed demand size)]]/RawData[[#This Row],[X (smoothed interval)]]</f>
        <v>1.3166334936447501</v>
      </c>
    </row>
    <row r="2374" spans="1:22">
      <c r="A2374" t="s">
        <v>51</v>
      </c>
      <c r="B2374" t="s">
        <v>39</v>
      </c>
      <c r="C2374">
        <v>32</v>
      </c>
      <c r="D2374" t="s">
        <v>15</v>
      </c>
      <c r="E2374" t="s">
        <v>16</v>
      </c>
      <c r="F2374" s="1">
        <v>44935</v>
      </c>
      <c r="G2374">
        <v>5</v>
      </c>
      <c r="H2374">
        <v>4</v>
      </c>
      <c r="I2374">
        <v>4</v>
      </c>
      <c r="J2374">
        <v>0</v>
      </c>
      <c r="K2374">
        <v>1</v>
      </c>
      <c r="L2374">
        <v>593</v>
      </c>
      <c r="M2374">
        <v>15</v>
      </c>
      <c r="N2374" s="1">
        <f t="shared" si="296"/>
        <v>44938</v>
      </c>
      <c r="O2374" s="1">
        <f t="shared" si="297"/>
        <v>43101</v>
      </c>
      <c r="P2374" s="1">
        <f t="shared" si="298"/>
        <v>45170</v>
      </c>
      <c r="Q2374" s="8">
        <f t="shared" si="299"/>
        <v>0</v>
      </c>
      <c r="R2374" s="8">
        <f t="shared" si="300"/>
        <v>69</v>
      </c>
      <c r="S2374" s="8">
        <f t="shared" ca="1" si="301"/>
        <v>69</v>
      </c>
      <c r="T2374">
        <f t="shared" ca="1" si="302"/>
        <v>2.7226193296138677</v>
      </c>
      <c r="U2374" s="8">
        <f t="shared" ca="1" si="303"/>
        <v>1.7083514417100645</v>
      </c>
      <c r="V2374" s="8">
        <f ca="1">RawData[[#This Row],[Z (smoothed demand size)]]/RawData[[#This Row],[X (smoothed interval)]]</f>
        <v>1.5937114946843245</v>
      </c>
    </row>
    <row r="2375" spans="1:22">
      <c r="A2375" t="s">
        <v>51</v>
      </c>
      <c r="B2375" t="s">
        <v>39</v>
      </c>
      <c r="C2375">
        <v>32</v>
      </c>
      <c r="D2375" t="s">
        <v>15</v>
      </c>
      <c r="E2375" t="s">
        <v>16</v>
      </c>
      <c r="F2375" s="1">
        <v>44936</v>
      </c>
      <c r="G2375">
        <v>0</v>
      </c>
      <c r="H2375">
        <v>0</v>
      </c>
      <c r="I2375">
        <v>7</v>
      </c>
      <c r="J2375">
        <v>7</v>
      </c>
      <c r="K2375">
        <v>0</v>
      </c>
      <c r="L2375">
        <v>583</v>
      </c>
      <c r="M2375">
        <v>45</v>
      </c>
      <c r="N2375" s="1">
        <f t="shared" si="296"/>
        <v>44938</v>
      </c>
      <c r="O2375" s="1">
        <f t="shared" si="297"/>
        <v>43101</v>
      </c>
      <c r="P2375" s="1">
        <f t="shared" si="298"/>
        <v>45200</v>
      </c>
      <c r="Q2375" s="8">
        <f t="shared" si="299"/>
        <v>0</v>
      </c>
      <c r="R2375" s="8">
        <f t="shared" si="300"/>
        <v>70</v>
      </c>
      <c r="S2375" s="8">
        <f t="shared" ca="1" si="301"/>
        <v>69</v>
      </c>
      <c r="T2375">
        <f t="shared" ca="1" si="302"/>
        <v>2.7226193296138677</v>
      </c>
      <c r="U2375" s="8">
        <f t="shared" ca="1" si="303"/>
        <v>1.7083514417100645</v>
      </c>
      <c r="V2375" s="8">
        <f ca="1">RawData[[#This Row],[Z (smoothed demand size)]]/RawData[[#This Row],[X (smoothed interval)]]</f>
        <v>1.5937114946843245</v>
      </c>
    </row>
    <row r="2376" spans="1:22">
      <c r="A2376" t="s">
        <v>51</v>
      </c>
      <c r="B2376" t="s">
        <v>39</v>
      </c>
      <c r="C2376">
        <v>32</v>
      </c>
      <c r="D2376" t="s">
        <v>15</v>
      </c>
      <c r="E2376" t="s">
        <v>16</v>
      </c>
      <c r="F2376" s="1">
        <v>44937</v>
      </c>
      <c r="G2376">
        <v>2</v>
      </c>
      <c r="H2376">
        <v>2</v>
      </c>
      <c r="I2376">
        <v>7</v>
      </c>
      <c r="J2376">
        <v>5</v>
      </c>
      <c r="K2376">
        <v>0</v>
      </c>
      <c r="L2376">
        <v>582</v>
      </c>
      <c r="M2376">
        <v>45</v>
      </c>
      <c r="N2376" s="1">
        <f t="shared" si="296"/>
        <v>44938</v>
      </c>
      <c r="O2376" s="1">
        <f t="shared" si="297"/>
        <v>43101</v>
      </c>
      <c r="P2376" s="1">
        <f t="shared" si="298"/>
        <v>45231</v>
      </c>
      <c r="Q2376" s="8">
        <f t="shared" si="299"/>
        <v>0</v>
      </c>
      <c r="R2376" s="8">
        <f t="shared" si="300"/>
        <v>71</v>
      </c>
      <c r="S2376" s="8">
        <f t="shared" ca="1" si="301"/>
        <v>71</v>
      </c>
      <c r="T2376">
        <f t="shared" ca="1" si="302"/>
        <v>2.5780954636910942</v>
      </c>
      <c r="U2376" s="8">
        <f t="shared" ca="1" si="303"/>
        <v>1.7666811533680518</v>
      </c>
      <c r="V2376" s="8">
        <f ca="1">RawData[[#This Row],[Z (smoothed demand size)]]/RawData[[#This Row],[X (smoothed interval)]]</f>
        <v>1.4592873528854593</v>
      </c>
    </row>
    <row r="2377" spans="1:22">
      <c r="A2377" t="s">
        <v>51</v>
      </c>
      <c r="B2377" t="s">
        <v>39</v>
      </c>
      <c r="C2377">
        <v>32</v>
      </c>
      <c r="D2377" t="s">
        <v>15</v>
      </c>
      <c r="E2377" t="s">
        <v>16</v>
      </c>
      <c r="F2377" s="1">
        <v>44938</v>
      </c>
      <c r="G2377">
        <v>1</v>
      </c>
      <c r="H2377">
        <v>1</v>
      </c>
      <c r="I2377">
        <v>5</v>
      </c>
      <c r="J2377">
        <v>4</v>
      </c>
      <c r="K2377">
        <v>0</v>
      </c>
      <c r="L2377">
        <v>669</v>
      </c>
      <c r="M2377">
        <v>45</v>
      </c>
      <c r="N2377" s="1">
        <f t="shared" si="296"/>
        <v>44938</v>
      </c>
      <c r="O2377" s="1">
        <f t="shared" si="297"/>
        <v>43101</v>
      </c>
      <c r="P2377" s="1">
        <f t="shared" si="298"/>
        <v>45261</v>
      </c>
      <c r="Q2377" s="8">
        <f t="shared" si="299"/>
        <v>0</v>
      </c>
      <c r="R2377" s="8">
        <f t="shared" si="300"/>
        <v>72</v>
      </c>
      <c r="S2377" s="8">
        <f t="shared" ca="1" si="301"/>
        <v>72</v>
      </c>
      <c r="T2377">
        <f t="shared" ca="1" si="302"/>
        <v>2.2624763709528755</v>
      </c>
      <c r="U2377" s="8">
        <f t="shared" ca="1" si="303"/>
        <v>1.6133449226944414</v>
      </c>
      <c r="V2377" s="8">
        <f ca="1">RawData[[#This Row],[Z (smoothed demand size)]]/RawData[[#This Row],[X (smoothed interval)]]</f>
        <v>1.4023513131800247</v>
      </c>
    </row>
    <row r="2378" spans="1:22">
      <c r="A2378" t="s">
        <v>52</v>
      </c>
      <c r="B2378" t="s">
        <v>39</v>
      </c>
      <c r="C2378">
        <v>32</v>
      </c>
      <c r="D2378" t="s">
        <v>15</v>
      </c>
      <c r="E2378" t="s">
        <v>16</v>
      </c>
      <c r="F2378" s="1">
        <v>43101</v>
      </c>
      <c r="G2378">
        <v>0</v>
      </c>
      <c r="H2378">
        <v>0</v>
      </c>
      <c r="I2378">
        <v>17</v>
      </c>
      <c r="J2378">
        <v>17</v>
      </c>
      <c r="K2378">
        <v>0</v>
      </c>
      <c r="L2378">
        <v>452</v>
      </c>
      <c r="M2378">
        <v>30</v>
      </c>
      <c r="N2378" s="1">
        <f t="shared" si="296"/>
        <v>44938</v>
      </c>
      <c r="O2378" s="1">
        <f t="shared" si="297"/>
        <v>43101</v>
      </c>
      <c r="P2378" s="1">
        <f t="shared" si="298"/>
        <v>43101</v>
      </c>
      <c r="Q2378" s="8">
        <f t="shared" si="299"/>
        <v>1</v>
      </c>
      <c r="R2378" s="8">
        <f t="shared" si="300"/>
        <v>1</v>
      </c>
      <c r="S2378" s="8">
        <f t="shared" ca="1" si="301"/>
        <v>0</v>
      </c>
      <c r="T2378">
        <f t="shared" ca="1" si="302"/>
        <v>0</v>
      </c>
      <c r="U2378" s="8">
        <f t="shared" ca="1" si="303"/>
        <v>1</v>
      </c>
      <c r="V2378" s="8">
        <f ca="1">RawData[[#This Row],[Z (smoothed demand size)]]/RawData[[#This Row],[X (smoothed interval)]]</f>
        <v>0</v>
      </c>
    </row>
    <row r="2379" spans="1:22">
      <c r="A2379" t="s">
        <v>52</v>
      </c>
      <c r="B2379" t="s">
        <v>39</v>
      </c>
      <c r="C2379">
        <v>32</v>
      </c>
      <c r="D2379" t="s">
        <v>15</v>
      </c>
      <c r="E2379" t="s">
        <v>16</v>
      </c>
      <c r="F2379" s="1">
        <v>43102</v>
      </c>
      <c r="G2379">
        <v>2</v>
      </c>
      <c r="H2379">
        <v>2</v>
      </c>
      <c r="I2379">
        <v>17</v>
      </c>
      <c r="J2379">
        <v>15</v>
      </c>
      <c r="K2379">
        <v>0</v>
      </c>
      <c r="L2379">
        <v>461</v>
      </c>
      <c r="M2379">
        <v>60</v>
      </c>
      <c r="N2379" s="1">
        <f t="shared" si="296"/>
        <v>44938</v>
      </c>
      <c r="O2379" s="1">
        <f t="shared" si="297"/>
        <v>43101</v>
      </c>
      <c r="P2379" s="1">
        <f t="shared" si="298"/>
        <v>43132</v>
      </c>
      <c r="Q2379" s="8">
        <f t="shared" si="299"/>
        <v>0</v>
      </c>
      <c r="R2379" s="8">
        <f t="shared" si="300"/>
        <v>2</v>
      </c>
      <c r="S2379" s="8">
        <f t="shared" ca="1" si="301"/>
        <v>2</v>
      </c>
      <c r="T2379">
        <f t="shared" ca="1" si="302"/>
        <v>0.4</v>
      </c>
      <c r="U2379" s="8">
        <f t="shared" ca="1" si="303"/>
        <v>1.2000000000000002</v>
      </c>
      <c r="V2379" s="8">
        <f ca="1">RawData[[#This Row],[Z (smoothed demand size)]]/RawData[[#This Row],[X (smoothed interval)]]</f>
        <v>0.33333333333333331</v>
      </c>
    </row>
    <row r="2380" spans="1:22">
      <c r="A2380" t="s">
        <v>52</v>
      </c>
      <c r="B2380" t="s">
        <v>39</v>
      </c>
      <c r="C2380">
        <v>32</v>
      </c>
      <c r="D2380" t="s">
        <v>15</v>
      </c>
      <c r="E2380" t="s">
        <v>16</v>
      </c>
      <c r="F2380" s="1">
        <v>43103</v>
      </c>
      <c r="G2380">
        <v>0</v>
      </c>
      <c r="H2380">
        <v>0</v>
      </c>
      <c r="I2380">
        <v>15</v>
      </c>
      <c r="J2380">
        <v>15</v>
      </c>
      <c r="K2380">
        <v>0</v>
      </c>
      <c r="L2380">
        <v>453</v>
      </c>
      <c r="M2380">
        <v>15</v>
      </c>
      <c r="N2380" s="1">
        <f t="shared" si="296"/>
        <v>44938</v>
      </c>
      <c r="O2380" s="1">
        <f t="shared" si="297"/>
        <v>43101</v>
      </c>
      <c r="P2380" s="1">
        <f t="shared" si="298"/>
        <v>43160</v>
      </c>
      <c r="Q2380" s="8">
        <f t="shared" si="299"/>
        <v>0</v>
      </c>
      <c r="R2380" s="8">
        <f t="shared" si="300"/>
        <v>3</v>
      </c>
      <c r="S2380" s="8">
        <f t="shared" ca="1" si="301"/>
        <v>2</v>
      </c>
      <c r="T2380">
        <f t="shared" ca="1" si="302"/>
        <v>0.4</v>
      </c>
      <c r="U2380" s="8">
        <f t="shared" ca="1" si="303"/>
        <v>1.2000000000000002</v>
      </c>
      <c r="V2380" s="8">
        <f ca="1">RawData[[#This Row],[Z (smoothed demand size)]]/RawData[[#This Row],[X (smoothed interval)]]</f>
        <v>0.33333333333333331</v>
      </c>
    </row>
    <row r="2381" spans="1:22">
      <c r="A2381" t="s">
        <v>52</v>
      </c>
      <c r="B2381" t="s">
        <v>39</v>
      </c>
      <c r="C2381">
        <v>32</v>
      </c>
      <c r="D2381" t="s">
        <v>15</v>
      </c>
      <c r="E2381" t="s">
        <v>16</v>
      </c>
      <c r="F2381" s="1">
        <v>43104</v>
      </c>
      <c r="G2381">
        <v>3</v>
      </c>
      <c r="H2381">
        <v>3</v>
      </c>
      <c r="I2381">
        <v>15</v>
      </c>
      <c r="J2381">
        <v>12</v>
      </c>
      <c r="K2381">
        <v>0</v>
      </c>
      <c r="L2381">
        <v>458</v>
      </c>
      <c r="M2381">
        <v>15</v>
      </c>
      <c r="N2381" s="1">
        <f t="shared" si="296"/>
        <v>44938</v>
      </c>
      <c r="O2381" s="1">
        <f t="shared" si="297"/>
        <v>43101</v>
      </c>
      <c r="P2381" s="1">
        <f t="shared" si="298"/>
        <v>43191</v>
      </c>
      <c r="Q2381" s="8">
        <f t="shared" si="299"/>
        <v>0</v>
      </c>
      <c r="R2381" s="8">
        <f t="shared" si="300"/>
        <v>4</v>
      </c>
      <c r="S2381" s="8">
        <f t="shared" ca="1" si="301"/>
        <v>4</v>
      </c>
      <c r="T2381">
        <f t="shared" ca="1" si="302"/>
        <v>0.92000000000000015</v>
      </c>
      <c r="U2381" s="8">
        <f t="shared" ca="1" si="303"/>
        <v>1.3600000000000003</v>
      </c>
      <c r="V2381" s="8">
        <f ca="1">RawData[[#This Row],[Z (smoothed demand size)]]/RawData[[#This Row],[X (smoothed interval)]]</f>
        <v>0.67647058823529405</v>
      </c>
    </row>
    <row r="2382" spans="1:22">
      <c r="A2382" t="s">
        <v>52</v>
      </c>
      <c r="B2382" t="s">
        <v>39</v>
      </c>
      <c r="C2382">
        <v>32</v>
      </c>
      <c r="D2382" t="s">
        <v>15</v>
      </c>
      <c r="E2382" t="s">
        <v>16</v>
      </c>
      <c r="F2382" s="1">
        <v>43105</v>
      </c>
      <c r="G2382">
        <v>4</v>
      </c>
      <c r="H2382">
        <v>4</v>
      </c>
      <c r="I2382">
        <v>12</v>
      </c>
      <c r="J2382">
        <v>8</v>
      </c>
      <c r="K2382">
        <v>0</v>
      </c>
      <c r="L2382">
        <v>455</v>
      </c>
      <c r="M2382">
        <v>60</v>
      </c>
      <c r="N2382" s="1">
        <f t="shared" si="296"/>
        <v>44938</v>
      </c>
      <c r="O2382" s="1">
        <f t="shared" si="297"/>
        <v>43101</v>
      </c>
      <c r="P2382" s="1">
        <f t="shared" si="298"/>
        <v>43221</v>
      </c>
      <c r="Q2382" s="8">
        <f t="shared" si="299"/>
        <v>0</v>
      </c>
      <c r="R2382" s="8">
        <f t="shared" si="300"/>
        <v>5</v>
      </c>
      <c r="S2382" s="8">
        <f t="shared" ca="1" si="301"/>
        <v>5</v>
      </c>
      <c r="T2382">
        <f t="shared" ca="1" si="302"/>
        <v>1.5360000000000003</v>
      </c>
      <c r="U2382" s="8">
        <f t="shared" ca="1" si="303"/>
        <v>1.2880000000000003</v>
      </c>
      <c r="V2382" s="8">
        <f ca="1">RawData[[#This Row],[Z (smoothed demand size)]]/RawData[[#This Row],[X (smoothed interval)]]</f>
        <v>1.1925465838509317</v>
      </c>
    </row>
    <row r="2383" spans="1:22">
      <c r="A2383" t="s">
        <v>52</v>
      </c>
      <c r="B2383" t="s">
        <v>39</v>
      </c>
      <c r="C2383">
        <v>32</v>
      </c>
      <c r="D2383" t="s">
        <v>15</v>
      </c>
      <c r="E2383" t="s">
        <v>16</v>
      </c>
      <c r="F2383" s="1">
        <v>43106</v>
      </c>
      <c r="G2383">
        <v>2</v>
      </c>
      <c r="H2383">
        <v>2</v>
      </c>
      <c r="I2383">
        <v>8</v>
      </c>
      <c r="J2383">
        <v>6</v>
      </c>
      <c r="K2383">
        <v>0</v>
      </c>
      <c r="L2383">
        <v>528</v>
      </c>
      <c r="M2383">
        <v>30</v>
      </c>
      <c r="N2383" s="1">
        <f t="shared" si="296"/>
        <v>44938</v>
      </c>
      <c r="O2383" s="1">
        <f t="shared" si="297"/>
        <v>43101</v>
      </c>
      <c r="P2383" s="1">
        <f t="shared" si="298"/>
        <v>43252</v>
      </c>
      <c r="Q2383" s="8">
        <f t="shared" si="299"/>
        <v>0</v>
      </c>
      <c r="R2383" s="8">
        <f t="shared" si="300"/>
        <v>6</v>
      </c>
      <c r="S2383" s="8">
        <f t="shared" ca="1" si="301"/>
        <v>6</v>
      </c>
      <c r="T2383">
        <f t="shared" ca="1" si="302"/>
        <v>1.6288000000000005</v>
      </c>
      <c r="U2383" s="8">
        <f t="shared" ca="1" si="303"/>
        <v>1.2304000000000002</v>
      </c>
      <c r="V2383" s="8">
        <f ca="1">RawData[[#This Row],[Z (smoothed demand size)]]/RawData[[#This Row],[X (smoothed interval)]]</f>
        <v>1.3237971391417427</v>
      </c>
    </row>
    <row r="2384" spans="1:22">
      <c r="A2384" t="s">
        <v>52</v>
      </c>
      <c r="B2384" t="s">
        <v>39</v>
      </c>
      <c r="C2384">
        <v>32</v>
      </c>
      <c r="D2384" t="s">
        <v>15</v>
      </c>
      <c r="E2384" t="s">
        <v>16</v>
      </c>
      <c r="F2384" s="1">
        <v>43107</v>
      </c>
      <c r="G2384">
        <v>4</v>
      </c>
      <c r="H2384">
        <v>4</v>
      </c>
      <c r="I2384">
        <v>6</v>
      </c>
      <c r="J2384">
        <v>2</v>
      </c>
      <c r="K2384">
        <v>0</v>
      </c>
      <c r="L2384">
        <v>523</v>
      </c>
      <c r="M2384">
        <v>45</v>
      </c>
      <c r="N2384" s="1">
        <f t="shared" si="296"/>
        <v>44938</v>
      </c>
      <c r="O2384" s="1">
        <f t="shared" si="297"/>
        <v>43101</v>
      </c>
      <c r="P2384" s="1">
        <f t="shared" si="298"/>
        <v>43282</v>
      </c>
      <c r="Q2384" s="8">
        <f t="shared" si="299"/>
        <v>0</v>
      </c>
      <c r="R2384" s="8">
        <f t="shared" si="300"/>
        <v>7</v>
      </c>
      <c r="S2384" s="8">
        <f t="shared" ca="1" si="301"/>
        <v>7</v>
      </c>
      <c r="T2384">
        <f t="shared" ca="1" si="302"/>
        <v>2.1030400000000005</v>
      </c>
      <c r="U2384" s="8">
        <f t="shared" ca="1" si="303"/>
        <v>1.1843200000000003</v>
      </c>
      <c r="V2384" s="8">
        <f ca="1">RawData[[#This Row],[Z (smoothed demand size)]]/RawData[[#This Row],[X (smoothed interval)]]</f>
        <v>1.7757362874898677</v>
      </c>
    </row>
    <row r="2385" spans="1:22">
      <c r="A2385" t="s">
        <v>52</v>
      </c>
      <c r="B2385" t="s">
        <v>39</v>
      </c>
      <c r="C2385">
        <v>32</v>
      </c>
      <c r="D2385" t="s">
        <v>15</v>
      </c>
      <c r="E2385" t="s">
        <v>16</v>
      </c>
      <c r="F2385" s="1">
        <v>43108</v>
      </c>
      <c r="G2385">
        <v>3</v>
      </c>
      <c r="H2385">
        <v>2</v>
      </c>
      <c r="I2385">
        <v>2</v>
      </c>
      <c r="J2385">
        <v>0</v>
      </c>
      <c r="K2385">
        <v>1</v>
      </c>
      <c r="L2385">
        <v>526</v>
      </c>
      <c r="M2385">
        <v>45</v>
      </c>
      <c r="N2385" s="1">
        <f t="shared" si="296"/>
        <v>44938</v>
      </c>
      <c r="O2385" s="1">
        <f t="shared" si="297"/>
        <v>43101</v>
      </c>
      <c r="P2385" s="1">
        <f t="shared" si="298"/>
        <v>43313</v>
      </c>
      <c r="Q2385" s="8">
        <f t="shared" si="299"/>
        <v>0</v>
      </c>
      <c r="R2385" s="8">
        <f t="shared" si="300"/>
        <v>8</v>
      </c>
      <c r="S2385" s="8">
        <f t="shared" ca="1" si="301"/>
        <v>8</v>
      </c>
      <c r="T2385">
        <f t="shared" ca="1" si="302"/>
        <v>2.2824320000000005</v>
      </c>
      <c r="U2385" s="8">
        <f t="shared" ca="1" si="303"/>
        <v>1.1474560000000003</v>
      </c>
      <c r="V2385" s="8">
        <f ca="1">RawData[[#This Row],[Z (smoothed demand size)]]/RawData[[#This Row],[X (smoothed interval)]]</f>
        <v>1.9891237659657537</v>
      </c>
    </row>
    <row r="2386" spans="1:22">
      <c r="A2386" t="s">
        <v>52</v>
      </c>
      <c r="B2386" t="s">
        <v>39</v>
      </c>
      <c r="C2386">
        <v>32</v>
      </c>
      <c r="D2386" t="s">
        <v>15</v>
      </c>
      <c r="E2386" t="s">
        <v>16</v>
      </c>
      <c r="F2386" s="1">
        <v>43109</v>
      </c>
      <c r="G2386">
        <v>3</v>
      </c>
      <c r="H2386">
        <v>3</v>
      </c>
      <c r="I2386">
        <v>11</v>
      </c>
      <c r="J2386">
        <v>8</v>
      </c>
      <c r="K2386">
        <v>0</v>
      </c>
      <c r="L2386">
        <v>462</v>
      </c>
      <c r="M2386">
        <v>60</v>
      </c>
      <c r="N2386" s="1">
        <f t="shared" si="296"/>
        <v>44938</v>
      </c>
      <c r="O2386" s="1">
        <f t="shared" si="297"/>
        <v>43101</v>
      </c>
      <c r="P2386" s="1">
        <f t="shared" si="298"/>
        <v>43344</v>
      </c>
      <c r="Q2386" s="8">
        <f t="shared" si="299"/>
        <v>0</v>
      </c>
      <c r="R2386" s="8">
        <f t="shared" si="300"/>
        <v>9</v>
      </c>
      <c r="S2386" s="8">
        <f t="shared" ca="1" si="301"/>
        <v>9</v>
      </c>
      <c r="T2386">
        <f t="shared" ca="1" si="302"/>
        <v>2.4259456000000004</v>
      </c>
      <c r="U2386" s="8">
        <f t="shared" ca="1" si="303"/>
        <v>1.1179648000000002</v>
      </c>
      <c r="V2386" s="8">
        <f ca="1">RawData[[#This Row],[Z (smoothed demand size)]]/RawData[[#This Row],[X (smoothed interval)]]</f>
        <v>2.1699659953515531</v>
      </c>
    </row>
    <row r="2387" spans="1:22">
      <c r="A2387" t="s">
        <v>52</v>
      </c>
      <c r="B2387" t="s">
        <v>39</v>
      </c>
      <c r="C2387">
        <v>32</v>
      </c>
      <c r="D2387" t="s">
        <v>15</v>
      </c>
      <c r="E2387" t="s">
        <v>16</v>
      </c>
      <c r="F2387" s="1">
        <v>43110</v>
      </c>
      <c r="G2387">
        <v>4</v>
      </c>
      <c r="H2387">
        <v>4</v>
      </c>
      <c r="I2387">
        <v>8</v>
      </c>
      <c r="J2387">
        <v>4</v>
      </c>
      <c r="K2387">
        <v>0</v>
      </c>
      <c r="L2387">
        <v>458</v>
      </c>
      <c r="M2387">
        <v>15</v>
      </c>
      <c r="N2387" s="1">
        <f t="shared" si="296"/>
        <v>44938</v>
      </c>
      <c r="O2387" s="1">
        <f t="shared" si="297"/>
        <v>43101</v>
      </c>
      <c r="P2387" s="1">
        <f t="shared" si="298"/>
        <v>43374</v>
      </c>
      <c r="Q2387" s="8">
        <f t="shared" si="299"/>
        <v>0</v>
      </c>
      <c r="R2387" s="8">
        <f t="shared" si="300"/>
        <v>10</v>
      </c>
      <c r="S2387" s="8">
        <f t="shared" ca="1" si="301"/>
        <v>10</v>
      </c>
      <c r="T2387">
        <f t="shared" ca="1" si="302"/>
        <v>2.7407564800000004</v>
      </c>
      <c r="U2387" s="8">
        <f t="shared" ca="1" si="303"/>
        <v>1.0943718400000002</v>
      </c>
      <c r="V2387" s="8">
        <f ca="1">RawData[[#This Row],[Z (smoothed demand size)]]/RawData[[#This Row],[X (smoothed interval)]]</f>
        <v>2.5044106398059363</v>
      </c>
    </row>
    <row r="2388" spans="1:22">
      <c r="A2388" t="s">
        <v>52</v>
      </c>
      <c r="B2388" t="s">
        <v>39</v>
      </c>
      <c r="C2388">
        <v>32</v>
      </c>
      <c r="D2388" t="s">
        <v>15</v>
      </c>
      <c r="E2388" t="s">
        <v>16</v>
      </c>
      <c r="F2388" s="1">
        <v>43111</v>
      </c>
      <c r="G2388">
        <v>3</v>
      </c>
      <c r="H2388">
        <v>3</v>
      </c>
      <c r="I2388">
        <v>4</v>
      </c>
      <c r="J2388">
        <v>1</v>
      </c>
      <c r="K2388">
        <v>0</v>
      </c>
      <c r="L2388">
        <v>453</v>
      </c>
      <c r="M2388">
        <v>60</v>
      </c>
      <c r="N2388" s="1">
        <f t="shared" si="296"/>
        <v>44938</v>
      </c>
      <c r="O2388" s="1">
        <f t="shared" si="297"/>
        <v>43101</v>
      </c>
      <c r="P2388" s="1">
        <f t="shared" si="298"/>
        <v>43405</v>
      </c>
      <c r="Q2388" s="8">
        <f t="shared" si="299"/>
        <v>0</v>
      </c>
      <c r="R2388" s="8">
        <f t="shared" si="300"/>
        <v>11</v>
      </c>
      <c r="S2388" s="8">
        <f t="shared" ca="1" si="301"/>
        <v>11</v>
      </c>
      <c r="T2388">
        <f t="shared" ca="1" si="302"/>
        <v>2.7926051840000006</v>
      </c>
      <c r="U2388" s="8">
        <f t="shared" ca="1" si="303"/>
        <v>1.0754974720000001</v>
      </c>
      <c r="V2388" s="8">
        <f ca="1">RawData[[#This Row],[Z (smoothed demand size)]]/RawData[[#This Row],[X (smoothed interval)]]</f>
        <v>2.596570663068932</v>
      </c>
    </row>
    <row r="2389" spans="1:22">
      <c r="A2389" t="s">
        <v>52</v>
      </c>
      <c r="B2389" t="s">
        <v>39</v>
      </c>
      <c r="C2389">
        <v>32</v>
      </c>
      <c r="D2389" t="s">
        <v>15</v>
      </c>
      <c r="E2389" t="s">
        <v>16</v>
      </c>
      <c r="F2389" s="1">
        <v>43112</v>
      </c>
      <c r="G2389">
        <v>3</v>
      </c>
      <c r="H2389">
        <v>1</v>
      </c>
      <c r="I2389">
        <v>1</v>
      </c>
      <c r="J2389">
        <v>0</v>
      </c>
      <c r="K2389">
        <v>1</v>
      </c>
      <c r="L2389">
        <v>515</v>
      </c>
      <c r="M2389">
        <v>15</v>
      </c>
      <c r="N2389" s="1">
        <f t="shared" si="296"/>
        <v>44938</v>
      </c>
      <c r="O2389" s="1">
        <f t="shared" si="297"/>
        <v>43101</v>
      </c>
      <c r="P2389" s="1">
        <f t="shared" si="298"/>
        <v>43435</v>
      </c>
      <c r="Q2389" s="8">
        <f t="shared" si="299"/>
        <v>0</v>
      </c>
      <c r="R2389" s="8">
        <f t="shared" si="300"/>
        <v>12</v>
      </c>
      <c r="S2389" s="8">
        <f t="shared" ca="1" si="301"/>
        <v>12</v>
      </c>
      <c r="T2389">
        <f t="shared" ca="1" si="302"/>
        <v>2.8340841472000005</v>
      </c>
      <c r="U2389" s="8">
        <f t="shared" ca="1" si="303"/>
        <v>1.0603979776000001</v>
      </c>
      <c r="V2389" s="8">
        <f ca="1">RawData[[#This Row],[Z (smoothed demand size)]]/RawData[[#This Row],[X (smoothed interval)]]</f>
        <v>2.672660837786947</v>
      </c>
    </row>
    <row r="2390" spans="1:22">
      <c r="A2390" t="s">
        <v>52</v>
      </c>
      <c r="B2390" t="s">
        <v>39</v>
      </c>
      <c r="C2390">
        <v>32</v>
      </c>
      <c r="D2390" t="s">
        <v>15</v>
      </c>
      <c r="E2390" t="s">
        <v>16</v>
      </c>
      <c r="F2390" s="1">
        <v>43466</v>
      </c>
      <c r="G2390">
        <v>3</v>
      </c>
      <c r="H2390">
        <v>3</v>
      </c>
      <c r="I2390">
        <v>9</v>
      </c>
      <c r="J2390">
        <v>6</v>
      </c>
      <c r="K2390">
        <v>0</v>
      </c>
      <c r="L2390">
        <v>454</v>
      </c>
      <c r="M2390">
        <v>30</v>
      </c>
      <c r="N2390" s="1">
        <f t="shared" si="296"/>
        <v>44938</v>
      </c>
      <c r="O2390" s="1">
        <f t="shared" si="297"/>
        <v>43101</v>
      </c>
      <c r="P2390" s="1">
        <f t="shared" si="298"/>
        <v>43466</v>
      </c>
      <c r="Q2390" s="8">
        <f t="shared" si="299"/>
        <v>0</v>
      </c>
      <c r="R2390" s="8">
        <f t="shared" si="300"/>
        <v>13</v>
      </c>
      <c r="S2390" s="8">
        <f t="shared" ca="1" si="301"/>
        <v>13</v>
      </c>
      <c r="T2390">
        <f t="shared" ca="1" si="302"/>
        <v>2.8672673177600005</v>
      </c>
      <c r="U2390" s="8">
        <f t="shared" ca="1" si="303"/>
        <v>1.0483183820800002</v>
      </c>
      <c r="V2390" s="8">
        <f ca="1">RawData[[#This Row],[Z (smoothed demand size)]]/RawData[[#This Row],[X (smoothed interval)]]</f>
        <v>2.7351111711605864</v>
      </c>
    </row>
    <row r="2391" spans="1:22">
      <c r="A2391" t="s">
        <v>52</v>
      </c>
      <c r="B2391" t="s">
        <v>39</v>
      </c>
      <c r="C2391">
        <v>32</v>
      </c>
      <c r="D2391" t="s">
        <v>15</v>
      </c>
      <c r="E2391" t="s">
        <v>16</v>
      </c>
      <c r="F2391" s="1">
        <v>43467</v>
      </c>
      <c r="G2391">
        <v>2</v>
      </c>
      <c r="H2391">
        <v>2</v>
      </c>
      <c r="I2391">
        <v>6</v>
      </c>
      <c r="J2391">
        <v>4</v>
      </c>
      <c r="K2391">
        <v>0</v>
      </c>
      <c r="L2391">
        <v>457</v>
      </c>
      <c r="M2391">
        <v>45</v>
      </c>
      <c r="N2391" s="1">
        <f t="shared" si="296"/>
        <v>44938</v>
      </c>
      <c r="O2391" s="1">
        <f t="shared" si="297"/>
        <v>43101</v>
      </c>
      <c r="P2391" s="1">
        <f t="shared" si="298"/>
        <v>43497</v>
      </c>
      <c r="Q2391" s="8">
        <f t="shared" si="299"/>
        <v>0</v>
      </c>
      <c r="R2391" s="8">
        <f t="shared" si="300"/>
        <v>14</v>
      </c>
      <c r="S2391" s="8">
        <f t="shared" ca="1" si="301"/>
        <v>14</v>
      </c>
      <c r="T2391">
        <f t="shared" ca="1" si="302"/>
        <v>2.6938138542080003</v>
      </c>
      <c r="U2391" s="8">
        <f t="shared" ca="1" si="303"/>
        <v>1.0386547056640001</v>
      </c>
      <c r="V2391" s="8">
        <f ca="1">RawData[[#This Row],[Z (smoothed demand size)]]/RawData[[#This Row],[X (smoothed interval)]]</f>
        <v>2.5935605351018709</v>
      </c>
    </row>
    <row r="2392" spans="1:22">
      <c r="A2392" t="s">
        <v>52</v>
      </c>
      <c r="B2392" t="s">
        <v>39</v>
      </c>
      <c r="C2392">
        <v>32</v>
      </c>
      <c r="D2392" t="s">
        <v>15</v>
      </c>
      <c r="E2392" t="s">
        <v>16</v>
      </c>
      <c r="F2392" s="1">
        <v>43468</v>
      </c>
      <c r="G2392">
        <v>4</v>
      </c>
      <c r="H2392">
        <v>4</v>
      </c>
      <c r="I2392">
        <v>4</v>
      </c>
      <c r="J2392">
        <v>0</v>
      </c>
      <c r="K2392">
        <v>0</v>
      </c>
      <c r="L2392">
        <v>455</v>
      </c>
      <c r="M2392">
        <v>15</v>
      </c>
      <c r="N2392" s="1">
        <f t="shared" si="296"/>
        <v>44938</v>
      </c>
      <c r="O2392" s="1">
        <f t="shared" si="297"/>
        <v>43101</v>
      </c>
      <c r="P2392" s="1">
        <f t="shared" si="298"/>
        <v>43525</v>
      </c>
      <c r="Q2392" s="8">
        <f t="shared" si="299"/>
        <v>0</v>
      </c>
      <c r="R2392" s="8">
        <f t="shared" si="300"/>
        <v>15</v>
      </c>
      <c r="S2392" s="8">
        <f t="shared" ca="1" si="301"/>
        <v>15</v>
      </c>
      <c r="T2392">
        <f t="shared" ca="1" si="302"/>
        <v>2.9550510833664001</v>
      </c>
      <c r="U2392" s="8">
        <f t="shared" ca="1" si="303"/>
        <v>1.0309237645312002</v>
      </c>
      <c r="V2392" s="8">
        <f ca="1">RawData[[#This Row],[Z (smoothed demand size)]]/RawData[[#This Row],[X (smoothed interval)]]</f>
        <v>2.8664108686156564</v>
      </c>
    </row>
    <row r="2393" spans="1:22">
      <c r="A2393" t="s">
        <v>52</v>
      </c>
      <c r="B2393" t="s">
        <v>39</v>
      </c>
      <c r="C2393">
        <v>32</v>
      </c>
      <c r="D2393" t="s">
        <v>15</v>
      </c>
      <c r="E2393" t="s">
        <v>16</v>
      </c>
      <c r="F2393" s="1">
        <v>43469</v>
      </c>
      <c r="G2393">
        <v>0</v>
      </c>
      <c r="H2393">
        <v>0</v>
      </c>
      <c r="I2393">
        <v>9</v>
      </c>
      <c r="J2393">
        <v>9</v>
      </c>
      <c r="K2393">
        <v>0</v>
      </c>
      <c r="L2393">
        <v>451</v>
      </c>
      <c r="M2393">
        <v>15</v>
      </c>
      <c r="N2393" s="1">
        <f t="shared" si="296"/>
        <v>44938</v>
      </c>
      <c r="O2393" s="1">
        <f t="shared" si="297"/>
        <v>43101</v>
      </c>
      <c r="P2393" s="1">
        <f t="shared" si="298"/>
        <v>43556</v>
      </c>
      <c r="Q2393" s="8">
        <f t="shared" si="299"/>
        <v>0</v>
      </c>
      <c r="R2393" s="8">
        <f t="shared" si="300"/>
        <v>16</v>
      </c>
      <c r="S2393" s="8">
        <f t="shared" ca="1" si="301"/>
        <v>15</v>
      </c>
      <c r="T2393">
        <f t="shared" ca="1" si="302"/>
        <v>2.9550510833664001</v>
      </c>
      <c r="U2393" s="8">
        <f t="shared" ca="1" si="303"/>
        <v>1.0309237645312002</v>
      </c>
      <c r="V2393" s="8">
        <f ca="1">RawData[[#This Row],[Z (smoothed demand size)]]/RawData[[#This Row],[X (smoothed interval)]]</f>
        <v>2.8664108686156564</v>
      </c>
    </row>
    <row r="2394" spans="1:22">
      <c r="A2394" t="s">
        <v>52</v>
      </c>
      <c r="B2394" t="s">
        <v>39</v>
      </c>
      <c r="C2394">
        <v>32</v>
      </c>
      <c r="D2394" t="s">
        <v>15</v>
      </c>
      <c r="E2394" t="s">
        <v>16</v>
      </c>
      <c r="F2394" s="1">
        <v>43470</v>
      </c>
      <c r="G2394">
        <v>0</v>
      </c>
      <c r="H2394">
        <v>0</v>
      </c>
      <c r="I2394">
        <v>9</v>
      </c>
      <c r="J2394">
        <v>9</v>
      </c>
      <c r="K2394">
        <v>0</v>
      </c>
      <c r="L2394">
        <v>455</v>
      </c>
      <c r="M2394">
        <v>45</v>
      </c>
      <c r="N2394" s="1">
        <f t="shared" si="296"/>
        <v>44938</v>
      </c>
      <c r="O2394" s="1">
        <f t="shared" si="297"/>
        <v>43101</v>
      </c>
      <c r="P2394" s="1">
        <f t="shared" si="298"/>
        <v>43586</v>
      </c>
      <c r="Q2394" s="8">
        <f t="shared" si="299"/>
        <v>0</v>
      </c>
      <c r="R2394" s="8">
        <f t="shared" si="300"/>
        <v>17</v>
      </c>
      <c r="S2394" s="8">
        <f t="shared" ca="1" si="301"/>
        <v>15</v>
      </c>
      <c r="T2394">
        <f t="shared" ca="1" si="302"/>
        <v>2.9550510833664001</v>
      </c>
      <c r="U2394" s="8">
        <f t="shared" ca="1" si="303"/>
        <v>1.0309237645312002</v>
      </c>
      <c r="V2394" s="8">
        <f ca="1">RawData[[#This Row],[Z (smoothed demand size)]]/RawData[[#This Row],[X (smoothed interval)]]</f>
        <v>2.8664108686156564</v>
      </c>
    </row>
    <row r="2395" spans="1:22">
      <c r="A2395" t="s">
        <v>52</v>
      </c>
      <c r="B2395" t="s">
        <v>39</v>
      </c>
      <c r="C2395">
        <v>32</v>
      </c>
      <c r="D2395" t="s">
        <v>15</v>
      </c>
      <c r="E2395" t="s">
        <v>16</v>
      </c>
      <c r="F2395" s="1">
        <v>43471</v>
      </c>
      <c r="G2395">
        <v>2</v>
      </c>
      <c r="H2395">
        <v>2</v>
      </c>
      <c r="I2395">
        <v>9</v>
      </c>
      <c r="J2395">
        <v>7</v>
      </c>
      <c r="K2395">
        <v>0</v>
      </c>
      <c r="L2395">
        <v>526</v>
      </c>
      <c r="M2395">
        <v>45</v>
      </c>
      <c r="N2395" s="1">
        <f t="shared" si="296"/>
        <v>44938</v>
      </c>
      <c r="O2395" s="1">
        <f t="shared" si="297"/>
        <v>43101</v>
      </c>
      <c r="P2395" s="1">
        <f t="shared" si="298"/>
        <v>43617</v>
      </c>
      <c r="Q2395" s="8">
        <f t="shared" si="299"/>
        <v>0</v>
      </c>
      <c r="R2395" s="8">
        <f t="shared" si="300"/>
        <v>18</v>
      </c>
      <c r="S2395" s="8">
        <f t="shared" ca="1" si="301"/>
        <v>18</v>
      </c>
      <c r="T2395">
        <f t="shared" ca="1" si="302"/>
        <v>2.76404086669312</v>
      </c>
      <c r="U2395" s="8">
        <f t="shared" ca="1" si="303"/>
        <v>1.4247390116249603</v>
      </c>
      <c r="V2395" s="8">
        <f ca="1">RawData[[#This Row],[Z (smoothed demand size)]]/RawData[[#This Row],[X (smoothed interval)]]</f>
        <v>1.940033117743188</v>
      </c>
    </row>
    <row r="2396" spans="1:22">
      <c r="A2396" t="s">
        <v>52</v>
      </c>
      <c r="B2396" t="s">
        <v>39</v>
      </c>
      <c r="C2396">
        <v>32</v>
      </c>
      <c r="D2396" t="s">
        <v>15</v>
      </c>
      <c r="E2396" t="s">
        <v>16</v>
      </c>
      <c r="F2396" s="1">
        <v>43472</v>
      </c>
      <c r="G2396">
        <v>0</v>
      </c>
      <c r="H2396">
        <v>0</v>
      </c>
      <c r="I2396">
        <v>7</v>
      </c>
      <c r="J2396">
        <v>7</v>
      </c>
      <c r="K2396">
        <v>0</v>
      </c>
      <c r="L2396">
        <v>530</v>
      </c>
      <c r="M2396">
        <v>15</v>
      </c>
      <c r="N2396" s="1">
        <f t="shared" si="296"/>
        <v>44938</v>
      </c>
      <c r="O2396" s="1">
        <f t="shared" si="297"/>
        <v>43101</v>
      </c>
      <c r="P2396" s="1">
        <f t="shared" si="298"/>
        <v>43647</v>
      </c>
      <c r="Q2396" s="8">
        <f t="shared" si="299"/>
        <v>0</v>
      </c>
      <c r="R2396" s="8">
        <f t="shared" si="300"/>
        <v>19</v>
      </c>
      <c r="S2396" s="8">
        <f t="shared" ca="1" si="301"/>
        <v>18</v>
      </c>
      <c r="T2396">
        <f t="shared" ca="1" si="302"/>
        <v>2.76404086669312</v>
      </c>
      <c r="U2396" s="8">
        <f t="shared" ca="1" si="303"/>
        <v>1.4247390116249603</v>
      </c>
      <c r="V2396" s="8">
        <f ca="1">RawData[[#This Row],[Z (smoothed demand size)]]/RawData[[#This Row],[X (smoothed interval)]]</f>
        <v>1.940033117743188</v>
      </c>
    </row>
    <row r="2397" spans="1:22">
      <c r="A2397" t="s">
        <v>52</v>
      </c>
      <c r="B2397" t="s">
        <v>39</v>
      </c>
      <c r="C2397">
        <v>32</v>
      </c>
      <c r="D2397" t="s">
        <v>15</v>
      </c>
      <c r="E2397" t="s">
        <v>16</v>
      </c>
      <c r="F2397" s="1">
        <v>43473</v>
      </c>
      <c r="G2397">
        <v>0</v>
      </c>
      <c r="H2397">
        <v>0</v>
      </c>
      <c r="I2397">
        <v>7</v>
      </c>
      <c r="J2397">
        <v>7</v>
      </c>
      <c r="K2397">
        <v>0</v>
      </c>
      <c r="L2397">
        <v>522</v>
      </c>
      <c r="M2397">
        <v>45</v>
      </c>
      <c r="N2397" s="1">
        <f t="shared" si="296"/>
        <v>44938</v>
      </c>
      <c r="O2397" s="1">
        <f t="shared" si="297"/>
        <v>43101</v>
      </c>
      <c r="P2397" s="1">
        <f t="shared" si="298"/>
        <v>43678</v>
      </c>
      <c r="Q2397" s="8">
        <f t="shared" si="299"/>
        <v>0</v>
      </c>
      <c r="R2397" s="8">
        <f t="shared" si="300"/>
        <v>20</v>
      </c>
      <c r="S2397" s="8">
        <f t="shared" ca="1" si="301"/>
        <v>18</v>
      </c>
      <c r="T2397">
        <f t="shared" ca="1" si="302"/>
        <v>2.76404086669312</v>
      </c>
      <c r="U2397" s="8">
        <f t="shared" ca="1" si="303"/>
        <v>1.4247390116249603</v>
      </c>
      <c r="V2397" s="8">
        <f ca="1">RawData[[#This Row],[Z (smoothed demand size)]]/RawData[[#This Row],[X (smoothed interval)]]</f>
        <v>1.940033117743188</v>
      </c>
    </row>
    <row r="2398" spans="1:22">
      <c r="A2398" t="s">
        <v>52</v>
      </c>
      <c r="B2398" t="s">
        <v>39</v>
      </c>
      <c r="C2398">
        <v>32</v>
      </c>
      <c r="D2398" t="s">
        <v>15</v>
      </c>
      <c r="E2398" t="s">
        <v>16</v>
      </c>
      <c r="F2398" s="1">
        <v>43474</v>
      </c>
      <c r="G2398">
        <v>3</v>
      </c>
      <c r="H2398">
        <v>3</v>
      </c>
      <c r="I2398">
        <v>7</v>
      </c>
      <c r="J2398">
        <v>4</v>
      </c>
      <c r="K2398">
        <v>0</v>
      </c>
      <c r="L2398">
        <v>466</v>
      </c>
      <c r="M2398">
        <v>30</v>
      </c>
      <c r="N2398" s="1">
        <f t="shared" si="296"/>
        <v>44938</v>
      </c>
      <c r="O2398" s="1">
        <f t="shared" si="297"/>
        <v>43101</v>
      </c>
      <c r="P2398" s="1">
        <f t="shared" si="298"/>
        <v>43709</v>
      </c>
      <c r="Q2398" s="8">
        <f t="shared" si="299"/>
        <v>0</v>
      </c>
      <c r="R2398" s="8">
        <f t="shared" si="300"/>
        <v>21</v>
      </c>
      <c r="S2398" s="8">
        <f t="shared" ca="1" si="301"/>
        <v>21</v>
      </c>
      <c r="T2398">
        <f t="shared" ca="1" si="302"/>
        <v>2.811232693354496</v>
      </c>
      <c r="U2398" s="8">
        <f t="shared" ca="1" si="303"/>
        <v>1.7397912092999683</v>
      </c>
      <c r="V2398" s="8">
        <f ca="1">RawData[[#This Row],[Z (smoothed demand size)]]/RawData[[#This Row],[X (smoothed interval)]]</f>
        <v>1.6158448659397691</v>
      </c>
    </row>
    <row r="2399" spans="1:22">
      <c r="A2399" t="s">
        <v>52</v>
      </c>
      <c r="B2399" t="s">
        <v>39</v>
      </c>
      <c r="C2399">
        <v>32</v>
      </c>
      <c r="D2399" t="s">
        <v>15</v>
      </c>
      <c r="E2399" t="s">
        <v>16</v>
      </c>
      <c r="F2399" s="1">
        <v>43475</v>
      </c>
      <c r="G2399">
        <v>2</v>
      </c>
      <c r="H2399">
        <v>2</v>
      </c>
      <c r="I2399">
        <v>4</v>
      </c>
      <c r="J2399">
        <v>2</v>
      </c>
      <c r="K2399">
        <v>0</v>
      </c>
      <c r="L2399">
        <v>461</v>
      </c>
      <c r="M2399">
        <v>45</v>
      </c>
      <c r="N2399" s="1">
        <f t="shared" si="296"/>
        <v>44938</v>
      </c>
      <c r="O2399" s="1">
        <f t="shared" si="297"/>
        <v>43101</v>
      </c>
      <c r="P2399" s="1">
        <f t="shared" si="298"/>
        <v>43739</v>
      </c>
      <c r="Q2399" s="8">
        <f t="shared" si="299"/>
        <v>0</v>
      </c>
      <c r="R2399" s="8">
        <f t="shared" si="300"/>
        <v>22</v>
      </c>
      <c r="S2399" s="8">
        <f t="shared" ca="1" si="301"/>
        <v>22</v>
      </c>
      <c r="T2399">
        <f t="shared" ca="1" si="302"/>
        <v>2.6489861546835969</v>
      </c>
      <c r="U2399" s="8">
        <f t="shared" ca="1" si="303"/>
        <v>1.5918329674399747</v>
      </c>
      <c r="V2399" s="8">
        <f ca="1">RawData[[#This Row],[Z (smoothed demand size)]]/RawData[[#This Row],[X (smoothed interval)]]</f>
        <v>1.6641106252145048</v>
      </c>
    </row>
    <row r="2400" spans="1:22">
      <c r="A2400" t="s">
        <v>52</v>
      </c>
      <c r="B2400" t="s">
        <v>39</v>
      </c>
      <c r="C2400">
        <v>32</v>
      </c>
      <c r="D2400" t="s">
        <v>15</v>
      </c>
      <c r="E2400" t="s">
        <v>16</v>
      </c>
      <c r="F2400" s="1">
        <v>43476</v>
      </c>
      <c r="G2400">
        <v>2</v>
      </c>
      <c r="H2400">
        <v>2</v>
      </c>
      <c r="I2400">
        <v>2</v>
      </c>
      <c r="J2400">
        <v>0</v>
      </c>
      <c r="K2400">
        <v>0</v>
      </c>
      <c r="L2400">
        <v>455</v>
      </c>
      <c r="M2400">
        <v>60</v>
      </c>
      <c r="N2400" s="1">
        <f t="shared" si="296"/>
        <v>44938</v>
      </c>
      <c r="O2400" s="1">
        <f t="shared" si="297"/>
        <v>43101</v>
      </c>
      <c r="P2400" s="1">
        <f t="shared" si="298"/>
        <v>43770</v>
      </c>
      <c r="Q2400" s="8">
        <f t="shared" si="299"/>
        <v>0</v>
      </c>
      <c r="R2400" s="8">
        <f t="shared" si="300"/>
        <v>23</v>
      </c>
      <c r="S2400" s="8">
        <f t="shared" ca="1" si="301"/>
        <v>23</v>
      </c>
      <c r="T2400">
        <f t="shared" ca="1" si="302"/>
        <v>2.5191889237468774</v>
      </c>
      <c r="U2400" s="8">
        <f t="shared" ca="1" si="303"/>
        <v>1.4734663739519798</v>
      </c>
      <c r="V2400" s="8">
        <f ca="1">RawData[[#This Row],[Z (smoothed demand size)]]/RawData[[#This Row],[X (smoothed interval)]]</f>
        <v>1.7097023510554694</v>
      </c>
    </row>
    <row r="2401" spans="1:22">
      <c r="A2401" t="s">
        <v>52</v>
      </c>
      <c r="B2401" t="s">
        <v>39</v>
      </c>
      <c r="C2401">
        <v>32</v>
      </c>
      <c r="D2401" t="s">
        <v>15</v>
      </c>
      <c r="E2401" t="s">
        <v>16</v>
      </c>
      <c r="F2401" s="1">
        <v>43477</v>
      </c>
      <c r="G2401">
        <v>2</v>
      </c>
      <c r="H2401">
        <v>2</v>
      </c>
      <c r="I2401">
        <v>8</v>
      </c>
      <c r="J2401">
        <v>6</v>
      </c>
      <c r="K2401">
        <v>0</v>
      </c>
      <c r="L2401">
        <v>524</v>
      </c>
      <c r="M2401">
        <v>45</v>
      </c>
      <c r="N2401" s="1">
        <f t="shared" si="296"/>
        <v>44938</v>
      </c>
      <c r="O2401" s="1">
        <f t="shared" si="297"/>
        <v>43101</v>
      </c>
      <c r="P2401" s="1">
        <f t="shared" si="298"/>
        <v>43800</v>
      </c>
      <c r="Q2401" s="8">
        <f t="shared" si="299"/>
        <v>0</v>
      </c>
      <c r="R2401" s="8">
        <f t="shared" si="300"/>
        <v>24</v>
      </c>
      <c r="S2401" s="8">
        <f t="shared" ca="1" si="301"/>
        <v>24</v>
      </c>
      <c r="T2401">
        <f t="shared" ca="1" si="302"/>
        <v>2.4153511389975018</v>
      </c>
      <c r="U2401" s="8">
        <f t="shared" ca="1" si="303"/>
        <v>1.3787730991615839</v>
      </c>
      <c r="V2401" s="8">
        <f ca="1">RawData[[#This Row],[Z (smoothed demand size)]]/RawData[[#This Row],[X (smoothed interval)]]</f>
        <v>1.7518119119572677</v>
      </c>
    </row>
    <row r="2402" spans="1:22">
      <c r="A2402" t="s">
        <v>52</v>
      </c>
      <c r="B2402" t="s">
        <v>39</v>
      </c>
      <c r="C2402">
        <v>32</v>
      </c>
      <c r="D2402" t="s">
        <v>15</v>
      </c>
      <c r="E2402" t="s">
        <v>16</v>
      </c>
      <c r="F2402" s="1">
        <v>43831</v>
      </c>
      <c r="G2402">
        <v>2</v>
      </c>
      <c r="H2402">
        <v>2</v>
      </c>
      <c r="I2402">
        <v>6</v>
      </c>
      <c r="J2402">
        <v>4</v>
      </c>
      <c r="K2402">
        <v>0</v>
      </c>
      <c r="L2402">
        <v>460</v>
      </c>
      <c r="M2402">
        <v>60</v>
      </c>
      <c r="N2402" s="1">
        <f t="shared" si="296"/>
        <v>44938</v>
      </c>
      <c r="O2402" s="1">
        <f t="shared" si="297"/>
        <v>43101</v>
      </c>
      <c r="P2402" s="1">
        <f t="shared" si="298"/>
        <v>43831</v>
      </c>
      <c r="Q2402" s="8">
        <f t="shared" si="299"/>
        <v>0</v>
      </c>
      <c r="R2402" s="8">
        <f t="shared" si="300"/>
        <v>25</v>
      </c>
      <c r="S2402" s="8">
        <f t="shared" ca="1" si="301"/>
        <v>25</v>
      </c>
      <c r="T2402">
        <f t="shared" ca="1" si="302"/>
        <v>2.3322809111980014</v>
      </c>
      <c r="U2402" s="8">
        <f t="shared" ca="1" si="303"/>
        <v>1.3030184793292672</v>
      </c>
      <c r="V2402" s="8">
        <f ca="1">RawData[[#This Row],[Z (smoothed demand size)]]/RawData[[#This Row],[X (smoothed interval)]]</f>
        <v>1.7899062432319075</v>
      </c>
    </row>
    <row r="2403" spans="1:22">
      <c r="A2403" t="s">
        <v>52</v>
      </c>
      <c r="B2403" t="s">
        <v>39</v>
      </c>
      <c r="C2403">
        <v>32</v>
      </c>
      <c r="D2403" t="s">
        <v>15</v>
      </c>
      <c r="E2403" t="s">
        <v>16</v>
      </c>
      <c r="F2403" s="1">
        <v>43832</v>
      </c>
      <c r="G2403">
        <v>2</v>
      </c>
      <c r="H2403">
        <v>2</v>
      </c>
      <c r="I2403">
        <v>4</v>
      </c>
      <c r="J2403">
        <v>2</v>
      </c>
      <c r="K2403">
        <v>0</v>
      </c>
      <c r="L2403">
        <v>449</v>
      </c>
      <c r="M2403">
        <v>15</v>
      </c>
      <c r="N2403" s="1">
        <f t="shared" si="296"/>
        <v>44938</v>
      </c>
      <c r="O2403" s="1">
        <f t="shared" si="297"/>
        <v>43101</v>
      </c>
      <c r="P2403" s="1">
        <f t="shared" si="298"/>
        <v>43862</v>
      </c>
      <c r="Q2403" s="8">
        <f t="shared" si="299"/>
        <v>0</v>
      </c>
      <c r="R2403" s="8">
        <f t="shared" si="300"/>
        <v>26</v>
      </c>
      <c r="S2403" s="8">
        <f t="shared" ca="1" si="301"/>
        <v>26</v>
      </c>
      <c r="T2403">
        <f t="shared" ca="1" si="302"/>
        <v>2.265824728958401</v>
      </c>
      <c r="U2403" s="8">
        <f t="shared" ca="1" si="303"/>
        <v>1.2424147834634138</v>
      </c>
      <c r="V2403" s="8">
        <f ca="1">RawData[[#This Row],[Z (smoothed demand size)]]/RawData[[#This Row],[X (smoothed interval)]]</f>
        <v>1.8237264713174786</v>
      </c>
    </row>
    <row r="2404" spans="1:22">
      <c r="A2404" t="s">
        <v>52</v>
      </c>
      <c r="B2404" t="s">
        <v>39</v>
      </c>
      <c r="C2404">
        <v>32</v>
      </c>
      <c r="D2404" t="s">
        <v>15</v>
      </c>
      <c r="E2404" t="s">
        <v>16</v>
      </c>
      <c r="F2404" s="1">
        <v>43833</v>
      </c>
      <c r="G2404">
        <v>1</v>
      </c>
      <c r="H2404">
        <v>1</v>
      </c>
      <c r="I2404">
        <v>14</v>
      </c>
      <c r="J2404">
        <v>13</v>
      </c>
      <c r="K2404">
        <v>0</v>
      </c>
      <c r="L2404">
        <v>450</v>
      </c>
      <c r="M2404">
        <v>15</v>
      </c>
      <c r="N2404" s="1">
        <f t="shared" si="296"/>
        <v>44938</v>
      </c>
      <c r="O2404" s="1">
        <f t="shared" si="297"/>
        <v>43101</v>
      </c>
      <c r="P2404" s="1">
        <f t="shared" si="298"/>
        <v>43891</v>
      </c>
      <c r="Q2404" s="8">
        <f t="shared" si="299"/>
        <v>0</v>
      </c>
      <c r="R2404" s="8">
        <f t="shared" si="300"/>
        <v>27</v>
      </c>
      <c r="S2404" s="8">
        <f t="shared" ca="1" si="301"/>
        <v>27</v>
      </c>
      <c r="T2404">
        <f t="shared" ca="1" si="302"/>
        <v>2.012659783166721</v>
      </c>
      <c r="U2404" s="8">
        <f t="shared" ca="1" si="303"/>
        <v>1.1939318267707311</v>
      </c>
      <c r="V2404" s="8">
        <f ca="1">RawData[[#This Row],[Z (smoothed demand size)]]/RawData[[#This Row],[X (smoothed interval)]]</f>
        <v>1.6857409594402319</v>
      </c>
    </row>
    <row r="2405" spans="1:22">
      <c r="A2405" t="s">
        <v>52</v>
      </c>
      <c r="B2405" t="s">
        <v>39</v>
      </c>
      <c r="C2405">
        <v>32</v>
      </c>
      <c r="D2405" t="s">
        <v>15</v>
      </c>
      <c r="E2405" t="s">
        <v>16</v>
      </c>
      <c r="F2405" s="1">
        <v>43834</v>
      </c>
      <c r="G2405">
        <v>2</v>
      </c>
      <c r="H2405">
        <v>2</v>
      </c>
      <c r="I2405">
        <v>13</v>
      </c>
      <c r="J2405">
        <v>11</v>
      </c>
      <c r="K2405">
        <v>0</v>
      </c>
      <c r="L2405">
        <v>447</v>
      </c>
      <c r="M2405">
        <v>15</v>
      </c>
      <c r="N2405" s="1">
        <f t="shared" si="296"/>
        <v>44938</v>
      </c>
      <c r="O2405" s="1">
        <f t="shared" si="297"/>
        <v>43101</v>
      </c>
      <c r="P2405" s="1">
        <f t="shared" si="298"/>
        <v>43922</v>
      </c>
      <c r="Q2405" s="8">
        <f t="shared" si="299"/>
        <v>0</v>
      </c>
      <c r="R2405" s="8">
        <f t="shared" si="300"/>
        <v>28</v>
      </c>
      <c r="S2405" s="8">
        <f t="shared" ca="1" si="301"/>
        <v>28</v>
      </c>
      <c r="T2405">
        <f t="shared" ca="1" si="302"/>
        <v>2.0101278265333771</v>
      </c>
      <c r="U2405" s="8">
        <f t="shared" ca="1" si="303"/>
        <v>1.1551454614165848</v>
      </c>
      <c r="V2405" s="8">
        <f ca="1">RawData[[#This Row],[Z (smoothed demand size)]]/RawData[[#This Row],[X (smoothed interval)]]</f>
        <v>1.740151256854098</v>
      </c>
    </row>
    <row r="2406" spans="1:22">
      <c r="A2406" t="s">
        <v>52</v>
      </c>
      <c r="B2406" t="s">
        <v>39</v>
      </c>
      <c r="C2406">
        <v>32</v>
      </c>
      <c r="D2406" t="s">
        <v>15</v>
      </c>
      <c r="E2406" t="s">
        <v>16</v>
      </c>
      <c r="F2406" s="1">
        <v>43835</v>
      </c>
      <c r="G2406">
        <v>1</v>
      </c>
      <c r="H2406">
        <v>1</v>
      </c>
      <c r="I2406">
        <v>11</v>
      </c>
      <c r="J2406">
        <v>10</v>
      </c>
      <c r="K2406">
        <v>0</v>
      </c>
      <c r="L2406">
        <v>452</v>
      </c>
      <c r="M2406">
        <v>15</v>
      </c>
      <c r="N2406" s="1">
        <f t="shared" si="296"/>
        <v>44938</v>
      </c>
      <c r="O2406" s="1">
        <f t="shared" si="297"/>
        <v>43101</v>
      </c>
      <c r="P2406" s="1">
        <f t="shared" si="298"/>
        <v>43952</v>
      </c>
      <c r="Q2406" s="8">
        <f t="shared" si="299"/>
        <v>0</v>
      </c>
      <c r="R2406" s="8">
        <f t="shared" si="300"/>
        <v>29</v>
      </c>
      <c r="S2406" s="8">
        <f t="shared" ca="1" si="301"/>
        <v>29</v>
      </c>
      <c r="T2406">
        <f t="shared" ca="1" si="302"/>
        <v>1.8081022612267017</v>
      </c>
      <c r="U2406" s="8">
        <f t="shared" ca="1" si="303"/>
        <v>1.1241163691332678</v>
      </c>
      <c r="V2406" s="8">
        <f ca="1">RawData[[#This Row],[Z (smoothed demand size)]]/RawData[[#This Row],[X (smoothed interval)]]</f>
        <v>1.6084653785629066</v>
      </c>
    </row>
    <row r="2407" spans="1:22">
      <c r="A2407" t="s">
        <v>52</v>
      </c>
      <c r="B2407" t="s">
        <v>39</v>
      </c>
      <c r="C2407">
        <v>32</v>
      </c>
      <c r="D2407" t="s">
        <v>15</v>
      </c>
      <c r="E2407" t="s">
        <v>16</v>
      </c>
      <c r="F2407" s="1">
        <v>43836</v>
      </c>
      <c r="G2407">
        <v>0</v>
      </c>
      <c r="H2407">
        <v>0</v>
      </c>
      <c r="I2407">
        <v>10</v>
      </c>
      <c r="J2407">
        <v>10</v>
      </c>
      <c r="K2407">
        <v>0</v>
      </c>
      <c r="L2407">
        <v>517</v>
      </c>
      <c r="M2407">
        <v>30</v>
      </c>
      <c r="N2407" s="1">
        <f t="shared" si="296"/>
        <v>44938</v>
      </c>
      <c r="O2407" s="1">
        <f t="shared" si="297"/>
        <v>43101</v>
      </c>
      <c r="P2407" s="1">
        <f t="shared" si="298"/>
        <v>43983</v>
      </c>
      <c r="Q2407" s="8">
        <f t="shared" si="299"/>
        <v>0</v>
      </c>
      <c r="R2407" s="8">
        <f t="shared" si="300"/>
        <v>30</v>
      </c>
      <c r="S2407" s="8">
        <f t="shared" ca="1" si="301"/>
        <v>29</v>
      </c>
      <c r="T2407">
        <f t="shared" ca="1" si="302"/>
        <v>1.8081022612267017</v>
      </c>
      <c r="U2407" s="8">
        <f t="shared" ca="1" si="303"/>
        <v>1.1241163691332678</v>
      </c>
      <c r="V2407" s="8">
        <f ca="1">RawData[[#This Row],[Z (smoothed demand size)]]/RawData[[#This Row],[X (smoothed interval)]]</f>
        <v>1.6084653785629066</v>
      </c>
    </row>
    <row r="2408" spans="1:22">
      <c r="A2408" t="s">
        <v>52</v>
      </c>
      <c r="B2408" t="s">
        <v>39</v>
      </c>
      <c r="C2408">
        <v>32</v>
      </c>
      <c r="D2408" t="s">
        <v>15</v>
      </c>
      <c r="E2408" t="s">
        <v>16</v>
      </c>
      <c r="F2408" s="1">
        <v>43837</v>
      </c>
      <c r="G2408">
        <v>4</v>
      </c>
      <c r="H2408">
        <v>4</v>
      </c>
      <c r="I2408">
        <v>10</v>
      </c>
      <c r="J2408">
        <v>6</v>
      </c>
      <c r="K2408">
        <v>0</v>
      </c>
      <c r="L2408">
        <v>519</v>
      </c>
      <c r="M2408">
        <v>60</v>
      </c>
      <c r="N2408" s="1">
        <f t="shared" si="296"/>
        <v>44938</v>
      </c>
      <c r="O2408" s="1">
        <f t="shared" si="297"/>
        <v>43101</v>
      </c>
      <c r="P2408" s="1">
        <f t="shared" si="298"/>
        <v>44013</v>
      </c>
      <c r="Q2408" s="8">
        <f t="shared" si="299"/>
        <v>0</v>
      </c>
      <c r="R2408" s="8">
        <f t="shared" si="300"/>
        <v>31</v>
      </c>
      <c r="S2408" s="8">
        <f t="shared" ca="1" si="301"/>
        <v>31</v>
      </c>
      <c r="T2408">
        <f t="shared" ca="1" si="302"/>
        <v>2.2464818089813612</v>
      </c>
      <c r="U2408" s="8">
        <f t="shared" ca="1" si="303"/>
        <v>1.2992930953066142</v>
      </c>
      <c r="V2408" s="8">
        <f ca="1">RawData[[#This Row],[Z (smoothed demand size)]]/RawData[[#This Row],[X (smoothed interval)]]</f>
        <v>1.7290031149216754</v>
      </c>
    </row>
    <row r="2409" spans="1:22">
      <c r="A2409" t="s">
        <v>52</v>
      </c>
      <c r="B2409" t="s">
        <v>39</v>
      </c>
      <c r="C2409">
        <v>32</v>
      </c>
      <c r="D2409" t="s">
        <v>15</v>
      </c>
      <c r="E2409" t="s">
        <v>16</v>
      </c>
      <c r="F2409" s="1">
        <v>43838</v>
      </c>
      <c r="G2409">
        <v>3</v>
      </c>
      <c r="H2409">
        <v>3</v>
      </c>
      <c r="I2409">
        <v>6</v>
      </c>
      <c r="J2409">
        <v>3</v>
      </c>
      <c r="K2409">
        <v>0</v>
      </c>
      <c r="L2409">
        <v>521</v>
      </c>
      <c r="M2409">
        <v>60</v>
      </c>
      <c r="N2409" s="1">
        <f t="shared" si="296"/>
        <v>44938</v>
      </c>
      <c r="O2409" s="1">
        <f t="shared" si="297"/>
        <v>43101</v>
      </c>
      <c r="P2409" s="1">
        <f t="shared" si="298"/>
        <v>44044</v>
      </c>
      <c r="Q2409" s="8">
        <f t="shared" si="299"/>
        <v>0</v>
      </c>
      <c r="R2409" s="8">
        <f t="shared" si="300"/>
        <v>32</v>
      </c>
      <c r="S2409" s="8">
        <f t="shared" ca="1" si="301"/>
        <v>32</v>
      </c>
      <c r="T2409">
        <f t="shared" ca="1" si="302"/>
        <v>2.3971854471850893</v>
      </c>
      <c r="U2409" s="8">
        <f t="shared" ca="1" si="303"/>
        <v>1.2394344762452913</v>
      </c>
      <c r="V2409" s="8">
        <f ca="1">RawData[[#This Row],[Z (smoothed demand size)]]/RawData[[#This Row],[X (smoothed interval)]]</f>
        <v>1.9340961487912267</v>
      </c>
    </row>
    <row r="2410" spans="1:22">
      <c r="A2410" t="s">
        <v>52</v>
      </c>
      <c r="B2410" t="s">
        <v>39</v>
      </c>
      <c r="C2410">
        <v>32</v>
      </c>
      <c r="D2410" t="s">
        <v>15</v>
      </c>
      <c r="E2410" t="s">
        <v>16</v>
      </c>
      <c r="F2410" s="1">
        <v>43839</v>
      </c>
      <c r="G2410">
        <v>2</v>
      </c>
      <c r="H2410">
        <v>2</v>
      </c>
      <c r="I2410">
        <v>3</v>
      </c>
      <c r="J2410">
        <v>1</v>
      </c>
      <c r="K2410">
        <v>0</v>
      </c>
      <c r="L2410">
        <v>447</v>
      </c>
      <c r="M2410">
        <v>60</v>
      </c>
      <c r="N2410" s="1">
        <f t="shared" si="296"/>
        <v>44938</v>
      </c>
      <c r="O2410" s="1">
        <f t="shared" si="297"/>
        <v>43101</v>
      </c>
      <c r="P2410" s="1">
        <f t="shared" si="298"/>
        <v>44075</v>
      </c>
      <c r="Q2410" s="8">
        <f t="shared" si="299"/>
        <v>0</v>
      </c>
      <c r="R2410" s="8">
        <f t="shared" si="300"/>
        <v>33</v>
      </c>
      <c r="S2410" s="8">
        <f t="shared" ca="1" si="301"/>
        <v>33</v>
      </c>
      <c r="T2410">
        <f t="shared" ca="1" si="302"/>
        <v>2.3177483577480715</v>
      </c>
      <c r="U2410" s="8">
        <f t="shared" ca="1" si="303"/>
        <v>1.191547580996233</v>
      </c>
      <c r="V2410" s="8">
        <f ca="1">RawData[[#This Row],[Z (smoothed demand size)]]/RawData[[#This Row],[X (smoothed interval)]]</f>
        <v>1.9451580404453852</v>
      </c>
    </row>
    <row r="2411" spans="1:22">
      <c r="A2411" t="s">
        <v>52</v>
      </c>
      <c r="B2411" t="s">
        <v>39</v>
      </c>
      <c r="C2411">
        <v>32</v>
      </c>
      <c r="D2411" t="s">
        <v>15</v>
      </c>
      <c r="E2411" t="s">
        <v>16</v>
      </c>
      <c r="F2411" s="1">
        <v>43840</v>
      </c>
      <c r="G2411">
        <v>4</v>
      </c>
      <c r="H2411">
        <v>4</v>
      </c>
      <c r="I2411">
        <v>8</v>
      </c>
      <c r="J2411">
        <v>4</v>
      </c>
      <c r="K2411">
        <v>0</v>
      </c>
      <c r="L2411">
        <v>459</v>
      </c>
      <c r="M2411">
        <v>15</v>
      </c>
      <c r="N2411" s="1">
        <f t="shared" si="296"/>
        <v>44938</v>
      </c>
      <c r="O2411" s="1">
        <f t="shared" si="297"/>
        <v>43101</v>
      </c>
      <c r="P2411" s="1">
        <f t="shared" si="298"/>
        <v>44105</v>
      </c>
      <c r="Q2411" s="8">
        <f t="shared" si="299"/>
        <v>0</v>
      </c>
      <c r="R2411" s="8">
        <f t="shared" si="300"/>
        <v>34</v>
      </c>
      <c r="S2411" s="8">
        <f t="shared" ca="1" si="301"/>
        <v>34</v>
      </c>
      <c r="T2411">
        <f t="shared" ca="1" si="302"/>
        <v>2.6541986861984572</v>
      </c>
      <c r="U2411" s="8">
        <f t="shared" ca="1" si="303"/>
        <v>1.1532380647969864</v>
      </c>
      <c r="V2411" s="8">
        <f ca="1">RawData[[#This Row],[Z (smoothed demand size)]]/RawData[[#This Row],[X (smoothed interval)]]</f>
        <v>2.3015184524504027</v>
      </c>
    </row>
    <row r="2412" spans="1:22">
      <c r="A2412" t="s">
        <v>52</v>
      </c>
      <c r="B2412" t="s">
        <v>39</v>
      </c>
      <c r="C2412">
        <v>32</v>
      </c>
      <c r="D2412" t="s">
        <v>15</v>
      </c>
      <c r="E2412" t="s">
        <v>16</v>
      </c>
      <c r="F2412" s="1">
        <v>43841</v>
      </c>
      <c r="G2412">
        <v>1</v>
      </c>
      <c r="H2412">
        <v>1</v>
      </c>
      <c r="I2412">
        <v>4</v>
      </c>
      <c r="J2412">
        <v>3</v>
      </c>
      <c r="K2412">
        <v>0</v>
      </c>
      <c r="L2412">
        <v>459</v>
      </c>
      <c r="M2412">
        <v>60</v>
      </c>
      <c r="N2412" s="1">
        <f t="shared" si="296"/>
        <v>44938</v>
      </c>
      <c r="O2412" s="1">
        <f t="shared" si="297"/>
        <v>43101</v>
      </c>
      <c r="P2412" s="1">
        <f t="shared" si="298"/>
        <v>44136</v>
      </c>
      <c r="Q2412" s="8">
        <f t="shared" si="299"/>
        <v>0</v>
      </c>
      <c r="R2412" s="8">
        <f t="shared" si="300"/>
        <v>35</v>
      </c>
      <c r="S2412" s="8">
        <f t="shared" ca="1" si="301"/>
        <v>35</v>
      </c>
      <c r="T2412">
        <f t="shared" ca="1" si="302"/>
        <v>2.323358948958766</v>
      </c>
      <c r="U2412" s="8">
        <f t="shared" ca="1" si="303"/>
        <v>1.1225904518375891</v>
      </c>
      <c r="V2412" s="8">
        <f ca="1">RawData[[#This Row],[Z (smoothed demand size)]]/RawData[[#This Row],[X (smoothed interval)]]</f>
        <v>2.0696407538079598</v>
      </c>
    </row>
    <row r="2413" spans="1:22">
      <c r="A2413" t="s">
        <v>52</v>
      </c>
      <c r="B2413" t="s">
        <v>39</v>
      </c>
      <c r="C2413">
        <v>32</v>
      </c>
      <c r="D2413" t="s">
        <v>15</v>
      </c>
      <c r="E2413" t="s">
        <v>16</v>
      </c>
      <c r="F2413" s="1">
        <v>43842</v>
      </c>
      <c r="G2413">
        <v>3</v>
      </c>
      <c r="H2413">
        <v>3</v>
      </c>
      <c r="I2413">
        <v>3</v>
      </c>
      <c r="J2413">
        <v>0</v>
      </c>
      <c r="K2413">
        <v>0</v>
      </c>
      <c r="L2413">
        <v>519</v>
      </c>
      <c r="M2413">
        <v>45</v>
      </c>
      <c r="N2413" s="1">
        <f t="shared" si="296"/>
        <v>44938</v>
      </c>
      <c r="O2413" s="1">
        <f t="shared" si="297"/>
        <v>43101</v>
      </c>
      <c r="P2413" s="1">
        <f t="shared" si="298"/>
        <v>44166</v>
      </c>
      <c r="Q2413" s="8">
        <f t="shared" si="299"/>
        <v>0</v>
      </c>
      <c r="R2413" s="8">
        <f t="shared" si="300"/>
        <v>36</v>
      </c>
      <c r="S2413" s="8">
        <f t="shared" ca="1" si="301"/>
        <v>36</v>
      </c>
      <c r="T2413">
        <f t="shared" ca="1" si="302"/>
        <v>2.4586871591670132</v>
      </c>
      <c r="U2413" s="8">
        <f t="shared" ca="1" si="303"/>
        <v>1.0980723614700714</v>
      </c>
      <c r="V2413" s="8">
        <f ca="1">RawData[[#This Row],[Z (smoothed demand size)]]/RawData[[#This Row],[X (smoothed interval)]]</f>
        <v>2.239093929907666</v>
      </c>
    </row>
    <row r="2414" spans="1:22">
      <c r="A2414" t="s">
        <v>52</v>
      </c>
      <c r="B2414" t="s">
        <v>39</v>
      </c>
      <c r="C2414">
        <v>32</v>
      </c>
      <c r="D2414" t="s">
        <v>15</v>
      </c>
      <c r="E2414" t="s">
        <v>16</v>
      </c>
      <c r="F2414" s="1">
        <v>44197</v>
      </c>
      <c r="G2414">
        <v>0</v>
      </c>
      <c r="H2414">
        <v>0</v>
      </c>
      <c r="I2414">
        <v>8</v>
      </c>
      <c r="J2414">
        <v>8</v>
      </c>
      <c r="K2414">
        <v>0</v>
      </c>
      <c r="L2414">
        <v>459</v>
      </c>
      <c r="M2414">
        <v>45</v>
      </c>
      <c r="N2414" s="1">
        <f t="shared" si="296"/>
        <v>44938</v>
      </c>
      <c r="O2414" s="1">
        <f t="shared" si="297"/>
        <v>43101</v>
      </c>
      <c r="P2414" s="1">
        <f t="shared" si="298"/>
        <v>44197</v>
      </c>
      <c r="Q2414" s="8">
        <f t="shared" si="299"/>
        <v>0</v>
      </c>
      <c r="R2414" s="8">
        <f t="shared" si="300"/>
        <v>37</v>
      </c>
      <c r="S2414" s="8">
        <f t="shared" ca="1" si="301"/>
        <v>36</v>
      </c>
      <c r="T2414">
        <f t="shared" ca="1" si="302"/>
        <v>2.4586871591670132</v>
      </c>
      <c r="U2414" s="8">
        <f t="shared" ca="1" si="303"/>
        <v>1.0980723614700714</v>
      </c>
      <c r="V2414" s="8">
        <f ca="1">RawData[[#This Row],[Z (smoothed demand size)]]/RawData[[#This Row],[X (smoothed interval)]]</f>
        <v>2.239093929907666</v>
      </c>
    </row>
    <row r="2415" spans="1:22">
      <c r="A2415" t="s">
        <v>52</v>
      </c>
      <c r="B2415" t="s">
        <v>39</v>
      </c>
      <c r="C2415">
        <v>32</v>
      </c>
      <c r="D2415" t="s">
        <v>15</v>
      </c>
      <c r="E2415" t="s">
        <v>16</v>
      </c>
      <c r="F2415" s="1">
        <v>44198</v>
      </c>
      <c r="G2415">
        <v>1</v>
      </c>
      <c r="H2415">
        <v>1</v>
      </c>
      <c r="I2415">
        <v>8</v>
      </c>
      <c r="J2415">
        <v>7</v>
      </c>
      <c r="K2415">
        <v>0</v>
      </c>
      <c r="L2415">
        <v>454</v>
      </c>
      <c r="M2415">
        <v>60</v>
      </c>
      <c r="N2415" s="1">
        <f t="shared" si="296"/>
        <v>44938</v>
      </c>
      <c r="O2415" s="1">
        <f t="shared" si="297"/>
        <v>43101</v>
      </c>
      <c r="P2415" s="1">
        <f t="shared" si="298"/>
        <v>44228</v>
      </c>
      <c r="Q2415" s="8">
        <f t="shared" si="299"/>
        <v>0</v>
      </c>
      <c r="R2415" s="8">
        <f t="shared" si="300"/>
        <v>38</v>
      </c>
      <c r="S2415" s="8">
        <f t="shared" ca="1" si="301"/>
        <v>38</v>
      </c>
      <c r="T2415">
        <f t="shared" ca="1" si="302"/>
        <v>2.1669497273336109</v>
      </c>
      <c r="U2415" s="8">
        <f t="shared" ca="1" si="303"/>
        <v>1.2784578891760572</v>
      </c>
      <c r="V2415" s="8">
        <f ca="1">RawData[[#This Row],[Z (smoothed demand size)]]/RawData[[#This Row],[X (smoothed interval)]]</f>
        <v>1.6949715322498189</v>
      </c>
    </row>
    <row r="2416" spans="1:22">
      <c r="A2416" t="s">
        <v>52</v>
      </c>
      <c r="B2416" t="s">
        <v>39</v>
      </c>
      <c r="C2416">
        <v>32</v>
      </c>
      <c r="D2416" t="s">
        <v>15</v>
      </c>
      <c r="E2416" t="s">
        <v>16</v>
      </c>
      <c r="F2416" s="1">
        <v>44199</v>
      </c>
      <c r="G2416">
        <v>0</v>
      </c>
      <c r="H2416">
        <v>0</v>
      </c>
      <c r="I2416">
        <v>7</v>
      </c>
      <c r="J2416">
        <v>7</v>
      </c>
      <c r="K2416">
        <v>0</v>
      </c>
      <c r="L2416">
        <v>457</v>
      </c>
      <c r="M2416">
        <v>45</v>
      </c>
      <c r="N2416" s="1">
        <f t="shared" si="296"/>
        <v>44938</v>
      </c>
      <c r="O2416" s="1">
        <f t="shared" si="297"/>
        <v>43101</v>
      </c>
      <c r="P2416" s="1">
        <f t="shared" si="298"/>
        <v>44256</v>
      </c>
      <c r="Q2416" s="8">
        <f t="shared" si="299"/>
        <v>0</v>
      </c>
      <c r="R2416" s="8">
        <f t="shared" si="300"/>
        <v>39</v>
      </c>
      <c r="S2416" s="8">
        <f t="shared" ca="1" si="301"/>
        <v>38</v>
      </c>
      <c r="T2416">
        <f t="shared" ca="1" si="302"/>
        <v>2.1669497273336109</v>
      </c>
      <c r="U2416" s="8">
        <f t="shared" ca="1" si="303"/>
        <v>1.2784578891760572</v>
      </c>
      <c r="V2416" s="8">
        <f ca="1">RawData[[#This Row],[Z (smoothed demand size)]]/RawData[[#This Row],[X (smoothed interval)]]</f>
        <v>1.6949715322498189</v>
      </c>
    </row>
    <row r="2417" spans="1:22">
      <c r="A2417" t="s">
        <v>52</v>
      </c>
      <c r="B2417" t="s">
        <v>39</v>
      </c>
      <c r="C2417">
        <v>32</v>
      </c>
      <c r="D2417" t="s">
        <v>15</v>
      </c>
      <c r="E2417" t="s">
        <v>16</v>
      </c>
      <c r="F2417" s="1">
        <v>44200</v>
      </c>
      <c r="G2417">
        <v>4</v>
      </c>
      <c r="H2417">
        <v>4</v>
      </c>
      <c r="I2417">
        <v>7</v>
      </c>
      <c r="J2417">
        <v>3</v>
      </c>
      <c r="K2417">
        <v>0</v>
      </c>
      <c r="L2417">
        <v>446</v>
      </c>
      <c r="M2417">
        <v>15</v>
      </c>
      <c r="N2417" s="1">
        <f t="shared" si="296"/>
        <v>44938</v>
      </c>
      <c r="O2417" s="1">
        <f t="shared" si="297"/>
        <v>43101</v>
      </c>
      <c r="P2417" s="1">
        <f t="shared" si="298"/>
        <v>44287</v>
      </c>
      <c r="Q2417" s="8">
        <f t="shared" si="299"/>
        <v>0</v>
      </c>
      <c r="R2417" s="8">
        <f t="shared" si="300"/>
        <v>40</v>
      </c>
      <c r="S2417" s="8">
        <f t="shared" ca="1" si="301"/>
        <v>40</v>
      </c>
      <c r="T2417">
        <f t="shared" ca="1" si="302"/>
        <v>2.5335597818668889</v>
      </c>
      <c r="U2417" s="8">
        <f t="shared" ca="1" si="303"/>
        <v>1.4227663113408457</v>
      </c>
      <c r="V2417" s="8">
        <f ca="1">RawData[[#This Row],[Z (smoothed demand size)]]/RawData[[#This Row],[X (smoothed interval)]]</f>
        <v>1.7807279815890547</v>
      </c>
    </row>
    <row r="2418" spans="1:22">
      <c r="A2418" t="s">
        <v>52</v>
      </c>
      <c r="B2418" t="s">
        <v>39</v>
      </c>
      <c r="C2418">
        <v>32</v>
      </c>
      <c r="D2418" t="s">
        <v>15</v>
      </c>
      <c r="E2418" t="s">
        <v>16</v>
      </c>
      <c r="F2418" s="1">
        <v>44201</v>
      </c>
      <c r="G2418">
        <v>2</v>
      </c>
      <c r="H2418">
        <v>2</v>
      </c>
      <c r="I2418">
        <v>15</v>
      </c>
      <c r="J2418">
        <v>13</v>
      </c>
      <c r="K2418">
        <v>0</v>
      </c>
      <c r="L2418">
        <v>450</v>
      </c>
      <c r="M2418">
        <v>30</v>
      </c>
      <c r="N2418" s="1">
        <f t="shared" si="296"/>
        <v>44938</v>
      </c>
      <c r="O2418" s="1">
        <f t="shared" si="297"/>
        <v>43101</v>
      </c>
      <c r="P2418" s="1">
        <f t="shared" si="298"/>
        <v>44317</v>
      </c>
      <c r="Q2418" s="8">
        <f t="shared" si="299"/>
        <v>0</v>
      </c>
      <c r="R2418" s="8">
        <f t="shared" si="300"/>
        <v>41</v>
      </c>
      <c r="S2418" s="8">
        <f t="shared" ca="1" si="301"/>
        <v>41</v>
      </c>
      <c r="T2418">
        <f t="shared" ca="1" si="302"/>
        <v>2.4268478254935113</v>
      </c>
      <c r="U2418" s="8">
        <f t="shared" ca="1" si="303"/>
        <v>1.3382130490726767</v>
      </c>
      <c r="V2418" s="8">
        <f ca="1">RawData[[#This Row],[Z (smoothed demand size)]]/RawData[[#This Row],[X (smoothed interval)]]</f>
        <v>1.8134988499590639</v>
      </c>
    </row>
    <row r="2419" spans="1:22">
      <c r="A2419" t="s">
        <v>52</v>
      </c>
      <c r="B2419" t="s">
        <v>39</v>
      </c>
      <c r="C2419">
        <v>32</v>
      </c>
      <c r="D2419" t="s">
        <v>15</v>
      </c>
      <c r="E2419" t="s">
        <v>16</v>
      </c>
      <c r="F2419" s="1">
        <v>44202</v>
      </c>
      <c r="G2419">
        <v>3</v>
      </c>
      <c r="H2419">
        <v>3</v>
      </c>
      <c r="I2419">
        <v>13</v>
      </c>
      <c r="J2419">
        <v>10</v>
      </c>
      <c r="K2419">
        <v>0</v>
      </c>
      <c r="L2419">
        <v>523</v>
      </c>
      <c r="M2419">
        <v>60</v>
      </c>
      <c r="N2419" s="1">
        <f t="shared" si="296"/>
        <v>44938</v>
      </c>
      <c r="O2419" s="1">
        <f t="shared" si="297"/>
        <v>43101</v>
      </c>
      <c r="P2419" s="1">
        <f t="shared" si="298"/>
        <v>44348</v>
      </c>
      <c r="Q2419" s="8">
        <f t="shared" si="299"/>
        <v>0</v>
      </c>
      <c r="R2419" s="8">
        <f t="shared" si="300"/>
        <v>42</v>
      </c>
      <c r="S2419" s="8">
        <f t="shared" ca="1" si="301"/>
        <v>42</v>
      </c>
      <c r="T2419">
        <f t="shared" ca="1" si="302"/>
        <v>2.5414782603948094</v>
      </c>
      <c r="U2419" s="8">
        <f t="shared" ca="1" si="303"/>
        <v>1.2705704392581414</v>
      </c>
      <c r="V2419" s="8">
        <f ca="1">RawData[[#This Row],[Z (smoothed demand size)]]/RawData[[#This Row],[X (smoothed interval)]]</f>
        <v>2.0002655357531562</v>
      </c>
    </row>
    <row r="2420" spans="1:22">
      <c r="A2420" t="s">
        <v>52</v>
      </c>
      <c r="B2420" t="s">
        <v>39</v>
      </c>
      <c r="C2420">
        <v>32</v>
      </c>
      <c r="D2420" t="s">
        <v>15</v>
      </c>
      <c r="E2420" t="s">
        <v>16</v>
      </c>
      <c r="F2420" s="1">
        <v>44203</v>
      </c>
      <c r="G2420">
        <v>5</v>
      </c>
      <c r="H2420">
        <v>5</v>
      </c>
      <c r="I2420">
        <v>10</v>
      </c>
      <c r="J2420">
        <v>5</v>
      </c>
      <c r="K2420">
        <v>0</v>
      </c>
      <c r="L2420">
        <v>519</v>
      </c>
      <c r="M2420">
        <v>15</v>
      </c>
      <c r="N2420" s="1">
        <f t="shared" si="296"/>
        <v>44938</v>
      </c>
      <c r="O2420" s="1">
        <f t="shared" si="297"/>
        <v>43101</v>
      </c>
      <c r="P2420" s="1">
        <f t="shared" si="298"/>
        <v>44378</v>
      </c>
      <c r="Q2420" s="8">
        <f t="shared" si="299"/>
        <v>0</v>
      </c>
      <c r="R2420" s="8">
        <f t="shared" si="300"/>
        <v>43</v>
      </c>
      <c r="S2420" s="8">
        <f t="shared" ca="1" si="301"/>
        <v>43</v>
      </c>
      <c r="T2420">
        <f t="shared" ca="1" si="302"/>
        <v>3.0331826083158475</v>
      </c>
      <c r="U2420" s="8">
        <f t="shared" ca="1" si="303"/>
        <v>1.2164563514065132</v>
      </c>
      <c r="V2420" s="8">
        <f ca="1">RawData[[#This Row],[Z (smoothed demand size)]]/RawData[[#This Row],[X (smoothed interval)]]</f>
        <v>2.4934578251071371</v>
      </c>
    </row>
    <row r="2421" spans="1:22">
      <c r="A2421" t="s">
        <v>52</v>
      </c>
      <c r="B2421" t="s">
        <v>39</v>
      </c>
      <c r="C2421">
        <v>32</v>
      </c>
      <c r="D2421" t="s">
        <v>15</v>
      </c>
      <c r="E2421" t="s">
        <v>16</v>
      </c>
      <c r="F2421" s="1">
        <v>44204</v>
      </c>
      <c r="G2421">
        <v>0</v>
      </c>
      <c r="H2421">
        <v>0</v>
      </c>
      <c r="I2421">
        <v>5</v>
      </c>
      <c r="J2421">
        <v>5</v>
      </c>
      <c r="K2421">
        <v>0</v>
      </c>
      <c r="L2421">
        <v>519</v>
      </c>
      <c r="M2421">
        <v>60</v>
      </c>
      <c r="N2421" s="1">
        <f t="shared" si="296"/>
        <v>44938</v>
      </c>
      <c r="O2421" s="1">
        <f t="shared" si="297"/>
        <v>43101</v>
      </c>
      <c r="P2421" s="1">
        <f t="shared" si="298"/>
        <v>44409</v>
      </c>
      <c r="Q2421" s="8">
        <f t="shared" si="299"/>
        <v>0</v>
      </c>
      <c r="R2421" s="8">
        <f t="shared" si="300"/>
        <v>44</v>
      </c>
      <c r="S2421" s="8">
        <f t="shared" ca="1" si="301"/>
        <v>43</v>
      </c>
      <c r="T2421">
        <f t="shared" ca="1" si="302"/>
        <v>3.0331826083158475</v>
      </c>
      <c r="U2421" s="8">
        <f t="shared" ca="1" si="303"/>
        <v>1.2164563514065132</v>
      </c>
      <c r="V2421" s="8">
        <f ca="1">RawData[[#This Row],[Z (smoothed demand size)]]/RawData[[#This Row],[X (smoothed interval)]]</f>
        <v>2.4934578251071371</v>
      </c>
    </row>
    <row r="2422" spans="1:22">
      <c r="A2422" t="s">
        <v>52</v>
      </c>
      <c r="B2422" t="s">
        <v>39</v>
      </c>
      <c r="C2422">
        <v>32</v>
      </c>
      <c r="D2422" t="s">
        <v>15</v>
      </c>
      <c r="E2422" t="s">
        <v>16</v>
      </c>
      <c r="F2422" s="1">
        <v>44205</v>
      </c>
      <c r="G2422">
        <v>3</v>
      </c>
      <c r="H2422">
        <v>3</v>
      </c>
      <c r="I2422">
        <v>5</v>
      </c>
      <c r="J2422">
        <v>2</v>
      </c>
      <c r="K2422">
        <v>0</v>
      </c>
      <c r="L2422">
        <v>451</v>
      </c>
      <c r="M2422">
        <v>30</v>
      </c>
      <c r="N2422" s="1">
        <f t="shared" si="296"/>
        <v>44938</v>
      </c>
      <c r="O2422" s="1">
        <f t="shared" si="297"/>
        <v>43101</v>
      </c>
      <c r="P2422" s="1">
        <f t="shared" si="298"/>
        <v>44440</v>
      </c>
      <c r="Q2422" s="8">
        <f t="shared" si="299"/>
        <v>0</v>
      </c>
      <c r="R2422" s="8">
        <f t="shared" si="300"/>
        <v>45</v>
      </c>
      <c r="S2422" s="8">
        <f t="shared" ca="1" si="301"/>
        <v>45</v>
      </c>
      <c r="T2422">
        <f t="shared" ca="1" si="302"/>
        <v>3.0265460866526781</v>
      </c>
      <c r="U2422" s="8">
        <f t="shared" ca="1" si="303"/>
        <v>1.3731650811252107</v>
      </c>
      <c r="V2422" s="8">
        <f ca="1">RawData[[#This Row],[Z (smoothed demand size)]]/RawData[[#This Row],[X (smoothed interval)]]</f>
        <v>2.20406572250777</v>
      </c>
    </row>
    <row r="2423" spans="1:22">
      <c r="A2423" t="s">
        <v>52</v>
      </c>
      <c r="B2423" t="s">
        <v>39</v>
      </c>
      <c r="C2423">
        <v>32</v>
      </c>
      <c r="D2423" t="s">
        <v>15</v>
      </c>
      <c r="E2423" t="s">
        <v>16</v>
      </c>
      <c r="F2423" s="1">
        <v>44206</v>
      </c>
      <c r="G2423">
        <v>4</v>
      </c>
      <c r="H2423">
        <v>4</v>
      </c>
      <c r="I2423">
        <v>14</v>
      </c>
      <c r="J2423">
        <v>10</v>
      </c>
      <c r="K2423">
        <v>0</v>
      </c>
      <c r="L2423">
        <v>454</v>
      </c>
      <c r="M2423">
        <v>60</v>
      </c>
      <c r="N2423" s="1">
        <f t="shared" si="296"/>
        <v>44938</v>
      </c>
      <c r="O2423" s="1">
        <f t="shared" si="297"/>
        <v>43101</v>
      </c>
      <c r="P2423" s="1">
        <f t="shared" si="298"/>
        <v>44470</v>
      </c>
      <c r="Q2423" s="8">
        <f t="shared" si="299"/>
        <v>0</v>
      </c>
      <c r="R2423" s="8">
        <f t="shared" si="300"/>
        <v>46</v>
      </c>
      <c r="S2423" s="8">
        <f t="shared" ca="1" si="301"/>
        <v>46</v>
      </c>
      <c r="T2423">
        <f t="shared" ca="1" si="302"/>
        <v>3.2212368693221425</v>
      </c>
      <c r="U2423" s="8">
        <f t="shared" ca="1" si="303"/>
        <v>1.2985320649001686</v>
      </c>
      <c r="V2423" s="8">
        <f ca="1">RawData[[#This Row],[Z (smoothed demand size)]]/RawData[[#This Row],[X (smoothed interval)]]</f>
        <v>2.4806756462881738</v>
      </c>
    </row>
    <row r="2424" spans="1:22">
      <c r="A2424" t="s">
        <v>52</v>
      </c>
      <c r="B2424" t="s">
        <v>39</v>
      </c>
      <c r="C2424">
        <v>32</v>
      </c>
      <c r="D2424" t="s">
        <v>15</v>
      </c>
      <c r="E2424" t="s">
        <v>16</v>
      </c>
      <c r="F2424" s="1">
        <v>44207</v>
      </c>
      <c r="G2424">
        <v>0</v>
      </c>
      <c r="H2424">
        <v>0</v>
      </c>
      <c r="I2424">
        <v>10</v>
      </c>
      <c r="J2424">
        <v>10</v>
      </c>
      <c r="K2424">
        <v>0</v>
      </c>
      <c r="L2424">
        <v>452</v>
      </c>
      <c r="M2424">
        <v>60</v>
      </c>
      <c r="N2424" s="1">
        <f t="shared" si="296"/>
        <v>44938</v>
      </c>
      <c r="O2424" s="1">
        <f t="shared" si="297"/>
        <v>43101</v>
      </c>
      <c r="P2424" s="1">
        <f t="shared" si="298"/>
        <v>44501</v>
      </c>
      <c r="Q2424" s="8">
        <f t="shared" si="299"/>
        <v>0</v>
      </c>
      <c r="R2424" s="8">
        <f t="shared" si="300"/>
        <v>47</v>
      </c>
      <c r="S2424" s="8">
        <f t="shared" ca="1" si="301"/>
        <v>46</v>
      </c>
      <c r="T2424">
        <f t="shared" ca="1" si="302"/>
        <v>3.2212368693221425</v>
      </c>
      <c r="U2424" s="8">
        <f t="shared" ca="1" si="303"/>
        <v>1.2985320649001686</v>
      </c>
      <c r="V2424" s="8">
        <f ca="1">RawData[[#This Row],[Z (smoothed demand size)]]/RawData[[#This Row],[X (smoothed interval)]]</f>
        <v>2.4806756462881738</v>
      </c>
    </row>
    <row r="2425" spans="1:22">
      <c r="A2425" t="s">
        <v>52</v>
      </c>
      <c r="B2425" t="s">
        <v>39</v>
      </c>
      <c r="C2425">
        <v>32</v>
      </c>
      <c r="D2425" t="s">
        <v>15</v>
      </c>
      <c r="E2425" t="s">
        <v>16</v>
      </c>
      <c r="F2425" s="1">
        <v>44208</v>
      </c>
      <c r="G2425">
        <v>0</v>
      </c>
      <c r="H2425">
        <v>0</v>
      </c>
      <c r="I2425">
        <v>10</v>
      </c>
      <c r="J2425">
        <v>10</v>
      </c>
      <c r="K2425">
        <v>0</v>
      </c>
      <c r="L2425">
        <v>528</v>
      </c>
      <c r="M2425">
        <v>15</v>
      </c>
      <c r="N2425" s="1">
        <f t="shared" si="296"/>
        <v>44938</v>
      </c>
      <c r="O2425" s="1">
        <f t="shared" si="297"/>
        <v>43101</v>
      </c>
      <c r="P2425" s="1">
        <f t="shared" si="298"/>
        <v>44531</v>
      </c>
      <c r="Q2425" s="8">
        <f t="shared" si="299"/>
        <v>0</v>
      </c>
      <c r="R2425" s="8">
        <f t="shared" si="300"/>
        <v>48</v>
      </c>
      <c r="S2425" s="8">
        <f t="shared" ca="1" si="301"/>
        <v>46</v>
      </c>
      <c r="T2425">
        <f t="shared" ca="1" si="302"/>
        <v>3.2212368693221425</v>
      </c>
      <c r="U2425" s="8">
        <f t="shared" ca="1" si="303"/>
        <v>1.2985320649001686</v>
      </c>
      <c r="V2425" s="8">
        <f ca="1">RawData[[#This Row],[Z (smoothed demand size)]]/RawData[[#This Row],[X (smoothed interval)]]</f>
        <v>2.4806756462881738</v>
      </c>
    </row>
    <row r="2426" spans="1:22">
      <c r="A2426" t="s">
        <v>52</v>
      </c>
      <c r="B2426" t="s">
        <v>39</v>
      </c>
      <c r="C2426">
        <v>32</v>
      </c>
      <c r="D2426" t="s">
        <v>15</v>
      </c>
      <c r="E2426" t="s">
        <v>16</v>
      </c>
      <c r="F2426" s="1">
        <v>44562</v>
      </c>
      <c r="G2426">
        <v>3</v>
      </c>
      <c r="H2426">
        <v>3</v>
      </c>
      <c r="I2426">
        <v>10</v>
      </c>
      <c r="J2426">
        <v>7</v>
      </c>
      <c r="K2426">
        <v>0</v>
      </c>
      <c r="L2426">
        <v>446</v>
      </c>
      <c r="M2426">
        <v>45</v>
      </c>
      <c r="N2426" s="1">
        <f t="shared" si="296"/>
        <v>44938</v>
      </c>
      <c r="O2426" s="1">
        <f t="shared" si="297"/>
        <v>43101</v>
      </c>
      <c r="P2426" s="1">
        <f t="shared" si="298"/>
        <v>44562</v>
      </c>
      <c r="Q2426" s="8">
        <f t="shared" si="299"/>
        <v>0</v>
      </c>
      <c r="R2426" s="8">
        <f t="shared" si="300"/>
        <v>49</v>
      </c>
      <c r="S2426" s="8">
        <f t="shared" ca="1" si="301"/>
        <v>49</v>
      </c>
      <c r="T2426">
        <f t="shared" ca="1" si="302"/>
        <v>3.1769894954577143</v>
      </c>
      <c r="U2426" s="8">
        <f t="shared" ca="1" si="303"/>
        <v>1.638825651920135</v>
      </c>
      <c r="V2426" s="8">
        <f ca="1">RawData[[#This Row],[Z (smoothed demand size)]]/RawData[[#This Row],[X (smoothed interval)]]</f>
        <v>1.938576865535016</v>
      </c>
    </row>
    <row r="2427" spans="1:22">
      <c r="A2427" t="s">
        <v>52</v>
      </c>
      <c r="B2427" t="s">
        <v>39</v>
      </c>
      <c r="C2427">
        <v>32</v>
      </c>
      <c r="D2427" t="s">
        <v>15</v>
      </c>
      <c r="E2427" t="s">
        <v>16</v>
      </c>
      <c r="F2427" s="1">
        <v>44563</v>
      </c>
      <c r="G2427">
        <v>1</v>
      </c>
      <c r="H2427">
        <v>1</v>
      </c>
      <c r="I2427">
        <v>7</v>
      </c>
      <c r="J2427">
        <v>6</v>
      </c>
      <c r="K2427">
        <v>0</v>
      </c>
      <c r="L2427">
        <v>451</v>
      </c>
      <c r="M2427">
        <v>45</v>
      </c>
      <c r="N2427" s="1">
        <f t="shared" si="296"/>
        <v>44938</v>
      </c>
      <c r="O2427" s="1">
        <f t="shared" si="297"/>
        <v>43101</v>
      </c>
      <c r="P2427" s="1">
        <f t="shared" si="298"/>
        <v>44593</v>
      </c>
      <c r="Q2427" s="8">
        <f t="shared" si="299"/>
        <v>0</v>
      </c>
      <c r="R2427" s="8">
        <f t="shared" si="300"/>
        <v>50</v>
      </c>
      <c r="S2427" s="8">
        <f t="shared" ca="1" si="301"/>
        <v>50</v>
      </c>
      <c r="T2427">
        <f t="shared" ca="1" si="302"/>
        <v>2.7415915963661717</v>
      </c>
      <c r="U2427" s="8">
        <f t="shared" ca="1" si="303"/>
        <v>1.5110605215361079</v>
      </c>
      <c r="V2427" s="8">
        <f ca="1">RawData[[#This Row],[Z (smoothed demand size)]]/RawData[[#This Row],[X (smoothed interval)]]</f>
        <v>1.814349297921658</v>
      </c>
    </row>
    <row r="2428" spans="1:22">
      <c r="A2428" t="s">
        <v>52</v>
      </c>
      <c r="B2428" t="s">
        <v>39</v>
      </c>
      <c r="C2428">
        <v>32</v>
      </c>
      <c r="D2428" t="s">
        <v>15</v>
      </c>
      <c r="E2428" t="s">
        <v>16</v>
      </c>
      <c r="F2428" s="1">
        <v>44564</v>
      </c>
      <c r="G2428">
        <v>5</v>
      </c>
      <c r="H2428">
        <v>5</v>
      </c>
      <c r="I2428">
        <v>6</v>
      </c>
      <c r="J2428">
        <v>1</v>
      </c>
      <c r="K2428">
        <v>0</v>
      </c>
      <c r="L2428">
        <v>454</v>
      </c>
      <c r="M2428">
        <v>60</v>
      </c>
      <c r="N2428" s="1">
        <f t="shared" si="296"/>
        <v>44938</v>
      </c>
      <c r="O2428" s="1">
        <f t="shared" si="297"/>
        <v>43101</v>
      </c>
      <c r="P2428" s="1">
        <f t="shared" si="298"/>
        <v>44621</v>
      </c>
      <c r="Q2428" s="8">
        <f t="shared" si="299"/>
        <v>0</v>
      </c>
      <c r="R2428" s="8">
        <f t="shared" si="300"/>
        <v>51</v>
      </c>
      <c r="S2428" s="8">
        <f t="shared" ca="1" si="301"/>
        <v>51</v>
      </c>
      <c r="T2428">
        <f t="shared" ca="1" si="302"/>
        <v>3.1932732770929375</v>
      </c>
      <c r="U2428" s="8">
        <f t="shared" ca="1" si="303"/>
        <v>1.4088484172288864</v>
      </c>
      <c r="V2428" s="8">
        <f ca="1">RawData[[#This Row],[Z (smoothed demand size)]]/RawData[[#This Row],[X (smoothed interval)]]</f>
        <v>2.2665839972861659</v>
      </c>
    </row>
    <row r="2429" spans="1:22">
      <c r="A2429" t="s">
        <v>52</v>
      </c>
      <c r="B2429" t="s">
        <v>39</v>
      </c>
      <c r="C2429">
        <v>32</v>
      </c>
      <c r="D2429" t="s">
        <v>15</v>
      </c>
      <c r="E2429" t="s">
        <v>16</v>
      </c>
      <c r="F2429" s="1">
        <v>44565</v>
      </c>
      <c r="G2429">
        <v>2</v>
      </c>
      <c r="H2429">
        <v>1</v>
      </c>
      <c r="I2429">
        <v>1</v>
      </c>
      <c r="J2429">
        <v>0</v>
      </c>
      <c r="K2429">
        <v>1</v>
      </c>
      <c r="L2429">
        <v>445</v>
      </c>
      <c r="M2429">
        <v>15</v>
      </c>
      <c r="N2429" s="1">
        <f t="shared" si="296"/>
        <v>44938</v>
      </c>
      <c r="O2429" s="1">
        <f t="shared" si="297"/>
        <v>43101</v>
      </c>
      <c r="P2429" s="1">
        <f t="shared" si="298"/>
        <v>44652</v>
      </c>
      <c r="Q2429" s="8">
        <f t="shared" si="299"/>
        <v>0</v>
      </c>
      <c r="R2429" s="8">
        <f t="shared" si="300"/>
        <v>52</v>
      </c>
      <c r="S2429" s="8">
        <f t="shared" ca="1" si="301"/>
        <v>52</v>
      </c>
      <c r="T2429">
        <f t="shared" ca="1" si="302"/>
        <v>2.9546186216743502</v>
      </c>
      <c r="U2429" s="8">
        <f t="shared" ca="1" si="303"/>
        <v>1.3270787337831091</v>
      </c>
      <c r="V2429" s="8">
        <f ca="1">RawData[[#This Row],[Z (smoothed demand size)]]/RawData[[#This Row],[X (smoothed interval)]]</f>
        <v>2.2264079338017919</v>
      </c>
    </row>
    <row r="2430" spans="1:22">
      <c r="A2430" t="s">
        <v>52</v>
      </c>
      <c r="B2430" t="s">
        <v>39</v>
      </c>
      <c r="C2430">
        <v>32</v>
      </c>
      <c r="D2430" t="s">
        <v>15</v>
      </c>
      <c r="E2430" t="s">
        <v>16</v>
      </c>
      <c r="F2430" s="1">
        <v>44566</v>
      </c>
      <c r="G2430">
        <v>0</v>
      </c>
      <c r="H2430">
        <v>0</v>
      </c>
      <c r="I2430">
        <v>11</v>
      </c>
      <c r="J2430">
        <v>11</v>
      </c>
      <c r="K2430">
        <v>0</v>
      </c>
      <c r="L2430">
        <v>449</v>
      </c>
      <c r="M2430">
        <v>60</v>
      </c>
      <c r="N2430" s="1">
        <f t="shared" si="296"/>
        <v>44938</v>
      </c>
      <c r="O2430" s="1">
        <f t="shared" si="297"/>
        <v>43101</v>
      </c>
      <c r="P2430" s="1">
        <f t="shared" si="298"/>
        <v>44682</v>
      </c>
      <c r="Q2430" s="8">
        <f t="shared" si="299"/>
        <v>0</v>
      </c>
      <c r="R2430" s="8">
        <f t="shared" si="300"/>
        <v>53</v>
      </c>
      <c r="S2430" s="8">
        <f t="shared" ca="1" si="301"/>
        <v>52</v>
      </c>
      <c r="T2430">
        <f t="shared" ca="1" si="302"/>
        <v>2.9546186216743502</v>
      </c>
      <c r="U2430" s="8">
        <f t="shared" ca="1" si="303"/>
        <v>1.3270787337831091</v>
      </c>
      <c r="V2430" s="8">
        <f ca="1">RawData[[#This Row],[Z (smoothed demand size)]]/RawData[[#This Row],[X (smoothed interval)]]</f>
        <v>2.2264079338017919</v>
      </c>
    </row>
    <row r="2431" spans="1:22">
      <c r="A2431" t="s">
        <v>52</v>
      </c>
      <c r="B2431" t="s">
        <v>39</v>
      </c>
      <c r="C2431">
        <v>32</v>
      </c>
      <c r="D2431" t="s">
        <v>15</v>
      </c>
      <c r="E2431" t="s">
        <v>16</v>
      </c>
      <c r="F2431" s="1">
        <v>44567</v>
      </c>
      <c r="G2431">
        <v>2</v>
      </c>
      <c r="H2431">
        <v>2</v>
      </c>
      <c r="I2431">
        <v>11</v>
      </c>
      <c r="J2431">
        <v>9</v>
      </c>
      <c r="K2431">
        <v>0</v>
      </c>
      <c r="L2431">
        <v>519</v>
      </c>
      <c r="M2431">
        <v>30</v>
      </c>
      <c r="N2431" s="1">
        <f t="shared" si="296"/>
        <v>44938</v>
      </c>
      <c r="O2431" s="1">
        <f t="shared" si="297"/>
        <v>43101</v>
      </c>
      <c r="P2431" s="1">
        <f t="shared" si="298"/>
        <v>44713</v>
      </c>
      <c r="Q2431" s="8">
        <f t="shared" si="299"/>
        <v>0</v>
      </c>
      <c r="R2431" s="8">
        <f t="shared" si="300"/>
        <v>54</v>
      </c>
      <c r="S2431" s="8">
        <f t="shared" ca="1" si="301"/>
        <v>54</v>
      </c>
      <c r="T2431">
        <f t="shared" ca="1" si="302"/>
        <v>2.7636948973394801</v>
      </c>
      <c r="U2431" s="8">
        <f t="shared" ca="1" si="303"/>
        <v>1.4616629870264872</v>
      </c>
      <c r="V2431" s="8">
        <f ca="1">RawData[[#This Row],[Z (smoothed demand size)]]/RawData[[#This Row],[X (smoothed interval)]]</f>
        <v>1.8907880420244905</v>
      </c>
    </row>
    <row r="2432" spans="1:22">
      <c r="A2432" t="s">
        <v>52</v>
      </c>
      <c r="B2432" t="s">
        <v>39</v>
      </c>
      <c r="C2432">
        <v>32</v>
      </c>
      <c r="D2432" t="s">
        <v>15</v>
      </c>
      <c r="E2432" t="s">
        <v>16</v>
      </c>
      <c r="F2432" s="1">
        <v>44568</v>
      </c>
      <c r="G2432">
        <v>0</v>
      </c>
      <c r="H2432">
        <v>0</v>
      </c>
      <c r="I2432">
        <v>9</v>
      </c>
      <c r="J2432">
        <v>9</v>
      </c>
      <c r="K2432">
        <v>0</v>
      </c>
      <c r="L2432">
        <v>526</v>
      </c>
      <c r="M2432">
        <v>60</v>
      </c>
      <c r="N2432" s="1">
        <f t="shared" si="296"/>
        <v>44938</v>
      </c>
      <c r="O2432" s="1">
        <f t="shared" si="297"/>
        <v>43101</v>
      </c>
      <c r="P2432" s="1">
        <f t="shared" si="298"/>
        <v>44743</v>
      </c>
      <c r="Q2432" s="8">
        <f t="shared" si="299"/>
        <v>0</v>
      </c>
      <c r="R2432" s="8">
        <f t="shared" si="300"/>
        <v>55</v>
      </c>
      <c r="S2432" s="8">
        <f t="shared" ca="1" si="301"/>
        <v>54</v>
      </c>
      <c r="T2432">
        <f t="shared" ca="1" si="302"/>
        <v>2.7636948973394801</v>
      </c>
      <c r="U2432" s="8">
        <f t="shared" ca="1" si="303"/>
        <v>1.4616629870264872</v>
      </c>
      <c r="V2432" s="8">
        <f ca="1">RawData[[#This Row],[Z (smoothed demand size)]]/RawData[[#This Row],[X (smoothed interval)]]</f>
        <v>1.8907880420244905</v>
      </c>
    </row>
    <row r="2433" spans="1:22">
      <c r="A2433" t="s">
        <v>52</v>
      </c>
      <c r="B2433" t="s">
        <v>39</v>
      </c>
      <c r="C2433">
        <v>32</v>
      </c>
      <c r="D2433" t="s">
        <v>15</v>
      </c>
      <c r="E2433" t="s">
        <v>16</v>
      </c>
      <c r="F2433" s="1">
        <v>44569</v>
      </c>
      <c r="G2433">
        <v>7</v>
      </c>
      <c r="H2433">
        <v>7</v>
      </c>
      <c r="I2433">
        <v>9</v>
      </c>
      <c r="J2433">
        <v>2</v>
      </c>
      <c r="K2433">
        <v>0</v>
      </c>
      <c r="L2433">
        <v>519</v>
      </c>
      <c r="M2433">
        <v>60</v>
      </c>
      <c r="N2433" s="1">
        <f t="shared" si="296"/>
        <v>44938</v>
      </c>
      <c r="O2433" s="1">
        <f t="shared" si="297"/>
        <v>43101</v>
      </c>
      <c r="P2433" s="1">
        <f t="shared" si="298"/>
        <v>44774</v>
      </c>
      <c r="Q2433" s="8">
        <f t="shared" si="299"/>
        <v>0</v>
      </c>
      <c r="R2433" s="8">
        <f t="shared" si="300"/>
        <v>56</v>
      </c>
      <c r="S2433" s="8">
        <f t="shared" ca="1" si="301"/>
        <v>56</v>
      </c>
      <c r="T2433">
        <f t="shared" ca="1" si="302"/>
        <v>3.6109559178715847</v>
      </c>
      <c r="U2433" s="8">
        <f t="shared" ca="1" si="303"/>
        <v>1.5693303896211899</v>
      </c>
      <c r="V2433" s="8">
        <f ca="1">RawData[[#This Row],[Z (smoothed demand size)]]/RawData[[#This Row],[X (smoothed interval)]]</f>
        <v>2.300953286671017</v>
      </c>
    </row>
    <row r="2434" spans="1:22">
      <c r="A2434" t="s">
        <v>52</v>
      </c>
      <c r="B2434" t="s">
        <v>39</v>
      </c>
      <c r="C2434">
        <v>32</v>
      </c>
      <c r="D2434" t="s">
        <v>15</v>
      </c>
      <c r="E2434" t="s">
        <v>16</v>
      </c>
      <c r="F2434" s="1">
        <v>44570</v>
      </c>
      <c r="G2434">
        <v>2</v>
      </c>
      <c r="H2434">
        <v>2</v>
      </c>
      <c r="I2434">
        <v>2</v>
      </c>
      <c r="J2434">
        <v>0</v>
      </c>
      <c r="K2434">
        <v>0</v>
      </c>
      <c r="L2434">
        <v>454</v>
      </c>
      <c r="M2434">
        <v>45</v>
      </c>
      <c r="N2434" s="1">
        <f t="shared" ref="N2434:N2497" si="304">MAX(F:F)</f>
        <v>44938</v>
      </c>
      <c r="O2434" s="1">
        <f t="shared" ref="O2434:O2497" si="305">MIN(F:F)</f>
        <v>43101</v>
      </c>
      <c r="P2434" s="1">
        <f t="shared" ref="P2434:P2497" si="306">DATE(YEAR(F2434), DAY(F2434), 1)</f>
        <v>44805</v>
      </c>
      <c r="Q2434" s="8">
        <f t="shared" ref="Q2434:Q2497" si="307" xml:space="preserve"> IF(A2434&lt;&gt;A2433, 1, 0)</f>
        <v>0</v>
      </c>
      <c r="R2434" s="8">
        <f t="shared" ref="R2434:R2497" si="308">IF(Q2434=1,1,R2433+1)</f>
        <v>57</v>
      </c>
      <c r="S2434" s="8">
        <f t="shared" ref="S2434:S2497" ca="1" si="309" xml:space="preserve"> IF(Q2434=1, IF(G2434&gt;0, R2434, 0), IF(G2434&gt;0, R2434, OFFSET(S2434,-1,0)))</f>
        <v>57</v>
      </c>
      <c r="T2434">
        <f t="shared" ref="T2434:T2497" ca="1" si="310" xml:space="preserve"> IF(Q2434=1, IF(G2434&gt;0, G2434, 0), IF(G2434&gt;0, $X$1*G2434+(1-$X$1)*OFFSET(T2434,-1,0), OFFSET(T2434,-1,0)))</f>
        <v>3.2887647342972679</v>
      </c>
      <c r="U2434" s="8">
        <f t="shared" ref="U2434:U2497" ca="1" si="311" xml:space="preserve"> IF(Q2434=1, 1, IF(G2434&gt;0, $X$1*(R2434-OFFSET(S2434,-1,0))+(1-$X$1)*OFFSET(U2434,-1,0), OFFSET(U2434,-1,0)))</f>
        <v>1.4554643116969519</v>
      </c>
      <c r="V2434" s="8">
        <f ca="1">RawData[[#This Row],[Z (smoothed demand size)]]/RawData[[#This Row],[X (smoothed interval)]]</f>
        <v>2.2595983342682158</v>
      </c>
    </row>
    <row r="2435" spans="1:22">
      <c r="A2435" t="s">
        <v>52</v>
      </c>
      <c r="B2435" t="s">
        <v>39</v>
      </c>
      <c r="C2435">
        <v>32</v>
      </c>
      <c r="D2435" t="s">
        <v>15</v>
      </c>
      <c r="E2435" t="s">
        <v>16</v>
      </c>
      <c r="F2435" s="1">
        <v>44571</v>
      </c>
      <c r="G2435">
        <v>2</v>
      </c>
      <c r="H2435">
        <v>2</v>
      </c>
      <c r="I2435">
        <v>11</v>
      </c>
      <c r="J2435">
        <v>9</v>
      </c>
      <c r="K2435">
        <v>0</v>
      </c>
      <c r="L2435">
        <v>454</v>
      </c>
      <c r="M2435">
        <v>45</v>
      </c>
      <c r="N2435" s="1">
        <f t="shared" si="304"/>
        <v>44938</v>
      </c>
      <c r="O2435" s="1">
        <f t="shared" si="305"/>
        <v>43101</v>
      </c>
      <c r="P2435" s="1">
        <f t="shared" si="306"/>
        <v>44835</v>
      </c>
      <c r="Q2435" s="8">
        <f t="shared" si="307"/>
        <v>0</v>
      </c>
      <c r="R2435" s="8">
        <f t="shared" si="308"/>
        <v>58</v>
      </c>
      <c r="S2435" s="8">
        <f t="shared" ca="1" si="309"/>
        <v>58</v>
      </c>
      <c r="T2435">
        <f t="shared" ca="1" si="310"/>
        <v>3.0310117874378144</v>
      </c>
      <c r="U2435" s="8">
        <f t="shared" ca="1" si="311"/>
        <v>1.3643714493575616</v>
      </c>
      <c r="V2435" s="8">
        <f ca="1">RawData[[#This Row],[Z (smoothed demand size)]]/RawData[[#This Row],[X (smoothed interval)]]</f>
        <v>2.2215444253579331</v>
      </c>
    </row>
    <row r="2436" spans="1:22">
      <c r="A2436" t="s">
        <v>52</v>
      </c>
      <c r="B2436" t="s">
        <v>39</v>
      </c>
      <c r="C2436">
        <v>32</v>
      </c>
      <c r="D2436" t="s">
        <v>15</v>
      </c>
      <c r="E2436" t="s">
        <v>16</v>
      </c>
      <c r="F2436" s="1">
        <v>44572</v>
      </c>
      <c r="G2436">
        <v>4</v>
      </c>
      <c r="H2436">
        <v>4</v>
      </c>
      <c r="I2436">
        <v>9</v>
      </c>
      <c r="J2436">
        <v>5</v>
      </c>
      <c r="K2436">
        <v>0</v>
      </c>
      <c r="L2436">
        <v>438</v>
      </c>
      <c r="M2436">
        <v>45</v>
      </c>
      <c r="N2436" s="1">
        <f t="shared" si="304"/>
        <v>44938</v>
      </c>
      <c r="O2436" s="1">
        <f t="shared" si="305"/>
        <v>43101</v>
      </c>
      <c r="P2436" s="1">
        <f t="shared" si="306"/>
        <v>44866</v>
      </c>
      <c r="Q2436" s="8">
        <f t="shared" si="307"/>
        <v>0</v>
      </c>
      <c r="R2436" s="8">
        <f t="shared" si="308"/>
        <v>59</v>
      </c>
      <c r="S2436" s="8">
        <f t="shared" ca="1" si="309"/>
        <v>59</v>
      </c>
      <c r="T2436">
        <f t="shared" ca="1" si="310"/>
        <v>3.2248094299502519</v>
      </c>
      <c r="U2436" s="8">
        <f t="shared" ca="1" si="311"/>
        <v>1.2914971594860494</v>
      </c>
      <c r="V2436" s="8">
        <f ca="1">RawData[[#This Row],[Z (smoothed demand size)]]/RawData[[#This Row],[X (smoothed interval)]]</f>
        <v>2.4969543341725684</v>
      </c>
    </row>
    <row r="2437" spans="1:22">
      <c r="A2437" t="s">
        <v>52</v>
      </c>
      <c r="B2437" t="s">
        <v>39</v>
      </c>
      <c r="C2437">
        <v>32</v>
      </c>
      <c r="D2437" t="s">
        <v>15</v>
      </c>
      <c r="E2437" t="s">
        <v>16</v>
      </c>
      <c r="F2437" s="1">
        <v>44573</v>
      </c>
      <c r="G2437">
        <v>6</v>
      </c>
      <c r="H2437">
        <v>5</v>
      </c>
      <c r="I2437">
        <v>5</v>
      </c>
      <c r="J2437">
        <v>0</v>
      </c>
      <c r="K2437">
        <v>1</v>
      </c>
      <c r="L2437">
        <v>519</v>
      </c>
      <c r="M2437">
        <v>60</v>
      </c>
      <c r="N2437" s="1">
        <f t="shared" si="304"/>
        <v>44938</v>
      </c>
      <c r="O2437" s="1">
        <f t="shared" si="305"/>
        <v>43101</v>
      </c>
      <c r="P2437" s="1">
        <f t="shared" si="306"/>
        <v>44896</v>
      </c>
      <c r="Q2437" s="8">
        <f t="shared" si="307"/>
        <v>0</v>
      </c>
      <c r="R2437" s="8">
        <f t="shared" si="308"/>
        <v>60</v>
      </c>
      <c r="S2437" s="8">
        <f t="shared" ca="1" si="309"/>
        <v>60</v>
      </c>
      <c r="T2437">
        <f t="shared" ca="1" si="310"/>
        <v>3.7798475439602019</v>
      </c>
      <c r="U2437" s="8">
        <f t="shared" ca="1" si="311"/>
        <v>1.2331977275888395</v>
      </c>
      <c r="V2437" s="8">
        <f ca="1">RawData[[#This Row],[Z (smoothed demand size)]]/RawData[[#This Row],[X (smoothed interval)]]</f>
        <v>3.0650782590644226</v>
      </c>
    </row>
    <row r="2438" spans="1:22">
      <c r="A2438" t="s">
        <v>52</v>
      </c>
      <c r="B2438" t="s">
        <v>39</v>
      </c>
      <c r="C2438">
        <v>32</v>
      </c>
      <c r="D2438" t="s">
        <v>15</v>
      </c>
      <c r="E2438" t="s">
        <v>16</v>
      </c>
      <c r="F2438" s="1">
        <v>44927</v>
      </c>
      <c r="G2438">
        <v>2</v>
      </c>
      <c r="H2438">
        <v>0</v>
      </c>
      <c r="I2438">
        <v>0</v>
      </c>
      <c r="J2438">
        <v>0</v>
      </c>
      <c r="K2438">
        <v>1</v>
      </c>
      <c r="L2438">
        <v>447</v>
      </c>
      <c r="M2438">
        <v>15</v>
      </c>
      <c r="N2438" s="1">
        <f t="shared" si="304"/>
        <v>44938</v>
      </c>
      <c r="O2438" s="1">
        <f t="shared" si="305"/>
        <v>43101</v>
      </c>
      <c r="P2438" s="1">
        <f t="shared" si="306"/>
        <v>44927</v>
      </c>
      <c r="Q2438" s="8">
        <f t="shared" si="307"/>
        <v>0</v>
      </c>
      <c r="R2438" s="8">
        <f t="shared" si="308"/>
        <v>61</v>
      </c>
      <c r="S2438" s="8">
        <f t="shared" ca="1" si="309"/>
        <v>61</v>
      </c>
      <c r="T2438">
        <f t="shared" ca="1" si="310"/>
        <v>3.4238780351681615</v>
      </c>
      <c r="U2438" s="8">
        <f t="shared" ca="1" si="311"/>
        <v>1.1865581820710716</v>
      </c>
      <c r="V2438" s="8">
        <f ca="1">RawData[[#This Row],[Z (smoothed demand size)]]/RawData[[#This Row],[X (smoothed interval)]]</f>
        <v>2.8855542753006618</v>
      </c>
    </row>
    <row r="2439" spans="1:22">
      <c r="A2439" t="s">
        <v>52</v>
      </c>
      <c r="B2439" t="s">
        <v>39</v>
      </c>
      <c r="C2439">
        <v>32</v>
      </c>
      <c r="D2439" t="s">
        <v>15</v>
      </c>
      <c r="E2439" t="s">
        <v>16</v>
      </c>
      <c r="F2439" s="1">
        <v>44928</v>
      </c>
      <c r="G2439">
        <v>2</v>
      </c>
      <c r="H2439">
        <v>2</v>
      </c>
      <c r="I2439">
        <v>12</v>
      </c>
      <c r="J2439">
        <v>10</v>
      </c>
      <c r="K2439">
        <v>0</v>
      </c>
      <c r="L2439">
        <v>456</v>
      </c>
      <c r="M2439">
        <v>60</v>
      </c>
      <c r="N2439" s="1">
        <f t="shared" si="304"/>
        <v>44938</v>
      </c>
      <c r="O2439" s="1">
        <f t="shared" si="305"/>
        <v>43101</v>
      </c>
      <c r="P2439" s="1">
        <f t="shared" si="306"/>
        <v>44958</v>
      </c>
      <c r="Q2439" s="8">
        <f t="shared" si="307"/>
        <v>0</v>
      </c>
      <c r="R2439" s="8">
        <f t="shared" si="308"/>
        <v>62</v>
      </c>
      <c r="S2439" s="8">
        <f t="shared" ca="1" si="309"/>
        <v>62</v>
      </c>
      <c r="T2439">
        <f t="shared" ca="1" si="310"/>
        <v>3.1391024281345294</v>
      </c>
      <c r="U2439" s="8">
        <f t="shared" ca="1" si="311"/>
        <v>1.1492465456568572</v>
      </c>
      <c r="V2439" s="8">
        <f ca="1">RawData[[#This Row],[Z (smoothed demand size)]]/RawData[[#This Row],[X (smoothed interval)]]</f>
        <v>2.7314438664162881</v>
      </c>
    </row>
    <row r="2440" spans="1:22">
      <c r="A2440" t="s">
        <v>52</v>
      </c>
      <c r="B2440" t="s">
        <v>39</v>
      </c>
      <c r="C2440">
        <v>32</v>
      </c>
      <c r="D2440" t="s">
        <v>15</v>
      </c>
      <c r="E2440" t="s">
        <v>16</v>
      </c>
      <c r="F2440" s="1">
        <v>44929</v>
      </c>
      <c r="G2440">
        <v>4</v>
      </c>
      <c r="H2440">
        <v>4</v>
      </c>
      <c r="I2440">
        <v>10</v>
      </c>
      <c r="J2440">
        <v>6</v>
      </c>
      <c r="K2440">
        <v>0</v>
      </c>
      <c r="L2440">
        <v>452</v>
      </c>
      <c r="M2440">
        <v>45</v>
      </c>
      <c r="N2440" s="1">
        <f t="shared" si="304"/>
        <v>44938</v>
      </c>
      <c r="O2440" s="1">
        <f t="shared" si="305"/>
        <v>43101</v>
      </c>
      <c r="P2440" s="1">
        <f t="shared" si="306"/>
        <v>44986</v>
      </c>
      <c r="Q2440" s="8">
        <f t="shared" si="307"/>
        <v>0</v>
      </c>
      <c r="R2440" s="8">
        <f t="shared" si="308"/>
        <v>63</v>
      </c>
      <c r="S2440" s="8">
        <f t="shared" ca="1" si="309"/>
        <v>63</v>
      </c>
      <c r="T2440">
        <f t="shared" ca="1" si="310"/>
        <v>3.3112819425076241</v>
      </c>
      <c r="U2440" s="8">
        <f t="shared" ca="1" si="311"/>
        <v>1.1193972365254858</v>
      </c>
      <c r="V2440" s="8">
        <f ca="1">RawData[[#This Row],[Z (smoothed demand size)]]/RawData[[#This Row],[X (smoothed interval)]]</f>
        <v>2.9580937262142637</v>
      </c>
    </row>
    <row r="2441" spans="1:22">
      <c r="A2441" t="s">
        <v>52</v>
      </c>
      <c r="B2441" t="s">
        <v>39</v>
      </c>
      <c r="C2441">
        <v>32</v>
      </c>
      <c r="D2441" t="s">
        <v>15</v>
      </c>
      <c r="E2441" t="s">
        <v>16</v>
      </c>
      <c r="F2441" s="1">
        <v>44930</v>
      </c>
      <c r="G2441">
        <v>0</v>
      </c>
      <c r="H2441">
        <v>0</v>
      </c>
      <c r="I2441">
        <v>6</v>
      </c>
      <c r="J2441">
        <v>6</v>
      </c>
      <c r="K2441">
        <v>0</v>
      </c>
      <c r="L2441">
        <v>453</v>
      </c>
      <c r="M2441">
        <v>45</v>
      </c>
      <c r="N2441" s="1">
        <f t="shared" si="304"/>
        <v>44938</v>
      </c>
      <c r="O2441" s="1">
        <f t="shared" si="305"/>
        <v>43101</v>
      </c>
      <c r="P2441" s="1">
        <f t="shared" si="306"/>
        <v>45017</v>
      </c>
      <c r="Q2441" s="8">
        <f t="shared" si="307"/>
        <v>0</v>
      </c>
      <c r="R2441" s="8">
        <f t="shared" si="308"/>
        <v>64</v>
      </c>
      <c r="S2441" s="8">
        <f t="shared" ca="1" si="309"/>
        <v>63</v>
      </c>
      <c r="T2441">
        <f t="shared" ca="1" si="310"/>
        <v>3.3112819425076241</v>
      </c>
      <c r="U2441" s="8">
        <f t="shared" ca="1" si="311"/>
        <v>1.1193972365254858</v>
      </c>
      <c r="V2441" s="8">
        <f ca="1">RawData[[#This Row],[Z (smoothed demand size)]]/RawData[[#This Row],[X (smoothed interval)]]</f>
        <v>2.9580937262142637</v>
      </c>
    </row>
    <row r="2442" spans="1:22">
      <c r="A2442" t="s">
        <v>52</v>
      </c>
      <c r="B2442" t="s">
        <v>39</v>
      </c>
      <c r="C2442">
        <v>32</v>
      </c>
      <c r="D2442" t="s">
        <v>15</v>
      </c>
      <c r="E2442" t="s">
        <v>16</v>
      </c>
      <c r="F2442" s="1">
        <v>44931</v>
      </c>
      <c r="G2442">
        <v>3</v>
      </c>
      <c r="H2442">
        <v>3</v>
      </c>
      <c r="I2442">
        <v>6</v>
      </c>
      <c r="J2442">
        <v>3</v>
      </c>
      <c r="K2442">
        <v>0</v>
      </c>
      <c r="L2442">
        <v>451</v>
      </c>
      <c r="M2442">
        <v>60</v>
      </c>
      <c r="N2442" s="1">
        <f t="shared" si="304"/>
        <v>44938</v>
      </c>
      <c r="O2442" s="1">
        <f t="shared" si="305"/>
        <v>43101</v>
      </c>
      <c r="P2442" s="1">
        <f t="shared" si="306"/>
        <v>45047</v>
      </c>
      <c r="Q2442" s="8">
        <f t="shared" si="307"/>
        <v>0</v>
      </c>
      <c r="R2442" s="8">
        <f t="shared" si="308"/>
        <v>65</v>
      </c>
      <c r="S2442" s="8">
        <f t="shared" ca="1" si="309"/>
        <v>65</v>
      </c>
      <c r="T2442">
        <f t="shared" ca="1" si="310"/>
        <v>3.2490255540060997</v>
      </c>
      <c r="U2442" s="8">
        <f t="shared" ca="1" si="311"/>
        <v>1.2955177892203888</v>
      </c>
      <c r="V2442" s="8">
        <f ca="1">RawData[[#This Row],[Z (smoothed demand size)]]/RawData[[#This Row],[X (smoothed interval)]]</f>
        <v>2.5078972909830011</v>
      </c>
    </row>
    <row r="2443" spans="1:22">
      <c r="A2443" t="s">
        <v>52</v>
      </c>
      <c r="B2443" t="s">
        <v>39</v>
      </c>
      <c r="C2443">
        <v>32</v>
      </c>
      <c r="D2443" t="s">
        <v>15</v>
      </c>
      <c r="E2443" t="s">
        <v>16</v>
      </c>
      <c r="F2443" s="1">
        <v>44932</v>
      </c>
      <c r="G2443">
        <v>4</v>
      </c>
      <c r="H2443">
        <v>3</v>
      </c>
      <c r="I2443">
        <v>3</v>
      </c>
      <c r="J2443">
        <v>0</v>
      </c>
      <c r="K2443">
        <v>1</v>
      </c>
      <c r="L2443">
        <v>517</v>
      </c>
      <c r="M2443">
        <v>30</v>
      </c>
      <c r="N2443" s="1">
        <f t="shared" si="304"/>
        <v>44938</v>
      </c>
      <c r="O2443" s="1">
        <f t="shared" si="305"/>
        <v>43101</v>
      </c>
      <c r="P2443" s="1">
        <f t="shared" si="306"/>
        <v>45078</v>
      </c>
      <c r="Q2443" s="8">
        <f t="shared" si="307"/>
        <v>0</v>
      </c>
      <c r="R2443" s="8">
        <f t="shared" si="308"/>
        <v>66</v>
      </c>
      <c r="S2443" s="8">
        <f t="shared" ca="1" si="309"/>
        <v>66</v>
      </c>
      <c r="T2443">
        <f t="shared" ca="1" si="310"/>
        <v>3.3992204432048796</v>
      </c>
      <c r="U2443" s="8">
        <f t="shared" ca="1" si="311"/>
        <v>1.2364142313763111</v>
      </c>
      <c r="V2443" s="8">
        <f ca="1">RawData[[#This Row],[Z (smoothed demand size)]]/RawData[[#This Row],[X (smoothed interval)]]</f>
        <v>2.7492569698272127</v>
      </c>
    </row>
    <row r="2444" spans="1:22">
      <c r="A2444" t="s">
        <v>52</v>
      </c>
      <c r="B2444" t="s">
        <v>39</v>
      </c>
      <c r="C2444">
        <v>32</v>
      </c>
      <c r="D2444" t="s">
        <v>15</v>
      </c>
      <c r="E2444" t="s">
        <v>16</v>
      </c>
      <c r="F2444" s="1">
        <v>44933</v>
      </c>
      <c r="G2444">
        <v>0</v>
      </c>
      <c r="H2444">
        <v>0</v>
      </c>
      <c r="I2444">
        <v>12</v>
      </c>
      <c r="J2444">
        <v>12</v>
      </c>
      <c r="K2444">
        <v>0</v>
      </c>
      <c r="L2444">
        <v>521</v>
      </c>
      <c r="M2444">
        <v>15</v>
      </c>
      <c r="N2444" s="1">
        <f t="shared" si="304"/>
        <v>44938</v>
      </c>
      <c r="O2444" s="1">
        <f t="shared" si="305"/>
        <v>43101</v>
      </c>
      <c r="P2444" s="1">
        <f t="shared" si="306"/>
        <v>45108</v>
      </c>
      <c r="Q2444" s="8">
        <f t="shared" si="307"/>
        <v>0</v>
      </c>
      <c r="R2444" s="8">
        <f t="shared" si="308"/>
        <v>67</v>
      </c>
      <c r="S2444" s="8">
        <f t="shared" ca="1" si="309"/>
        <v>66</v>
      </c>
      <c r="T2444">
        <f t="shared" ca="1" si="310"/>
        <v>3.3992204432048796</v>
      </c>
      <c r="U2444" s="8">
        <f t="shared" ca="1" si="311"/>
        <v>1.2364142313763111</v>
      </c>
      <c r="V2444" s="8">
        <f ca="1">RawData[[#This Row],[Z (smoothed demand size)]]/RawData[[#This Row],[X (smoothed interval)]]</f>
        <v>2.7492569698272127</v>
      </c>
    </row>
    <row r="2445" spans="1:22">
      <c r="A2445" t="s">
        <v>52</v>
      </c>
      <c r="B2445" t="s">
        <v>39</v>
      </c>
      <c r="C2445">
        <v>32</v>
      </c>
      <c r="D2445" t="s">
        <v>15</v>
      </c>
      <c r="E2445" t="s">
        <v>16</v>
      </c>
      <c r="F2445" s="1">
        <v>44934</v>
      </c>
      <c r="G2445">
        <v>0</v>
      </c>
      <c r="H2445">
        <v>0</v>
      </c>
      <c r="I2445">
        <v>12</v>
      </c>
      <c r="J2445">
        <v>12</v>
      </c>
      <c r="K2445">
        <v>0</v>
      </c>
      <c r="L2445">
        <v>516</v>
      </c>
      <c r="M2445">
        <v>15</v>
      </c>
      <c r="N2445" s="1">
        <f t="shared" si="304"/>
        <v>44938</v>
      </c>
      <c r="O2445" s="1">
        <f t="shared" si="305"/>
        <v>43101</v>
      </c>
      <c r="P2445" s="1">
        <f t="shared" si="306"/>
        <v>45139</v>
      </c>
      <c r="Q2445" s="8">
        <f t="shared" si="307"/>
        <v>0</v>
      </c>
      <c r="R2445" s="8">
        <f t="shared" si="308"/>
        <v>68</v>
      </c>
      <c r="S2445" s="8">
        <f t="shared" ca="1" si="309"/>
        <v>66</v>
      </c>
      <c r="T2445">
        <f t="shared" ca="1" si="310"/>
        <v>3.3992204432048796</v>
      </c>
      <c r="U2445" s="8">
        <f t="shared" ca="1" si="311"/>
        <v>1.2364142313763111</v>
      </c>
      <c r="V2445" s="8">
        <f ca="1">RawData[[#This Row],[Z (smoothed demand size)]]/RawData[[#This Row],[X (smoothed interval)]]</f>
        <v>2.7492569698272127</v>
      </c>
    </row>
    <row r="2446" spans="1:22">
      <c r="A2446" t="s">
        <v>52</v>
      </c>
      <c r="B2446" t="s">
        <v>39</v>
      </c>
      <c r="C2446">
        <v>32</v>
      </c>
      <c r="D2446" t="s">
        <v>15</v>
      </c>
      <c r="E2446" t="s">
        <v>16</v>
      </c>
      <c r="F2446" s="1">
        <v>44935</v>
      </c>
      <c r="G2446">
        <v>5</v>
      </c>
      <c r="H2446">
        <v>5</v>
      </c>
      <c r="I2446">
        <v>12</v>
      </c>
      <c r="J2446">
        <v>7</v>
      </c>
      <c r="K2446">
        <v>0</v>
      </c>
      <c r="L2446">
        <v>455</v>
      </c>
      <c r="M2446">
        <v>45</v>
      </c>
      <c r="N2446" s="1">
        <f t="shared" si="304"/>
        <v>44938</v>
      </c>
      <c r="O2446" s="1">
        <f t="shared" si="305"/>
        <v>43101</v>
      </c>
      <c r="P2446" s="1">
        <f t="shared" si="306"/>
        <v>45170</v>
      </c>
      <c r="Q2446" s="8">
        <f t="shared" si="307"/>
        <v>0</v>
      </c>
      <c r="R2446" s="8">
        <f t="shared" si="308"/>
        <v>69</v>
      </c>
      <c r="S2446" s="8">
        <f t="shared" ca="1" si="309"/>
        <v>69</v>
      </c>
      <c r="T2446">
        <f t="shared" ca="1" si="310"/>
        <v>3.719376354563904</v>
      </c>
      <c r="U2446" s="8">
        <f t="shared" ca="1" si="311"/>
        <v>1.5891313851010489</v>
      </c>
      <c r="V2446" s="8">
        <f ca="1">RawData[[#This Row],[Z (smoothed demand size)]]/RawData[[#This Row],[X (smoothed interval)]]</f>
        <v>2.3405090286649886</v>
      </c>
    </row>
    <row r="2447" spans="1:22">
      <c r="A2447" t="s">
        <v>52</v>
      </c>
      <c r="B2447" t="s">
        <v>39</v>
      </c>
      <c r="C2447">
        <v>32</v>
      </c>
      <c r="D2447" t="s">
        <v>15</v>
      </c>
      <c r="E2447" t="s">
        <v>16</v>
      </c>
      <c r="F2447" s="1">
        <v>44936</v>
      </c>
      <c r="G2447">
        <v>0</v>
      </c>
      <c r="H2447">
        <v>0</v>
      </c>
      <c r="I2447">
        <v>7</v>
      </c>
      <c r="J2447">
        <v>7</v>
      </c>
      <c r="K2447">
        <v>0</v>
      </c>
      <c r="L2447">
        <v>444</v>
      </c>
      <c r="M2447">
        <v>30</v>
      </c>
      <c r="N2447" s="1">
        <f t="shared" si="304"/>
        <v>44938</v>
      </c>
      <c r="O2447" s="1">
        <f t="shared" si="305"/>
        <v>43101</v>
      </c>
      <c r="P2447" s="1">
        <f t="shared" si="306"/>
        <v>45200</v>
      </c>
      <c r="Q2447" s="8">
        <f t="shared" si="307"/>
        <v>0</v>
      </c>
      <c r="R2447" s="8">
        <f t="shared" si="308"/>
        <v>70</v>
      </c>
      <c r="S2447" s="8">
        <f t="shared" ca="1" si="309"/>
        <v>69</v>
      </c>
      <c r="T2447">
        <f t="shared" ca="1" si="310"/>
        <v>3.719376354563904</v>
      </c>
      <c r="U2447" s="8">
        <f t="shared" ca="1" si="311"/>
        <v>1.5891313851010489</v>
      </c>
      <c r="V2447" s="8">
        <f ca="1">RawData[[#This Row],[Z (smoothed demand size)]]/RawData[[#This Row],[X (smoothed interval)]]</f>
        <v>2.3405090286649886</v>
      </c>
    </row>
    <row r="2448" spans="1:22">
      <c r="A2448" t="s">
        <v>52</v>
      </c>
      <c r="B2448" t="s">
        <v>39</v>
      </c>
      <c r="C2448">
        <v>32</v>
      </c>
      <c r="D2448" t="s">
        <v>15</v>
      </c>
      <c r="E2448" t="s">
        <v>16</v>
      </c>
      <c r="F2448" s="1">
        <v>44937</v>
      </c>
      <c r="G2448">
        <v>4</v>
      </c>
      <c r="H2448">
        <v>4</v>
      </c>
      <c r="I2448">
        <v>7</v>
      </c>
      <c r="J2448">
        <v>3</v>
      </c>
      <c r="K2448">
        <v>0</v>
      </c>
      <c r="L2448">
        <v>454</v>
      </c>
      <c r="M2448">
        <v>15</v>
      </c>
      <c r="N2448" s="1">
        <f t="shared" si="304"/>
        <v>44938</v>
      </c>
      <c r="O2448" s="1">
        <f t="shared" si="305"/>
        <v>43101</v>
      </c>
      <c r="P2448" s="1">
        <f t="shared" si="306"/>
        <v>45231</v>
      </c>
      <c r="Q2448" s="8">
        <f t="shared" si="307"/>
        <v>0</v>
      </c>
      <c r="R2448" s="8">
        <f t="shared" si="308"/>
        <v>71</v>
      </c>
      <c r="S2448" s="8">
        <f t="shared" ca="1" si="309"/>
        <v>71</v>
      </c>
      <c r="T2448">
        <f t="shared" ca="1" si="310"/>
        <v>3.7755010836511236</v>
      </c>
      <c r="U2448" s="8">
        <f t="shared" ca="1" si="311"/>
        <v>1.6713051080808392</v>
      </c>
      <c r="V2448" s="8">
        <f ca="1">RawData[[#This Row],[Z (smoothed demand size)]]/RawData[[#This Row],[X (smoothed interval)]]</f>
        <v>2.2590136686571456</v>
      </c>
    </row>
    <row r="2449" spans="1:22">
      <c r="A2449" t="s">
        <v>52</v>
      </c>
      <c r="B2449" t="s">
        <v>39</v>
      </c>
      <c r="C2449">
        <v>32</v>
      </c>
      <c r="D2449" t="s">
        <v>15</v>
      </c>
      <c r="E2449" t="s">
        <v>16</v>
      </c>
      <c r="F2449" s="1">
        <v>44938</v>
      </c>
      <c r="G2449">
        <v>0</v>
      </c>
      <c r="H2449">
        <v>0</v>
      </c>
      <c r="I2449">
        <v>10</v>
      </c>
      <c r="J2449">
        <v>10</v>
      </c>
      <c r="K2449">
        <v>0</v>
      </c>
      <c r="L2449">
        <v>515</v>
      </c>
      <c r="M2449">
        <v>30</v>
      </c>
      <c r="N2449" s="1">
        <f t="shared" si="304"/>
        <v>44938</v>
      </c>
      <c r="O2449" s="1">
        <f t="shared" si="305"/>
        <v>43101</v>
      </c>
      <c r="P2449" s="1">
        <f t="shared" si="306"/>
        <v>45261</v>
      </c>
      <c r="Q2449" s="8">
        <f t="shared" si="307"/>
        <v>0</v>
      </c>
      <c r="R2449" s="8">
        <f t="shared" si="308"/>
        <v>72</v>
      </c>
      <c r="S2449" s="8">
        <f t="shared" ca="1" si="309"/>
        <v>71</v>
      </c>
      <c r="T2449">
        <f t="shared" ca="1" si="310"/>
        <v>3.7755010836511236</v>
      </c>
      <c r="U2449" s="8">
        <f t="shared" ca="1" si="311"/>
        <v>1.6713051080808392</v>
      </c>
      <c r="V2449" s="8">
        <f ca="1">RawData[[#This Row],[Z (smoothed demand size)]]/RawData[[#This Row],[X (smoothed interval)]]</f>
        <v>2.2590136686571456</v>
      </c>
    </row>
    <row r="2450" spans="1:22">
      <c r="A2450" t="s">
        <v>53</v>
      </c>
      <c r="B2450" t="s">
        <v>39</v>
      </c>
      <c r="C2450">
        <v>21</v>
      </c>
      <c r="D2450" t="s">
        <v>22</v>
      </c>
      <c r="E2450" t="s">
        <v>16</v>
      </c>
      <c r="F2450" s="1">
        <v>43101</v>
      </c>
      <c r="G2450">
        <v>0</v>
      </c>
      <c r="H2450">
        <v>0</v>
      </c>
      <c r="I2450">
        <v>25</v>
      </c>
      <c r="J2450">
        <v>25</v>
      </c>
      <c r="K2450">
        <v>0</v>
      </c>
      <c r="L2450">
        <v>661</v>
      </c>
      <c r="M2450">
        <v>15</v>
      </c>
      <c r="N2450" s="1">
        <f t="shared" si="304"/>
        <v>44938</v>
      </c>
      <c r="O2450" s="1">
        <f t="shared" si="305"/>
        <v>43101</v>
      </c>
      <c r="P2450" s="1">
        <f t="shared" si="306"/>
        <v>43101</v>
      </c>
      <c r="Q2450" s="8">
        <f t="shared" si="307"/>
        <v>1</v>
      </c>
      <c r="R2450" s="8">
        <f t="shared" si="308"/>
        <v>1</v>
      </c>
      <c r="S2450" s="8">
        <f t="shared" ca="1" si="309"/>
        <v>0</v>
      </c>
      <c r="T2450">
        <f t="shared" ca="1" si="310"/>
        <v>0</v>
      </c>
      <c r="U2450" s="8">
        <f t="shared" ca="1" si="311"/>
        <v>1</v>
      </c>
      <c r="V2450" s="8">
        <f ca="1">RawData[[#This Row],[Z (smoothed demand size)]]/RawData[[#This Row],[X (smoothed interval)]]</f>
        <v>0</v>
      </c>
    </row>
    <row r="2451" spans="1:22">
      <c r="A2451" t="s">
        <v>53</v>
      </c>
      <c r="B2451" t="s">
        <v>39</v>
      </c>
      <c r="C2451">
        <v>21</v>
      </c>
      <c r="D2451" t="s">
        <v>22</v>
      </c>
      <c r="E2451" t="s">
        <v>16</v>
      </c>
      <c r="F2451" s="1">
        <v>43102</v>
      </c>
      <c r="G2451">
        <v>2</v>
      </c>
      <c r="H2451">
        <v>2</v>
      </c>
      <c r="I2451">
        <v>25</v>
      </c>
      <c r="J2451">
        <v>23</v>
      </c>
      <c r="K2451">
        <v>0</v>
      </c>
      <c r="L2451">
        <v>641</v>
      </c>
      <c r="M2451">
        <v>15</v>
      </c>
      <c r="N2451" s="1">
        <f t="shared" si="304"/>
        <v>44938</v>
      </c>
      <c r="O2451" s="1">
        <f t="shared" si="305"/>
        <v>43101</v>
      </c>
      <c r="P2451" s="1">
        <f t="shared" si="306"/>
        <v>43132</v>
      </c>
      <c r="Q2451" s="8">
        <f t="shared" si="307"/>
        <v>0</v>
      </c>
      <c r="R2451" s="8">
        <f t="shared" si="308"/>
        <v>2</v>
      </c>
      <c r="S2451" s="8">
        <f t="shared" ca="1" si="309"/>
        <v>2</v>
      </c>
      <c r="T2451">
        <f t="shared" ca="1" si="310"/>
        <v>0.4</v>
      </c>
      <c r="U2451" s="8">
        <f t="shared" ca="1" si="311"/>
        <v>1.2000000000000002</v>
      </c>
      <c r="V2451" s="8">
        <f ca="1">RawData[[#This Row],[Z (smoothed demand size)]]/RawData[[#This Row],[X (smoothed interval)]]</f>
        <v>0.33333333333333331</v>
      </c>
    </row>
    <row r="2452" spans="1:22">
      <c r="A2452" t="s">
        <v>53</v>
      </c>
      <c r="B2452" t="s">
        <v>39</v>
      </c>
      <c r="C2452">
        <v>21</v>
      </c>
      <c r="D2452" t="s">
        <v>22</v>
      </c>
      <c r="E2452" t="s">
        <v>16</v>
      </c>
      <c r="F2452" s="1">
        <v>43103</v>
      </c>
      <c r="G2452">
        <v>2</v>
      </c>
      <c r="H2452">
        <v>2</v>
      </c>
      <c r="I2452">
        <v>23</v>
      </c>
      <c r="J2452">
        <v>21</v>
      </c>
      <c r="K2452">
        <v>0</v>
      </c>
      <c r="L2452">
        <v>660</v>
      </c>
      <c r="M2452">
        <v>45</v>
      </c>
      <c r="N2452" s="1">
        <f t="shared" si="304"/>
        <v>44938</v>
      </c>
      <c r="O2452" s="1">
        <f t="shared" si="305"/>
        <v>43101</v>
      </c>
      <c r="P2452" s="1">
        <f t="shared" si="306"/>
        <v>43160</v>
      </c>
      <c r="Q2452" s="8">
        <f t="shared" si="307"/>
        <v>0</v>
      </c>
      <c r="R2452" s="8">
        <f t="shared" si="308"/>
        <v>3</v>
      </c>
      <c r="S2452" s="8">
        <f t="shared" ca="1" si="309"/>
        <v>3</v>
      </c>
      <c r="T2452">
        <f t="shared" ca="1" si="310"/>
        <v>0.72000000000000008</v>
      </c>
      <c r="U2452" s="8">
        <f t="shared" ca="1" si="311"/>
        <v>1.1600000000000001</v>
      </c>
      <c r="V2452" s="8">
        <f ca="1">RawData[[#This Row],[Z (smoothed demand size)]]/RawData[[#This Row],[X (smoothed interval)]]</f>
        <v>0.62068965517241381</v>
      </c>
    </row>
    <row r="2453" spans="1:22">
      <c r="A2453" t="s">
        <v>53</v>
      </c>
      <c r="B2453" t="s">
        <v>39</v>
      </c>
      <c r="C2453">
        <v>21</v>
      </c>
      <c r="D2453" t="s">
        <v>22</v>
      </c>
      <c r="E2453" t="s">
        <v>16</v>
      </c>
      <c r="F2453" s="1">
        <v>43104</v>
      </c>
      <c r="G2453">
        <v>0</v>
      </c>
      <c r="H2453">
        <v>0</v>
      </c>
      <c r="I2453">
        <v>21</v>
      </c>
      <c r="J2453">
        <v>21</v>
      </c>
      <c r="K2453">
        <v>0</v>
      </c>
      <c r="L2453">
        <v>651</v>
      </c>
      <c r="M2453">
        <v>15</v>
      </c>
      <c r="N2453" s="1">
        <f t="shared" si="304"/>
        <v>44938</v>
      </c>
      <c r="O2453" s="1">
        <f t="shared" si="305"/>
        <v>43101</v>
      </c>
      <c r="P2453" s="1">
        <f t="shared" si="306"/>
        <v>43191</v>
      </c>
      <c r="Q2453" s="8">
        <f t="shared" si="307"/>
        <v>0</v>
      </c>
      <c r="R2453" s="8">
        <f t="shared" si="308"/>
        <v>4</v>
      </c>
      <c r="S2453" s="8">
        <f t="shared" ca="1" si="309"/>
        <v>3</v>
      </c>
      <c r="T2453">
        <f t="shared" ca="1" si="310"/>
        <v>0.72000000000000008</v>
      </c>
      <c r="U2453" s="8">
        <f t="shared" ca="1" si="311"/>
        <v>1.1600000000000001</v>
      </c>
      <c r="V2453" s="8">
        <f ca="1">RawData[[#This Row],[Z (smoothed demand size)]]/RawData[[#This Row],[X (smoothed interval)]]</f>
        <v>0.62068965517241381</v>
      </c>
    </row>
    <row r="2454" spans="1:22">
      <c r="A2454" t="s">
        <v>53</v>
      </c>
      <c r="B2454" t="s">
        <v>39</v>
      </c>
      <c r="C2454">
        <v>21</v>
      </c>
      <c r="D2454" t="s">
        <v>22</v>
      </c>
      <c r="E2454" t="s">
        <v>16</v>
      </c>
      <c r="F2454" s="1">
        <v>43105</v>
      </c>
      <c r="G2454">
        <v>3</v>
      </c>
      <c r="H2454">
        <v>3</v>
      </c>
      <c r="I2454">
        <v>21</v>
      </c>
      <c r="J2454">
        <v>18</v>
      </c>
      <c r="K2454">
        <v>0</v>
      </c>
      <c r="L2454">
        <v>657</v>
      </c>
      <c r="M2454">
        <v>45</v>
      </c>
      <c r="N2454" s="1">
        <f t="shared" si="304"/>
        <v>44938</v>
      </c>
      <c r="O2454" s="1">
        <f t="shared" si="305"/>
        <v>43101</v>
      </c>
      <c r="P2454" s="1">
        <f t="shared" si="306"/>
        <v>43221</v>
      </c>
      <c r="Q2454" s="8">
        <f t="shared" si="307"/>
        <v>0</v>
      </c>
      <c r="R2454" s="8">
        <f t="shared" si="308"/>
        <v>5</v>
      </c>
      <c r="S2454" s="8">
        <f t="shared" ca="1" si="309"/>
        <v>5</v>
      </c>
      <c r="T2454">
        <f t="shared" ca="1" si="310"/>
        <v>1.1760000000000002</v>
      </c>
      <c r="U2454" s="8">
        <f t="shared" ca="1" si="311"/>
        <v>1.3280000000000003</v>
      </c>
      <c r="V2454" s="8">
        <f ca="1">RawData[[#This Row],[Z (smoothed demand size)]]/RawData[[#This Row],[X (smoothed interval)]]</f>
        <v>0.8855421686746987</v>
      </c>
    </row>
    <row r="2455" spans="1:22">
      <c r="A2455" t="s">
        <v>53</v>
      </c>
      <c r="B2455" t="s">
        <v>39</v>
      </c>
      <c r="C2455">
        <v>21</v>
      </c>
      <c r="D2455" t="s">
        <v>22</v>
      </c>
      <c r="E2455" t="s">
        <v>16</v>
      </c>
      <c r="F2455" s="1">
        <v>43106</v>
      </c>
      <c r="G2455">
        <v>4</v>
      </c>
      <c r="H2455">
        <v>4</v>
      </c>
      <c r="I2455">
        <v>18</v>
      </c>
      <c r="J2455">
        <v>14</v>
      </c>
      <c r="K2455">
        <v>0</v>
      </c>
      <c r="L2455">
        <v>759</v>
      </c>
      <c r="M2455">
        <v>15</v>
      </c>
      <c r="N2455" s="1">
        <f t="shared" si="304"/>
        <v>44938</v>
      </c>
      <c r="O2455" s="1">
        <f t="shared" si="305"/>
        <v>43101</v>
      </c>
      <c r="P2455" s="1">
        <f t="shared" si="306"/>
        <v>43252</v>
      </c>
      <c r="Q2455" s="8">
        <f t="shared" si="307"/>
        <v>0</v>
      </c>
      <c r="R2455" s="8">
        <f t="shared" si="308"/>
        <v>6</v>
      </c>
      <c r="S2455" s="8">
        <f t="shared" ca="1" si="309"/>
        <v>6</v>
      </c>
      <c r="T2455">
        <f t="shared" ca="1" si="310"/>
        <v>1.7408000000000001</v>
      </c>
      <c r="U2455" s="8">
        <f t="shared" ca="1" si="311"/>
        <v>1.2624000000000002</v>
      </c>
      <c r="V2455" s="8">
        <f ca="1">RawData[[#This Row],[Z (smoothed demand size)]]/RawData[[#This Row],[X (smoothed interval)]]</f>
        <v>1.3789607097591887</v>
      </c>
    </row>
    <row r="2456" spans="1:22">
      <c r="A2456" t="s">
        <v>53</v>
      </c>
      <c r="B2456" t="s">
        <v>39</v>
      </c>
      <c r="C2456">
        <v>21</v>
      </c>
      <c r="D2456" t="s">
        <v>22</v>
      </c>
      <c r="E2456" t="s">
        <v>16</v>
      </c>
      <c r="F2456" s="1">
        <v>43107</v>
      </c>
      <c r="G2456">
        <v>0</v>
      </c>
      <c r="H2456">
        <v>0</v>
      </c>
      <c r="I2456">
        <v>14</v>
      </c>
      <c r="J2456">
        <v>14</v>
      </c>
      <c r="K2456">
        <v>0</v>
      </c>
      <c r="L2456">
        <v>752</v>
      </c>
      <c r="M2456">
        <v>45</v>
      </c>
      <c r="N2456" s="1">
        <f t="shared" si="304"/>
        <v>44938</v>
      </c>
      <c r="O2456" s="1">
        <f t="shared" si="305"/>
        <v>43101</v>
      </c>
      <c r="P2456" s="1">
        <f t="shared" si="306"/>
        <v>43282</v>
      </c>
      <c r="Q2456" s="8">
        <f t="shared" si="307"/>
        <v>0</v>
      </c>
      <c r="R2456" s="8">
        <f t="shared" si="308"/>
        <v>7</v>
      </c>
      <c r="S2456" s="8">
        <f t="shared" ca="1" si="309"/>
        <v>6</v>
      </c>
      <c r="T2456">
        <f t="shared" ca="1" si="310"/>
        <v>1.7408000000000001</v>
      </c>
      <c r="U2456" s="8">
        <f t="shared" ca="1" si="311"/>
        <v>1.2624000000000002</v>
      </c>
      <c r="V2456" s="8">
        <f ca="1">RawData[[#This Row],[Z (smoothed demand size)]]/RawData[[#This Row],[X (smoothed interval)]]</f>
        <v>1.3789607097591887</v>
      </c>
    </row>
    <row r="2457" spans="1:22">
      <c r="A2457" t="s">
        <v>53</v>
      </c>
      <c r="B2457" t="s">
        <v>39</v>
      </c>
      <c r="C2457">
        <v>21</v>
      </c>
      <c r="D2457" t="s">
        <v>22</v>
      </c>
      <c r="E2457" t="s">
        <v>16</v>
      </c>
      <c r="F2457" s="1">
        <v>43108</v>
      </c>
      <c r="G2457">
        <v>3</v>
      </c>
      <c r="H2457">
        <v>3</v>
      </c>
      <c r="I2457">
        <v>14</v>
      </c>
      <c r="J2457">
        <v>11</v>
      </c>
      <c r="K2457">
        <v>0</v>
      </c>
      <c r="L2457">
        <v>751</v>
      </c>
      <c r="M2457">
        <v>45</v>
      </c>
      <c r="N2457" s="1">
        <f t="shared" si="304"/>
        <v>44938</v>
      </c>
      <c r="O2457" s="1">
        <f t="shared" si="305"/>
        <v>43101</v>
      </c>
      <c r="P2457" s="1">
        <f t="shared" si="306"/>
        <v>43313</v>
      </c>
      <c r="Q2457" s="8">
        <f t="shared" si="307"/>
        <v>0</v>
      </c>
      <c r="R2457" s="8">
        <f t="shared" si="308"/>
        <v>8</v>
      </c>
      <c r="S2457" s="8">
        <f t="shared" ca="1" si="309"/>
        <v>8</v>
      </c>
      <c r="T2457">
        <f t="shared" ca="1" si="310"/>
        <v>1.9926400000000002</v>
      </c>
      <c r="U2457" s="8">
        <f t="shared" ca="1" si="311"/>
        <v>1.4099200000000001</v>
      </c>
      <c r="V2457" s="8">
        <f ca="1">RawData[[#This Row],[Z (smoothed demand size)]]/RawData[[#This Row],[X (smoothed interval)]]</f>
        <v>1.4133000453926465</v>
      </c>
    </row>
    <row r="2458" spans="1:22">
      <c r="A2458" t="s">
        <v>53</v>
      </c>
      <c r="B2458" t="s">
        <v>39</v>
      </c>
      <c r="C2458">
        <v>21</v>
      </c>
      <c r="D2458" t="s">
        <v>22</v>
      </c>
      <c r="E2458" t="s">
        <v>16</v>
      </c>
      <c r="F2458" s="1">
        <v>43109</v>
      </c>
      <c r="G2458">
        <v>7</v>
      </c>
      <c r="H2458">
        <v>7</v>
      </c>
      <c r="I2458">
        <v>11</v>
      </c>
      <c r="J2458">
        <v>4</v>
      </c>
      <c r="K2458">
        <v>0</v>
      </c>
      <c r="L2458">
        <v>650</v>
      </c>
      <c r="M2458">
        <v>45</v>
      </c>
      <c r="N2458" s="1">
        <f t="shared" si="304"/>
        <v>44938</v>
      </c>
      <c r="O2458" s="1">
        <f t="shared" si="305"/>
        <v>43101</v>
      </c>
      <c r="P2458" s="1">
        <f t="shared" si="306"/>
        <v>43344</v>
      </c>
      <c r="Q2458" s="8">
        <f t="shared" si="307"/>
        <v>0</v>
      </c>
      <c r="R2458" s="8">
        <f t="shared" si="308"/>
        <v>9</v>
      </c>
      <c r="S2458" s="8">
        <f t="shared" ca="1" si="309"/>
        <v>9</v>
      </c>
      <c r="T2458">
        <f t="shared" ca="1" si="310"/>
        <v>2.9941120000000003</v>
      </c>
      <c r="U2458" s="8">
        <f t="shared" ca="1" si="311"/>
        <v>1.327936</v>
      </c>
      <c r="V2458" s="8">
        <f ca="1">RawData[[#This Row],[Z (smoothed demand size)]]/RawData[[#This Row],[X (smoothed interval)]]</f>
        <v>2.2547110704130322</v>
      </c>
    </row>
    <row r="2459" spans="1:22">
      <c r="A2459" t="s">
        <v>53</v>
      </c>
      <c r="B2459" t="s">
        <v>39</v>
      </c>
      <c r="C2459">
        <v>21</v>
      </c>
      <c r="D2459" t="s">
        <v>22</v>
      </c>
      <c r="E2459" t="s">
        <v>16</v>
      </c>
      <c r="F2459" s="1">
        <v>43110</v>
      </c>
      <c r="G2459">
        <v>0</v>
      </c>
      <c r="H2459">
        <v>0</v>
      </c>
      <c r="I2459">
        <v>4</v>
      </c>
      <c r="J2459">
        <v>4</v>
      </c>
      <c r="K2459">
        <v>0</v>
      </c>
      <c r="L2459">
        <v>664</v>
      </c>
      <c r="M2459">
        <v>45</v>
      </c>
      <c r="N2459" s="1">
        <f t="shared" si="304"/>
        <v>44938</v>
      </c>
      <c r="O2459" s="1">
        <f t="shared" si="305"/>
        <v>43101</v>
      </c>
      <c r="P2459" s="1">
        <f t="shared" si="306"/>
        <v>43374</v>
      </c>
      <c r="Q2459" s="8">
        <f t="shared" si="307"/>
        <v>0</v>
      </c>
      <c r="R2459" s="8">
        <f t="shared" si="308"/>
        <v>10</v>
      </c>
      <c r="S2459" s="8">
        <f t="shared" ca="1" si="309"/>
        <v>9</v>
      </c>
      <c r="T2459">
        <f t="shared" ca="1" si="310"/>
        <v>2.9941120000000003</v>
      </c>
      <c r="U2459" s="8">
        <f t="shared" ca="1" si="311"/>
        <v>1.327936</v>
      </c>
      <c r="V2459" s="8">
        <f ca="1">RawData[[#This Row],[Z (smoothed demand size)]]/RawData[[#This Row],[X (smoothed interval)]]</f>
        <v>2.2547110704130322</v>
      </c>
    </row>
    <row r="2460" spans="1:22">
      <c r="A2460" t="s">
        <v>53</v>
      </c>
      <c r="B2460" t="s">
        <v>39</v>
      </c>
      <c r="C2460">
        <v>21</v>
      </c>
      <c r="D2460" t="s">
        <v>22</v>
      </c>
      <c r="E2460" t="s">
        <v>16</v>
      </c>
      <c r="F2460" s="1">
        <v>43111</v>
      </c>
      <c r="G2460">
        <v>0</v>
      </c>
      <c r="H2460">
        <v>0</v>
      </c>
      <c r="I2460">
        <v>4</v>
      </c>
      <c r="J2460">
        <v>4</v>
      </c>
      <c r="K2460">
        <v>0</v>
      </c>
      <c r="L2460">
        <v>655</v>
      </c>
      <c r="M2460">
        <v>30</v>
      </c>
      <c r="N2460" s="1">
        <f t="shared" si="304"/>
        <v>44938</v>
      </c>
      <c r="O2460" s="1">
        <f t="shared" si="305"/>
        <v>43101</v>
      </c>
      <c r="P2460" s="1">
        <f t="shared" si="306"/>
        <v>43405</v>
      </c>
      <c r="Q2460" s="8">
        <f t="shared" si="307"/>
        <v>0</v>
      </c>
      <c r="R2460" s="8">
        <f t="shared" si="308"/>
        <v>11</v>
      </c>
      <c r="S2460" s="8">
        <f t="shared" ca="1" si="309"/>
        <v>9</v>
      </c>
      <c r="T2460">
        <f t="shared" ca="1" si="310"/>
        <v>2.9941120000000003</v>
      </c>
      <c r="U2460" s="8">
        <f t="shared" ca="1" si="311"/>
        <v>1.327936</v>
      </c>
      <c r="V2460" s="8">
        <f ca="1">RawData[[#This Row],[Z (smoothed demand size)]]/RawData[[#This Row],[X (smoothed interval)]]</f>
        <v>2.2547110704130322</v>
      </c>
    </row>
    <row r="2461" spans="1:22">
      <c r="A2461" t="s">
        <v>53</v>
      </c>
      <c r="B2461" t="s">
        <v>39</v>
      </c>
      <c r="C2461">
        <v>21</v>
      </c>
      <c r="D2461" t="s">
        <v>22</v>
      </c>
      <c r="E2461" t="s">
        <v>16</v>
      </c>
      <c r="F2461" s="1">
        <v>43112</v>
      </c>
      <c r="G2461">
        <v>4</v>
      </c>
      <c r="H2461">
        <v>4</v>
      </c>
      <c r="I2461">
        <v>4</v>
      </c>
      <c r="J2461">
        <v>0</v>
      </c>
      <c r="K2461">
        <v>0</v>
      </c>
      <c r="L2461">
        <v>753</v>
      </c>
      <c r="M2461">
        <v>15</v>
      </c>
      <c r="N2461" s="1">
        <f t="shared" si="304"/>
        <v>44938</v>
      </c>
      <c r="O2461" s="1">
        <f t="shared" si="305"/>
        <v>43101</v>
      </c>
      <c r="P2461" s="1">
        <f t="shared" si="306"/>
        <v>43435</v>
      </c>
      <c r="Q2461" s="8">
        <f t="shared" si="307"/>
        <v>0</v>
      </c>
      <c r="R2461" s="8">
        <f t="shared" si="308"/>
        <v>12</v>
      </c>
      <c r="S2461" s="8">
        <f t="shared" ca="1" si="309"/>
        <v>12</v>
      </c>
      <c r="T2461">
        <f t="shared" ca="1" si="310"/>
        <v>3.1952896000000006</v>
      </c>
      <c r="U2461" s="8">
        <f t="shared" ca="1" si="311"/>
        <v>1.6623488000000002</v>
      </c>
      <c r="V2461" s="8">
        <f ca="1">RawData[[#This Row],[Z (smoothed demand size)]]/RawData[[#This Row],[X (smoothed interval)]]</f>
        <v>1.9221535215714056</v>
      </c>
    </row>
    <row r="2462" spans="1:22">
      <c r="A2462" t="s">
        <v>53</v>
      </c>
      <c r="B2462" t="s">
        <v>39</v>
      </c>
      <c r="C2462">
        <v>21</v>
      </c>
      <c r="D2462" t="s">
        <v>22</v>
      </c>
      <c r="E2462" t="s">
        <v>16</v>
      </c>
      <c r="F2462" s="1">
        <v>43466</v>
      </c>
      <c r="G2462">
        <v>0</v>
      </c>
      <c r="H2462">
        <v>0</v>
      </c>
      <c r="I2462">
        <v>10</v>
      </c>
      <c r="J2462">
        <v>10</v>
      </c>
      <c r="K2462">
        <v>0</v>
      </c>
      <c r="L2462">
        <v>661</v>
      </c>
      <c r="M2462">
        <v>15</v>
      </c>
      <c r="N2462" s="1">
        <f t="shared" si="304"/>
        <v>44938</v>
      </c>
      <c r="O2462" s="1">
        <f t="shared" si="305"/>
        <v>43101</v>
      </c>
      <c r="P2462" s="1">
        <f t="shared" si="306"/>
        <v>43466</v>
      </c>
      <c r="Q2462" s="8">
        <f t="shared" si="307"/>
        <v>0</v>
      </c>
      <c r="R2462" s="8">
        <f t="shared" si="308"/>
        <v>13</v>
      </c>
      <c r="S2462" s="8">
        <f t="shared" ca="1" si="309"/>
        <v>12</v>
      </c>
      <c r="T2462">
        <f t="shared" ca="1" si="310"/>
        <v>3.1952896000000006</v>
      </c>
      <c r="U2462" s="8">
        <f t="shared" ca="1" si="311"/>
        <v>1.6623488000000002</v>
      </c>
      <c r="V2462" s="8">
        <f ca="1">RawData[[#This Row],[Z (smoothed demand size)]]/RawData[[#This Row],[X (smoothed interval)]]</f>
        <v>1.9221535215714056</v>
      </c>
    </row>
    <row r="2463" spans="1:22">
      <c r="A2463" t="s">
        <v>53</v>
      </c>
      <c r="B2463" t="s">
        <v>39</v>
      </c>
      <c r="C2463">
        <v>21</v>
      </c>
      <c r="D2463" t="s">
        <v>22</v>
      </c>
      <c r="E2463" t="s">
        <v>16</v>
      </c>
      <c r="F2463" s="1">
        <v>43467</v>
      </c>
      <c r="G2463">
        <v>3</v>
      </c>
      <c r="H2463">
        <v>3</v>
      </c>
      <c r="I2463">
        <v>10</v>
      </c>
      <c r="J2463">
        <v>7</v>
      </c>
      <c r="K2463">
        <v>0</v>
      </c>
      <c r="L2463">
        <v>648</v>
      </c>
      <c r="M2463">
        <v>60</v>
      </c>
      <c r="N2463" s="1">
        <f t="shared" si="304"/>
        <v>44938</v>
      </c>
      <c r="O2463" s="1">
        <f t="shared" si="305"/>
        <v>43101</v>
      </c>
      <c r="P2463" s="1">
        <f t="shared" si="306"/>
        <v>43497</v>
      </c>
      <c r="Q2463" s="8">
        <f t="shared" si="307"/>
        <v>0</v>
      </c>
      <c r="R2463" s="8">
        <f t="shared" si="308"/>
        <v>14</v>
      </c>
      <c r="S2463" s="8">
        <f t="shared" ca="1" si="309"/>
        <v>14</v>
      </c>
      <c r="T2463">
        <f t="shared" ca="1" si="310"/>
        <v>3.1562316800000008</v>
      </c>
      <c r="U2463" s="8">
        <f t="shared" ca="1" si="311"/>
        <v>1.7298790400000001</v>
      </c>
      <c r="V2463" s="8">
        <f ca="1">RawData[[#This Row],[Z (smoothed demand size)]]/RawData[[#This Row],[X (smoothed interval)]]</f>
        <v>1.8245389457981991</v>
      </c>
    </row>
    <row r="2464" spans="1:22">
      <c r="A2464" t="s">
        <v>53</v>
      </c>
      <c r="B2464" t="s">
        <v>39</v>
      </c>
      <c r="C2464">
        <v>21</v>
      </c>
      <c r="D2464" t="s">
        <v>22</v>
      </c>
      <c r="E2464" t="s">
        <v>16</v>
      </c>
      <c r="F2464" s="1">
        <v>43468</v>
      </c>
      <c r="G2464">
        <v>0</v>
      </c>
      <c r="H2464">
        <v>0</v>
      </c>
      <c r="I2464">
        <v>7</v>
      </c>
      <c r="J2464">
        <v>7</v>
      </c>
      <c r="K2464">
        <v>0</v>
      </c>
      <c r="L2464">
        <v>649</v>
      </c>
      <c r="M2464">
        <v>45</v>
      </c>
      <c r="N2464" s="1">
        <f t="shared" si="304"/>
        <v>44938</v>
      </c>
      <c r="O2464" s="1">
        <f t="shared" si="305"/>
        <v>43101</v>
      </c>
      <c r="P2464" s="1">
        <f t="shared" si="306"/>
        <v>43525</v>
      </c>
      <c r="Q2464" s="8">
        <f t="shared" si="307"/>
        <v>0</v>
      </c>
      <c r="R2464" s="8">
        <f t="shared" si="308"/>
        <v>15</v>
      </c>
      <c r="S2464" s="8">
        <f t="shared" ca="1" si="309"/>
        <v>14</v>
      </c>
      <c r="T2464">
        <f t="shared" ca="1" si="310"/>
        <v>3.1562316800000008</v>
      </c>
      <c r="U2464" s="8">
        <f t="shared" ca="1" si="311"/>
        <v>1.7298790400000001</v>
      </c>
      <c r="V2464" s="8">
        <f ca="1">RawData[[#This Row],[Z (smoothed demand size)]]/RawData[[#This Row],[X (smoothed interval)]]</f>
        <v>1.8245389457981991</v>
      </c>
    </row>
    <row r="2465" spans="1:22">
      <c r="A2465" t="s">
        <v>53</v>
      </c>
      <c r="B2465" t="s">
        <v>39</v>
      </c>
      <c r="C2465">
        <v>21</v>
      </c>
      <c r="D2465" t="s">
        <v>22</v>
      </c>
      <c r="E2465" t="s">
        <v>16</v>
      </c>
      <c r="F2465" s="1">
        <v>43469</v>
      </c>
      <c r="G2465">
        <v>1</v>
      </c>
      <c r="H2465">
        <v>1</v>
      </c>
      <c r="I2465">
        <v>7</v>
      </c>
      <c r="J2465">
        <v>6</v>
      </c>
      <c r="K2465">
        <v>0</v>
      </c>
      <c r="L2465">
        <v>657</v>
      </c>
      <c r="M2465">
        <v>60</v>
      </c>
      <c r="N2465" s="1">
        <f t="shared" si="304"/>
        <v>44938</v>
      </c>
      <c r="O2465" s="1">
        <f t="shared" si="305"/>
        <v>43101</v>
      </c>
      <c r="P2465" s="1">
        <f t="shared" si="306"/>
        <v>43556</v>
      </c>
      <c r="Q2465" s="8">
        <f t="shared" si="307"/>
        <v>0</v>
      </c>
      <c r="R2465" s="8">
        <f t="shared" si="308"/>
        <v>16</v>
      </c>
      <c r="S2465" s="8">
        <f t="shared" ca="1" si="309"/>
        <v>16</v>
      </c>
      <c r="T2465">
        <f t="shared" ca="1" si="310"/>
        <v>2.7249853440000011</v>
      </c>
      <c r="U2465" s="8">
        <f t="shared" ca="1" si="311"/>
        <v>1.7839032320000001</v>
      </c>
      <c r="V2465" s="8">
        <f ca="1">RawData[[#This Row],[Z (smoothed demand size)]]/RawData[[#This Row],[X (smoothed interval)]]</f>
        <v>1.5275410095787085</v>
      </c>
    </row>
    <row r="2466" spans="1:22">
      <c r="A2466" t="s">
        <v>53</v>
      </c>
      <c r="B2466" t="s">
        <v>39</v>
      </c>
      <c r="C2466">
        <v>21</v>
      </c>
      <c r="D2466" t="s">
        <v>22</v>
      </c>
      <c r="E2466" t="s">
        <v>16</v>
      </c>
      <c r="F2466" s="1">
        <v>43470</v>
      </c>
      <c r="G2466">
        <v>0</v>
      </c>
      <c r="H2466">
        <v>0</v>
      </c>
      <c r="I2466">
        <v>6</v>
      </c>
      <c r="J2466">
        <v>6</v>
      </c>
      <c r="K2466">
        <v>0</v>
      </c>
      <c r="L2466">
        <v>663</v>
      </c>
      <c r="M2466">
        <v>45</v>
      </c>
      <c r="N2466" s="1">
        <f t="shared" si="304"/>
        <v>44938</v>
      </c>
      <c r="O2466" s="1">
        <f t="shared" si="305"/>
        <v>43101</v>
      </c>
      <c r="P2466" s="1">
        <f t="shared" si="306"/>
        <v>43586</v>
      </c>
      <c r="Q2466" s="8">
        <f t="shared" si="307"/>
        <v>0</v>
      </c>
      <c r="R2466" s="8">
        <f t="shared" si="308"/>
        <v>17</v>
      </c>
      <c r="S2466" s="8">
        <f t="shared" ca="1" si="309"/>
        <v>16</v>
      </c>
      <c r="T2466">
        <f t="shared" ca="1" si="310"/>
        <v>2.7249853440000011</v>
      </c>
      <c r="U2466" s="8">
        <f t="shared" ca="1" si="311"/>
        <v>1.7839032320000001</v>
      </c>
      <c r="V2466" s="8">
        <f ca="1">RawData[[#This Row],[Z (smoothed demand size)]]/RawData[[#This Row],[X (smoothed interval)]]</f>
        <v>1.5275410095787085</v>
      </c>
    </row>
    <row r="2467" spans="1:22">
      <c r="A2467" t="s">
        <v>53</v>
      </c>
      <c r="B2467" t="s">
        <v>39</v>
      </c>
      <c r="C2467">
        <v>21</v>
      </c>
      <c r="D2467" t="s">
        <v>22</v>
      </c>
      <c r="E2467" t="s">
        <v>16</v>
      </c>
      <c r="F2467" s="1">
        <v>43471</v>
      </c>
      <c r="G2467">
        <v>2</v>
      </c>
      <c r="H2467">
        <v>2</v>
      </c>
      <c r="I2467">
        <v>6</v>
      </c>
      <c r="J2467">
        <v>4</v>
      </c>
      <c r="K2467">
        <v>0</v>
      </c>
      <c r="L2467">
        <v>749</v>
      </c>
      <c r="M2467">
        <v>60</v>
      </c>
      <c r="N2467" s="1">
        <f t="shared" si="304"/>
        <v>44938</v>
      </c>
      <c r="O2467" s="1">
        <f t="shared" si="305"/>
        <v>43101</v>
      </c>
      <c r="P2467" s="1">
        <f t="shared" si="306"/>
        <v>43617</v>
      </c>
      <c r="Q2467" s="8">
        <f t="shared" si="307"/>
        <v>0</v>
      </c>
      <c r="R2467" s="8">
        <f t="shared" si="308"/>
        <v>18</v>
      </c>
      <c r="S2467" s="8">
        <f t="shared" ca="1" si="309"/>
        <v>18</v>
      </c>
      <c r="T2467">
        <f t="shared" ca="1" si="310"/>
        <v>2.5799882752000007</v>
      </c>
      <c r="U2467" s="8">
        <f t="shared" ca="1" si="311"/>
        <v>1.8271225856000002</v>
      </c>
      <c r="V2467" s="8">
        <f ca="1">RawData[[#This Row],[Z (smoothed demand size)]]/RawData[[#This Row],[X (smoothed interval)]]</f>
        <v>1.4120499059743004</v>
      </c>
    </row>
    <row r="2468" spans="1:22">
      <c r="A2468" t="s">
        <v>53</v>
      </c>
      <c r="B2468" t="s">
        <v>39</v>
      </c>
      <c r="C2468">
        <v>21</v>
      </c>
      <c r="D2468" t="s">
        <v>22</v>
      </c>
      <c r="E2468" t="s">
        <v>16</v>
      </c>
      <c r="F2468" s="1">
        <v>43472</v>
      </c>
      <c r="G2468">
        <v>2</v>
      </c>
      <c r="H2468">
        <v>2</v>
      </c>
      <c r="I2468">
        <v>4</v>
      </c>
      <c r="J2468">
        <v>2</v>
      </c>
      <c r="K2468">
        <v>0</v>
      </c>
      <c r="L2468">
        <v>752</v>
      </c>
      <c r="M2468">
        <v>60</v>
      </c>
      <c r="N2468" s="1">
        <f t="shared" si="304"/>
        <v>44938</v>
      </c>
      <c r="O2468" s="1">
        <f t="shared" si="305"/>
        <v>43101</v>
      </c>
      <c r="P2468" s="1">
        <f t="shared" si="306"/>
        <v>43647</v>
      </c>
      <c r="Q2468" s="8">
        <f t="shared" si="307"/>
        <v>0</v>
      </c>
      <c r="R2468" s="8">
        <f t="shared" si="308"/>
        <v>19</v>
      </c>
      <c r="S2468" s="8">
        <f t="shared" ca="1" si="309"/>
        <v>19</v>
      </c>
      <c r="T2468">
        <f t="shared" ca="1" si="310"/>
        <v>2.4639906201600006</v>
      </c>
      <c r="U2468" s="8">
        <f t="shared" ca="1" si="311"/>
        <v>1.6616980684800002</v>
      </c>
      <c r="V2468" s="8">
        <f ca="1">RawData[[#This Row],[Z (smoothed demand size)]]/RawData[[#This Row],[X (smoothed interval)]]</f>
        <v>1.4828148788870406</v>
      </c>
    </row>
    <row r="2469" spans="1:22">
      <c r="A2469" t="s">
        <v>53</v>
      </c>
      <c r="B2469" t="s">
        <v>39</v>
      </c>
      <c r="C2469">
        <v>21</v>
      </c>
      <c r="D2469" t="s">
        <v>22</v>
      </c>
      <c r="E2469" t="s">
        <v>16</v>
      </c>
      <c r="F2469" s="1">
        <v>43473</v>
      </c>
      <c r="G2469">
        <v>3</v>
      </c>
      <c r="H2469">
        <v>2</v>
      </c>
      <c r="I2469">
        <v>2</v>
      </c>
      <c r="J2469">
        <v>0</v>
      </c>
      <c r="K2469">
        <v>1</v>
      </c>
      <c r="L2469">
        <v>737</v>
      </c>
      <c r="M2469">
        <v>15</v>
      </c>
      <c r="N2469" s="1">
        <f t="shared" si="304"/>
        <v>44938</v>
      </c>
      <c r="O2469" s="1">
        <f t="shared" si="305"/>
        <v>43101</v>
      </c>
      <c r="P2469" s="1">
        <f t="shared" si="306"/>
        <v>43678</v>
      </c>
      <c r="Q2469" s="8">
        <f t="shared" si="307"/>
        <v>0</v>
      </c>
      <c r="R2469" s="8">
        <f t="shared" si="308"/>
        <v>20</v>
      </c>
      <c r="S2469" s="8">
        <f t="shared" ca="1" si="309"/>
        <v>20</v>
      </c>
      <c r="T2469">
        <f t="shared" ca="1" si="310"/>
        <v>2.5711924961280008</v>
      </c>
      <c r="U2469" s="8">
        <f t="shared" ca="1" si="311"/>
        <v>1.5293584547840002</v>
      </c>
      <c r="V2469" s="8">
        <f ca="1">RawData[[#This Row],[Z (smoothed demand size)]]/RawData[[#This Row],[X (smoothed interval)]]</f>
        <v>1.6812229259170928</v>
      </c>
    </row>
    <row r="2470" spans="1:22">
      <c r="A2470" t="s">
        <v>53</v>
      </c>
      <c r="B2470" t="s">
        <v>39</v>
      </c>
      <c r="C2470">
        <v>21</v>
      </c>
      <c r="D2470" t="s">
        <v>22</v>
      </c>
      <c r="E2470" t="s">
        <v>16</v>
      </c>
      <c r="F2470" s="1">
        <v>43474</v>
      </c>
      <c r="G2470">
        <v>2</v>
      </c>
      <c r="H2470">
        <v>2</v>
      </c>
      <c r="I2470">
        <v>11</v>
      </c>
      <c r="J2470">
        <v>9</v>
      </c>
      <c r="K2470">
        <v>0</v>
      </c>
      <c r="L2470">
        <v>659</v>
      </c>
      <c r="M2470">
        <v>60</v>
      </c>
      <c r="N2470" s="1">
        <f t="shared" si="304"/>
        <v>44938</v>
      </c>
      <c r="O2470" s="1">
        <f t="shared" si="305"/>
        <v>43101</v>
      </c>
      <c r="P2470" s="1">
        <f t="shared" si="306"/>
        <v>43709</v>
      </c>
      <c r="Q2470" s="8">
        <f t="shared" si="307"/>
        <v>0</v>
      </c>
      <c r="R2470" s="8">
        <f t="shared" si="308"/>
        <v>21</v>
      </c>
      <c r="S2470" s="8">
        <f t="shared" ca="1" si="309"/>
        <v>21</v>
      </c>
      <c r="T2470">
        <f t="shared" ca="1" si="310"/>
        <v>2.4569539969024006</v>
      </c>
      <c r="U2470" s="8">
        <f t="shared" ca="1" si="311"/>
        <v>1.4234867638272002</v>
      </c>
      <c r="V2470" s="8">
        <f ca="1">RawData[[#This Row],[Z (smoothed demand size)]]/RawData[[#This Row],[X (smoothed interval)]]</f>
        <v>1.7260111293881022</v>
      </c>
    </row>
    <row r="2471" spans="1:22">
      <c r="A2471" t="s">
        <v>53</v>
      </c>
      <c r="B2471" t="s">
        <v>39</v>
      </c>
      <c r="C2471">
        <v>21</v>
      </c>
      <c r="D2471" t="s">
        <v>22</v>
      </c>
      <c r="E2471" t="s">
        <v>16</v>
      </c>
      <c r="F2471" s="1">
        <v>43475</v>
      </c>
      <c r="G2471">
        <v>7</v>
      </c>
      <c r="H2471">
        <v>7</v>
      </c>
      <c r="I2471">
        <v>9</v>
      </c>
      <c r="J2471">
        <v>2</v>
      </c>
      <c r="K2471">
        <v>0</v>
      </c>
      <c r="L2471">
        <v>644</v>
      </c>
      <c r="M2471">
        <v>45</v>
      </c>
      <c r="N2471" s="1">
        <f t="shared" si="304"/>
        <v>44938</v>
      </c>
      <c r="O2471" s="1">
        <f t="shared" si="305"/>
        <v>43101</v>
      </c>
      <c r="P2471" s="1">
        <f t="shared" si="306"/>
        <v>43739</v>
      </c>
      <c r="Q2471" s="8">
        <f t="shared" si="307"/>
        <v>0</v>
      </c>
      <c r="R2471" s="8">
        <f t="shared" si="308"/>
        <v>22</v>
      </c>
      <c r="S2471" s="8">
        <f t="shared" ca="1" si="309"/>
        <v>22</v>
      </c>
      <c r="T2471">
        <f t="shared" ca="1" si="310"/>
        <v>3.3655631975219205</v>
      </c>
      <c r="U2471" s="8">
        <f t="shared" ca="1" si="311"/>
        <v>1.3387894110617602</v>
      </c>
      <c r="V2471" s="8">
        <f ca="1">RawData[[#This Row],[Z (smoothed demand size)]]/RawData[[#This Row],[X (smoothed interval)]]</f>
        <v>2.5138854324017821</v>
      </c>
    </row>
    <row r="2472" spans="1:22">
      <c r="A2472" t="s">
        <v>53</v>
      </c>
      <c r="B2472" t="s">
        <v>39</v>
      </c>
      <c r="C2472">
        <v>21</v>
      </c>
      <c r="D2472" t="s">
        <v>22</v>
      </c>
      <c r="E2472" t="s">
        <v>16</v>
      </c>
      <c r="F2472" s="1">
        <v>43476</v>
      </c>
      <c r="G2472">
        <v>0</v>
      </c>
      <c r="H2472">
        <v>0</v>
      </c>
      <c r="I2472">
        <v>2</v>
      </c>
      <c r="J2472">
        <v>2</v>
      </c>
      <c r="K2472">
        <v>0</v>
      </c>
      <c r="L2472">
        <v>648</v>
      </c>
      <c r="M2472">
        <v>15</v>
      </c>
      <c r="N2472" s="1">
        <f t="shared" si="304"/>
        <v>44938</v>
      </c>
      <c r="O2472" s="1">
        <f t="shared" si="305"/>
        <v>43101</v>
      </c>
      <c r="P2472" s="1">
        <f t="shared" si="306"/>
        <v>43770</v>
      </c>
      <c r="Q2472" s="8">
        <f t="shared" si="307"/>
        <v>0</v>
      </c>
      <c r="R2472" s="8">
        <f t="shared" si="308"/>
        <v>23</v>
      </c>
      <c r="S2472" s="8">
        <f t="shared" ca="1" si="309"/>
        <v>22</v>
      </c>
      <c r="T2472">
        <f t="shared" ca="1" si="310"/>
        <v>3.3655631975219205</v>
      </c>
      <c r="U2472" s="8">
        <f t="shared" ca="1" si="311"/>
        <v>1.3387894110617602</v>
      </c>
      <c r="V2472" s="8">
        <f ca="1">RawData[[#This Row],[Z (smoothed demand size)]]/RawData[[#This Row],[X (smoothed interval)]]</f>
        <v>2.5138854324017821</v>
      </c>
    </row>
    <row r="2473" spans="1:22">
      <c r="A2473" t="s">
        <v>53</v>
      </c>
      <c r="B2473" t="s">
        <v>39</v>
      </c>
      <c r="C2473">
        <v>21</v>
      </c>
      <c r="D2473" t="s">
        <v>22</v>
      </c>
      <c r="E2473" t="s">
        <v>16</v>
      </c>
      <c r="F2473" s="1">
        <v>43477</v>
      </c>
      <c r="G2473">
        <v>0</v>
      </c>
      <c r="H2473">
        <v>0</v>
      </c>
      <c r="I2473">
        <v>13</v>
      </c>
      <c r="J2473">
        <v>13</v>
      </c>
      <c r="K2473">
        <v>0</v>
      </c>
      <c r="L2473">
        <v>750</v>
      </c>
      <c r="M2473">
        <v>30</v>
      </c>
      <c r="N2473" s="1">
        <f t="shared" si="304"/>
        <v>44938</v>
      </c>
      <c r="O2473" s="1">
        <f t="shared" si="305"/>
        <v>43101</v>
      </c>
      <c r="P2473" s="1">
        <f t="shared" si="306"/>
        <v>43800</v>
      </c>
      <c r="Q2473" s="8">
        <f t="shared" si="307"/>
        <v>0</v>
      </c>
      <c r="R2473" s="8">
        <f t="shared" si="308"/>
        <v>24</v>
      </c>
      <c r="S2473" s="8">
        <f t="shared" ca="1" si="309"/>
        <v>22</v>
      </c>
      <c r="T2473">
        <f t="shared" ca="1" si="310"/>
        <v>3.3655631975219205</v>
      </c>
      <c r="U2473" s="8">
        <f t="shared" ca="1" si="311"/>
        <v>1.3387894110617602</v>
      </c>
      <c r="V2473" s="8">
        <f ca="1">RawData[[#This Row],[Z (smoothed demand size)]]/RawData[[#This Row],[X (smoothed interval)]]</f>
        <v>2.5138854324017821</v>
      </c>
    </row>
    <row r="2474" spans="1:22">
      <c r="A2474" t="s">
        <v>53</v>
      </c>
      <c r="B2474" t="s">
        <v>39</v>
      </c>
      <c r="C2474">
        <v>21</v>
      </c>
      <c r="D2474" t="s">
        <v>22</v>
      </c>
      <c r="E2474" t="s">
        <v>16</v>
      </c>
      <c r="F2474" s="1">
        <v>43831</v>
      </c>
      <c r="G2474">
        <v>2</v>
      </c>
      <c r="H2474">
        <v>2</v>
      </c>
      <c r="I2474">
        <v>13</v>
      </c>
      <c r="J2474">
        <v>11</v>
      </c>
      <c r="K2474">
        <v>0</v>
      </c>
      <c r="L2474">
        <v>645</v>
      </c>
      <c r="M2474">
        <v>60</v>
      </c>
      <c r="N2474" s="1">
        <f t="shared" si="304"/>
        <v>44938</v>
      </c>
      <c r="O2474" s="1">
        <f t="shared" si="305"/>
        <v>43101</v>
      </c>
      <c r="P2474" s="1">
        <f t="shared" si="306"/>
        <v>43831</v>
      </c>
      <c r="Q2474" s="8">
        <f t="shared" si="307"/>
        <v>0</v>
      </c>
      <c r="R2474" s="8">
        <f t="shared" si="308"/>
        <v>25</v>
      </c>
      <c r="S2474" s="8">
        <f t="shared" ca="1" si="309"/>
        <v>25</v>
      </c>
      <c r="T2474">
        <f t="shared" ca="1" si="310"/>
        <v>3.0924505580175365</v>
      </c>
      <c r="U2474" s="8">
        <f t="shared" ca="1" si="311"/>
        <v>1.6710315288494082</v>
      </c>
      <c r="V2474" s="8">
        <f ca="1">RawData[[#This Row],[Z (smoothed demand size)]]/RawData[[#This Row],[X (smoothed interval)]]</f>
        <v>1.8506237043575409</v>
      </c>
    </row>
    <row r="2475" spans="1:22">
      <c r="A2475" t="s">
        <v>53</v>
      </c>
      <c r="B2475" t="s">
        <v>39</v>
      </c>
      <c r="C2475">
        <v>21</v>
      </c>
      <c r="D2475" t="s">
        <v>22</v>
      </c>
      <c r="E2475" t="s">
        <v>16</v>
      </c>
      <c r="F2475" s="1">
        <v>43832</v>
      </c>
      <c r="G2475">
        <v>5</v>
      </c>
      <c r="H2475">
        <v>5</v>
      </c>
      <c r="I2475">
        <v>11</v>
      </c>
      <c r="J2475">
        <v>6</v>
      </c>
      <c r="K2475">
        <v>0</v>
      </c>
      <c r="L2475">
        <v>636</v>
      </c>
      <c r="M2475">
        <v>30</v>
      </c>
      <c r="N2475" s="1">
        <f t="shared" si="304"/>
        <v>44938</v>
      </c>
      <c r="O2475" s="1">
        <f t="shared" si="305"/>
        <v>43101</v>
      </c>
      <c r="P2475" s="1">
        <f t="shared" si="306"/>
        <v>43862</v>
      </c>
      <c r="Q2475" s="8">
        <f t="shared" si="307"/>
        <v>0</v>
      </c>
      <c r="R2475" s="8">
        <f t="shared" si="308"/>
        <v>26</v>
      </c>
      <c r="S2475" s="8">
        <f t="shared" ca="1" si="309"/>
        <v>26</v>
      </c>
      <c r="T2475">
        <f t="shared" ca="1" si="310"/>
        <v>3.4739604464140292</v>
      </c>
      <c r="U2475" s="8">
        <f t="shared" ca="1" si="311"/>
        <v>1.5368252230795265</v>
      </c>
      <c r="V2475" s="8">
        <f ca="1">RawData[[#This Row],[Z (smoothed demand size)]]/RawData[[#This Row],[X (smoothed interval)]]</f>
        <v>2.2604785464496904</v>
      </c>
    </row>
    <row r="2476" spans="1:22">
      <c r="A2476" t="s">
        <v>53</v>
      </c>
      <c r="B2476" t="s">
        <v>39</v>
      </c>
      <c r="C2476">
        <v>21</v>
      </c>
      <c r="D2476" t="s">
        <v>22</v>
      </c>
      <c r="E2476" t="s">
        <v>16</v>
      </c>
      <c r="F2476" s="1">
        <v>43833</v>
      </c>
      <c r="G2476">
        <v>5</v>
      </c>
      <c r="H2476">
        <v>5</v>
      </c>
      <c r="I2476">
        <v>6</v>
      </c>
      <c r="J2476">
        <v>1</v>
      </c>
      <c r="K2476">
        <v>0</v>
      </c>
      <c r="L2476">
        <v>641</v>
      </c>
      <c r="M2476">
        <v>60</v>
      </c>
      <c r="N2476" s="1">
        <f t="shared" si="304"/>
        <v>44938</v>
      </c>
      <c r="O2476" s="1">
        <f t="shared" si="305"/>
        <v>43101</v>
      </c>
      <c r="P2476" s="1">
        <f t="shared" si="306"/>
        <v>43891</v>
      </c>
      <c r="Q2476" s="8">
        <f t="shared" si="307"/>
        <v>0</v>
      </c>
      <c r="R2476" s="8">
        <f t="shared" si="308"/>
        <v>27</v>
      </c>
      <c r="S2476" s="8">
        <f t="shared" ca="1" si="309"/>
        <v>27</v>
      </c>
      <c r="T2476">
        <f t="shared" ca="1" si="310"/>
        <v>3.7791683571312236</v>
      </c>
      <c r="U2476" s="8">
        <f t="shared" ca="1" si="311"/>
        <v>1.4294601784636212</v>
      </c>
      <c r="V2476" s="8">
        <f ca="1">RawData[[#This Row],[Z (smoothed demand size)]]/RawData[[#This Row],[X (smoothed interval)]]</f>
        <v>2.6437730928559762</v>
      </c>
    </row>
    <row r="2477" spans="1:22">
      <c r="A2477" t="s">
        <v>53</v>
      </c>
      <c r="B2477" t="s">
        <v>39</v>
      </c>
      <c r="C2477">
        <v>21</v>
      </c>
      <c r="D2477" t="s">
        <v>22</v>
      </c>
      <c r="E2477" t="s">
        <v>16</v>
      </c>
      <c r="F2477" s="1">
        <v>43834</v>
      </c>
      <c r="G2477">
        <v>3</v>
      </c>
      <c r="H2477">
        <v>1</v>
      </c>
      <c r="I2477">
        <v>1</v>
      </c>
      <c r="J2477">
        <v>0</v>
      </c>
      <c r="K2477">
        <v>1</v>
      </c>
      <c r="L2477">
        <v>650</v>
      </c>
      <c r="M2477">
        <v>30</v>
      </c>
      <c r="N2477" s="1">
        <f t="shared" si="304"/>
        <v>44938</v>
      </c>
      <c r="O2477" s="1">
        <f t="shared" si="305"/>
        <v>43101</v>
      </c>
      <c r="P2477" s="1">
        <f t="shared" si="306"/>
        <v>43922</v>
      </c>
      <c r="Q2477" s="8">
        <f t="shared" si="307"/>
        <v>0</v>
      </c>
      <c r="R2477" s="8">
        <f t="shared" si="308"/>
        <v>28</v>
      </c>
      <c r="S2477" s="8">
        <f t="shared" ca="1" si="309"/>
        <v>28</v>
      </c>
      <c r="T2477">
        <f t="shared" ca="1" si="310"/>
        <v>3.6233346857049793</v>
      </c>
      <c r="U2477" s="8">
        <f t="shared" ca="1" si="311"/>
        <v>1.343568142770897</v>
      </c>
      <c r="V2477" s="8">
        <f ca="1">RawData[[#This Row],[Z (smoothed demand size)]]/RawData[[#This Row],[X (smoothed interval)]]</f>
        <v>2.6968000880345557</v>
      </c>
    </row>
    <row r="2478" spans="1:22">
      <c r="A2478" t="s">
        <v>53</v>
      </c>
      <c r="B2478" t="s">
        <v>39</v>
      </c>
      <c r="C2478">
        <v>21</v>
      </c>
      <c r="D2478" t="s">
        <v>22</v>
      </c>
      <c r="E2478" t="s">
        <v>16</v>
      </c>
      <c r="F2478" s="1">
        <v>43835</v>
      </c>
      <c r="G2478">
        <v>3</v>
      </c>
      <c r="H2478">
        <v>3</v>
      </c>
      <c r="I2478">
        <v>8</v>
      </c>
      <c r="J2478">
        <v>5</v>
      </c>
      <c r="K2478">
        <v>0</v>
      </c>
      <c r="L2478">
        <v>659</v>
      </c>
      <c r="M2478">
        <v>30</v>
      </c>
      <c r="N2478" s="1">
        <f t="shared" si="304"/>
        <v>44938</v>
      </c>
      <c r="O2478" s="1">
        <f t="shared" si="305"/>
        <v>43101</v>
      </c>
      <c r="P2478" s="1">
        <f t="shared" si="306"/>
        <v>43952</v>
      </c>
      <c r="Q2478" s="8">
        <f t="shared" si="307"/>
        <v>0</v>
      </c>
      <c r="R2478" s="8">
        <f t="shared" si="308"/>
        <v>29</v>
      </c>
      <c r="S2478" s="8">
        <f t="shared" ca="1" si="309"/>
        <v>29</v>
      </c>
      <c r="T2478">
        <f t="shared" ca="1" si="310"/>
        <v>3.4986677485639839</v>
      </c>
      <c r="U2478" s="8">
        <f t="shared" ca="1" si="311"/>
        <v>1.2748545142167176</v>
      </c>
      <c r="V2478" s="8">
        <f ca="1">RawData[[#This Row],[Z (smoothed demand size)]]/RawData[[#This Row],[X (smoothed interval)]]</f>
        <v>2.7443662861511675</v>
      </c>
    </row>
    <row r="2479" spans="1:22">
      <c r="A2479" t="s">
        <v>53</v>
      </c>
      <c r="B2479" t="s">
        <v>39</v>
      </c>
      <c r="C2479">
        <v>21</v>
      </c>
      <c r="D2479" t="s">
        <v>22</v>
      </c>
      <c r="E2479" t="s">
        <v>16</v>
      </c>
      <c r="F2479" s="1">
        <v>43836</v>
      </c>
      <c r="G2479">
        <v>2</v>
      </c>
      <c r="H2479">
        <v>2</v>
      </c>
      <c r="I2479">
        <v>5</v>
      </c>
      <c r="J2479">
        <v>3</v>
      </c>
      <c r="K2479">
        <v>0</v>
      </c>
      <c r="L2479">
        <v>757</v>
      </c>
      <c r="M2479">
        <v>15</v>
      </c>
      <c r="N2479" s="1">
        <f t="shared" si="304"/>
        <v>44938</v>
      </c>
      <c r="O2479" s="1">
        <f t="shared" si="305"/>
        <v>43101</v>
      </c>
      <c r="P2479" s="1">
        <f t="shared" si="306"/>
        <v>43983</v>
      </c>
      <c r="Q2479" s="8">
        <f t="shared" si="307"/>
        <v>0</v>
      </c>
      <c r="R2479" s="8">
        <f t="shared" si="308"/>
        <v>30</v>
      </c>
      <c r="S2479" s="8">
        <f t="shared" ca="1" si="309"/>
        <v>30</v>
      </c>
      <c r="T2479">
        <f t="shared" ca="1" si="310"/>
        <v>3.198934198851187</v>
      </c>
      <c r="U2479" s="8">
        <f t="shared" ca="1" si="311"/>
        <v>1.219883611373374</v>
      </c>
      <c r="V2479" s="8">
        <f ca="1">RawData[[#This Row],[Z (smoothed demand size)]]/RawData[[#This Row],[X (smoothed interval)]]</f>
        <v>2.6223273835523955</v>
      </c>
    </row>
    <row r="2480" spans="1:22">
      <c r="A2480" t="s">
        <v>53</v>
      </c>
      <c r="B2480" t="s">
        <v>39</v>
      </c>
      <c r="C2480">
        <v>21</v>
      </c>
      <c r="D2480" t="s">
        <v>22</v>
      </c>
      <c r="E2480" t="s">
        <v>16</v>
      </c>
      <c r="F2480" s="1">
        <v>43837</v>
      </c>
      <c r="G2480">
        <v>0</v>
      </c>
      <c r="H2480">
        <v>0</v>
      </c>
      <c r="I2480">
        <v>12</v>
      </c>
      <c r="J2480">
        <v>12</v>
      </c>
      <c r="K2480">
        <v>0</v>
      </c>
      <c r="L2480">
        <v>749</v>
      </c>
      <c r="M2480">
        <v>15</v>
      </c>
      <c r="N2480" s="1">
        <f t="shared" si="304"/>
        <v>44938</v>
      </c>
      <c r="O2480" s="1">
        <f t="shared" si="305"/>
        <v>43101</v>
      </c>
      <c r="P2480" s="1">
        <f t="shared" si="306"/>
        <v>44013</v>
      </c>
      <c r="Q2480" s="8">
        <f t="shared" si="307"/>
        <v>0</v>
      </c>
      <c r="R2480" s="8">
        <f t="shared" si="308"/>
        <v>31</v>
      </c>
      <c r="S2480" s="8">
        <f t="shared" ca="1" si="309"/>
        <v>30</v>
      </c>
      <c r="T2480">
        <f t="shared" ca="1" si="310"/>
        <v>3.198934198851187</v>
      </c>
      <c r="U2480" s="8">
        <f t="shared" ca="1" si="311"/>
        <v>1.219883611373374</v>
      </c>
      <c r="V2480" s="8">
        <f ca="1">RawData[[#This Row],[Z (smoothed demand size)]]/RawData[[#This Row],[X (smoothed interval)]]</f>
        <v>2.6223273835523955</v>
      </c>
    </row>
    <row r="2481" spans="1:22">
      <c r="A2481" t="s">
        <v>53</v>
      </c>
      <c r="B2481" t="s">
        <v>39</v>
      </c>
      <c r="C2481">
        <v>21</v>
      </c>
      <c r="D2481" t="s">
        <v>22</v>
      </c>
      <c r="E2481" t="s">
        <v>16</v>
      </c>
      <c r="F2481" s="1">
        <v>43838</v>
      </c>
      <c r="G2481">
        <v>3</v>
      </c>
      <c r="H2481">
        <v>3</v>
      </c>
      <c r="I2481">
        <v>12</v>
      </c>
      <c r="J2481">
        <v>9</v>
      </c>
      <c r="K2481">
        <v>0</v>
      </c>
      <c r="L2481">
        <v>748</v>
      </c>
      <c r="M2481">
        <v>15</v>
      </c>
      <c r="N2481" s="1">
        <f t="shared" si="304"/>
        <v>44938</v>
      </c>
      <c r="O2481" s="1">
        <f t="shared" si="305"/>
        <v>43101</v>
      </c>
      <c r="P2481" s="1">
        <f t="shared" si="306"/>
        <v>44044</v>
      </c>
      <c r="Q2481" s="8">
        <f t="shared" si="307"/>
        <v>0</v>
      </c>
      <c r="R2481" s="8">
        <f t="shared" si="308"/>
        <v>32</v>
      </c>
      <c r="S2481" s="8">
        <f t="shared" ca="1" si="309"/>
        <v>32</v>
      </c>
      <c r="T2481">
        <f t="shared" ca="1" si="310"/>
        <v>3.1591473590809498</v>
      </c>
      <c r="U2481" s="8">
        <f t="shared" ca="1" si="311"/>
        <v>1.3759068890986992</v>
      </c>
      <c r="V2481" s="8">
        <f ca="1">RawData[[#This Row],[Z (smoothed demand size)]]/RawData[[#This Row],[X (smoothed interval)]]</f>
        <v>2.2960473445629588</v>
      </c>
    </row>
    <row r="2482" spans="1:22">
      <c r="A2482" t="s">
        <v>53</v>
      </c>
      <c r="B2482" t="s">
        <v>39</v>
      </c>
      <c r="C2482">
        <v>21</v>
      </c>
      <c r="D2482" t="s">
        <v>22</v>
      </c>
      <c r="E2482" t="s">
        <v>16</v>
      </c>
      <c r="F2482" s="1">
        <v>43839</v>
      </c>
      <c r="G2482">
        <v>0</v>
      </c>
      <c r="H2482">
        <v>0</v>
      </c>
      <c r="I2482">
        <v>9</v>
      </c>
      <c r="J2482">
        <v>9</v>
      </c>
      <c r="K2482">
        <v>0</v>
      </c>
      <c r="L2482">
        <v>654</v>
      </c>
      <c r="M2482">
        <v>15</v>
      </c>
      <c r="N2482" s="1">
        <f t="shared" si="304"/>
        <v>44938</v>
      </c>
      <c r="O2482" s="1">
        <f t="shared" si="305"/>
        <v>43101</v>
      </c>
      <c r="P2482" s="1">
        <f t="shared" si="306"/>
        <v>44075</v>
      </c>
      <c r="Q2482" s="8">
        <f t="shared" si="307"/>
        <v>0</v>
      </c>
      <c r="R2482" s="8">
        <f t="shared" si="308"/>
        <v>33</v>
      </c>
      <c r="S2482" s="8">
        <f t="shared" ca="1" si="309"/>
        <v>32</v>
      </c>
      <c r="T2482">
        <f t="shared" ca="1" si="310"/>
        <v>3.1591473590809498</v>
      </c>
      <c r="U2482" s="8">
        <f t="shared" ca="1" si="311"/>
        <v>1.3759068890986992</v>
      </c>
      <c r="V2482" s="8">
        <f ca="1">RawData[[#This Row],[Z (smoothed demand size)]]/RawData[[#This Row],[X (smoothed interval)]]</f>
        <v>2.2960473445629588</v>
      </c>
    </row>
    <row r="2483" spans="1:22">
      <c r="A2483" t="s">
        <v>53</v>
      </c>
      <c r="B2483" t="s">
        <v>39</v>
      </c>
      <c r="C2483">
        <v>21</v>
      </c>
      <c r="D2483" t="s">
        <v>22</v>
      </c>
      <c r="E2483" t="s">
        <v>16</v>
      </c>
      <c r="F2483" s="1">
        <v>43840</v>
      </c>
      <c r="G2483">
        <v>0</v>
      </c>
      <c r="H2483">
        <v>0</v>
      </c>
      <c r="I2483">
        <v>9</v>
      </c>
      <c r="J2483">
        <v>9</v>
      </c>
      <c r="K2483">
        <v>0</v>
      </c>
      <c r="L2483">
        <v>658</v>
      </c>
      <c r="M2483">
        <v>30</v>
      </c>
      <c r="N2483" s="1">
        <f t="shared" si="304"/>
        <v>44938</v>
      </c>
      <c r="O2483" s="1">
        <f t="shared" si="305"/>
        <v>43101</v>
      </c>
      <c r="P2483" s="1">
        <f t="shared" si="306"/>
        <v>44105</v>
      </c>
      <c r="Q2483" s="8">
        <f t="shared" si="307"/>
        <v>0</v>
      </c>
      <c r="R2483" s="8">
        <f t="shared" si="308"/>
        <v>34</v>
      </c>
      <c r="S2483" s="8">
        <f t="shared" ca="1" si="309"/>
        <v>32</v>
      </c>
      <c r="T2483">
        <f t="shared" ca="1" si="310"/>
        <v>3.1591473590809498</v>
      </c>
      <c r="U2483" s="8">
        <f t="shared" ca="1" si="311"/>
        <v>1.3759068890986992</v>
      </c>
      <c r="V2483" s="8">
        <f ca="1">RawData[[#This Row],[Z (smoothed demand size)]]/RawData[[#This Row],[X (smoothed interval)]]</f>
        <v>2.2960473445629588</v>
      </c>
    </row>
    <row r="2484" spans="1:22">
      <c r="A2484" t="s">
        <v>53</v>
      </c>
      <c r="B2484" t="s">
        <v>39</v>
      </c>
      <c r="C2484">
        <v>21</v>
      </c>
      <c r="D2484" t="s">
        <v>22</v>
      </c>
      <c r="E2484" t="s">
        <v>16</v>
      </c>
      <c r="F2484" s="1">
        <v>43841</v>
      </c>
      <c r="G2484">
        <v>3</v>
      </c>
      <c r="H2484">
        <v>3</v>
      </c>
      <c r="I2484">
        <v>9</v>
      </c>
      <c r="J2484">
        <v>6</v>
      </c>
      <c r="K2484">
        <v>0</v>
      </c>
      <c r="L2484">
        <v>650</v>
      </c>
      <c r="M2484">
        <v>45</v>
      </c>
      <c r="N2484" s="1">
        <f t="shared" si="304"/>
        <v>44938</v>
      </c>
      <c r="O2484" s="1">
        <f t="shared" si="305"/>
        <v>43101</v>
      </c>
      <c r="P2484" s="1">
        <f t="shared" si="306"/>
        <v>44136</v>
      </c>
      <c r="Q2484" s="8">
        <f t="shared" si="307"/>
        <v>0</v>
      </c>
      <c r="R2484" s="8">
        <f t="shared" si="308"/>
        <v>35</v>
      </c>
      <c r="S2484" s="8">
        <f t="shared" ca="1" si="309"/>
        <v>35</v>
      </c>
      <c r="T2484">
        <f t="shared" ca="1" si="310"/>
        <v>3.12731788726476</v>
      </c>
      <c r="U2484" s="8">
        <f t="shared" ca="1" si="311"/>
        <v>1.7007255112789594</v>
      </c>
      <c r="V2484" s="8">
        <f ca="1">RawData[[#This Row],[Z (smoothed demand size)]]/RawData[[#This Row],[X (smoothed interval)]]</f>
        <v>1.8388140040969878</v>
      </c>
    </row>
    <row r="2485" spans="1:22">
      <c r="A2485" t="s">
        <v>53</v>
      </c>
      <c r="B2485" t="s">
        <v>39</v>
      </c>
      <c r="C2485">
        <v>21</v>
      </c>
      <c r="D2485" t="s">
        <v>22</v>
      </c>
      <c r="E2485" t="s">
        <v>16</v>
      </c>
      <c r="F2485" s="1">
        <v>43842</v>
      </c>
      <c r="G2485">
        <v>0</v>
      </c>
      <c r="H2485">
        <v>0</v>
      </c>
      <c r="I2485">
        <v>6</v>
      </c>
      <c r="J2485">
        <v>6</v>
      </c>
      <c r="K2485">
        <v>0</v>
      </c>
      <c r="L2485">
        <v>748</v>
      </c>
      <c r="M2485">
        <v>30</v>
      </c>
      <c r="N2485" s="1">
        <f t="shared" si="304"/>
        <v>44938</v>
      </c>
      <c r="O2485" s="1">
        <f t="shared" si="305"/>
        <v>43101</v>
      </c>
      <c r="P2485" s="1">
        <f t="shared" si="306"/>
        <v>44166</v>
      </c>
      <c r="Q2485" s="8">
        <f t="shared" si="307"/>
        <v>0</v>
      </c>
      <c r="R2485" s="8">
        <f t="shared" si="308"/>
        <v>36</v>
      </c>
      <c r="S2485" s="8">
        <f t="shared" ca="1" si="309"/>
        <v>35</v>
      </c>
      <c r="T2485">
        <f t="shared" ca="1" si="310"/>
        <v>3.12731788726476</v>
      </c>
      <c r="U2485" s="8">
        <f t="shared" ca="1" si="311"/>
        <v>1.7007255112789594</v>
      </c>
      <c r="V2485" s="8">
        <f ca="1">RawData[[#This Row],[Z (smoothed demand size)]]/RawData[[#This Row],[X (smoothed interval)]]</f>
        <v>1.8388140040969878</v>
      </c>
    </row>
    <row r="2486" spans="1:22">
      <c r="A2486" t="s">
        <v>53</v>
      </c>
      <c r="B2486" t="s">
        <v>39</v>
      </c>
      <c r="C2486">
        <v>21</v>
      </c>
      <c r="D2486" t="s">
        <v>22</v>
      </c>
      <c r="E2486" t="s">
        <v>16</v>
      </c>
      <c r="F2486" s="1">
        <v>44197</v>
      </c>
      <c r="G2486">
        <v>0</v>
      </c>
      <c r="H2486">
        <v>0</v>
      </c>
      <c r="I2486">
        <v>6</v>
      </c>
      <c r="J2486">
        <v>6</v>
      </c>
      <c r="K2486">
        <v>0</v>
      </c>
      <c r="L2486">
        <v>648</v>
      </c>
      <c r="M2486">
        <v>15</v>
      </c>
      <c r="N2486" s="1">
        <f t="shared" si="304"/>
        <v>44938</v>
      </c>
      <c r="O2486" s="1">
        <f t="shared" si="305"/>
        <v>43101</v>
      </c>
      <c r="P2486" s="1">
        <f t="shared" si="306"/>
        <v>44197</v>
      </c>
      <c r="Q2486" s="8">
        <f t="shared" si="307"/>
        <v>0</v>
      </c>
      <c r="R2486" s="8">
        <f t="shared" si="308"/>
        <v>37</v>
      </c>
      <c r="S2486" s="8">
        <f t="shared" ca="1" si="309"/>
        <v>35</v>
      </c>
      <c r="T2486">
        <f t="shared" ca="1" si="310"/>
        <v>3.12731788726476</v>
      </c>
      <c r="U2486" s="8">
        <f t="shared" ca="1" si="311"/>
        <v>1.7007255112789594</v>
      </c>
      <c r="V2486" s="8">
        <f ca="1">RawData[[#This Row],[Z (smoothed demand size)]]/RawData[[#This Row],[X (smoothed interval)]]</f>
        <v>1.8388140040969878</v>
      </c>
    </row>
    <row r="2487" spans="1:22">
      <c r="A2487" t="s">
        <v>53</v>
      </c>
      <c r="B2487" t="s">
        <v>39</v>
      </c>
      <c r="C2487">
        <v>21</v>
      </c>
      <c r="D2487" t="s">
        <v>22</v>
      </c>
      <c r="E2487" t="s">
        <v>16</v>
      </c>
      <c r="F2487" s="1">
        <v>44198</v>
      </c>
      <c r="G2487">
        <v>2</v>
      </c>
      <c r="H2487">
        <v>2</v>
      </c>
      <c r="I2487">
        <v>6</v>
      </c>
      <c r="J2487">
        <v>4</v>
      </c>
      <c r="K2487">
        <v>0</v>
      </c>
      <c r="L2487">
        <v>654</v>
      </c>
      <c r="M2487">
        <v>60</v>
      </c>
      <c r="N2487" s="1">
        <f t="shared" si="304"/>
        <v>44938</v>
      </c>
      <c r="O2487" s="1">
        <f t="shared" si="305"/>
        <v>43101</v>
      </c>
      <c r="P2487" s="1">
        <f t="shared" si="306"/>
        <v>44228</v>
      </c>
      <c r="Q2487" s="8">
        <f t="shared" si="307"/>
        <v>0</v>
      </c>
      <c r="R2487" s="8">
        <f t="shared" si="308"/>
        <v>38</v>
      </c>
      <c r="S2487" s="8">
        <f t="shared" ca="1" si="309"/>
        <v>38</v>
      </c>
      <c r="T2487">
        <f t="shared" ca="1" si="310"/>
        <v>2.9018543098118079</v>
      </c>
      <c r="U2487" s="8">
        <f t="shared" ca="1" si="311"/>
        <v>1.9605804090231678</v>
      </c>
      <c r="V2487" s="8">
        <f ca="1">RawData[[#This Row],[Z (smoothed demand size)]]/RawData[[#This Row],[X (smoothed interval)]]</f>
        <v>1.4800996156325039</v>
      </c>
    </row>
    <row r="2488" spans="1:22">
      <c r="A2488" t="s">
        <v>53</v>
      </c>
      <c r="B2488" t="s">
        <v>39</v>
      </c>
      <c r="C2488">
        <v>21</v>
      </c>
      <c r="D2488" t="s">
        <v>22</v>
      </c>
      <c r="E2488" t="s">
        <v>16</v>
      </c>
      <c r="F2488" s="1">
        <v>44199</v>
      </c>
      <c r="G2488">
        <v>1</v>
      </c>
      <c r="H2488">
        <v>1</v>
      </c>
      <c r="I2488">
        <v>4</v>
      </c>
      <c r="J2488">
        <v>3</v>
      </c>
      <c r="K2488">
        <v>0</v>
      </c>
      <c r="L2488">
        <v>638</v>
      </c>
      <c r="M2488">
        <v>15</v>
      </c>
      <c r="N2488" s="1">
        <f t="shared" si="304"/>
        <v>44938</v>
      </c>
      <c r="O2488" s="1">
        <f t="shared" si="305"/>
        <v>43101</v>
      </c>
      <c r="P2488" s="1">
        <f t="shared" si="306"/>
        <v>44256</v>
      </c>
      <c r="Q2488" s="8">
        <f t="shared" si="307"/>
        <v>0</v>
      </c>
      <c r="R2488" s="8">
        <f t="shared" si="308"/>
        <v>39</v>
      </c>
      <c r="S2488" s="8">
        <f t="shared" ca="1" si="309"/>
        <v>39</v>
      </c>
      <c r="T2488">
        <f t="shared" ca="1" si="310"/>
        <v>2.5214834478494468</v>
      </c>
      <c r="U2488" s="8">
        <f t="shared" ca="1" si="311"/>
        <v>1.7684643272185343</v>
      </c>
      <c r="V2488" s="8">
        <f ca="1">RawData[[#This Row],[Z (smoothed demand size)]]/RawData[[#This Row],[X (smoothed interval)]]</f>
        <v>1.4258039639483548</v>
      </c>
    </row>
    <row r="2489" spans="1:22">
      <c r="A2489" t="s">
        <v>53</v>
      </c>
      <c r="B2489" t="s">
        <v>39</v>
      </c>
      <c r="C2489">
        <v>21</v>
      </c>
      <c r="D2489" t="s">
        <v>22</v>
      </c>
      <c r="E2489" t="s">
        <v>16</v>
      </c>
      <c r="F2489" s="1">
        <v>44200</v>
      </c>
      <c r="G2489">
        <v>4</v>
      </c>
      <c r="H2489">
        <v>4</v>
      </c>
      <c r="I2489">
        <v>13</v>
      </c>
      <c r="J2489">
        <v>9</v>
      </c>
      <c r="K2489">
        <v>0</v>
      </c>
      <c r="L2489">
        <v>647</v>
      </c>
      <c r="M2489">
        <v>30</v>
      </c>
      <c r="N2489" s="1">
        <f t="shared" si="304"/>
        <v>44938</v>
      </c>
      <c r="O2489" s="1">
        <f t="shared" si="305"/>
        <v>43101</v>
      </c>
      <c r="P2489" s="1">
        <f t="shared" si="306"/>
        <v>44287</v>
      </c>
      <c r="Q2489" s="8">
        <f t="shared" si="307"/>
        <v>0</v>
      </c>
      <c r="R2489" s="8">
        <f t="shared" si="308"/>
        <v>40</v>
      </c>
      <c r="S2489" s="8">
        <f t="shared" ca="1" si="309"/>
        <v>40</v>
      </c>
      <c r="T2489">
        <f t="shared" ca="1" si="310"/>
        <v>2.8171867582795578</v>
      </c>
      <c r="U2489" s="8">
        <f t="shared" ca="1" si="311"/>
        <v>1.6147714617748274</v>
      </c>
      <c r="V2489" s="8">
        <f ca="1">RawData[[#This Row],[Z (smoothed demand size)]]/RawData[[#This Row],[X (smoothed interval)]]</f>
        <v>1.7446349684574756</v>
      </c>
    </row>
    <row r="2490" spans="1:22">
      <c r="A2490" t="s">
        <v>53</v>
      </c>
      <c r="B2490" t="s">
        <v>39</v>
      </c>
      <c r="C2490">
        <v>21</v>
      </c>
      <c r="D2490" t="s">
        <v>22</v>
      </c>
      <c r="E2490" t="s">
        <v>16</v>
      </c>
      <c r="F2490" s="1">
        <v>44201</v>
      </c>
      <c r="G2490">
        <v>2</v>
      </c>
      <c r="H2490">
        <v>2</v>
      </c>
      <c r="I2490">
        <v>9</v>
      </c>
      <c r="J2490">
        <v>7</v>
      </c>
      <c r="K2490">
        <v>0</v>
      </c>
      <c r="L2490">
        <v>650</v>
      </c>
      <c r="M2490">
        <v>15</v>
      </c>
      <c r="N2490" s="1">
        <f t="shared" si="304"/>
        <v>44938</v>
      </c>
      <c r="O2490" s="1">
        <f t="shared" si="305"/>
        <v>43101</v>
      </c>
      <c r="P2490" s="1">
        <f t="shared" si="306"/>
        <v>44317</v>
      </c>
      <c r="Q2490" s="8">
        <f t="shared" si="307"/>
        <v>0</v>
      </c>
      <c r="R2490" s="8">
        <f t="shared" si="308"/>
        <v>41</v>
      </c>
      <c r="S2490" s="8">
        <f t="shared" ca="1" si="309"/>
        <v>41</v>
      </c>
      <c r="T2490">
        <f t="shared" ca="1" si="310"/>
        <v>2.6537494066236462</v>
      </c>
      <c r="U2490" s="8">
        <f t="shared" ca="1" si="311"/>
        <v>1.4918171694198621</v>
      </c>
      <c r="V2490" s="8">
        <f ca="1">RawData[[#This Row],[Z (smoothed demand size)]]/RawData[[#This Row],[X (smoothed interval)]]</f>
        <v>1.7788704011602416</v>
      </c>
    </row>
    <row r="2491" spans="1:22">
      <c r="A2491" t="s">
        <v>53</v>
      </c>
      <c r="B2491" t="s">
        <v>39</v>
      </c>
      <c r="C2491">
        <v>21</v>
      </c>
      <c r="D2491" t="s">
        <v>22</v>
      </c>
      <c r="E2491" t="s">
        <v>16</v>
      </c>
      <c r="F2491" s="1">
        <v>44202</v>
      </c>
      <c r="G2491">
        <v>3</v>
      </c>
      <c r="H2491">
        <v>3</v>
      </c>
      <c r="I2491">
        <v>7</v>
      </c>
      <c r="J2491">
        <v>4</v>
      </c>
      <c r="K2491">
        <v>0</v>
      </c>
      <c r="L2491">
        <v>730</v>
      </c>
      <c r="M2491">
        <v>60</v>
      </c>
      <c r="N2491" s="1">
        <f t="shared" si="304"/>
        <v>44938</v>
      </c>
      <c r="O2491" s="1">
        <f t="shared" si="305"/>
        <v>43101</v>
      </c>
      <c r="P2491" s="1">
        <f t="shared" si="306"/>
        <v>44348</v>
      </c>
      <c r="Q2491" s="8">
        <f t="shared" si="307"/>
        <v>0</v>
      </c>
      <c r="R2491" s="8">
        <f t="shared" si="308"/>
        <v>42</v>
      </c>
      <c r="S2491" s="8">
        <f t="shared" ca="1" si="309"/>
        <v>42</v>
      </c>
      <c r="T2491">
        <f t="shared" ca="1" si="310"/>
        <v>2.722999525298917</v>
      </c>
      <c r="U2491" s="8">
        <f t="shared" ca="1" si="311"/>
        <v>1.3934537355358896</v>
      </c>
      <c r="V2491" s="8">
        <f ca="1">RawData[[#This Row],[Z (smoothed demand size)]]/RawData[[#This Row],[X (smoothed interval)]]</f>
        <v>1.9541370164340011</v>
      </c>
    </row>
    <row r="2492" spans="1:22">
      <c r="A2492" t="s">
        <v>53</v>
      </c>
      <c r="B2492" t="s">
        <v>39</v>
      </c>
      <c r="C2492">
        <v>21</v>
      </c>
      <c r="D2492" t="s">
        <v>22</v>
      </c>
      <c r="E2492" t="s">
        <v>16</v>
      </c>
      <c r="F2492" s="1">
        <v>44203</v>
      </c>
      <c r="G2492">
        <v>0</v>
      </c>
      <c r="H2492">
        <v>0</v>
      </c>
      <c r="I2492">
        <v>4</v>
      </c>
      <c r="J2492">
        <v>4</v>
      </c>
      <c r="K2492">
        <v>0</v>
      </c>
      <c r="L2492">
        <v>751</v>
      </c>
      <c r="M2492">
        <v>15</v>
      </c>
      <c r="N2492" s="1">
        <f t="shared" si="304"/>
        <v>44938</v>
      </c>
      <c r="O2492" s="1">
        <f t="shared" si="305"/>
        <v>43101</v>
      </c>
      <c r="P2492" s="1">
        <f t="shared" si="306"/>
        <v>44378</v>
      </c>
      <c r="Q2492" s="8">
        <f t="shared" si="307"/>
        <v>0</v>
      </c>
      <c r="R2492" s="8">
        <f t="shared" si="308"/>
        <v>43</v>
      </c>
      <c r="S2492" s="8">
        <f t="shared" ca="1" si="309"/>
        <v>42</v>
      </c>
      <c r="T2492">
        <f t="shared" ca="1" si="310"/>
        <v>2.722999525298917</v>
      </c>
      <c r="U2492" s="8">
        <f t="shared" ca="1" si="311"/>
        <v>1.3934537355358896</v>
      </c>
      <c r="V2492" s="8">
        <f ca="1">RawData[[#This Row],[Z (smoothed demand size)]]/RawData[[#This Row],[X (smoothed interval)]]</f>
        <v>1.9541370164340011</v>
      </c>
    </row>
    <row r="2493" spans="1:22">
      <c r="A2493" t="s">
        <v>53</v>
      </c>
      <c r="B2493" t="s">
        <v>39</v>
      </c>
      <c r="C2493">
        <v>21</v>
      </c>
      <c r="D2493" t="s">
        <v>22</v>
      </c>
      <c r="E2493" t="s">
        <v>16</v>
      </c>
      <c r="F2493" s="1">
        <v>44204</v>
      </c>
      <c r="G2493">
        <v>3</v>
      </c>
      <c r="H2493">
        <v>3</v>
      </c>
      <c r="I2493">
        <v>4</v>
      </c>
      <c r="J2493">
        <v>1</v>
      </c>
      <c r="K2493">
        <v>0</v>
      </c>
      <c r="L2493">
        <v>752</v>
      </c>
      <c r="M2493">
        <v>15</v>
      </c>
      <c r="N2493" s="1">
        <f t="shared" si="304"/>
        <v>44938</v>
      </c>
      <c r="O2493" s="1">
        <f t="shared" si="305"/>
        <v>43101</v>
      </c>
      <c r="P2493" s="1">
        <f t="shared" si="306"/>
        <v>44409</v>
      </c>
      <c r="Q2493" s="8">
        <f t="shared" si="307"/>
        <v>0</v>
      </c>
      <c r="R2493" s="8">
        <f t="shared" si="308"/>
        <v>44</v>
      </c>
      <c r="S2493" s="8">
        <f t="shared" ca="1" si="309"/>
        <v>44</v>
      </c>
      <c r="T2493">
        <f t="shared" ca="1" si="310"/>
        <v>2.7783996202391337</v>
      </c>
      <c r="U2493" s="8">
        <f t="shared" ca="1" si="311"/>
        <v>1.5147629884287119</v>
      </c>
      <c r="V2493" s="8">
        <f ca="1">RawData[[#This Row],[Z (smoothed demand size)]]/RawData[[#This Row],[X (smoothed interval)]]</f>
        <v>1.8342140925434232</v>
      </c>
    </row>
    <row r="2494" spans="1:22">
      <c r="A2494" t="s">
        <v>53</v>
      </c>
      <c r="B2494" t="s">
        <v>39</v>
      </c>
      <c r="C2494">
        <v>21</v>
      </c>
      <c r="D2494" t="s">
        <v>22</v>
      </c>
      <c r="E2494" t="s">
        <v>16</v>
      </c>
      <c r="F2494" s="1">
        <v>44205</v>
      </c>
      <c r="G2494">
        <v>2</v>
      </c>
      <c r="H2494">
        <v>2</v>
      </c>
      <c r="I2494">
        <v>8</v>
      </c>
      <c r="J2494">
        <v>6</v>
      </c>
      <c r="K2494">
        <v>0</v>
      </c>
      <c r="L2494">
        <v>635</v>
      </c>
      <c r="M2494">
        <v>15</v>
      </c>
      <c r="N2494" s="1">
        <f t="shared" si="304"/>
        <v>44938</v>
      </c>
      <c r="O2494" s="1">
        <f t="shared" si="305"/>
        <v>43101</v>
      </c>
      <c r="P2494" s="1">
        <f t="shared" si="306"/>
        <v>44440</v>
      </c>
      <c r="Q2494" s="8">
        <f t="shared" si="307"/>
        <v>0</v>
      </c>
      <c r="R2494" s="8">
        <f t="shared" si="308"/>
        <v>45</v>
      </c>
      <c r="S2494" s="8">
        <f t="shared" ca="1" si="309"/>
        <v>45</v>
      </c>
      <c r="T2494">
        <f t="shared" ca="1" si="310"/>
        <v>2.6227196961913068</v>
      </c>
      <c r="U2494" s="8">
        <f t="shared" ca="1" si="311"/>
        <v>1.4118103907429695</v>
      </c>
      <c r="V2494" s="8">
        <f ca="1">RawData[[#This Row],[Z (smoothed demand size)]]/RawData[[#This Row],[X (smoothed interval)]]</f>
        <v>1.8576996694372625</v>
      </c>
    </row>
    <row r="2495" spans="1:22">
      <c r="A2495" t="s">
        <v>53</v>
      </c>
      <c r="B2495" t="s">
        <v>39</v>
      </c>
      <c r="C2495">
        <v>21</v>
      </c>
      <c r="D2495" t="s">
        <v>22</v>
      </c>
      <c r="E2495" t="s">
        <v>16</v>
      </c>
      <c r="F2495" s="1">
        <v>44206</v>
      </c>
      <c r="G2495">
        <v>0</v>
      </c>
      <c r="H2495">
        <v>0</v>
      </c>
      <c r="I2495">
        <v>6</v>
      </c>
      <c r="J2495">
        <v>6</v>
      </c>
      <c r="K2495">
        <v>0</v>
      </c>
      <c r="L2495">
        <v>644</v>
      </c>
      <c r="M2495">
        <v>30</v>
      </c>
      <c r="N2495" s="1">
        <f t="shared" si="304"/>
        <v>44938</v>
      </c>
      <c r="O2495" s="1">
        <f t="shared" si="305"/>
        <v>43101</v>
      </c>
      <c r="P2495" s="1">
        <f t="shared" si="306"/>
        <v>44470</v>
      </c>
      <c r="Q2495" s="8">
        <f t="shared" si="307"/>
        <v>0</v>
      </c>
      <c r="R2495" s="8">
        <f t="shared" si="308"/>
        <v>46</v>
      </c>
      <c r="S2495" s="8">
        <f t="shared" ca="1" si="309"/>
        <v>45</v>
      </c>
      <c r="T2495">
        <f t="shared" ca="1" si="310"/>
        <v>2.6227196961913068</v>
      </c>
      <c r="U2495" s="8">
        <f t="shared" ca="1" si="311"/>
        <v>1.4118103907429695</v>
      </c>
      <c r="V2495" s="8">
        <f ca="1">RawData[[#This Row],[Z (smoothed demand size)]]/RawData[[#This Row],[X (smoothed interval)]]</f>
        <v>1.8576996694372625</v>
      </c>
    </row>
    <row r="2496" spans="1:22">
      <c r="A2496" t="s">
        <v>53</v>
      </c>
      <c r="B2496" t="s">
        <v>39</v>
      </c>
      <c r="C2496">
        <v>21</v>
      </c>
      <c r="D2496" t="s">
        <v>22</v>
      </c>
      <c r="E2496" t="s">
        <v>16</v>
      </c>
      <c r="F2496" s="1">
        <v>44207</v>
      </c>
      <c r="G2496">
        <v>1</v>
      </c>
      <c r="H2496">
        <v>1</v>
      </c>
      <c r="I2496">
        <v>6</v>
      </c>
      <c r="J2496">
        <v>5</v>
      </c>
      <c r="K2496">
        <v>0</v>
      </c>
      <c r="L2496">
        <v>645</v>
      </c>
      <c r="M2496">
        <v>15</v>
      </c>
      <c r="N2496" s="1">
        <f t="shared" si="304"/>
        <v>44938</v>
      </c>
      <c r="O2496" s="1">
        <f t="shared" si="305"/>
        <v>43101</v>
      </c>
      <c r="P2496" s="1">
        <f t="shared" si="306"/>
        <v>44501</v>
      </c>
      <c r="Q2496" s="8">
        <f t="shared" si="307"/>
        <v>0</v>
      </c>
      <c r="R2496" s="8">
        <f t="shared" si="308"/>
        <v>47</v>
      </c>
      <c r="S2496" s="8">
        <f t="shared" ca="1" si="309"/>
        <v>47</v>
      </c>
      <c r="T2496">
        <f t="shared" ca="1" si="310"/>
        <v>2.2981757569530457</v>
      </c>
      <c r="U2496" s="8">
        <f t="shared" ca="1" si="311"/>
        <v>1.5294483125943756</v>
      </c>
      <c r="V2496" s="8">
        <f ca="1">RawData[[#This Row],[Z (smoothed demand size)]]/RawData[[#This Row],[X (smoothed interval)]]</f>
        <v>1.502617471952806</v>
      </c>
    </row>
    <row r="2497" spans="1:22">
      <c r="A2497" t="s">
        <v>53</v>
      </c>
      <c r="B2497" t="s">
        <v>39</v>
      </c>
      <c r="C2497">
        <v>21</v>
      </c>
      <c r="D2497" t="s">
        <v>22</v>
      </c>
      <c r="E2497" t="s">
        <v>16</v>
      </c>
      <c r="F2497" s="1">
        <v>44208</v>
      </c>
      <c r="G2497">
        <v>0</v>
      </c>
      <c r="H2497">
        <v>0</v>
      </c>
      <c r="I2497">
        <v>5</v>
      </c>
      <c r="J2497">
        <v>5</v>
      </c>
      <c r="K2497">
        <v>0</v>
      </c>
      <c r="L2497">
        <v>738</v>
      </c>
      <c r="M2497">
        <v>15</v>
      </c>
      <c r="N2497" s="1">
        <f t="shared" si="304"/>
        <v>44938</v>
      </c>
      <c r="O2497" s="1">
        <f t="shared" si="305"/>
        <v>43101</v>
      </c>
      <c r="P2497" s="1">
        <f t="shared" si="306"/>
        <v>44531</v>
      </c>
      <c r="Q2497" s="8">
        <f t="shared" si="307"/>
        <v>0</v>
      </c>
      <c r="R2497" s="8">
        <f t="shared" si="308"/>
        <v>48</v>
      </c>
      <c r="S2497" s="8">
        <f t="shared" ca="1" si="309"/>
        <v>47</v>
      </c>
      <c r="T2497">
        <f t="shared" ca="1" si="310"/>
        <v>2.2981757569530457</v>
      </c>
      <c r="U2497" s="8">
        <f t="shared" ca="1" si="311"/>
        <v>1.5294483125943756</v>
      </c>
      <c r="V2497" s="8">
        <f ca="1">RawData[[#This Row],[Z (smoothed demand size)]]/RawData[[#This Row],[X (smoothed interval)]]</f>
        <v>1.502617471952806</v>
      </c>
    </row>
    <row r="2498" spans="1:22">
      <c r="A2498" t="s">
        <v>53</v>
      </c>
      <c r="B2498" t="s">
        <v>39</v>
      </c>
      <c r="C2498">
        <v>21</v>
      </c>
      <c r="D2498" t="s">
        <v>22</v>
      </c>
      <c r="E2498" t="s">
        <v>16</v>
      </c>
      <c r="F2498" s="1">
        <v>44562</v>
      </c>
      <c r="G2498">
        <v>0</v>
      </c>
      <c r="H2498">
        <v>0</v>
      </c>
      <c r="I2498">
        <v>5</v>
      </c>
      <c r="J2498">
        <v>5</v>
      </c>
      <c r="K2498">
        <v>0</v>
      </c>
      <c r="L2498">
        <v>640</v>
      </c>
      <c r="M2498">
        <v>15</v>
      </c>
      <c r="N2498" s="1">
        <f t="shared" ref="N2498:N2561" si="312">MAX(F:F)</f>
        <v>44938</v>
      </c>
      <c r="O2498" s="1">
        <f t="shared" ref="O2498:O2561" si="313">MIN(F:F)</f>
        <v>43101</v>
      </c>
      <c r="P2498" s="1">
        <f t="shared" ref="P2498:P2561" si="314">DATE(YEAR(F2498), DAY(F2498), 1)</f>
        <v>44562</v>
      </c>
      <c r="Q2498" s="8">
        <f t="shared" ref="Q2498:Q2561" si="315" xml:space="preserve"> IF(A2498&lt;&gt;A2497, 1, 0)</f>
        <v>0</v>
      </c>
      <c r="R2498" s="8">
        <f t="shared" ref="R2498:R2561" si="316">IF(Q2498=1,1,R2497+1)</f>
        <v>49</v>
      </c>
      <c r="S2498" s="8">
        <f t="shared" ref="S2498:S2561" ca="1" si="317" xml:space="preserve"> IF(Q2498=1, IF(G2498&gt;0, R2498, 0), IF(G2498&gt;0, R2498, OFFSET(S2498,-1,0)))</f>
        <v>47</v>
      </c>
      <c r="T2498">
        <f t="shared" ref="T2498:T2561" ca="1" si="318" xml:space="preserve"> IF(Q2498=1, IF(G2498&gt;0, G2498, 0), IF(G2498&gt;0, $X$1*G2498+(1-$X$1)*OFFSET(T2498,-1,0), OFFSET(T2498,-1,0)))</f>
        <v>2.2981757569530457</v>
      </c>
      <c r="U2498" s="8">
        <f t="shared" ref="U2498:U2561" ca="1" si="319" xml:space="preserve"> IF(Q2498=1, 1, IF(G2498&gt;0, $X$1*(R2498-OFFSET(S2498,-1,0))+(1-$X$1)*OFFSET(U2498,-1,0), OFFSET(U2498,-1,0)))</f>
        <v>1.5294483125943756</v>
      </c>
      <c r="V2498" s="8">
        <f ca="1">RawData[[#This Row],[Z (smoothed demand size)]]/RawData[[#This Row],[X (smoothed interval)]]</f>
        <v>1.502617471952806</v>
      </c>
    </row>
    <row r="2499" spans="1:22">
      <c r="A2499" t="s">
        <v>53</v>
      </c>
      <c r="B2499" t="s">
        <v>39</v>
      </c>
      <c r="C2499">
        <v>21</v>
      </c>
      <c r="D2499" t="s">
        <v>22</v>
      </c>
      <c r="E2499" t="s">
        <v>16</v>
      </c>
      <c r="F2499" s="1">
        <v>44563</v>
      </c>
      <c r="G2499">
        <v>3</v>
      </c>
      <c r="H2499">
        <v>3</v>
      </c>
      <c r="I2499">
        <v>5</v>
      </c>
      <c r="J2499">
        <v>2</v>
      </c>
      <c r="K2499">
        <v>0</v>
      </c>
      <c r="L2499">
        <v>642</v>
      </c>
      <c r="M2499">
        <v>15</v>
      </c>
      <c r="N2499" s="1">
        <f t="shared" si="312"/>
        <v>44938</v>
      </c>
      <c r="O2499" s="1">
        <f t="shared" si="313"/>
        <v>43101</v>
      </c>
      <c r="P2499" s="1">
        <f t="shared" si="314"/>
        <v>44593</v>
      </c>
      <c r="Q2499" s="8">
        <f t="shared" si="315"/>
        <v>0</v>
      </c>
      <c r="R2499" s="8">
        <f t="shared" si="316"/>
        <v>50</v>
      </c>
      <c r="S2499" s="8">
        <f t="shared" ca="1" si="317"/>
        <v>50</v>
      </c>
      <c r="T2499">
        <f t="shared" ca="1" si="318"/>
        <v>2.4385406055624368</v>
      </c>
      <c r="U2499" s="8">
        <f t="shared" ca="1" si="319"/>
        <v>1.8235586500755008</v>
      </c>
      <c r="V2499" s="8">
        <f ca="1">RawData[[#This Row],[Z (smoothed demand size)]]/RawData[[#This Row],[X (smoothed interval)]]</f>
        <v>1.3372427618171063</v>
      </c>
    </row>
    <row r="2500" spans="1:22">
      <c r="A2500" t="s">
        <v>53</v>
      </c>
      <c r="B2500" t="s">
        <v>39</v>
      </c>
      <c r="C2500">
        <v>21</v>
      </c>
      <c r="D2500" t="s">
        <v>22</v>
      </c>
      <c r="E2500" t="s">
        <v>16</v>
      </c>
      <c r="F2500" s="1">
        <v>44564</v>
      </c>
      <c r="G2500">
        <v>0</v>
      </c>
      <c r="H2500">
        <v>0</v>
      </c>
      <c r="I2500">
        <v>9</v>
      </c>
      <c r="J2500">
        <v>9</v>
      </c>
      <c r="K2500">
        <v>0</v>
      </c>
      <c r="L2500">
        <v>649</v>
      </c>
      <c r="M2500">
        <v>30</v>
      </c>
      <c r="N2500" s="1">
        <f t="shared" si="312"/>
        <v>44938</v>
      </c>
      <c r="O2500" s="1">
        <f t="shared" si="313"/>
        <v>43101</v>
      </c>
      <c r="P2500" s="1">
        <f t="shared" si="314"/>
        <v>44621</v>
      </c>
      <c r="Q2500" s="8">
        <f t="shared" si="315"/>
        <v>0</v>
      </c>
      <c r="R2500" s="8">
        <f t="shared" si="316"/>
        <v>51</v>
      </c>
      <c r="S2500" s="8">
        <f t="shared" ca="1" si="317"/>
        <v>50</v>
      </c>
      <c r="T2500">
        <f t="shared" ca="1" si="318"/>
        <v>2.4385406055624368</v>
      </c>
      <c r="U2500" s="8">
        <f t="shared" ca="1" si="319"/>
        <v>1.8235586500755008</v>
      </c>
      <c r="V2500" s="8">
        <f ca="1">RawData[[#This Row],[Z (smoothed demand size)]]/RawData[[#This Row],[X (smoothed interval)]]</f>
        <v>1.3372427618171063</v>
      </c>
    </row>
    <row r="2501" spans="1:22">
      <c r="A2501" t="s">
        <v>53</v>
      </c>
      <c r="B2501" t="s">
        <v>39</v>
      </c>
      <c r="C2501">
        <v>21</v>
      </c>
      <c r="D2501" t="s">
        <v>22</v>
      </c>
      <c r="E2501" t="s">
        <v>16</v>
      </c>
      <c r="F2501" s="1">
        <v>44565</v>
      </c>
      <c r="G2501">
        <v>2</v>
      </c>
      <c r="H2501">
        <v>2</v>
      </c>
      <c r="I2501">
        <v>9</v>
      </c>
      <c r="J2501">
        <v>7</v>
      </c>
      <c r="K2501">
        <v>0</v>
      </c>
      <c r="L2501">
        <v>653</v>
      </c>
      <c r="M2501">
        <v>60</v>
      </c>
      <c r="N2501" s="1">
        <f t="shared" si="312"/>
        <v>44938</v>
      </c>
      <c r="O2501" s="1">
        <f t="shared" si="313"/>
        <v>43101</v>
      </c>
      <c r="P2501" s="1">
        <f t="shared" si="314"/>
        <v>44652</v>
      </c>
      <c r="Q2501" s="8">
        <f t="shared" si="315"/>
        <v>0</v>
      </c>
      <c r="R2501" s="8">
        <f t="shared" si="316"/>
        <v>52</v>
      </c>
      <c r="S2501" s="8">
        <f t="shared" ca="1" si="317"/>
        <v>52</v>
      </c>
      <c r="T2501">
        <f t="shared" ca="1" si="318"/>
        <v>2.3508324844499495</v>
      </c>
      <c r="U2501" s="8">
        <f t="shared" ca="1" si="319"/>
        <v>1.8588469200604005</v>
      </c>
      <c r="V2501" s="8">
        <f ca="1">RawData[[#This Row],[Z (smoothed demand size)]]/RawData[[#This Row],[X (smoothed interval)]]</f>
        <v>1.2646724477847604</v>
      </c>
    </row>
    <row r="2502" spans="1:22">
      <c r="A2502" t="s">
        <v>53</v>
      </c>
      <c r="B2502" t="s">
        <v>39</v>
      </c>
      <c r="C2502">
        <v>21</v>
      </c>
      <c r="D2502" t="s">
        <v>22</v>
      </c>
      <c r="E2502" t="s">
        <v>16</v>
      </c>
      <c r="F2502" s="1">
        <v>44566</v>
      </c>
      <c r="G2502">
        <v>4</v>
      </c>
      <c r="H2502">
        <v>4</v>
      </c>
      <c r="I2502">
        <v>7</v>
      </c>
      <c r="J2502">
        <v>3</v>
      </c>
      <c r="K2502">
        <v>0</v>
      </c>
      <c r="L2502">
        <v>649</v>
      </c>
      <c r="M2502">
        <v>15</v>
      </c>
      <c r="N2502" s="1">
        <f t="shared" si="312"/>
        <v>44938</v>
      </c>
      <c r="O2502" s="1">
        <f t="shared" si="313"/>
        <v>43101</v>
      </c>
      <c r="P2502" s="1">
        <f t="shared" si="314"/>
        <v>44682</v>
      </c>
      <c r="Q2502" s="8">
        <f t="shared" si="315"/>
        <v>0</v>
      </c>
      <c r="R2502" s="8">
        <f t="shared" si="316"/>
        <v>53</v>
      </c>
      <c r="S2502" s="8">
        <f t="shared" ca="1" si="317"/>
        <v>53</v>
      </c>
      <c r="T2502">
        <f t="shared" ca="1" si="318"/>
        <v>2.6806659875599594</v>
      </c>
      <c r="U2502" s="8">
        <f t="shared" ca="1" si="319"/>
        <v>1.6870775360483206</v>
      </c>
      <c r="V2502" s="8">
        <f ca="1">RawData[[#This Row],[Z (smoothed demand size)]]/RawData[[#This Row],[X (smoothed interval)]]</f>
        <v>1.588940597145845</v>
      </c>
    </row>
    <row r="2503" spans="1:22">
      <c r="A2503" t="s">
        <v>53</v>
      </c>
      <c r="B2503" t="s">
        <v>39</v>
      </c>
      <c r="C2503">
        <v>21</v>
      </c>
      <c r="D2503" t="s">
        <v>22</v>
      </c>
      <c r="E2503" t="s">
        <v>16</v>
      </c>
      <c r="F2503" s="1">
        <v>44567</v>
      </c>
      <c r="G2503">
        <v>2</v>
      </c>
      <c r="H2503">
        <v>2</v>
      </c>
      <c r="I2503">
        <v>15</v>
      </c>
      <c r="J2503">
        <v>13</v>
      </c>
      <c r="K2503">
        <v>0</v>
      </c>
      <c r="L2503">
        <v>735</v>
      </c>
      <c r="M2503">
        <v>45</v>
      </c>
      <c r="N2503" s="1">
        <f t="shared" si="312"/>
        <v>44938</v>
      </c>
      <c r="O2503" s="1">
        <f t="shared" si="313"/>
        <v>43101</v>
      </c>
      <c r="P2503" s="1">
        <f t="shared" si="314"/>
        <v>44713</v>
      </c>
      <c r="Q2503" s="8">
        <f t="shared" si="315"/>
        <v>0</v>
      </c>
      <c r="R2503" s="8">
        <f t="shared" si="316"/>
        <v>54</v>
      </c>
      <c r="S2503" s="8">
        <f t="shared" ca="1" si="317"/>
        <v>54</v>
      </c>
      <c r="T2503">
        <f t="shared" ca="1" si="318"/>
        <v>2.5445327900479677</v>
      </c>
      <c r="U2503" s="8">
        <f t="shared" ca="1" si="319"/>
        <v>1.5496620288386564</v>
      </c>
      <c r="V2503" s="8">
        <f ca="1">RawData[[#This Row],[Z (smoothed demand size)]]/RawData[[#This Row],[X (smoothed interval)]]</f>
        <v>1.641992087755344</v>
      </c>
    </row>
    <row r="2504" spans="1:22">
      <c r="A2504" t="s">
        <v>53</v>
      </c>
      <c r="B2504" t="s">
        <v>39</v>
      </c>
      <c r="C2504">
        <v>21</v>
      </c>
      <c r="D2504" t="s">
        <v>22</v>
      </c>
      <c r="E2504" t="s">
        <v>16</v>
      </c>
      <c r="F2504" s="1">
        <v>44568</v>
      </c>
      <c r="G2504">
        <v>3</v>
      </c>
      <c r="H2504">
        <v>3</v>
      </c>
      <c r="I2504">
        <v>13</v>
      </c>
      <c r="J2504">
        <v>10</v>
      </c>
      <c r="K2504">
        <v>0</v>
      </c>
      <c r="L2504">
        <v>748</v>
      </c>
      <c r="M2504">
        <v>15</v>
      </c>
      <c r="N2504" s="1">
        <f t="shared" si="312"/>
        <v>44938</v>
      </c>
      <c r="O2504" s="1">
        <f t="shared" si="313"/>
        <v>43101</v>
      </c>
      <c r="P2504" s="1">
        <f t="shared" si="314"/>
        <v>44743</v>
      </c>
      <c r="Q2504" s="8">
        <f t="shared" si="315"/>
        <v>0</v>
      </c>
      <c r="R2504" s="8">
        <f t="shared" si="316"/>
        <v>55</v>
      </c>
      <c r="S2504" s="8">
        <f t="shared" ca="1" si="317"/>
        <v>55</v>
      </c>
      <c r="T2504">
        <f t="shared" ca="1" si="318"/>
        <v>2.6356262320383745</v>
      </c>
      <c r="U2504" s="8">
        <f t="shared" ca="1" si="319"/>
        <v>1.4397296230709251</v>
      </c>
      <c r="V2504" s="8">
        <f ca="1">RawData[[#This Row],[Z (smoothed demand size)]]/RawData[[#This Row],[X (smoothed interval)]]</f>
        <v>1.830639718599814</v>
      </c>
    </row>
    <row r="2505" spans="1:22">
      <c r="A2505" t="s">
        <v>53</v>
      </c>
      <c r="B2505" t="s">
        <v>39</v>
      </c>
      <c r="C2505">
        <v>21</v>
      </c>
      <c r="D2505" t="s">
        <v>22</v>
      </c>
      <c r="E2505" t="s">
        <v>16</v>
      </c>
      <c r="F2505" s="1">
        <v>44569</v>
      </c>
      <c r="G2505">
        <v>3</v>
      </c>
      <c r="H2505">
        <v>3</v>
      </c>
      <c r="I2505">
        <v>10</v>
      </c>
      <c r="J2505">
        <v>7</v>
      </c>
      <c r="K2505">
        <v>0</v>
      </c>
      <c r="L2505">
        <v>746</v>
      </c>
      <c r="M2505">
        <v>15</v>
      </c>
      <c r="N2505" s="1">
        <f t="shared" si="312"/>
        <v>44938</v>
      </c>
      <c r="O2505" s="1">
        <f t="shared" si="313"/>
        <v>43101</v>
      </c>
      <c r="P2505" s="1">
        <f t="shared" si="314"/>
        <v>44774</v>
      </c>
      <c r="Q2505" s="8">
        <f t="shared" si="315"/>
        <v>0</v>
      </c>
      <c r="R2505" s="8">
        <f t="shared" si="316"/>
        <v>56</v>
      </c>
      <c r="S2505" s="8">
        <f t="shared" ca="1" si="317"/>
        <v>56</v>
      </c>
      <c r="T2505">
        <f t="shared" ca="1" si="318"/>
        <v>2.7085009856306996</v>
      </c>
      <c r="U2505" s="8">
        <f t="shared" ca="1" si="319"/>
        <v>1.3517836984567402</v>
      </c>
      <c r="V2505" s="8">
        <f ca="1">RawData[[#This Row],[Z (smoothed demand size)]]/RawData[[#This Row],[X (smoothed interval)]]</f>
        <v>2.0036496879810368</v>
      </c>
    </row>
    <row r="2506" spans="1:22">
      <c r="A2506" t="s">
        <v>53</v>
      </c>
      <c r="B2506" t="s">
        <v>39</v>
      </c>
      <c r="C2506">
        <v>21</v>
      </c>
      <c r="D2506" t="s">
        <v>22</v>
      </c>
      <c r="E2506" t="s">
        <v>16</v>
      </c>
      <c r="F2506" s="1">
        <v>44570</v>
      </c>
      <c r="G2506">
        <v>1</v>
      </c>
      <c r="H2506">
        <v>1</v>
      </c>
      <c r="I2506">
        <v>7</v>
      </c>
      <c r="J2506">
        <v>6</v>
      </c>
      <c r="K2506">
        <v>0</v>
      </c>
      <c r="L2506">
        <v>626</v>
      </c>
      <c r="M2506">
        <v>15</v>
      </c>
      <c r="N2506" s="1">
        <f t="shared" si="312"/>
        <v>44938</v>
      </c>
      <c r="O2506" s="1">
        <f t="shared" si="313"/>
        <v>43101</v>
      </c>
      <c r="P2506" s="1">
        <f t="shared" si="314"/>
        <v>44805</v>
      </c>
      <c r="Q2506" s="8">
        <f t="shared" si="315"/>
        <v>0</v>
      </c>
      <c r="R2506" s="8">
        <f t="shared" si="316"/>
        <v>57</v>
      </c>
      <c r="S2506" s="8">
        <f t="shared" ca="1" si="317"/>
        <v>57</v>
      </c>
      <c r="T2506">
        <f t="shared" ca="1" si="318"/>
        <v>2.3668007885045599</v>
      </c>
      <c r="U2506" s="8">
        <f t="shared" ca="1" si="319"/>
        <v>1.2814269587653921</v>
      </c>
      <c r="V2506" s="8">
        <f ca="1">RawData[[#This Row],[Z (smoothed demand size)]]/RawData[[#This Row],[X (smoothed interval)]]</f>
        <v>1.8470040545930808</v>
      </c>
    </row>
    <row r="2507" spans="1:22">
      <c r="A2507" t="s">
        <v>53</v>
      </c>
      <c r="B2507" t="s">
        <v>39</v>
      </c>
      <c r="C2507">
        <v>21</v>
      </c>
      <c r="D2507" t="s">
        <v>22</v>
      </c>
      <c r="E2507" t="s">
        <v>16</v>
      </c>
      <c r="F2507" s="1">
        <v>44571</v>
      </c>
      <c r="G2507">
        <v>3</v>
      </c>
      <c r="H2507">
        <v>3</v>
      </c>
      <c r="I2507">
        <v>6</v>
      </c>
      <c r="J2507">
        <v>3</v>
      </c>
      <c r="K2507">
        <v>0</v>
      </c>
      <c r="L2507">
        <v>653</v>
      </c>
      <c r="M2507">
        <v>60</v>
      </c>
      <c r="N2507" s="1">
        <f t="shared" si="312"/>
        <v>44938</v>
      </c>
      <c r="O2507" s="1">
        <f t="shared" si="313"/>
        <v>43101</v>
      </c>
      <c r="P2507" s="1">
        <f t="shared" si="314"/>
        <v>44835</v>
      </c>
      <c r="Q2507" s="8">
        <f t="shared" si="315"/>
        <v>0</v>
      </c>
      <c r="R2507" s="8">
        <f t="shared" si="316"/>
        <v>58</v>
      </c>
      <c r="S2507" s="8">
        <f t="shared" ca="1" si="317"/>
        <v>58</v>
      </c>
      <c r="T2507">
        <f t="shared" ca="1" si="318"/>
        <v>2.4934406308036481</v>
      </c>
      <c r="U2507" s="8">
        <f t="shared" ca="1" si="319"/>
        <v>1.2251415670123138</v>
      </c>
      <c r="V2507" s="8">
        <f ca="1">RawData[[#This Row],[Z (smoothed demand size)]]/RawData[[#This Row],[X (smoothed interval)]]</f>
        <v>2.0352265386638266</v>
      </c>
    </row>
    <row r="2508" spans="1:22">
      <c r="A2508" t="s">
        <v>53</v>
      </c>
      <c r="B2508" t="s">
        <v>39</v>
      </c>
      <c r="C2508">
        <v>21</v>
      </c>
      <c r="D2508" t="s">
        <v>22</v>
      </c>
      <c r="E2508" t="s">
        <v>16</v>
      </c>
      <c r="F2508" s="1">
        <v>44572</v>
      </c>
      <c r="G2508">
        <v>1</v>
      </c>
      <c r="H2508">
        <v>1</v>
      </c>
      <c r="I2508">
        <v>3</v>
      </c>
      <c r="J2508">
        <v>2</v>
      </c>
      <c r="K2508">
        <v>0</v>
      </c>
      <c r="L2508">
        <v>646</v>
      </c>
      <c r="M2508">
        <v>45</v>
      </c>
      <c r="N2508" s="1">
        <f t="shared" si="312"/>
        <v>44938</v>
      </c>
      <c r="O2508" s="1">
        <f t="shared" si="313"/>
        <v>43101</v>
      </c>
      <c r="P2508" s="1">
        <f t="shared" si="314"/>
        <v>44866</v>
      </c>
      <c r="Q2508" s="8">
        <f t="shared" si="315"/>
        <v>0</v>
      </c>
      <c r="R2508" s="8">
        <f t="shared" si="316"/>
        <v>59</v>
      </c>
      <c r="S2508" s="8">
        <f t="shared" ca="1" si="317"/>
        <v>59</v>
      </c>
      <c r="T2508">
        <f t="shared" ca="1" si="318"/>
        <v>2.1947525046429188</v>
      </c>
      <c r="U2508" s="8">
        <f t="shared" ca="1" si="319"/>
        <v>1.1801132536098511</v>
      </c>
      <c r="V2508" s="8">
        <f ca="1">RawData[[#This Row],[Z (smoothed demand size)]]/RawData[[#This Row],[X (smoothed interval)]]</f>
        <v>1.8597812522903081</v>
      </c>
    </row>
    <row r="2509" spans="1:22">
      <c r="A2509" t="s">
        <v>53</v>
      </c>
      <c r="B2509" t="s">
        <v>39</v>
      </c>
      <c r="C2509">
        <v>21</v>
      </c>
      <c r="D2509" t="s">
        <v>22</v>
      </c>
      <c r="E2509" t="s">
        <v>16</v>
      </c>
      <c r="F2509" s="1">
        <v>44573</v>
      </c>
      <c r="G2509">
        <v>0</v>
      </c>
      <c r="H2509">
        <v>0</v>
      </c>
      <c r="I2509">
        <v>9</v>
      </c>
      <c r="J2509">
        <v>9</v>
      </c>
      <c r="K2509">
        <v>0</v>
      </c>
      <c r="L2509">
        <v>743</v>
      </c>
      <c r="M2509">
        <v>15</v>
      </c>
      <c r="N2509" s="1">
        <f t="shared" si="312"/>
        <v>44938</v>
      </c>
      <c r="O2509" s="1">
        <f t="shared" si="313"/>
        <v>43101</v>
      </c>
      <c r="P2509" s="1">
        <f t="shared" si="314"/>
        <v>44896</v>
      </c>
      <c r="Q2509" s="8">
        <f t="shared" si="315"/>
        <v>0</v>
      </c>
      <c r="R2509" s="8">
        <f t="shared" si="316"/>
        <v>60</v>
      </c>
      <c r="S2509" s="8">
        <f t="shared" ca="1" si="317"/>
        <v>59</v>
      </c>
      <c r="T2509">
        <f t="shared" ca="1" si="318"/>
        <v>2.1947525046429188</v>
      </c>
      <c r="U2509" s="8">
        <f t="shared" ca="1" si="319"/>
        <v>1.1801132536098511</v>
      </c>
      <c r="V2509" s="8">
        <f ca="1">RawData[[#This Row],[Z (smoothed demand size)]]/RawData[[#This Row],[X (smoothed interval)]]</f>
        <v>1.8597812522903081</v>
      </c>
    </row>
    <row r="2510" spans="1:22">
      <c r="A2510" t="s">
        <v>53</v>
      </c>
      <c r="B2510" t="s">
        <v>39</v>
      </c>
      <c r="C2510">
        <v>21</v>
      </c>
      <c r="D2510" t="s">
        <v>22</v>
      </c>
      <c r="E2510" t="s">
        <v>16</v>
      </c>
      <c r="F2510" s="1">
        <v>44927</v>
      </c>
      <c r="G2510">
        <v>3</v>
      </c>
      <c r="H2510">
        <v>3</v>
      </c>
      <c r="I2510">
        <v>9</v>
      </c>
      <c r="J2510">
        <v>6</v>
      </c>
      <c r="K2510">
        <v>0</v>
      </c>
      <c r="L2510">
        <v>632</v>
      </c>
      <c r="M2510">
        <v>30</v>
      </c>
      <c r="N2510" s="1">
        <f t="shared" si="312"/>
        <v>44938</v>
      </c>
      <c r="O2510" s="1">
        <f t="shared" si="313"/>
        <v>43101</v>
      </c>
      <c r="P2510" s="1">
        <f t="shared" si="314"/>
        <v>44927</v>
      </c>
      <c r="Q2510" s="8">
        <f t="shared" si="315"/>
        <v>0</v>
      </c>
      <c r="R2510" s="8">
        <f t="shared" si="316"/>
        <v>61</v>
      </c>
      <c r="S2510" s="8">
        <f t="shared" ca="1" si="317"/>
        <v>61</v>
      </c>
      <c r="T2510">
        <f t="shared" ca="1" si="318"/>
        <v>2.3558020037143352</v>
      </c>
      <c r="U2510" s="8">
        <f t="shared" ca="1" si="319"/>
        <v>1.344090602887881</v>
      </c>
      <c r="V2510" s="8">
        <f ca="1">RawData[[#This Row],[Z (smoothed demand size)]]/RawData[[#This Row],[X (smoothed interval)]]</f>
        <v>1.7527107165638354</v>
      </c>
    </row>
    <row r="2511" spans="1:22">
      <c r="A2511" t="s">
        <v>53</v>
      </c>
      <c r="B2511" t="s">
        <v>39</v>
      </c>
      <c r="C2511">
        <v>21</v>
      </c>
      <c r="D2511" t="s">
        <v>22</v>
      </c>
      <c r="E2511" t="s">
        <v>16</v>
      </c>
      <c r="F2511" s="1">
        <v>44928</v>
      </c>
      <c r="G2511">
        <v>2</v>
      </c>
      <c r="H2511">
        <v>2</v>
      </c>
      <c r="I2511">
        <v>6</v>
      </c>
      <c r="J2511">
        <v>4</v>
      </c>
      <c r="K2511">
        <v>0</v>
      </c>
      <c r="L2511">
        <v>654</v>
      </c>
      <c r="M2511">
        <v>60</v>
      </c>
      <c r="N2511" s="1">
        <f t="shared" si="312"/>
        <v>44938</v>
      </c>
      <c r="O2511" s="1">
        <f t="shared" si="313"/>
        <v>43101</v>
      </c>
      <c r="P2511" s="1">
        <f t="shared" si="314"/>
        <v>44958</v>
      </c>
      <c r="Q2511" s="8">
        <f t="shared" si="315"/>
        <v>0</v>
      </c>
      <c r="R2511" s="8">
        <f t="shared" si="316"/>
        <v>62</v>
      </c>
      <c r="S2511" s="8">
        <f t="shared" ca="1" si="317"/>
        <v>62</v>
      </c>
      <c r="T2511">
        <f t="shared" ca="1" si="318"/>
        <v>2.2846416029714685</v>
      </c>
      <c r="U2511" s="8">
        <f t="shared" ca="1" si="319"/>
        <v>1.2752724823103048</v>
      </c>
      <c r="V2511" s="8">
        <f ca="1">RawData[[#This Row],[Z (smoothed demand size)]]/RawData[[#This Row],[X (smoothed interval)]]</f>
        <v>1.7914929041929721</v>
      </c>
    </row>
    <row r="2512" spans="1:22">
      <c r="A2512" t="s">
        <v>53</v>
      </c>
      <c r="B2512" t="s">
        <v>39</v>
      </c>
      <c r="C2512">
        <v>21</v>
      </c>
      <c r="D2512" t="s">
        <v>22</v>
      </c>
      <c r="E2512" t="s">
        <v>16</v>
      </c>
      <c r="F2512" s="1">
        <v>44929</v>
      </c>
      <c r="G2512">
        <v>0</v>
      </c>
      <c r="H2512">
        <v>0</v>
      </c>
      <c r="I2512">
        <v>4</v>
      </c>
      <c r="J2512">
        <v>4</v>
      </c>
      <c r="K2512">
        <v>0</v>
      </c>
      <c r="L2512">
        <v>645</v>
      </c>
      <c r="M2512">
        <v>60</v>
      </c>
      <c r="N2512" s="1">
        <f t="shared" si="312"/>
        <v>44938</v>
      </c>
      <c r="O2512" s="1">
        <f t="shared" si="313"/>
        <v>43101</v>
      </c>
      <c r="P2512" s="1">
        <f t="shared" si="314"/>
        <v>44986</v>
      </c>
      <c r="Q2512" s="8">
        <f t="shared" si="315"/>
        <v>0</v>
      </c>
      <c r="R2512" s="8">
        <f t="shared" si="316"/>
        <v>63</v>
      </c>
      <c r="S2512" s="8">
        <f t="shared" ca="1" si="317"/>
        <v>62</v>
      </c>
      <c r="T2512">
        <f t="shared" ca="1" si="318"/>
        <v>2.2846416029714685</v>
      </c>
      <c r="U2512" s="8">
        <f t="shared" ca="1" si="319"/>
        <v>1.2752724823103048</v>
      </c>
      <c r="V2512" s="8">
        <f ca="1">RawData[[#This Row],[Z (smoothed demand size)]]/RawData[[#This Row],[X (smoothed interval)]]</f>
        <v>1.7914929041929721</v>
      </c>
    </row>
    <row r="2513" spans="1:22">
      <c r="A2513" t="s">
        <v>53</v>
      </c>
      <c r="B2513" t="s">
        <v>39</v>
      </c>
      <c r="C2513">
        <v>21</v>
      </c>
      <c r="D2513" t="s">
        <v>22</v>
      </c>
      <c r="E2513" t="s">
        <v>16</v>
      </c>
      <c r="F2513" s="1">
        <v>44930</v>
      </c>
      <c r="G2513">
        <v>1</v>
      </c>
      <c r="H2513">
        <v>1</v>
      </c>
      <c r="I2513">
        <v>4</v>
      </c>
      <c r="J2513">
        <v>3</v>
      </c>
      <c r="K2513">
        <v>0</v>
      </c>
      <c r="L2513">
        <v>648</v>
      </c>
      <c r="M2513">
        <v>45</v>
      </c>
      <c r="N2513" s="1">
        <f t="shared" si="312"/>
        <v>44938</v>
      </c>
      <c r="O2513" s="1">
        <f t="shared" si="313"/>
        <v>43101</v>
      </c>
      <c r="P2513" s="1">
        <f t="shared" si="314"/>
        <v>45017</v>
      </c>
      <c r="Q2513" s="8">
        <f t="shared" si="315"/>
        <v>0</v>
      </c>
      <c r="R2513" s="8">
        <f t="shared" si="316"/>
        <v>64</v>
      </c>
      <c r="S2513" s="8">
        <f t="shared" ca="1" si="317"/>
        <v>64</v>
      </c>
      <c r="T2513">
        <f t="shared" ca="1" si="318"/>
        <v>2.0277132823771749</v>
      </c>
      <c r="U2513" s="8">
        <f t="shared" ca="1" si="319"/>
        <v>1.420217985848244</v>
      </c>
      <c r="V2513" s="8">
        <f ca="1">RawData[[#This Row],[Z (smoothed demand size)]]/RawData[[#This Row],[X (smoothed interval)]]</f>
        <v>1.4277479250244083</v>
      </c>
    </row>
    <row r="2514" spans="1:22">
      <c r="A2514" t="s">
        <v>53</v>
      </c>
      <c r="B2514" t="s">
        <v>39</v>
      </c>
      <c r="C2514">
        <v>21</v>
      </c>
      <c r="D2514" t="s">
        <v>22</v>
      </c>
      <c r="E2514" t="s">
        <v>16</v>
      </c>
      <c r="F2514" s="1">
        <v>44931</v>
      </c>
      <c r="G2514">
        <v>2</v>
      </c>
      <c r="H2514">
        <v>2</v>
      </c>
      <c r="I2514">
        <v>3</v>
      </c>
      <c r="J2514">
        <v>1</v>
      </c>
      <c r="K2514">
        <v>0</v>
      </c>
      <c r="L2514">
        <v>635</v>
      </c>
      <c r="M2514">
        <v>30</v>
      </c>
      <c r="N2514" s="1">
        <f t="shared" si="312"/>
        <v>44938</v>
      </c>
      <c r="O2514" s="1">
        <f t="shared" si="313"/>
        <v>43101</v>
      </c>
      <c r="P2514" s="1">
        <f t="shared" si="314"/>
        <v>45047</v>
      </c>
      <c r="Q2514" s="8">
        <f t="shared" si="315"/>
        <v>0</v>
      </c>
      <c r="R2514" s="8">
        <f t="shared" si="316"/>
        <v>65</v>
      </c>
      <c r="S2514" s="8">
        <f t="shared" ca="1" si="317"/>
        <v>65</v>
      </c>
      <c r="T2514">
        <f t="shared" ca="1" si="318"/>
        <v>2.0221706259017398</v>
      </c>
      <c r="U2514" s="8">
        <f t="shared" ca="1" si="319"/>
        <v>1.3361743886785953</v>
      </c>
      <c r="V2514" s="8">
        <f ca="1">RawData[[#This Row],[Z (smoothed demand size)]]/RawData[[#This Row],[X (smoothed interval)]]</f>
        <v>1.5134032226897853</v>
      </c>
    </row>
    <row r="2515" spans="1:22">
      <c r="A2515" t="s">
        <v>53</v>
      </c>
      <c r="B2515" t="s">
        <v>39</v>
      </c>
      <c r="C2515">
        <v>21</v>
      </c>
      <c r="D2515" t="s">
        <v>22</v>
      </c>
      <c r="E2515" t="s">
        <v>16</v>
      </c>
      <c r="F2515" s="1">
        <v>44932</v>
      </c>
      <c r="G2515">
        <v>0</v>
      </c>
      <c r="H2515">
        <v>0</v>
      </c>
      <c r="I2515">
        <v>9</v>
      </c>
      <c r="J2515">
        <v>9</v>
      </c>
      <c r="K2515">
        <v>0</v>
      </c>
      <c r="L2515">
        <v>743</v>
      </c>
      <c r="M2515">
        <v>30</v>
      </c>
      <c r="N2515" s="1">
        <f t="shared" si="312"/>
        <v>44938</v>
      </c>
      <c r="O2515" s="1">
        <f t="shared" si="313"/>
        <v>43101</v>
      </c>
      <c r="P2515" s="1">
        <f t="shared" si="314"/>
        <v>45078</v>
      </c>
      <c r="Q2515" s="8">
        <f t="shared" si="315"/>
        <v>0</v>
      </c>
      <c r="R2515" s="8">
        <f t="shared" si="316"/>
        <v>66</v>
      </c>
      <c r="S2515" s="8">
        <f t="shared" ca="1" si="317"/>
        <v>65</v>
      </c>
      <c r="T2515">
        <f t="shared" ca="1" si="318"/>
        <v>2.0221706259017398</v>
      </c>
      <c r="U2515" s="8">
        <f t="shared" ca="1" si="319"/>
        <v>1.3361743886785953</v>
      </c>
      <c r="V2515" s="8">
        <f ca="1">RawData[[#This Row],[Z (smoothed demand size)]]/RawData[[#This Row],[X (smoothed interval)]]</f>
        <v>1.5134032226897853</v>
      </c>
    </row>
    <row r="2516" spans="1:22">
      <c r="A2516" t="s">
        <v>53</v>
      </c>
      <c r="B2516" t="s">
        <v>39</v>
      </c>
      <c r="C2516">
        <v>21</v>
      </c>
      <c r="D2516" t="s">
        <v>22</v>
      </c>
      <c r="E2516" t="s">
        <v>16</v>
      </c>
      <c r="F2516" s="1">
        <v>44933</v>
      </c>
      <c r="G2516">
        <v>6</v>
      </c>
      <c r="H2516">
        <v>6</v>
      </c>
      <c r="I2516">
        <v>9</v>
      </c>
      <c r="J2516">
        <v>3</v>
      </c>
      <c r="K2516">
        <v>0</v>
      </c>
      <c r="L2516">
        <v>744</v>
      </c>
      <c r="M2516">
        <v>15</v>
      </c>
      <c r="N2516" s="1">
        <f t="shared" si="312"/>
        <v>44938</v>
      </c>
      <c r="O2516" s="1">
        <f t="shared" si="313"/>
        <v>43101</v>
      </c>
      <c r="P2516" s="1">
        <f t="shared" si="314"/>
        <v>45108</v>
      </c>
      <c r="Q2516" s="8">
        <f t="shared" si="315"/>
        <v>0</v>
      </c>
      <c r="R2516" s="8">
        <f t="shared" si="316"/>
        <v>67</v>
      </c>
      <c r="S2516" s="8">
        <f t="shared" ca="1" si="317"/>
        <v>67</v>
      </c>
      <c r="T2516">
        <f t="shared" ca="1" si="318"/>
        <v>2.8177365007213924</v>
      </c>
      <c r="U2516" s="8">
        <f t="shared" ca="1" si="319"/>
        <v>1.4689395109428762</v>
      </c>
      <c r="V2516" s="8">
        <f ca="1">RawData[[#This Row],[Z (smoothed demand size)]]/RawData[[#This Row],[X (smoothed interval)]]</f>
        <v>1.9182113897343236</v>
      </c>
    </row>
    <row r="2517" spans="1:22">
      <c r="A2517" t="s">
        <v>53</v>
      </c>
      <c r="B2517" t="s">
        <v>39</v>
      </c>
      <c r="C2517">
        <v>21</v>
      </c>
      <c r="D2517" t="s">
        <v>22</v>
      </c>
      <c r="E2517" t="s">
        <v>16</v>
      </c>
      <c r="F2517" s="1">
        <v>44934</v>
      </c>
      <c r="G2517">
        <v>5</v>
      </c>
      <c r="H2517">
        <v>5</v>
      </c>
      <c r="I2517">
        <v>13</v>
      </c>
      <c r="J2517">
        <v>8</v>
      </c>
      <c r="K2517">
        <v>0</v>
      </c>
      <c r="L2517">
        <v>739</v>
      </c>
      <c r="M2517">
        <v>15</v>
      </c>
      <c r="N2517" s="1">
        <f t="shared" si="312"/>
        <v>44938</v>
      </c>
      <c r="O2517" s="1">
        <f t="shared" si="313"/>
        <v>43101</v>
      </c>
      <c r="P2517" s="1">
        <f t="shared" si="314"/>
        <v>45139</v>
      </c>
      <c r="Q2517" s="8">
        <f t="shared" si="315"/>
        <v>0</v>
      </c>
      <c r="R2517" s="8">
        <f t="shared" si="316"/>
        <v>68</v>
      </c>
      <c r="S2517" s="8">
        <f t="shared" ca="1" si="317"/>
        <v>68</v>
      </c>
      <c r="T2517">
        <f t="shared" ca="1" si="318"/>
        <v>3.2541892005771138</v>
      </c>
      <c r="U2517" s="8">
        <f t="shared" ca="1" si="319"/>
        <v>1.375151608754301</v>
      </c>
      <c r="V2517" s="8">
        <f ca="1">RawData[[#This Row],[Z (smoothed demand size)]]/RawData[[#This Row],[X (smoothed interval)]]</f>
        <v>2.3664221311023033</v>
      </c>
    </row>
    <row r="2518" spans="1:22">
      <c r="A2518" t="s">
        <v>53</v>
      </c>
      <c r="B2518" t="s">
        <v>39</v>
      </c>
      <c r="C2518">
        <v>21</v>
      </c>
      <c r="D2518" t="s">
        <v>22</v>
      </c>
      <c r="E2518" t="s">
        <v>16</v>
      </c>
      <c r="F2518" s="1">
        <v>44935</v>
      </c>
      <c r="G2518">
        <v>0</v>
      </c>
      <c r="H2518">
        <v>0</v>
      </c>
      <c r="I2518">
        <v>8</v>
      </c>
      <c r="J2518">
        <v>8</v>
      </c>
      <c r="K2518">
        <v>0</v>
      </c>
      <c r="L2518">
        <v>635</v>
      </c>
      <c r="M2518">
        <v>60</v>
      </c>
      <c r="N2518" s="1">
        <f t="shared" si="312"/>
        <v>44938</v>
      </c>
      <c r="O2518" s="1">
        <f t="shared" si="313"/>
        <v>43101</v>
      </c>
      <c r="P2518" s="1">
        <f t="shared" si="314"/>
        <v>45170</v>
      </c>
      <c r="Q2518" s="8">
        <f t="shared" si="315"/>
        <v>0</v>
      </c>
      <c r="R2518" s="8">
        <f t="shared" si="316"/>
        <v>69</v>
      </c>
      <c r="S2518" s="8">
        <f t="shared" ca="1" si="317"/>
        <v>68</v>
      </c>
      <c r="T2518">
        <f t="shared" ca="1" si="318"/>
        <v>3.2541892005771138</v>
      </c>
      <c r="U2518" s="8">
        <f t="shared" ca="1" si="319"/>
        <v>1.375151608754301</v>
      </c>
      <c r="V2518" s="8">
        <f ca="1">RawData[[#This Row],[Z (smoothed demand size)]]/RawData[[#This Row],[X (smoothed interval)]]</f>
        <v>2.3664221311023033</v>
      </c>
    </row>
    <row r="2519" spans="1:22">
      <c r="A2519" t="s">
        <v>53</v>
      </c>
      <c r="B2519" t="s">
        <v>39</v>
      </c>
      <c r="C2519">
        <v>21</v>
      </c>
      <c r="D2519" t="s">
        <v>22</v>
      </c>
      <c r="E2519" t="s">
        <v>16</v>
      </c>
      <c r="F2519" s="1">
        <v>44936</v>
      </c>
      <c r="G2519">
        <v>3</v>
      </c>
      <c r="H2519">
        <v>3</v>
      </c>
      <c r="I2519">
        <v>8</v>
      </c>
      <c r="J2519">
        <v>5</v>
      </c>
      <c r="K2519">
        <v>0</v>
      </c>
      <c r="L2519">
        <v>643</v>
      </c>
      <c r="M2519">
        <v>15</v>
      </c>
      <c r="N2519" s="1">
        <f t="shared" si="312"/>
        <v>44938</v>
      </c>
      <c r="O2519" s="1">
        <f t="shared" si="313"/>
        <v>43101</v>
      </c>
      <c r="P2519" s="1">
        <f t="shared" si="314"/>
        <v>45200</v>
      </c>
      <c r="Q2519" s="8">
        <f t="shared" si="315"/>
        <v>0</v>
      </c>
      <c r="R2519" s="8">
        <f t="shared" si="316"/>
        <v>70</v>
      </c>
      <c r="S2519" s="8">
        <f t="shared" ca="1" si="317"/>
        <v>70</v>
      </c>
      <c r="T2519">
        <f t="shared" ca="1" si="318"/>
        <v>3.2033513604616912</v>
      </c>
      <c r="U2519" s="8">
        <f t="shared" ca="1" si="319"/>
        <v>1.5001212870034411</v>
      </c>
      <c r="V2519" s="8">
        <f ca="1">RawData[[#This Row],[Z (smoothed demand size)]]/RawData[[#This Row],[X (smoothed interval)]]</f>
        <v>2.1353949098746061</v>
      </c>
    </row>
    <row r="2520" spans="1:22">
      <c r="A2520" t="s">
        <v>53</v>
      </c>
      <c r="B2520" t="s">
        <v>39</v>
      </c>
      <c r="C2520">
        <v>21</v>
      </c>
      <c r="D2520" t="s">
        <v>22</v>
      </c>
      <c r="E2520" t="s">
        <v>16</v>
      </c>
      <c r="F2520" s="1">
        <v>44937</v>
      </c>
      <c r="G2520">
        <v>2</v>
      </c>
      <c r="H2520">
        <v>2</v>
      </c>
      <c r="I2520">
        <v>5</v>
      </c>
      <c r="J2520">
        <v>3</v>
      </c>
      <c r="K2520">
        <v>0</v>
      </c>
      <c r="L2520">
        <v>637</v>
      </c>
      <c r="M2520">
        <v>45</v>
      </c>
      <c r="N2520" s="1">
        <f t="shared" si="312"/>
        <v>44938</v>
      </c>
      <c r="O2520" s="1">
        <f t="shared" si="313"/>
        <v>43101</v>
      </c>
      <c r="P2520" s="1">
        <f t="shared" si="314"/>
        <v>45231</v>
      </c>
      <c r="Q2520" s="8">
        <f t="shared" si="315"/>
        <v>0</v>
      </c>
      <c r="R2520" s="8">
        <f t="shared" si="316"/>
        <v>71</v>
      </c>
      <c r="S2520" s="8">
        <f t="shared" ca="1" si="317"/>
        <v>71</v>
      </c>
      <c r="T2520">
        <f t="shared" ca="1" si="318"/>
        <v>2.9626810883693531</v>
      </c>
      <c r="U2520" s="8">
        <f t="shared" ca="1" si="319"/>
        <v>1.4000970296027528</v>
      </c>
      <c r="V2520" s="8">
        <f ca="1">RawData[[#This Row],[Z (smoothed demand size)]]/RawData[[#This Row],[X (smoothed interval)]]</f>
        <v>2.1160541203418948</v>
      </c>
    </row>
    <row r="2521" spans="1:22">
      <c r="A2521" t="s">
        <v>53</v>
      </c>
      <c r="B2521" t="s">
        <v>39</v>
      </c>
      <c r="C2521">
        <v>21</v>
      </c>
      <c r="D2521" t="s">
        <v>22</v>
      </c>
      <c r="E2521" t="s">
        <v>16</v>
      </c>
      <c r="F2521" s="1">
        <v>44938</v>
      </c>
      <c r="G2521">
        <v>6</v>
      </c>
      <c r="H2521">
        <v>3</v>
      </c>
      <c r="I2521">
        <v>3</v>
      </c>
      <c r="J2521">
        <v>0</v>
      </c>
      <c r="K2521">
        <v>1</v>
      </c>
      <c r="L2521">
        <v>735</v>
      </c>
      <c r="M2521">
        <v>45</v>
      </c>
      <c r="N2521" s="1">
        <f t="shared" si="312"/>
        <v>44938</v>
      </c>
      <c r="O2521" s="1">
        <f t="shared" si="313"/>
        <v>43101</v>
      </c>
      <c r="P2521" s="1">
        <f t="shared" si="314"/>
        <v>45261</v>
      </c>
      <c r="Q2521" s="8">
        <f t="shared" si="315"/>
        <v>0</v>
      </c>
      <c r="R2521" s="8">
        <f t="shared" si="316"/>
        <v>72</v>
      </c>
      <c r="S2521" s="8">
        <f t="shared" ca="1" si="317"/>
        <v>72</v>
      </c>
      <c r="T2521">
        <f t="shared" ca="1" si="318"/>
        <v>3.5701448706954828</v>
      </c>
      <c r="U2521" s="8">
        <f t="shared" ca="1" si="319"/>
        <v>1.3200776236822023</v>
      </c>
      <c r="V2521" s="8">
        <f ca="1">RawData[[#This Row],[Z (smoothed demand size)]]/RawData[[#This Row],[X (smoothed interval)]]</f>
        <v>2.7044961649580732</v>
      </c>
    </row>
    <row r="2522" spans="1:22">
      <c r="A2522" t="s">
        <v>54</v>
      </c>
      <c r="B2522" t="s">
        <v>39</v>
      </c>
      <c r="C2522">
        <v>32</v>
      </c>
      <c r="D2522" t="s">
        <v>22</v>
      </c>
      <c r="E2522" t="s">
        <v>16</v>
      </c>
      <c r="F2522" s="1">
        <v>43101</v>
      </c>
      <c r="G2522">
        <v>0</v>
      </c>
      <c r="H2522">
        <v>0</v>
      </c>
      <c r="I2522">
        <v>19</v>
      </c>
      <c r="J2522">
        <v>19</v>
      </c>
      <c r="K2522">
        <v>0</v>
      </c>
      <c r="L2522">
        <v>610</v>
      </c>
      <c r="M2522">
        <v>60</v>
      </c>
      <c r="N2522" s="1">
        <f t="shared" si="312"/>
        <v>44938</v>
      </c>
      <c r="O2522" s="1">
        <f t="shared" si="313"/>
        <v>43101</v>
      </c>
      <c r="P2522" s="1">
        <f t="shared" si="314"/>
        <v>43101</v>
      </c>
      <c r="Q2522" s="8">
        <f t="shared" si="315"/>
        <v>1</v>
      </c>
      <c r="R2522" s="8">
        <f t="shared" si="316"/>
        <v>1</v>
      </c>
      <c r="S2522" s="8">
        <f t="shared" ca="1" si="317"/>
        <v>0</v>
      </c>
      <c r="T2522">
        <f t="shared" ca="1" si="318"/>
        <v>0</v>
      </c>
      <c r="U2522" s="8">
        <f t="shared" ca="1" si="319"/>
        <v>1</v>
      </c>
      <c r="V2522" s="8">
        <f ca="1">RawData[[#This Row],[Z (smoothed demand size)]]/RawData[[#This Row],[X (smoothed interval)]]</f>
        <v>0</v>
      </c>
    </row>
    <row r="2523" spans="1:22">
      <c r="A2523" t="s">
        <v>54</v>
      </c>
      <c r="B2523" t="s">
        <v>39</v>
      </c>
      <c r="C2523">
        <v>32</v>
      </c>
      <c r="D2523" t="s">
        <v>22</v>
      </c>
      <c r="E2523" t="s">
        <v>16</v>
      </c>
      <c r="F2523" s="1">
        <v>43102</v>
      </c>
      <c r="G2523">
        <v>0</v>
      </c>
      <c r="H2523">
        <v>0</v>
      </c>
      <c r="I2523">
        <v>19</v>
      </c>
      <c r="J2523">
        <v>19</v>
      </c>
      <c r="K2523">
        <v>0</v>
      </c>
      <c r="L2523">
        <v>606</v>
      </c>
      <c r="M2523">
        <v>15</v>
      </c>
      <c r="N2523" s="1">
        <f t="shared" si="312"/>
        <v>44938</v>
      </c>
      <c r="O2523" s="1">
        <f t="shared" si="313"/>
        <v>43101</v>
      </c>
      <c r="P2523" s="1">
        <f t="shared" si="314"/>
        <v>43132</v>
      </c>
      <c r="Q2523" s="8">
        <f t="shared" si="315"/>
        <v>0</v>
      </c>
      <c r="R2523" s="8">
        <f t="shared" si="316"/>
        <v>2</v>
      </c>
      <c r="S2523" s="8">
        <f t="shared" ca="1" si="317"/>
        <v>0</v>
      </c>
      <c r="T2523">
        <f t="shared" ca="1" si="318"/>
        <v>0</v>
      </c>
      <c r="U2523" s="8">
        <f t="shared" ca="1" si="319"/>
        <v>1</v>
      </c>
      <c r="V2523" s="8">
        <f ca="1">RawData[[#This Row],[Z (smoothed demand size)]]/RawData[[#This Row],[X (smoothed interval)]]</f>
        <v>0</v>
      </c>
    </row>
    <row r="2524" spans="1:22">
      <c r="A2524" t="s">
        <v>54</v>
      </c>
      <c r="B2524" t="s">
        <v>39</v>
      </c>
      <c r="C2524">
        <v>32</v>
      </c>
      <c r="D2524" t="s">
        <v>22</v>
      </c>
      <c r="E2524" t="s">
        <v>16</v>
      </c>
      <c r="F2524" s="1">
        <v>43103</v>
      </c>
      <c r="G2524">
        <v>0</v>
      </c>
      <c r="H2524">
        <v>0</v>
      </c>
      <c r="I2524">
        <v>19</v>
      </c>
      <c r="J2524">
        <v>19</v>
      </c>
      <c r="K2524">
        <v>0</v>
      </c>
      <c r="L2524">
        <v>602</v>
      </c>
      <c r="M2524">
        <v>30</v>
      </c>
      <c r="N2524" s="1">
        <f t="shared" si="312"/>
        <v>44938</v>
      </c>
      <c r="O2524" s="1">
        <f t="shared" si="313"/>
        <v>43101</v>
      </c>
      <c r="P2524" s="1">
        <f t="shared" si="314"/>
        <v>43160</v>
      </c>
      <c r="Q2524" s="8">
        <f t="shared" si="315"/>
        <v>0</v>
      </c>
      <c r="R2524" s="8">
        <f t="shared" si="316"/>
        <v>3</v>
      </c>
      <c r="S2524" s="8">
        <f t="shared" ca="1" si="317"/>
        <v>0</v>
      </c>
      <c r="T2524">
        <f t="shared" ca="1" si="318"/>
        <v>0</v>
      </c>
      <c r="U2524" s="8">
        <f t="shared" ca="1" si="319"/>
        <v>1</v>
      </c>
      <c r="V2524" s="8">
        <f ca="1">RawData[[#This Row],[Z (smoothed demand size)]]/RawData[[#This Row],[X (smoothed interval)]]</f>
        <v>0</v>
      </c>
    </row>
    <row r="2525" spans="1:22">
      <c r="A2525" t="s">
        <v>54</v>
      </c>
      <c r="B2525" t="s">
        <v>39</v>
      </c>
      <c r="C2525">
        <v>32</v>
      </c>
      <c r="D2525" t="s">
        <v>22</v>
      </c>
      <c r="E2525" t="s">
        <v>16</v>
      </c>
      <c r="F2525" s="1">
        <v>43104</v>
      </c>
      <c r="G2525">
        <v>0</v>
      </c>
      <c r="H2525">
        <v>0</v>
      </c>
      <c r="I2525">
        <v>19</v>
      </c>
      <c r="J2525">
        <v>19</v>
      </c>
      <c r="K2525">
        <v>0</v>
      </c>
      <c r="L2525">
        <v>614</v>
      </c>
      <c r="M2525">
        <v>60</v>
      </c>
      <c r="N2525" s="1">
        <f t="shared" si="312"/>
        <v>44938</v>
      </c>
      <c r="O2525" s="1">
        <f t="shared" si="313"/>
        <v>43101</v>
      </c>
      <c r="P2525" s="1">
        <f t="shared" si="314"/>
        <v>43191</v>
      </c>
      <c r="Q2525" s="8">
        <f t="shared" si="315"/>
        <v>0</v>
      </c>
      <c r="R2525" s="8">
        <f t="shared" si="316"/>
        <v>4</v>
      </c>
      <c r="S2525" s="8">
        <f t="shared" ca="1" si="317"/>
        <v>0</v>
      </c>
      <c r="T2525">
        <f t="shared" ca="1" si="318"/>
        <v>0</v>
      </c>
      <c r="U2525" s="8">
        <f t="shared" ca="1" si="319"/>
        <v>1</v>
      </c>
      <c r="V2525" s="8">
        <f ca="1">RawData[[#This Row],[Z (smoothed demand size)]]/RawData[[#This Row],[X (smoothed interval)]]</f>
        <v>0</v>
      </c>
    </row>
    <row r="2526" spans="1:22">
      <c r="A2526" t="s">
        <v>54</v>
      </c>
      <c r="B2526" t="s">
        <v>39</v>
      </c>
      <c r="C2526">
        <v>32</v>
      </c>
      <c r="D2526" t="s">
        <v>22</v>
      </c>
      <c r="E2526" t="s">
        <v>16</v>
      </c>
      <c r="F2526" s="1">
        <v>43105</v>
      </c>
      <c r="G2526">
        <v>3</v>
      </c>
      <c r="H2526">
        <v>3</v>
      </c>
      <c r="I2526">
        <v>19</v>
      </c>
      <c r="J2526">
        <v>16</v>
      </c>
      <c r="K2526">
        <v>0</v>
      </c>
      <c r="L2526">
        <v>615</v>
      </c>
      <c r="M2526">
        <v>60</v>
      </c>
      <c r="N2526" s="1">
        <f t="shared" si="312"/>
        <v>44938</v>
      </c>
      <c r="O2526" s="1">
        <f t="shared" si="313"/>
        <v>43101</v>
      </c>
      <c r="P2526" s="1">
        <f t="shared" si="314"/>
        <v>43221</v>
      </c>
      <c r="Q2526" s="8">
        <f t="shared" si="315"/>
        <v>0</v>
      </c>
      <c r="R2526" s="8">
        <f t="shared" si="316"/>
        <v>5</v>
      </c>
      <c r="S2526" s="8">
        <f t="shared" ca="1" si="317"/>
        <v>5</v>
      </c>
      <c r="T2526">
        <f t="shared" ca="1" si="318"/>
        <v>0.60000000000000009</v>
      </c>
      <c r="U2526" s="8">
        <f t="shared" ca="1" si="319"/>
        <v>1.8</v>
      </c>
      <c r="V2526" s="8">
        <f ca="1">RawData[[#This Row],[Z (smoothed demand size)]]/RawData[[#This Row],[X (smoothed interval)]]</f>
        <v>0.33333333333333337</v>
      </c>
    </row>
    <row r="2527" spans="1:22">
      <c r="A2527" t="s">
        <v>54</v>
      </c>
      <c r="B2527" t="s">
        <v>39</v>
      </c>
      <c r="C2527">
        <v>32</v>
      </c>
      <c r="D2527" t="s">
        <v>22</v>
      </c>
      <c r="E2527" t="s">
        <v>16</v>
      </c>
      <c r="F2527" s="1">
        <v>43106</v>
      </c>
      <c r="G2527">
        <v>0</v>
      </c>
      <c r="H2527">
        <v>0</v>
      </c>
      <c r="I2527">
        <v>16</v>
      </c>
      <c r="J2527">
        <v>16</v>
      </c>
      <c r="K2527">
        <v>0</v>
      </c>
      <c r="L2527">
        <v>699</v>
      </c>
      <c r="M2527">
        <v>15</v>
      </c>
      <c r="N2527" s="1">
        <f t="shared" si="312"/>
        <v>44938</v>
      </c>
      <c r="O2527" s="1">
        <f t="shared" si="313"/>
        <v>43101</v>
      </c>
      <c r="P2527" s="1">
        <f t="shared" si="314"/>
        <v>43252</v>
      </c>
      <c r="Q2527" s="8">
        <f t="shared" si="315"/>
        <v>0</v>
      </c>
      <c r="R2527" s="8">
        <f t="shared" si="316"/>
        <v>6</v>
      </c>
      <c r="S2527" s="8">
        <f t="shared" ca="1" si="317"/>
        <v>5</v>
      </c>
      <c r="T2527">
        <f t="shared" ca="1" si="318"/>
        <v>0.60000000000000009</v>
      </c>
      <c r="U2527" s="8">
        <f t="shared" ca="1" si="319"/>
        <v>1.8</v>
      </c>
      <c r="V2527" s="8">
        <f ca="1">RawData[[#This Row],[Z (smoothed demand size)]]/RawData[[#This Row],[X (smoothed interval)]]</f>
        <v>0.33333333333333337</v>
      </c>
    </row>
    <row r="2528" spans="1:22">
      <c r="A2528" t="s">
        <v>54</v>
      </c>
      <c r="B2528" t="s">
        <v>39</v>
      </c>
      <c r="C2528">
        <v>32</v>
      </c>
      <c r="D2528" t="s">
        <v>22</v>
      </c>
      <c r="E2528" t="s">
        <v>16</v>
      </c>
      <c r="F2528" s="1">
        <v>43107</v>
      </c>
      <c r="G2528">
        <v>0</v>
      </c>
      <c r="H2528">
        <v>0</v>
      </c>
      <c r="I2528">
        <v>16</v>
      </c>
      <c r="J2528">
        <v>16</v>
      </c>
      <c r="K2528">
        <v>0</v>
      </c>
      <c r="L2528">
        <v>713</v>
      </c>
      <c r="M2528">
        <v>60</v>
      </c>
      <c r="N2528" s="1">
        <f t="shared" si="312"/>
        <v>44938</v>
      </c>
      <c r="O2528" s="1">
        <f t="shared" si="313"/>
        <v>43101</v>
      </c>
      <c r="P2528" s="1">
        <f t="shared" si="314"/>
        <v>43282</v>
      </c>
      <c r="Q2528" s="8">
        <f t="shared" si="315"/>
        <v>0</v>
      </c>
      <c r="R2528" s="8">
        <f t="shared" si="316"/>
        <v>7</v>
      </c>
      <c r="S2528" s="8">
        <f t="shared" ca="1" si="317"/>
        <v>5</v>
      </c>
      <c r="T2528">
        <f t="shared" ca="1" si="318"/>
        <v>0.60000000000000009</v>
      </c>
      <c r="U2528" s="8">
        <f t="shared" ca="1" si="319"/>
        <v>1.8</v>
      </c>
      <c r="V2528" s="8">
        <f ca="1">RawData[[#This Row],[Z (smoothed demand size)]]/RawData[[#This Row],[X (smoothed interval)]]</f>
        <v>0.33333333333333337</v>
      </c>
    </row>
    <row r="2529" spans="1:22">
      <c r="A2529" t="s">
        <v>54</v>
      </c>
      <c r="B2529" t="s">
        <v>39</v>
      </c>
      <c r="C2529">
        <v>32</v>
      </c>
      <c r="D2529" t="s">
        <v>22</v>
      </c>
      <c r="E2529" t="s">
        <v>16</v>
      </c>
      <c r="F2529" s="1">
        <v>43108</v>
      </c>
      <c r="G2529">
        <v>0</v>
      </c>
      <c r="H2529">
        <v>0</v>
      </c>
      <c r="I2529">
        <v>16</v>
      </c>
      <c r="J2529">
        <v>16</v>
      </c>
      <c r="K2529">
        <v>0</v>
      </c>
      <c r="L2529">
        <v>703</v>
      </c>
      <c r="M2529">
        <v>30</v>
      </c>
      <c r="N2529" s="1">
        <f t="shared" si="312"/>
        <v>44938</v>
      </c>
      <c r="O2529" s="1">
        <f t="shared" si="313"/>
        <v>43101</v>
      </c>
      <c r="P2529" s="1">
        <f t="shared" si="314"/>
        <v>43313</v>
      </c>
      <c r="Q2529" s="8">
        <f t="shared" si="315"/>
        <v>0</v>
      </c>
      <c r="R2529" s="8">
        <f t="shared" si="316"/>
        <v>8</v>
      </c>
      <c r="S2529" s="8">
        <f t="shared" ca="1" si="317"/>
        <v>5</v>
      </c>
      <c r="T2529">
        <f t="shared" ca="1" si="318"/>
        <v>0.60000000000000009</v>
      </c>
      <c r="U2529" s="8">
        <f t="shared" ca="1" si="319"/>
        <v>1.8</v>
      </c>
      <c r="V2529" s="8">
        <f ca="1">RawData[[#This Row],[Z (smoothed demand size)]]/RawData[[#This Row],[X (smoothed interval)]]</f>
        <v>0.33333333333333337</v>
      </c>
    </row>
    <row r="2530" spans="1:22">
      <c r="A2530" t="s">
        <v>54</v>
      </c>
      <c r="B2530" t="s">
        <v>39</v>
      </c>
      <c r="C2530">
        <v>32</v>
      </c>
      <c r="D2530" t="s">
        <v>22</v>
      </c>
      <c r="E2530" t="s">
        <v>16</v>
      </c>
      <c r="F2530" s="1">
        <v>43109</v>
      </c>
      <c r="G2530">
        <v>5</v>
      </c>
      <c r="H2530">
        <v>5</v>
      </c>
      <c r="I2530">
        <v>16</v>
      </c>
      <c r="J2530">
        <v>11</v>
      </c>
      <c r="K2530">
        <v>0</v>
      </c>
      <c r="L2530">
        <v>609</v>
      </c>
      <c r="M2530">
        <v>45</v>
      </c>
      <c r="N2530" s="1">
        <f t="shared" si="312"/>
        <v>44938</v>
      </c>
      <c r="O2530" s="1">
        <f t="shared" si="313"/>
        <v>43101</v>
      </c>
      <c r="P2530" s="1">
        <f t="shared" si="314"/>
        <v>43344</v>
      </c>
      <c r="Q2530" s="8">
        <f t="shared" si="315"/>
        <v>0</v>
      </c>
      <c r="R2530" s="8">
        <f t="shared" si="316"/>
        <v>9</v>
      </c>
      <c r="S2530" s="8">
        <f t="shared" ca="1" si="317"/>
        <v>9</v>
      </c>
      <c r="T2530">
        <f t="shared" ca="1" si="318"/>
        <v>1.48</v>
      </c>
      <c r="U2530" s="8">
        <f t="shared" ca="1" si="319"/>
        <v>2.2400000000000002</v>
      </c>
      <c r="V2530" s="8">
        <f ca="1">RawData[[#This Row],[Z (smoothed demand size)]]/RawData[[#This Row],[X (smoothed interval)]]</f>
        <v>0.6607142857142857</v>
      </c>
    </row>
    <row r="2531" spans="1:22">
      <c r="A2531" t="s">
        <v>54</v>
      </c>
      <c r="B2531" t="s">
        <v>39</v>
      </c>
      <c r="C2531">
        <v>32</v>
      </c>
      <c r="D2531" t="s">
        <v>22</v>
      </c>
      <c r="E2531" t="s">
        <v>16</v>
      </c>
      <c r="F2531" s="1">
        <v>43110</v>
      </c>
      <c r="G2531">
        <v>0</v>
      </c>
      <c r="H2531">
        <v>0</v>
      </c>
      <c r="I2531">
        <v>11</v>
      </c>
      <c r="J2531">
        <v>11</v>
      </c>
      <c r="K2531">
        <v>0</v>
      </c>
      <c r="L2531">
        <v>603</v>
      </c>
      <c r="M2531">
        <v>15</v>
      </c>
      <c r="N2531" s="1">
        <f t="shared" si="312"/>
        <v>44938</v>
      </c>
      <c r="O2531" s="1">
        <f t="shared" si="313"/>
        <v>43101</v>
      </c>
      <c r="P2531" s="1">
        <f t="shared" si="314"/>
        <v>43374</v>
      </c>
      <c r="Q2531" s="8">
        <f t="shared" si="315"/>
        <v>0</v>
      </c>
      <c r="R2531" s="8">
        <f t="shared" si="316"/>
        <v>10</v>
      </c>
      <c r="S2531" s="8">
        <f t="shared" ca="1" si="317"/>
        <v>9</v>
      </c>
      <c r="T2531">
        <f t="shared" ca="1" si="318"/>
        <v>1.48</v>
      </c>
      <c r="U2531" s="8">
        <f t="shared" ca="1" si="319"/>
        <v>2.2400000000000002</v>
      </c>
      <c r="V2531" s="8">
        <f ca="1">RawData[[#This Row],[Z (smoothed demand size)]]/RawData[[#This Row],[X (smoothed interval)]]</f>
        <v>0.6607142857142857</v>
      </c>
    </row>
    <row r="2532" spans="1:22">
      <c r="A2532" t="s">
        <v>54</v>
      </c>
      <c r="B2532" t="s">
        <v>39</v>
      </c>
      <c r="C2532">
        <v>32</v>
      </c>
      <c r="D2532" t="s">
        <v>22</v>
      </c>
      <c r="E2532" t="s">
        <v>16</v>
      </c>
      <c r="F2532" s="1">
        <v>43111</v>
      </c>
      <c r="G2532">
        <v>5</v>
      </c>
      <c r="H2532">
        <v>5</v>
      </c>
      <c r="I2532">
        <v>11</v>
      </c>
      <c r="J2532">
        <v>6</v>
      </c>
      <c r="K2532">
        <v>0</v>
      </c>
      <c r="L2532">
        <v>600</v>
      </c>
      <c r="M2532">
        <v>15</v>
      </c>
      <c r="N2532" s="1">
        <f t="shared" si="312"/>
        <v>44938</v>
      </c>
      <c r="O2532" s="1">
        <f t="shared" si="313"/>
        <v>43101</v>
      </c>
      <c r="P2532" s="1">
        <f t="shared" si="314"/>
        <v>43405</v>
      </c>
      <c r="Q2532" s="8">
        <f t="shared" si="315"/>
        <v>0</v>
      </c>
      <c r="R2532" s="8">
        <f t="shared" si="316"/>
        <v>11</v>
      </c>
      <c r="S2532" s="8">
        <f t="shared" ca="1" si="317"/>
        <v>11</v>
      </c>
      <c r="T2532">
        <f t="shared" ca="1" si="318"/>
        <v>2.1840000000000002</v>
      </c>
      <c r="U2532" s="8">
        <f t="shared" ca="1" si="319"/>
        <v>2.1920000000000002</v>
      </c>
      <c r="V2532" s="8">
        <f ca="1">RawData[[#This Row],[Z (smoothed demand size)]]/RawData[[#This Row],[X (smoothed interval)]]</f>
        <v>0.9963503649635036</v>
      </c>
    </row>
    <row r="2533" spans="1:22">
      <c r="A2533" t="s">
        <v>54</v>
      </c>
      <c r="B2533" t="s">
        <v>39</v>
      </c>
      <c r="C2533">
        <v>32</v>
      </c>
      <c r="D2533" t="s">
        <v>22</v>
      </c>
      <c r="E2533" t="s">
        <v>16</v>
      </c>
      <c r="F2533" s="1">
        <v>43112</v>
      </c>
      <c r="G2533">
        <v>0</v>
      </c>
      <c r="H2533">
        <v>0</v>
      </c>
      <c r="I2533">
        <v>6</v>
      </c>
      <c r="J2533">
        <v>6</v>
      </c>
      <c r="K2533">
        <v>0</v>
      </c>
      <c r="L2533">
        <v>698</v>
      </c>
      <c r="M2533">
        <v>30</v>
      </c>
      <c r="N2533" s="1">
        <f t="shared" si="312"/>
        <v>44938</v>
      </c>
      <c r="O2533" s="1">
        <f t="shared" si="313"/>
        <v>43101</v>
      </c>
      <c r="P2533" s="1">
        <f t="shared" si="314"/>
        <v>43435</v>
      </c>
      <c r="Q2533" s="8">
        <f t="shared" si="315"/>
        <v>0</v>
      </c>
      <c r="R2533" s="8">
        <f t="shared" si="316"/>
        <v>12</v>
      </c>
      <c r="S2533" s="8">
        <f t="shared" ca="1" si="317"/>
        <v>11</v>
      </c>
      <c r="T2533">
        <f t="shared" ca="1" si="318"/>
        <v>2.1840000000000002</v>
      </c>
      <c r="U2533" s="8">
        <f t="shared" ca="1" si="319"/>
        <v>2.1920000000000002</v>
      </c>
      <c r="V2533" s="8">
        <f ca="1">RawData[[#This Row],[Z (smoothed demand size)]]/RawData[[#This Row],[X (smoothed interval)]]</f>
        <v>0.9963503649635036</v>
      </c>
    </row>
    <row r="2534" spans="1:22">
      <c r="A2534" t="s">
        <v>54</v>
      </c>
      <c r="B2534" t="s">
        <v>39</v>
      </c>
      <c r="C2534">
        <v>32</v>
      </c>
      <c r="D2534" t="s">
        <v>22</v>
      </c>
      <c r="E2534" t="s">
        <v>16</v>
      </c>
      <c r="F2534" s="1">
        <v>43466</v>
      </c>
      <c r="G2534">
        <v>0</v>
      </c>
      <c r="H2534">
        <v>0</v>
      </c>
      <c r="I2534">
        <v>6</v>
      </c>
      <c r="J2534">
        <v>6</v>
      </c>
      <c r="K2534">
        <v>0</v>
      </c>
      <c r="L2534">
        <v>610</v>
      </c>
      <c r="M2534">
        <v>30</v>
      </c>
      <c r="N2534" s="1">
        <f t="shared" si="312"/>
        <v>44938</v>
      </c>
      <c r="O2534" s="1">
        <f t="shared" si="313"/>
        <v>43101</v>
      </c>
      <c r="P2534" s="1">
        <f t="shared" si="314"/>
        <v>43466</v>
      </c>
      <c r="Q2534" s="8">
        <f t="shared" si="315"/>
        <v>0</v>
      </c>
      <c r="R2534" s="8">
        <f t="shared" si="316"/>
        <v>13</v>
      </c>
      <c r="S2534" s="8">
        <f t="shared" ca="1" si="317"/>
        <v>11</v>
      </c>
      <c r="T2534">
        <f t="shared" ca="1" si="318"/>
        <v>2.1840000000000002</v>
      </c>
      <c r="U2534" s="8">
        <f t="shared" ca="1" si="319"/>
        <v>2.1920000000000002</v>
      </c>
      <c r="V2534" s="8">
        <f ca="1">RawData[[#This Row],[Z (smoothed demand size)]]/RawData[[#This Row],[X (smoothed interval)]]</f>
        <v>0.9963503649635036</v>
      </c>
    </row>
    <row r="2535" spans="1:22">
      <c r="A2535" t="s">
        <v>54</v>
      </c>
      <c r="B2535" t="s">
        <v>39</v>
      </c>
      <c r="C2535">
        <v>32</v>
      </c>
      <c r="D2535" t="s">
        <v>22</v>
      </c>
      <c r="E2535" t="s">
        <v>16</v>
      </c>
      <c r="F2535" s="1">
        <v>43467</v>
      </c>
      <c r="G2535">
        <v>2</v>
      </c>
      <c r="H2535">
        <v>2</v>
      </c>
      <c r="I2535">
        <v>6</v>
      </c>
      <c r="J2535">
        <v>4</v>
      </c>
      <c r="K2535">
        <v>0</v>
      </c>
      <c r="L2535">
        <v>622</v>
      </c>
      <c r="M2535">
        <v>15</v>
      </c>
      <c r="N2535" s="1">
        <f t="shared" si="312"/>
        <v>44938</v>
      </c>
      <c r="O2535" s="1">
        <f t="shared" si="313"/>
        <v>43101</v>
      </c>
      <c r="P2535" s="1">
        <f t="shared" si="314"/>
        <v>43497</v>
      </c>
      <c r="Q2535" s="8">
        <f t="shared" si="315"/>
        <v>0</v>
      </c>
      <c r="R2535" s="8">
        <f t="shared" si="316"/>
        <v>14</v>
      </c>
      <c r="S2535" s="8">
        <f t="shared" ca="1" si="317"/>
        <v>14</v>
      </c>
      <c r="T2535">
        <f t="shared" ca="1" si="318"/>
        <v>2.1472000000000002</v>
      </c>
      <c r="U2535" s="8">
        <f t="shared" ca="1" si="319"/>
        <v>2.3536000000000001</v>
      </c>
      <c r="V2535" s="8">
        <f ca="1">RawData[[#This Row],[Z (smoothed demand size)]]/RawData[[#This Row],[X (smoothed interval)]]</f>
        <v>0.91230455472467709</v>
      </c>
    </row>
    <row r="2536" spans="1:22">
      <c r="A2536" t="s">
        <v>54</v>
      </c>
      <c r="B2536" t="s">
        <v>39</v>
      </c>
      <c r="C2536">
        <v>32</v>
      </c>
      <c r="D2536" t="s">
        <v>22</v>
      </c>
      <c r="E2536" t="s">
        <v>16</v>
      </c>
      <c r="F2536" s="1">
        <v>43468</v>
      </c>
      <c r="G2536">
        <v>4</v>
      </c>
      <c r="H2536">
        <v>4</v>
      </c>
      <c r="I2536">
        <v>4</v>
      </c>
      <c r="J2536">
        <v>0</v>
      </c>
      <c r="K2536">
        <v>0</v>
      </c>
      <c r="L2536">
        <v>609</v>
      </c>
      <c r="M2536">
        <v>15</v>
      </c>
      <c r="N2536" s="1">
        <f t="shared" si="312"/>
        <v>44938</v>
      </c>
      <c r="O2536" s="1">
        <f t="shared" si="313"/>
        <v>43101</v>
      </c>
      <c r="P2536" s="1">
        <f t="shared" si="314"/>
        <v>43525</v>
      </c>
      <c r="Q2536" s="8">
        <f t="shared" si="315"/>
        <v>0</v>
      </c>
      <c r="R2536" s="8">
        <f t="shared" si="316"/>
        <v>15</v>
      </c>
      <c r="S2536" s="8">
        <f t="shared" ca="1" si="317"/>
        <v>15</v>
      </c>
      <c r="T2536">
        <f t="shared" ca="1" si="318"/>
        <v>2.51776</v>
      </c>
      <c r="U2536" s="8">
        <f t="shared" ca="1" si="319"/>
        <v>2.0828800000000003</v>
      </c>
      <c r="V2536" s="8">
        <f ca="1">RawData[[#This Row],[Z (smoothed demand size)]]/RawData[[#This Row],[X (smoothed interval)]]</f>
        <v>1.2087878322322936</v>
      </c>
    </row>
    <row r="2537" spans="1:22">
      <c r="A2537" t="s">
        <v>54</v>
      </c>
      <c r="B2537" t="s">
        <v>39</v>
      </c>
      <c r="C2537">
        <v>32</v>
      </c>
      <c r="D2537" t="s">
        <v>22</v>
      </c>
      <c r="E2537" t="s">
        <v>16</v>
      </c>
      <c r="F2537" s="1">
        <v>43469</v>
      </c>
      <c r="G2537">
        <v>2</v>
      </c>
      <c r="H2537">
        <v>2</v>
      </c>
      <c r="I2537">
        <v>11</v>
      </c>
      <c r="J2537">
        <v>9</v>
      </c>
      <c r="K2537">
        <v>0</v>
      </c>
      <c r="L2537">
        <v>612</v>
      </c>
      <c r="M2537">
        <v>45</v>
      </c>
      <c r="N2537" s="1">
        <f t="shared" si="312"/>
        <v>44938</v>
      </c>
      <c r="O2537" s="1">
        <f t="shared" si="313"/>
        <v>43101</v>
      </c>
      <c r="P2537" s="1">
        <f t="shared" si="314"/>
        <v>43556</v>
      </c>
      <c r="Q2537" s="8">
        <f t="shared" si="315"/>
        <v>0</v>
      </c>
      <c r="R2537" s="8">
        <f t="shared" si="316"/>
        <v>16</v>
      </c>
      <c r="S2537" s="8">
        <f t="shared" ca="1" si="317"/>
        <v>16</v>
      </c>
      <c r="T2537">
        <f t="shared" ca="1" si="318"/>
        <v>2.4142079999999999</v>
      </c>
      <c r="U2537" s="8">
        <f t="shared" ca="1" si="319"/>
        <v>1.8663040000000002</v>
      </c>
      <c r="V2537" s="8">
        <f ca="1">RawData[[#This Row],[Z (smoothed demand size)]]/RawData[[#This Row],[X (smoothed interval)]]</f>
        <v>1.2935770378244915</v>
      </c>
    </row>
    <row r="2538" spans="1:22">
      <c r="A2538" t="s">
        <v>54</v>
      </c>
      <c r="B2538" t="s">
        <v>39</v>
      </c>
      <c r="C2538">
        <v>32</v>
      </c>
      <c r="D2538" t="s">
        <v>22</v>
      </c>
      <c r="E2538" t="s">
        <v>16</v>
      </c>
      <c r="F2538" s="1">
        <v>43470</v>
      </c>
      <c r="G2538">
        <v>6</v>
      </c>
      <c r="H2538">
        <v>6</v>
      </c>
      <c r="I2538">
        <v>9</v>
      </c>
      <c r="J2538">
        <v>3</v>
      </c>
      <c r="K2538">
        <v>0</v>
      </c>
      <c r="L2538">
        <v>603</v>
      </c>
      <c r="M2538">
        <v>45</v>
      </c>
      <c r="N2538" s="1">
        <f t="shared" si="312"/>
        <v>44938</v>
      </c>
      <c r="O2538" s="1">
        <f t="shared" si="313"/>
        <v>43101</v>
      </c>
      <c r="P2538" s="1">
        <f t="shared" si="314"/>
        <v>43586</v>
      </c>
      <c r="Q2538" s="8">
        <f t="shared" si="315"/>
        <v>0</v>
      </c>
      <c r="R2538" s="8">
        <f t="shared" si="316"/>
        <v>17</v>
      </c>
      <c r="S2538" s="8">
        <f t="shared" ca="1" si="317"/>
        <v>17</v>
      </c>
      <c r="T2538">
        <f t="shared" ca="1" si="318"/>
        <v>3.1313664000000001</v>
      </c>
      <c r="U2538" s="8">
        <f t="shared" ca="1" si="319"/>
        <v>1.6930432000000002</v>
      </c>
      <c r="V2538" s="8">
        <f ca="1">RawData[[#This Row],[Z (smoothed demand size)]]/RawData[[#This Row],[X (smoothed interval)]]</f>
        <v>1.8495490250928031</v>
      </c>
    </row>
    <row r="2539" spans="1:22">
      <c r="A2539" t="s">
        <v>54</v>
      </c>
      <c r="B2539" t="s">
        <v>39</v>
      </c>
      <c r="C2539">
        <v>32</v>
      </c>
      <c r="D2539" t="s">
        <v>22</v>
      </c>
      <c r="E2539" t="s">
        <v>16</v>
      </c>
      <c r="F2539" s="1">
        <v>43471</v>
      </c>
      <c r="G2539">
        <v>3</v>
      </c>
      <c r="H2539">
        <v>3</v>
      </c>
      <c r="I2539">
        <v>3</v>
      </c>
      <c r="J2539">
        <v>0</v>
      </c>
      <c r="K2539">
        <v>0</v>
      </c>
      <c r="L2539">
        <v>701</v>
      </c>
      <c r="M2539">
        <v>60</v>
      </c>
      <c r="N2539" s="1">
        <f t="shared" si="312"/>
        <v>44938</v>
      </c>
      <c r="O2539" s="1">
        <f t="shared" si="313"/>
        <v>43101</v>
      </c>
      <c r="P2539" s="1">
        <f t="shared" si="314"/>
        <v>43617</v>
      </c>
      <c r="Q2539" s="8">
        <f t="shared" si="315"/>
        <v>0</v>
      </c>
      <c r="R2539" s="8">
        <f t="shared" si="316"/>
        <v>18</v>
      </c>
      <c r="S2539" s="8">
        <f t="shared" ca="1" si="317"/>
        <v>18</v>
      </c>
      <c r="T2539">
        <f t="shared" ca="1" si="318"/>
        <v>3.1050931200000003</v>
      </c>
      <c r="U2539" s="8">
        <f t="shared" ca="1" si="319"/>
        <v>1.5544345600000002</v>
      </c>
      <c r="V2539" s="8">
        <f ca="1">RawData[[#This Row],[Z (smoothed demand size)]]/RawData[[#This Row],[X (smoothed interval)]]</f>
        <v>1.9975708208649194</v>
      </c>
    </row>
    <row r="2540" spans="1:22">
      <c r="A2540" t="s">
        <v>54</v>
      </c>
      <c r="B2540" t="s">
        <v>39</v>
      </c>
      <c r="C2540">
        <v>32</v>
      </c>
      <c r="D2540" t="s">
        <v>22</v>
      </c>
      <c r="E2540" t="s">
        <v>16</v>
      </c>
      <c r="F2540" s="1">
        <v>43472</v>
      </c>
      <c r="G2540">
        <v>2</v>
      </c>
      <c r="H2540">
        <v>2</v>
      </c>
      <c r="I2540">
        <v>10</v>
      </c>
      <c r="J2540">
        <v>8</v>
      </c>
      <c r="K2540">
        <v>0</v>
      </c>
      <c r="L2540">
        <v>700</v>
      </c>
      <c r="M2540">
        <v>30</v>
      </c>
      <c r="N2540" s="1">
        <f t="shared" si="312"/>
        <v>44938</v>
      </c>
      <c r="O2540" s="1">
        <f t="shared" si="313"/>
        <v>43101</v>
      </c>
      <c r="P2540" s="1">
        <f t="shared" si="314"/>
        <v>43647</v>
      </c>
      <c r="Q2540" s="8">
        <f t="shared" si="315"/>
        <v>0</v>
      </c>
      <c r="R2540" s="8">
        <f t="shared" si="316"/>
        <v>19</v>
      </c>
      <c r="S2540" s="8">
        <f t="shared" ca="1" si="317"/>
        <v>19</v>
      </c>
      <c r="T2540">
        <f t="shared" ca="1" si="318"/>
        <v>2.8840744960000002</v>
      </c>
      <c r="U2540" s="8">
        <f t="shared" ca="1" si="319"/>
        <v>1.4435476480000002</v>
      </c>
      <c r="V2540" s="8">
        <f ca="1">RawData[[#This Row],[Z (smoothed demand size)]]/RawData[[#This Row],[X (smoothed interval)]]</f>
        <v>1.9979073776995269</v>
      </c>
    </row>
    <row r="2541" spans="1:22">
      <c r="A2541" t="s">
        <v>54</v>
      </c>
      <c r="B2541" t="s">
        <v>39</v>
      </c>
      <c r="C2541">
        <v>32</v>
      </c>
      <c r="D2541" t="s">
        <v>22</v>
      </c>
      <c r="E2541" t="s">
        <v>16</v>
      </c>
      <c r="F2541" s="1">
        <v>43473</v>
      </c>
      <c r="G2541">
        <v>3</v>
      </c>
      <c r="H2541">
        <v>3</v>
      </c>
      <c r="I2541">
        <v>8</v>
      </c>
      <c r="J2541">
        <v>5</v>
      </c>
      <c r="K2541">
        <v>0</v>
      </c>
      <c r="L2541">
        <v>693</v>
      </c>
      <c r="M2541">
        <v>60</v>
      </c>
      <c r="N2541" s="1">
        <f t="shared" si="312"/>
        <v>44938</v>
      </c>
      <c r="O2541" s="1">
        <f t="shared" si="313"/>
        <v>43101</v>
      </c>
      <c r="P2541" s="1">
        <f t="shared" si="314"/>
        <v>43678</v>
      </c>
      <c r="Q2541" s="8">
        <f t="shared" si="315"/>
        <v>0</v>
      </c>
      <c r="R2541" s="8">
        <f t="shared" si="316"/>
        <v>20</v>
      </c>
      <c r="S2541" s="8">
        <f t="shared" ca="1" si="317"/>
        <v>20</v>
      </c>
      <c r="T2541">
        <f t="shared" ca="1" si="318"/>
        <v>2.9072595968000003</v>
      </c>
      <c r="U2541" s="8">
        <f t="shared" ca="1" si="319"/>
        <v>1.3548381184000002</v>
      </c>
      <c r="V2541" s="8">
        <f ca="1">RawData[[#This Row],[Z (smoothed demand size)]]/RawData[[#This Row],[X (smoothed interval)]]</f>
        <v>2.1458354007882039</v>
      </c>
    </row>
    <row r="2542" spans="1:22">
      <c r="A2542" t="s">
        <v>54</v>
      </c>
      <c r="B2542" t="s">
        <v>39</v>
      </c>
      <c r="C2542">
        <v>32</v>
      </c>
      <c r="D2542" t="s">
        <v>22</v>
      </c>
      <c r="E2542" t="s">
        <v>16</v>
      </c>
      <c r="F2542" s="1">
        <v>43474</v>
      </c>
      <c r="G2542">
        <v>0</v>
      </c>
      <c r="H2542">
        <v>0</v>
      </c>
      <c r="I2542">
        <v>5</v>
      </c>
      <c r="J2542">
        <v>5</v>
      </c>
      <c r="K2542">
        <v>0</v>
      </c>
      <c r="L2542">
        <v>616</v>
      </c>
      <c r="M2542">
        <v>30</v>
      </c>
      <c r="N2542" s="1">
        <f t="shared" si="312"/>
        <v>44938</v>
      </c>
      <c r="O2542" s="1">
        <f t="shared" si="313"/>
        <v>43101</v>
      </c>
      <c r="P2542" s="1">
        <f t="shared" si="314"/>
        <v>43709</v>
      </c>
      <c r="Q2542" s="8">
        <f t="shared" si="315"/>
        <v>0</v>
      </c>
      <c r="R2542" s="8">
        <f t="shared" si="316"/>
        <v>21</v>
      </c>
      <c r="S2542" s="8">
        <f t="shared" ca="1" si="317"/>
        <v>20</v>
      </c>
      <c r="T2542">
        <f t="shared" ca="1" si="318"/>
        <v>2.9072595968000003</v>
      </c>
      <c r="U2542" s="8">
        <f t="shared" ca="1" si="319"/>
        <v>1.3548381184000002</v>
      </c>
      <c r="V2542" s="8">
        <f ca="1">RawData[[#This Row],[Z (smoothed demand size)]]/RawData[[#This Row],[X (smoothed interval)]]</f>
        <v>2.1458354007882039</v>
      </c>
    </row>
    <row r="2543" spans="1:22">
      <c r="A2543" t="s">
        <v>54</v>
      </c>
      <c r="B2543" t="s">
        <v>39</v>
      </c>
      <c r="C2543">
        <v>32</v>
      </c>
      <c r="D2543" t="s">
        <v>22</v>
      </c>
      <c r="E2543" t="s">
        <v>16</v>
      </c>
      <c r="F2543" s="1">
        <v>43475</v>
      </c>
      <c r="G2543">
        <v>3</v>
      </c>
      <c r="H2543">
        <v>3</v>
      </c>
      <c r="I2543">
        <v>5</v>
      </c>
      <c r="J2543">
        <v>2</v>
      </c>
      <c r="K2543">
        <v>0</v>
      </c>
      <c r="L2543">
        <v>607</v>
      </c>
      <c r="M2543">
        <v>60</v>
      </c>
      <c r="N2543" s="1">
        <f t="shared" si="312"/>
        <v>44938</v>
      </c>
      <c r="O2543" s="1">
        <f t="shared" si="313"/>
        <v>43101</v>
      </c>
      <c r="P2543" s="1">
        <f t="shared" si="314"/>
        <v>43739</v>
      </c>
      <c r="Q2543" s="8">
        <f t="shared" si="315"/>
        <v>0</v>
      </c>
      <c r="R2543" s="8">
        <f t="shared" si="316"/>
        <v>22</v>
      </c>
      <c r="S2543" s="8">
        <f t="shared" ca="1" si="317"/>
        <v>22</v>
      </c>
      <c r="T2543">
        <f t="shared" ca="1" si="318"/>
        <v>2.9258076774400004</v>
      </c>
      <c r="U2543" s="8">
        <f t="shared" ca="1" si="319"/>
        <v>1.4838704947200001</v>
      </c>
      <c r="V2543" s="8">
        <f ca="1">RawData[[#This Row],[Z (smoothed demand size)]]/RawData[[#This Row],[X (smoothed interval)]]</f>
        <v>1.9717405850785432</v>
      </c>
    </row>
    <row r="2544" spans="1:22">
      <c r="A2544" t="s">
        <v>54</v>
      </c>
      <c r="B2544" t="s">
        <v>39</v>
      </c>
      <c r="C2544">
        <v>32</v>
      </c>
      <c r="D2544" t="s">
        <v>22</v>
      </c>
      <c r="E2544" t="s">
        <v>16</v>
      </c>
      <c r="F2544" s="1">
        <v>43476</v>
      </c>
      <c r="G2544">
        <v>0</v>
      </c>
      <c r="H2544">
        <v>0</v>
      </c>
      <c r="I2544">
        <v>2</v>
      </c>
      <c r="J2544">
        <v>2</v>
      </c>
      <c r="K2544">
        <v>0</v>
      </c>
      <c r="L2544">
        <v>615</v>
      </c>
      <c r="M2544">
        <v>30</v>
      </c>
      <c r="N2544" s="1">
        <f t="shared" si="312"/>
        <v>44938</v>
      </c>
      <c r="O2544" s="1">
        <f t="shared" si="313"/>
        <v>43101</v>
      </c>
      <c r="P2544" s="1">
        <f t="shared" si="314"/>
        <v>43770</v>
      </c>
      <c r="Q2544" s="8">
        <f t="shared" si="315"/>
        <v>0</v>
      </c>
      <c r="R2544" s="8">
        <f t="shared" si="316"/>
        <v>23</v>
      </c>
      <c r="S2544" s="8">
        <f t="shared" ca="1" si="317"/>
        <v>22</v>
      </c>
      <c r="T2544">
        <f t="shared" ca="1" si="318"/>
        <v>2.9258076774400004</v>
      </c>
      <c r="U2544" s="8">
        <f t="shared" ca="1" si="319"/>
        <v>1.4838704947200001</v>
      </c>
      <c r="V2544" s="8">
        <f ca="1">RawData[[#This Row],[Z (smoothed demand size)]]/RawData[[#This Row],[X (smoothed interval)]]</f>
        <v>1.9717405850785432</v>
      </c>
    </row>
    <row r="2545" spans="1:22">
      <c r="A2545" t="s">
        <v>54</v>
      </c>
      <c r="B2545" t="s">
        <v>39</v>
      </c>
      <c r="C2545">
        <v>32</v>
      </c>
      <c r="D2545" t="s">
        <v>22</v>
      </c>
      <c r="E2545" t="s">
        <v>16</v>
      </c>
      <c r="F2545" s="1">
        <v>43477</v>
      </c>
      <c r="G2545">
        <v>3</v>
      </c>
      <c r="H2545">
        <v>3</v>
      </c>
      <c r="I2545">
        <v>12</v>
      </c>
      <c r="J2545">
        <v>9</v>
      </c>
      <c r="K2545">
        <v>0</v>
      </c>
      <c r="L2545">
        <v>699</v>
      </c>
      <c r="M2545">
        <v>15</v>
      </c>
      <c r="N2545" s="1">
        <f t="shared" si="312"/>
        <v>44938</v>
      </c>
      <c r="O2545" s="1">
        <f t="shared" si="313"/>
        <v>43101</v>
      </c>
      <c r="P2545" s="1">
        <f t="shared" si="314"/>
        <v>43800</v>
      </c>
      <c r="Q2545" s="8">
        <f t="shared" si="315"/>
        <v>0</v>
      </c>
      <c r="R2545" s="8">
        <f t="shared" si="316"/>
        <v>24</v>
      </c>
      <c r="S2545" s="8">
        <f t="shared" ca="1" si="317"/>
        <v>24</v>
      </c>
      <c r="T2545">
        <f t="shared" ca="1" si="318"/>
        <v>2.9406461419520005</v>
      </c>
      <c r="U2545" s="8">
        <f t="shared" ca="1" si="319"/>
        <v>1.5870963957760003</v>
      </c>
      <c r="V2545" s="8">
        <f ca="1">RawData[[#This Row],[Z (smoothed demand size)]]/RawData[[#This Row],[X (smoothed interval)]]</f>
        <v>1.8528465881331619</v>
      </c>
    </row>
    <row r="2546" spans="1:22">
      <c r="A2546" t="s">
        <v>54</v>
      </c>
      <c r="B2546" t="s">
        <v>39</v>
      </c>
      <c r="C2546">
        <v>32</v>
      </c>
      <c r="D2546" t="s">
        <v>22</v>
      </c>
      <c r="E2546" t="s">
        <v>16</v>
      </c>
      <c r="F2546" s="1">
        <v>43831</v>
      </c>
      <c r="G2546">
        <v>4</v>
      </c>
      <c r="H2546">
        <v>4</v>
      </c>
      <c r="I2546">
        <v>9</v>
      </c>
      <c r="J2546">
        <v>5</v>
      </c>
      <c r="K2546">
        <v>0</v>
      </c>
      <c r="L2546">
        <v>604</v>
      </c>
      <c r="M2546">
        <v>15</v>
      </c>
      <c r="N2546" s="1">
        <f t="shared" si="312"/>
        <v>44938</v>
      </c>
      <c r="O2546" s="1">
        <f t="shared" si="313"/>
        <v>43101</v>
      </c>
      <c r="P2546" s="1">
        <f t="shared" si="314"/>
        <v>43831</v>
      </c>
      <c r="Q2546" s="8">
        <f t="shared" si="315"/>
        <v>0</v>
      </c>
      <c r="R2546" s="8">
        <f t="shared" si="316"/>
        <v>25</v>
      </c>
      <c r="S2546" s="8">
        <f t="shared" ca="1" si="317"/>
        <v>25</v>
      </c>
      <c r="T2546">
        <f t="shared" ca="1" si="318"/>
        <v>3.1525169135616009</v>
      </c>
      <c r="U2546" s="8">
        <f t="shared" ca="1" si="319"/>
        <v>1.4696771166208003</v>
      </c>
      <c r="V2546" s="8">
        <f ca="1">RawData[[#This Row],[Z (smoothed demand size)]]/RawData[[#This Row],[X (smoothed interval)]]</f>
        <v>2.1450404840010853</v>
      </c>
    </row>
    <row r="2547" spans="1:22">
      <c r="A2547" t="s">
        <v>54</v>
      </c>
      <c r="B2547" t="s">
        <v>39</v>
      </c>
      <c r="C2547">
        <v>32</v>
      </c>
      <c r="D2547" t="s">
        <v>22</v>
      </c>
      <c r="E2547" t="s">
        <v>16</v>
      </c>
      <c r="F2547" s="1">
        <v>43832</v>
      </c>
      <c r="G2547">
        <v>4</v>
      </c>
      <c r="H2547">
        <v>4</v>
      </c>
      <c r="I2547">
        <v>5</v>
      </c>
      <c r="J2547">
        <v>1</v>
      </c>
      <c r="K2547">
        <v>0</v>
      </c>
      <c r="L2547">
        <v>602</v>
      </c>
      <c r="M2547">
        <v>45</v>
      </c>
      <c r="N2547" s="1">
        <f t="shared" si="312"/>
        <v>44938</v>
      </c>
      <c r="O2547" s="1">
        <f t="shared" si="313"/>
        <v>43101</v>
      </c>
      <c r="P2547" s="1">
        <f t="shared" si="314"/>
        <v>43862</v>
      </c>
      <c r="Q2547" s="8">
        <f t="shared" si="315"/>
        <v>0</v>
      </c>
      <c r="R2547" s="8">
        <f t="shared" si="316"/>
        <v>26</v>
      </c>
      <c r="S2547" s="8">
        <f t="shared" ca="1" si="317"/>
        <v>26</v>
      </c>
      <c r="T2547">
        <f t="shared" ca="1" si="318"/>
        <v>3.3220135308492811</v>
      </c>
      <c r="U2547" s="8">
        <f t="shared" ca="1" si="319"/>
        <v>1.3757416932966402</v>
      </c>
      <c r="V2547" s="8">
        <f ca="1">RawData[[#This Row],[Z (smoothed demand size)]]/RawData[[#This Row],[X (smoothed interval)]]</f>
        <v>2.4147073153600949</v>
      </c>
    </row>
    <row r="2548" spans="1:22">
      <c r="A2548" t="s">
        <v>54</v>
      </c>
      <c r="B2548" t="s">
        <v>39</v>
      </c>
      <c r="C2548">
        <v>32</v>
      </c>
      <c r="D2548" t="s">
        <v>22</v>
      </c>
      <c r="E2548" t="s">
        <v>16</v>
      </c>
      <c r="F2548" s="1">
        <v>43833</v>
      </c>
      <c r="G2548">
        <v>5</v>
      </c>
      <c r="H2548">
        <v>1</v>
      </c>
      <c r="I2548">
        <v>1</v>
      </c>
      <c r="J2548">
        <v>0</v>
      </c>
      <c r="K2548">
        <v>1</v>
      </c>
      <c r="L2548">
        <v>604</v>
      </c>
      <c r="M2548">
        <v>45</v>
      </c>
      <c r="N2548" s="1">
        <f t="shared" si="312"/>
        <v>44938</v>
      </c>
      <c r="O2548" s="1">
        <f t="shared" si="313"/>
        <v>43101</v>
      </c>
      <c r="P2548" s="1">
        <f t="shared" si="314"/>
        <v>43891</v>
      </c>
      <c r="Q2548" s="8">
        <f t="shared" si="315"/>
        <v>0</v>
      </c>
      <c r="R2548" s="8">
        <f t="shared" si="316"/>
        <v>27</v>
      </c>
      <c r="S2548" s="8">
        <f t="shared" ca="1" si="317"/>
        <v>27</v>
      </c>
      <c r="T2548">
        <f t="shared" ca="1" si="318"/>
        <v>3.6576108246794252</v>
      </c>
      <c r="U2548" s="8">
        <f t="shared" ca="1" si="319"/>
        <v>1.3005933546373121</v>
      </c>
      <c r="V2548" s="8">
        <f ca="1">RawData[[#This Row],[Z (smoothed demand size)]]/RawData[[#This Row],[X (smoothed interval)]]</f>
        <v>2.8122631963619398</v>
      </c>
    </row>
    <row r="2549" spans="1:22">
      <c r="A2549" t="s">
        <v>54</v>
      </c>
      <c r="B2549" t="s">
        <v>39</v>
      </c>
      <c r="C2549">
        <v>32</v>
      </c>
      <c r="D2549" t="s">
        <v>22</v>
      </c>
      <c r="E2549" t="s">
        <v>16</v>
      </c>
      <c r="F2549" s="1">
        <v>43834</v>
      </c>
      <c r="G2549">
        <v>2</v>
      </c>
      <c r="H2549">
        <v>2</v>
      </c>
      <c r="I2549">
        <v>7</v>
      </c>
      <c r="J2549">
        <v>5</v>
      </c>
      <c r="K2549">
        <v>0</v>
      </c>
      <c r="L2549">
        <v>615</v>
      </c>
      <c r="M2549">
        <v>45</v>
      </c>
      <c r="N2549" s="1">
        <f t="shared" si="312"/>
        <v>44938</v>
      </c>
      <c r="O2549" s="1">
        <f t="shared" si="313"/>
        <v>43101</v>
      </c>
      <c r="P2549" s="1">
        <f t="shared" si="314"/>
        <v>43922</v>
      </c>
      <c r="Q2549" s="8">
        <f t="shared" si="315"/>
        <v>0</v>
      </c>
      <c r="R2549" s="8">
        <f t="shared" si="316"/>
        <v>28</v>
      </c>
      <c r="S2549" s="8">
        <f t="shared" ca="1" si="317"/>
        <v>28</v>
      </c>
      <c r="T2549">
        <f t="shared" ca="1" si="318"/>
        <v>3.3260886597435402</v>
      </c>
      <c r="U2549" s="8">
        <f t="shared" ca="1" si="319"/>
        <v>1.2404746837098497</v>
      </c>
      <c r="V2549" s="8">
        <f ca="1">RawData[[#This Row],[Z (smoothed demand size)]]/RawData[[#This Row],[X (smoothed interval)]]</f>
        <v>2.6813031361480983</v>
      </c>
    </row>
    <row r="2550" spans="1:22">
      <c r="A2550" t="s">
        <v>54</v>
      </c>
      <c r="B2550" t="s">
        <v>39</v>
      </c>
      <c r="C2550">
        <v>32</v>
      </c>
      <c r="D2550" t="s">
        <v>22</v>
      </c>
      <c r="E2550" t="s">
        <v>16</v>
      </c>
      <c r="F2550" s="1">
        <v>43835</v>
      </c>
      <c r="G2550">
        <v>3</v>
      </c>
      <c r="H2550">
        <v>3</v>
      </c>
      <c r="I2550">
        <v>5</v>
      </c>
      <c r="J2550">
        <v>2</v>
      </c>
      <c r="K2550">
        <v>0</v>
      </c>
      <c r="L2550">
        <v>601</v>
      </c>
      <c r="M2550">
        <v>45</v>
      </c>
      <c r="N2550" s="1">
        <f t="shared" si="312"/>
        <v>44938</v>
      </c>
      <c r="O2550" s="1">
        <f t="shared" si="313"/>
        <v>43101</v>
      </c>
      <c r="P2550" s="1">
        <f t="shared" si="314"/>
        <v>43952</v>
      </c>
      <c r="Q2550" s="8">
        <f t="shared" si="315"/>
        <v>0</v>
      </c>
      <c r="R2550" s="8">
        <f t="shared" si="316"/>
        <v>29</v>
      </c>
      <c r="S2550" s="8">
        <f t="shared" ca="1" si="317"/>
        <v>29</v>
      </c>
      <c r="T2550">
        <f t="shared" ca="1" si="318"/>
        <v>3.2608709277948322</v>
      </c>
      <c r="U2550" s="8">
        <f t="shared" ca="1" si="319"/>
        <v>1.1923797469678798</v>
      </c>
      <c r="V2550" s="8">
        <f ca="1">RawData[[#This Row],[Z (smoothed demand size)]]/RawData[[#This Row],[X (smoothed interval)]]</f>
        <v>2.7347587344442483</v>
      </c>
    </row>
    <row r="2551" spans="1:22">
      <c r="A2551" t="s">
        <v>54</v>
      </c>
      <c r="B2551" t="s">
        <v>39</v>
      </c>
      <c r="C2551">
        <v>32</v>
      </c>
      <c r="D2551" t="s">
        <v>22</v>
      </c>
      <c r="E2551" t="s">
        <v>16</v>
      </c>
      <c r="F2551" s="1">
        <v>43836</v>
      </c>
      <c r="G2551">
        <v>2</v>
      </c>
      <c r="H2551">
        <v>2</v>
      </c>
      <c r="I2551">
        <v>2</v>
      </c>
      <c r="J2551">
        <v>0</v>
      </c>
      <c r="K2551">
        <v>0</v>
      </c>
      <c r="L2551">
        <v>702</v>
      </c>
      <c r="M2551">
        <v>15</v>
      </c>
      <c r="N2551" s="1">
        <f t="shared" si="312"/>
        <v>44938</v>
      </c>
      <c r="O2551" s="1">
        <f t="shared" si="313"/>
        <v>43101</v>
      </c>
      <c r="P2551" s="1">
        <f t="shared" si="314"/>
        <v>43983</v>
      </c>
      <c r="Q2551" s="8">
        <f t="shared" si="315"/>
        <v>0</v>
      </c>
      <c r="R2551" s="8">
        <f t="shared" si="316"/>
        <v>30</v>
      </c>
      <c r="S2551" s="8">
        <f t="shared" ca="1" si="317"/>
        <v>30</v>
      </c>
      <c r="T2551">
        <f t="shared" ca="1" si="318"/>
        <v>3.0086967422358657</v>
      </c>
      <c r="U2551" s="8">
        <f t="shared" ca="1" si="319"/>
        <v>1.1539037975743038</v>
      </c>
      <c r="V2551" s="8">
        <f ca="1">RawData[[#This Row],[Z (smoothed demand size)]]/RawData[[#This Row],[X (smoothed interval)]]</f>
        <v>2.6074069160363651</v>
      </c>
    </row>
    <row r="2552" spans="1:22">
      <c r="A2552" t="s">
        <v>54</v>
      </c>
      <c r="B2552" t="s">
        <v>39</v>
      </c>
      <c r="C2552">
        <v>32</v>
      </c>
      <c r="D2552" t="s">
        <v>22</v>
      </c>
      <c r="E2552" t="s">
        <v>16</v>
      </c>
      <c r="F2552" s="1">
        <v>43837</v>
      </c>
      <c r="G2552">
        <v>0</v>
      </c>
      <c r="H2552">
        <v>0</v>
      </c>
      <c r="I2552">
        <v>7</v>
      </c>
      <c r="J2552">
        <v>7</v>
      </c>
      <c r="K2552">
        <v>0</v>
      </c>
      <c r="L2552">
        <v>695</v>
      </c>
      <c r="M2552">
        <v>30</v>
      </c>
      <c r="N2552" s="1">
        <f t="shared" si="312"/>
        <v>44938</v>
      </c>
      <c r="O2552" s="1">
        <f t="shared" si="313"/>
        <v>43101</v>
      </c>
      <c r="P2552" s="1">
        <f t="shared" si="314"/>
        <v>44013</v>
      </c>
      <c r="Q2552" s="8">
        <f t="shared" si="315"/>
        <v>0</v>
      </c>
      <c r="R2552" s="8">
        <f t="shared" si="316"/>
        <v>31</v>
      </c>
      <c r="S2552" s="8">
        <f t="shared" ca="1" si="317"/>
        <v>30</v>
      </c>
      <c r="T2552">
        <f t="shared" ca="1" si="318"/>
        <v>3.0086967422358657</v>
      </c>
      <c r="U2552" s="8">
        <f t="shared" ca="1" si="319"/>
        <v>1.1539037975743038</v>
      </c>
      <c r="V2552" s="8">
        <f ca="1">RawData[[#This Row],[Z (smoothed demand size)]]/RawData[[#This Row],[X (smoothed interval)]]</f>
        <v>2.6074069160363651</v>
      </c>
    </row>
    <row r="2553" spans="1:22">
      <c r="A2553" t="s">
        <v>54</v>
      </c>
      <c r="B2553" t="s">
        <v>39</v>
      </c>
      <c r="C2553">
        <v>32</v>
      </c>
      <c r="D2553" t="s">
        <v>22</v>
      </c>
      <c r="E2553" t="s">
        <v>16</v>
      </c>
      <c r="F2553" s="1">
        <v>43838</v>
      </c>
      <c r="G2553">
        <v>0</v>
      </c>
      <c r="H2553">
        <v>0</v>
      </c>
      <c r="I2553">
        <v>7</v>
      </c>
      <c r="J2553">
        <v>7</v>
      </c>
      <c r="K2553">
        <v>0</v>
      </c>
      <c r="L2553">
        <v>701</v>
      </c>
      <c r="M2553">
        <v>30</v>
      </c>
      <c r="N2553" s="1">
        <f t="shared" si="312"/>
        <v>44938</v>
      </c>
      <c r="O2553" s="1">
        <f t="shared" si="313"/>
        <v>43101</v>
      </c>
      <c r="P2553" s="1">
        <f t="shared" si="314"/>
        <v>44044</v>
      </c>
      <c r="Q2553" s="8">
        <f t="shared" si="315"/>
        <v>0</v>
      </c>
      <c r="R2553" s="8">
        <f t="shared" si="316"/>
        <v>32</v>
      </c>
      <c r="S2553" s="8">
        <f t="shared" ca="1" si="317"/>
        <v>30</v>
      </c>
      <c r="T2553">
        <f t="shared" ca="1" si="318"/>
        <v>3.0086967422358657</v>
      </c>
      <c r="U2553" s="8">
        <f t="shared" ca="1" si="319"/>
        <v>1.1539037975743038</v>
      </c>
      <c r="V2553" s="8">
        <f ca="1">RawData[[#This Row],[Z (smoothed demand size)]]/RawData[[#This Row],[X (smoothed interval)]]</f>
        <v>2.6074069160363651</v>
      </c>
    </row>
    <row r="2554" spans="1:22">
      <c r="A2554" t="s">
        <v>54</v>
      </c>
      <c r="B2554" t="s">
        <v>39</v>
      </c>
      <c r="C2554">
        <v>32</v>
      </c>
      <c r="D2554" t="s">
        <v>22</v>
      </c>
      <c r="E2554" t="s">
        <v>16</v>
      </c>
      <c r="F2554" s="1">
        <v>43839</v>
      </c>
      <c r="G2554">
        <v>0</v>
      </c>
      <c r="H2554">
        <v>0</v>
      </c>
      <c r="I2554">
        <v>7</v>
      </c>
      <c r="J2554">
        <v>7</v>
      </c>
      <c r="K2554">
        <v>0</v>
      </c>
      <c r="L2554">
        <v>608</v>
      </c>
      <c r="M2554">
        <v>15</v>
      </c>
      <c r="N2554" s="1">
        <f t="shared" si="312"/>
        <v>44938</v>
      </c>
      <c r="O2554" s="1">
        <f t="shared" si="313"/>
        <v>43101</v>
      </c>
      <c r="P2554" s="1">
        <f t="shared" si="314"/>
        <v>44075</v>
      </c>
      <c r="Q2554" s="8">
        <f t="shared" si="315"/>
        <v>0</v>
      </c>
      <c r="R2554" s="8">
        <f t="shared" si="316"/>
        <v>33</v>
      </c>
      <c r="S2554" s="8">
        <f t="shared" ca="1" si="317"/>
        <v>30</v>
      </c>
      <c r="T2554">
        <f t="shared" ca="1" si="318"/>
        <v>3.0086967422358657</v>
      </c>
      <c r="U2554" s="8">
        <f t="shared" ca="1" si="319"/>
        <v>1.1539037975743038</v>
      </c>
      <c r="V2554" s="8">
        <f ca="1">RawData[[#This Row],[Z (smoothed demand size)]]/RawData[[#This Row],[X (smoothed interval)]]</f>
        <v>2.6074069160363651</v>
      </c>
    </row>
    <row r="2555" spans="1:22">
      <c r="A2555" t="s">
        <v>54</v>
      </c>
      <c r="B2555" t="s">
        <v>39</v>
      </c>
      <c r="C2555">
        <v>32</v>
      </c>
      <c r="D2555" t="s">
        <v>22</v>
      </c>
      <c r="E2555" t="s">
        <v>16</v>
      </c>
      <c r="F2555" s="1">
        <v>43840</v>
      </c>
      <c r="G2555">
        <v>0</v>
      </c>
      <c r="H2555">
        <v>0</v>
      </c>
      <c r="I2555">
        <v>7</v>
      </c>
      <c r="J2555">
        <v>7</v>
      </c>
      <c r="K2555">
        <v>0</v>
      </c>
      <c r="L2555">
        <v>598</v>
      </c>
      <c r="M2555">
        <v>30</v>
      </c>
      <c r="N2555" s="1">
        <f t="shared" si="312"/>
        <v>44938</v>
      </c>
      <c r="O2555" s="1">
        <f t="shared" si="313"/>
        <v>43101</v>
      </c>
      <c r="P2555" s="1">
        <f t="shared" si="314"/>
        <v>44105</v>
      </c>
      <c r="Q2555" s="8">
        <f t="shared" si="315"/>
        <v>0</v>
      </c>
      <c r="R2555" s="8">
        <f t="shared" si="316"/>
        <v>34</v>
      </c>
      <c r="S2555" s="8">
        <f t="shared" ca="1" si="317"/>
        <v>30</v>
      </c>
      <c r="T2555">
        <f t="shared" ca="1" si="318"/>
        <v>3.0086967422358657</v>
      </c>
      <c r="U2555" s="8">
        <f t="shared" ca="1" si="319"/>
        <v>1.1539037975743038</v>
      </c>
      <c r="V2555" s="8">
        <f ca="1">RawData[[#This Row],[Z (smoothed demand size)]]/RawData[[#This Row],[X (smoothed interval)]]</f>
        <v>2.6074069160363651</v>
      </c>
    </row>
    <row r="2556" spans="1:22">
      <c r="A2556" t="s">
        <v>54</v>
      </c>
      <c r="B2556" t="s">
        <v>39</v>
      </c>
      <c r="C2556">
        <v>32</v>
      </c>
      <c r="D2556" t="s">
        <v>22</v>
      </c>
      <c r="E2556" t="s">
        <v>16</v>
      </c>
      <c r="F2556" s="1">
        <v>43841</v>
      </c>
      <c r="G2556">
        <v>2</v>
      </c>
      <c r="H2556">
        <v>2</v>
      </c>
      <c r="I2556">
        <v>7</v>
      </c>
      <c r="J2556">
        <v>5</v>
      </c>
      <c r="K2556">
        <v>0</v>
      </c>
      <c r="L2556">
        <v>607</v>
      </c>
      <c r="M2556">
        <v>15</v>
      </c>
      <c r="N2556" s="1">
        <f t="shared" si="312"/>
        <v>44938</v>
      </c>
      <c r="O2556" s="1">
        <f t="shared" si="313"/>
        <v>43101</v>
      </c>
      <c r="P2556" s="1">
        <f t="shared" si="314"/>
        <v>44136</v>
      </c>
      <c r="Q2556" s="8">
        <f t="shared" si="315"/>
        <v>0</v>
      </c>
      <c r="R2556" s="8">
        <f t="shared" si="316"/>
        <v>35</v>
      </c>
      <c r="S2556" s="8">
        <f t="shared" ca="1" si="317"/>
        <v>35</v>
      </c>
      <c r="T2556">
        <f t="shared" ca="1" si="318"/>
        <v>2.8069573937886925</v>
      </c>
      <c r="U2556" s="8">
        <f t="shared" ca="1" si="319"/>
        <v>1.9231230380594431</v>
      </c>
      <c r="V2556" s="8">
        <f ca="1">RawData[[#This Row],[Z (smoothed demand size)]]/RawData[[#This Row],[X (smoothed interval)]]</f>
        <v>1.4595828442786978</v>
      </c>
    </row>
    <row r="2557" spans="1:22">
      <c r="A2557" t="s">
        <v>54</v>
      </c>
      <c r="B2557" t="s">
        <v>39</v>
      </c>
      <c r="C2557">
        <v>32</v>
      </c>
      <c r="D2557" t="s">
        <v>22</v>
      </c>
      <c r="E2557" t="s">
        <v>16</v>
      </c>
      <c r="F2557" s="1">
        <v>43842</v>
      </c>
      <c r="G2557">
        <v>3</v>
      </c>
      <c r="H2557">
        <v>3</v>
      </c>
      <c r="I2557">
        <v>5</v>
      </c>
      <c r="J2557">
        <v>2</v>
      </c>
      <c r="K2557">
        <v>0</v>
      </c>
      <c r="L2557">
        <v>712</v>
      </c>
      <c r="M2557">
        <v>15</v>
      </c>
      <c r="N2557" s="1">
        <f t="shared" si="312"/>
        <v>44938</v>
      </c>
      <c r="O2557" s="1">
        <f t="shared" si="313"/>
        <v>43101</v>
      </c>
      <c r="P2557" s="1">
        <f t="shared" si="314"/>
        <v>44166</v>
      </c>
      <c r="Q2557" s="8">
        <f t="shared" si="315"/>
        <v>0</v>
      </c>
      <c r="R2557" s="8">
        <f t="shared" si="316"/>
        <v>36</v>
      </c>
      <c r="S2557" s="8">
        <f t="shared" ca="1" si="317"/>
        <v>36</v>
      </c>
      <c r="T2557">
        <f t="shared" ca="1" si="318"/>
        <v>2.8455659150309542</v>
      </c>
      <c r="U2557" s="8">
        <f t="shared" ca="1" si="319"/>
        <v>1.7384984304475546</v>
      </c>
      <c r="V2557" s="8">
        <f ca="1">RawData[[#This Row],[Z (smoothed demand size)]]/RawData[[#This Row],[X (smoothed interval)]]</f>
        <v>1.6367952166044804</v>
      </c>
    </row>
    <row r="2558" spans="1:22">
      <c r="A2558" t="s">
        <v>54</v>
      </c>
      <c r="B2558" t="s">
        <v>39</v>
      </c>
      <c r="C2558">
        <v>32</v>
      </c>
      <c r="D2558" t="s">
        <v>22</v>
      </c>
      <c r="E2558" t="s">
        <v>16</v>
      </c>
      <c r="F2558" s="1">
        <v>44197</v>
      </c>
      <c r="G2558">
        <v>4</v>
      </c>
      <c r="H2558">
        <v>4</v>
      </c>
      <c r="I2558">
        <v>11</v>
      </c>
      <c r="J2558">
        <v>7</v>
      </c>
      <c r="K2558">
        <v>0</v>
      </c>
      <c r="L2558">
        <v>606</v>
      </c>
      <c r="M2558">
        <v>45</v>
      </c>
      <c r="N2558" s="1">
        <f t="shared" si="312"/>
        <v>44938</v>
      </c>
      <c r="O2558" s="1">
        <f t="shared" si="313"/>
        <v>43101</v>
      </c>
      <c r="P2558" s="1">
        <f t="shared" si="314"/>
        <v>44197</v>
      </c>
      <c r="Q2558" s="8">
        <f t="shared" si="315"/>
        <v>0</v>
      </c>
      <c r="R2558" s="8">
        <f t="shared" si="316"/>
        <v>37</v>
      </c>
      <c r="S2558" s="8">
        <f t="shared" ca="1" si="317"/>
        <v>37</v>
      </c>
      <c r="T2558">
        <f t="shared" ca="1" si="318"/>
        <v>3.0764527320247632</v>
      </c>
      <c r="U2558" s="8">
        <f t="shared" ca="1" si="319"/>
        <v>1.5907987443580438</v>
      </c>
      <c r="V2558" s="8">
        <f ca="1">RawData[[#This Row],[Z (smoothed demand size)]]/RawData[[#This Row],[X (smoothed interval)]]</f>
        <v>1.9339044256451468</v>
      </c>
    </row>
    <row r="2559" spans="1:22">
      <c r="A2559" t="s">
        <v>54</v>
      </c>
      <c r="B2559" t="s">
        <v>39</v>
      </c>
      <c r="C2559">
        <v>32</v>
      </c>
      <c r="D2559" t="s">
        <v>22</v>
      </c>
      <c r="E2559" t="s">
        <v>16</v>
      </c>
      <c r="F2559" s="1">
        <v>44198</v>
      </c>
      <c r="G2559">
        <v>0</v>
      </c>
      <c r="H2559">
        <v>0</v>
      </c>
      <c r="I2559">
        <v>7</v>
      </c>
      <c r="J2559">
        <v>7</v>
      </c>
      <c r="K2559">
        <v>0</v>
      </c>
      <c r="L2559">
        <v>610</v>
      </c>
      <c r="M2559">
        <v>30</v>
      </c>
      <c r="N2559" s="1">
        <f t="shared" si="312"/>
        <v>44938</v>
      </c>
      <c r="O2559" s="1">
        <f t="shared" si="313"/>
        <v>43101</v>
      </c>
      <c r="P2559" s="1">
        <f t="shared" si="314"/>
        <v>44228</v>
      </c>
      <c r="Q2559" s="8">
        <f t="shared" si="315"/>
        <v>0</v>
      </c>
      <c r="R2559" s="8">
        <f t="shared" si="316"/>
        <v>38</v>
      </c>
      <c r="S2559" s="8">
        <f t="shared" ca="1" si="317"/>
        <v>37</v>
      </c>
      <c r="T2559">
        <f t="shared" ca="1" si="318"/>
        <v>3.0764527320247632</v>
      </c>
      <c r="U2559" s="8">
        <f t="shared" ca="1" si="319"/>
        <v>1.5907987443580438</v>
      </c>
      <c r="V2559" s="8">
        <f ca="1">RawData[[#This Row],[Z (smoothed demand size)]]/RawData[[#This Row],[X (smoothed interval)]]</f>
        <v>1.9339044256451468</v>
      </c>
    </row>
    <row r="2560" spans="1:22">
      <c r="A2560" t="s">
        <v>54</v>
      </c>
      <c r="B2560" t="s">
        <v>39</v>
      </c>
      <c r="C2560">
        <v>32</v>
      </c>
      <c r="D2560" t="s">
        <v>22</v>
      </c>
      <c r="E2560" t="s">
        <v>16</v>
      </c>
      <c r="F2560" s="1">
        <v>44199</v>
      </c>
      <c r="G2560">
        <v>4</v>
      </c>
      <c r="H2560">
        <v>4</v>
      </c>
      <c r="I2560">
        <v>7</v>
      </c>
      <c r="J2560">
        <v>3</v>
      </c>
      <c r="K2560">
        <v>0</v>
      </c>
      <c r="L2560">
        <v>606</v>
      </c>
      <c r="M2560">
        <v>45</v>
      </c>
      <c r="N2560" s="1">
        <f t="shared" si="312"/>
        <v>44938</v>
      </c>
      <c r="O2560" s="1">
        <f t="shared" si="313"/>
        <v>43101</v>
      </c>
      <c r="P2560" s="1">
        <f t="shared" si="314"/>
        <v>44256</v>
      </c>
      <c r="Q2560" s="8">
        <f t="shared" si="315"/>
        <v>0</v>
      </c>
      <c r="R2560" s="8">
        <f t="shared" si="316"/>
        <v>39</v>
      </c>
      <c r="S2560" s="8">
        <f t="shared" ca="1" si="317"/>
        <v>39</v>
      </c>
      <c r="T2560">
        <f t="shared" ca="1" si="318"/>
        <v>3.2611621856198107</v>
      </c>
      <c r="U2560" s="8">
        <f t="shared" ca="1" si="319"/>
        <v>1.6726389954864351</v>
      </c>
      <c r="V2560" s="8">
        <f ca="1">RawData[[#This Row],[Z (smoothed demand size)]]/RawData[[#This Row],[X (smoothed interval)]]</f>
        <v>1.9497107232462931</v>
      </c>
    </row>
    <row r="2561" spans="1:22">
      <c r="A2561" t="s">
        <v>54</v>
      </c>
      <c r="B2561" t="s">
        <v>39</v>
      </c>
      <c r="C2561">
        <v>32</v>
      </c>
      <c r="D2561" t="s">
        <v>22</v>
      </c>
      <c r="E2561" t="s">
        <v>16</v>
      </c>
      <c r="F2561" s="1">
        <v>44200</v>
      </c>
      <c r="G2561">
        <v>0</v>
      </c>
      <c r="H2561">
        <v>0</v>
      </c>
      <c r="I2561">
        <v>3</v>
      </c>
      <c r="J2561">
        <v>3</v>
      </c>
      <c r="K2561">
        <v>0</v>
      </c>
      <c r="L2561">
        <v>609</v>
      </c>
      <c r="M2561">
        <v>15</v>
      </c>
      <c r="N2561" s="1">
        <f t="shared" si="312"/>
        <v>44938</v>
      </c>
      <c r="O2561" s="1">
        <f t="shared" si="313"/>
        <v>43101</v>
      </c>
      <c r="P2561" s="1">
        <f t="shared" si="314"/>
        <v>44287</v>
      </c>
      <c r="Q2561" s="8">
        <f t="shared" si="315"/>
        <v>0</v>
      </c>
      <c r="R2561" s="8">
        <f t="shared" si="316"/>
        <v>40</v>
      </c>
      <c r="S2561" s="8">
        <f t="shared" ca="1" si="317"/>
        <v>39</v>
      </c>
      <c r="T2561">
        <f t="shared" ca="1" si="318"/>
        <v>3.2611621856198107</v>
      </c>
      <c r="U2561" s="8">
        <f t="shared" ca="1" si="319"/>
        <v>1.6726389954864351</v>
      </c>
      <c r="V2561" s="8">
        <f ca="1">RawData[[#This Row],[Z (smoothed demand size)]]/RawData[[#This Row],[X (smoothed interval)]]</f>
        <v>1.9497107232462931</v>
      </c>
    </row>
    <row r="2562" spans="1:22">
      <c r="A2562" t="s">
        <v>54</v>
      </c>
      <c r="B2562" t="s">
        <v>39</v>
      </c>
      <c r="C2562">
        <v>32</v>
      </c>
      <c r="D2562" t="s">
        <v>22</v>
      </c>
      <c r="E2562" t="s">
        <v>16</v>
      </c>
      <c r="F2562" s="1">
        <v>44201</v>
      </c>
      <c r="G2562">
        <v>3</v>
      </c>
      <c r="H2562">
        <v>3</v>
      </c>
      <c r="I2562">
        <v>11</v>
      </c>
      <c r="J2562">
        <v>8</v>
      </c>
      <c r="K2562">
        <v>0</v>
      </c>
      <c r="L2562">
        <v>600</v>
      </c>
      <c r="M2562">
        <v>60</v>
      </c>
      <c r="N2562" s="1">
        <f t="shared" ref="N2562:N2625" si="320">MAX(F:F)</f>
        <v>44938</v>
      </c>
      <c r="O2562" s="1">
        <f t="shared" ref="O2562:O2625" si="321">MIN(F:F)</f>
        <v>43101</v>
      </c>
      <c r="P2562" s="1">
        <f t="shared" ref="P2562:P2625" si="322">DATE(YEAR(F2562), DAY(F2562), 1)</f>
        <v>44317</v>
      </c>
      <c r="Q2562" s="8">
        <f t="shared" ref="Q2562:Q2625" si="323" xml:space="preserve"> IF(A2562&lt;&gt;A2561, 1, 0)</f>
        <v>0</v>
      </c>
      <c r="R2562" s="8">
        <f t="shared" ref="R2562:R2625" si="324">IF(Q2562=1,1,R2561+1)</f>
        <v>41</v>
      </c>
      <c r="S2562" s="8">
        <f t="shared" ref="S2562:S2625" ca="1" si="325" xml:space="preserve"> IF(Q2562=1, IF(G2562&gt;0, R2562, 0), IF(G2562&gt;0, R2562, OFFSET(S2562,-1,0)))</f>
        <v>41</v>
      </c>
      <c r="T2562">
        <f t="shared" ref="T2562:T2625" ca="1" si="326" xml:space="preserve"> IF(Q2562=1, IF(G2562&gt;0, G2562, 0), IF(G2562&gt;0, $X$1*G2562+(1-$X$1)*OFFSET(T2562,-1,0), OFFSET(T2562,-1,0)))</f>
        <v>3.2089297484958488</v>
      </c>
      <c r="U2562" s="8">
        <f t="shared" ref="U2562:U2625" ca="1" si="327" xml:space="preserve"> IF(Q2562=1, 1, IF(G2562&gt;0, $X$1*(R2562-OFFSET(S2562,-1,0))+(1-$X$1)*OFFSET(U2562,-1,0), OFFSET(U2562,-1,0)))</f>
        <v>1.738111196389148</v>
      </c>
      <c r="V2562" s="8">
        <f ca="1">RawData[[#This Row],[Z (smoothed demand size)]]/RawData[[#This Row],[X (smoothed interval)]]</f>
        <v>1.8462166029206093</v>
      </c>
    </row>
    <row r="2563" spans="1:22">
      <c r="A2563" t="s">
        <v>54</v>
      </c>
      <c r="B2563" t="s">
        <v>39</v>
      </c>
      <c r="C2563">
        <v>32</v>
      </c>
      <c r="D2563" t="s">
        <v>22</v>
      </c>
      <c r="E2563" t="s">
        <v>16</v>
      </c>
      <c r="F2563" s="1">
        <v>44202</v>
      </c>
      <c r="G2563">
        <v>1</v>
      </c>
      <c r="H2563">
        <v>1</v>
      </c>
      <c r="I2563">
        <v>8</v>
      </c>
      <c r="J2563">
        <v>7</v>
      </c>
      <c r="K2563">
        <v>0</v>
      </c>
      <c r="L2563">
        <v>694</v>
      </c>
      <c r="M2563">
        <v>30</v>
      </c>
      <c r="N2563" s="1">
        <f t="shared" si="320"/>
        <v>44938</v>
      </c>
      <c r="O2563" s="1">
        <f t="shared" si="321"/>
        <v>43101</v>
      </c>
      <c r="P2563" s="1">
        <f t="shared" si="322"/>
        <v>44348</v>
      </c>
      <c r="Q2563" s="8">
        <f t="shared" si="323"/>
        <v>0</v>
      </c>
      <c r="R2563" s="8">
        <f t="shared" si="324"/>
        <v>42</v>
      </c>
      <c r="S2563" s="8">
        <f t="shared" ca="1" si="325"/>
        <v>42</v>
      </c>
      <c r="T2563">
        <f t="shared" ca="1" si="326"/>
        <v>2.7671437987966794</v>
      </c>
      <c r="U2563" s="8">
        <f t="shared" ca="1" si="327"/>
        <v>1.5904889571113185</v>
      </c>
      <c r="V2563" s="8">
        <f ca="1">RawData[[#This Row],[Z (smoothed demand size)]]/RawData[[#This Row],[X (smoothed interval)]]</f>
        <v>1.7398069860368144</v>
      </c>
    </row>
    <row r="2564" spans="1:22">
      <c r="A2564" t="s">
        <v>54</v>
      </c>
      <c r="B2564" t="s">
        <v>39</v>
      </c>
      <c r="C2564">
        <v>32</v>
      </c>
      <c r="D2564" t="s">
        <v>22</v>
      </c>
      <c r="E2564" t="s">
        <v>16</v>
      </c>
      <c r="F2564" s="1">
        <v>44203</v>
      </c>
      <c r="G2564">
        <v>3</v>
      </c>
      <c r="H2564">
        <v>3</v>
      </c>
      <c r="I2564">
        <v>7</v>
      </c>
      <c r="J2564">
        <v>4</v>
      </c>
      <c r="K2564">
        <v>0</v>
      </c>
      <c r="L2564">
        <v>701</v>
      </c>
      <c r="M2564">
        <v>45</v>
      </c>
      <c r="N2564" s="1">
        <f t="shared" si="320"/>
        <v>44938</v>
      </c>
      <c r="O2564" s="1">
        <f t="shared" si="321"/>
        <v>43101</v>
      </c>
      <c r="P2564" s="1">
        <f t="shared" si="322"/>
        <v>44378</v>
      </c>
      <c r="Q2564" s="8">
        <f t="shared" si="323"/>
        <v>0</v>
      </c>
      <c r="R2564" s="8">
        <f t="shared" si="324"/>
        <v>43</v>
      </c>
      <c r="S2564" s="8">
        <f t="shared" ca="1" si="325"/>
        <v>43</v>
      </c>
      <c r="T2564">
        <f t="shared" ca="1" si="326"/>
        <v>2.8137150390373438</v>
      </c>
      <c r="U2564" s="8">
        <f t="shared" ca="1" si="327"/>
        <v>1.4723911656890549</v>
      </c>
      <c r="V2564" s="8">
        <f ca="1">RawData[[#This Row],[Z (smoothed demand size)]]/RawData[[#This Row],[X (smoothed interval)]]</f>
        <v>1.9109833749379848</v>
      </c>
    </row>
    <row r="2565" spans="1:22">
      <c r="A2565" t="s">
        <v>54</v>
      </c>
      <c r="B2565" t="s">
        <v>39</v>
      </c>
      <c r="C2565">
        <v>32</v>
      </c>
      <c r="D2565" t="s">
        <v>22</v>
      </c>
      <c r="E2565" t="s">
        <v>16</v>
      </c>
      <c r="F2565" s="1">
        <v>44204</v>
      </c>
      <c r="G2565">
        <v>1</v>
      </c>
      <c r="H2565">
        <v>1</v>
      </c>
      <c r="I2565">
        <v>4</v>
      </c>
      <c r="J2565">
        <v>3</v>
      </c>
      <c r="K2565">
        <v>0</v>
      </c>
      <c r="L2565">
        <v>693</v>
      </c>
      <c r="M2565">
        <v>45</v>
      </c>
      <c r="N2565" s="1">
        <f t="shared" si="320"/>
        <v>44938</v>
      </c>
      <c r="O2565" s="1">
        <f t="shared" si="321"/>
        <v>43101</v>
      </c>
      <c r="P2565" s="1">
        <f t="shared" si="322"/>
        <v>44409</v>
      </c>
      <c r="Q2565" s="8">
        <f t="shared" si="323"/>
        <v>0</v>
      </c>
      <c r="R2565" s="8">
        <f t="shared" si="324"/>
        <v>44</v>
      </c>
      <c r="S2565" s="8">
        <f t="shared" ca="1" si="325"/>
        <v>44</v>
      </c>
      <c r="T2565">
        <f t="shared" ca="1" si="326"/>
        <v>2.4509720312298753</v>
      </c>
      <c r="U2565" s="8">
        <f t="shared" ca="1" si="327"/>
        <v>1.377912932551244</v>
      </c>
      <c r="V2565" s="8">
        <f ca="1">RawData[[#This Row],[Z (smoothed demand size)]]/RawData[[#This Row],[X (smoothed interval)]]</f>
        <v>1.7787568236926499</v>
      </c>
    </row>
    <row r="2566" spans="1:22">
      <c r="A2566" t="s">
        <v>54</v>
      </c>
      <c r="B2566" t="s">
        <v>39</v>
      </c>
      <c r="C2566">
        <v>32</v>
      </c>
      <c r="D2566" t="s">
        <v>22</v>
      </c>
      <c r="E2566" t="s">
        <v>16</v>
      </c>
      <c r="F2566" s="1">
        <v>44205</v>
      </c>
      <c r="G2566">
        <v>0</v>
      </c>
      <c r="H2566">
        <v>0</v>
      </c>
      <c r="I2566">
        <v>3</v>
      </c>
      <c r="J2566">
        <v>3</v>
      </c>
      <c r="K2566">
        <v>0</v>
      </c>
      <c r="L2566">
        <v>611</v>
      </c>
      <c r="M2566">
        <v>15</v>
      </c>
      <c r="N2566" s="1">
        <f t="shared" si="320"/>
        <v>44938</v>
      </c>
      <c r="O2566" s="1">
        <f t="shared" si="321"/>
        <v>43101</v>
      </c>
      <c r="P2566" s="1">
        <f t="shared" si="322"/>
        <v>44440</v>
      </c>
      <c r="Q2566" s="8">
        <f t="shared" si="323"/>
        <v>0</v>
      </c>
      <c r="R2566" s="8">
        <f t="shared" si="324"/>
        <v>45</v>
      </c>
      <c r="S2566" s="8">
        <f t="shared" ca="1" si="325"/>
        <v>44</v>
      </c>
      <c r="T2566">
        <f t="shared" ca="1" si="326"/>
        <v>2.4509720312298753</v>
      </c>
      <c r="U2566" s="8">
        <f t="shared" ca="1" si="327"/>
        <v>1.377912932551244</v>
      </c>
      <c r="V2566" s="8">
        <f ca="1">RawData[[#This Row],[Z (smoothed demand size)]]/RawData[[#This Row],[X (smoothed interval)]]</f>
        <v>1.7787568236926499</v>
      </c>
    </row>
    <row r="2567" spans="1:22">
      <c r="A2567" t="s">
        <v>54</v>
      </c>
      <c r="B2567" t="s">
        <v>39</v>
      </c>
      <c r="C2567">
        <v>32</v>
      </c>
      <c r="D2567" t="s">
        <v>22</v>
      </c>
      <c r="E2567" t="s">
        <v>16</v>
      </c>
      <c r="F2567" s="1">
        <v>44206</v>
      </c>
      <c r="G2567">
        <v>0</v>
      </c>
      <c r="H2567">
        <v>0</v>
      </c>
      <c r="I2567">
        <v>11</v>
      </c>
      <c r="J2567">
        <v>11</v>
      </c>
      <c r="K2567">
        <v>0</v>
      </c>
      <c r="L2567">
        <v>598</v>
      </c>
      <c r="M2567">
        <v>60</v>
      </c>
      <c r="N2567" s="1">
        <f t="shared" si="320"/>
        <v>44938</v>
      </c>
      <c r="O2567" s="1">
        <f t="shared" si="321"/>
        <v>43101</v>
      </c>
      <c r="P2567" s="1">
        <f t="shared" si="322"/>
        <v>44470</v>
      </c>
      <c r="Q2567" s="8">
        <f t="shared" si="323"/>
        <v>0</v>
      </c>
      <c r="R2567" s="8">
        <f t="shared" si="324"/>
        <v>46</v>
      </c>
      <c r="S2567" s="8">
        <f t="shared" ca="1" si="325"/>
        <v>44</v>
      </c>
      <c r="T2567">
        <f t="shared" ca="1" si="326"/>
        <v>2.4509720312298753</v>
      </c>
      <c r="U2567" s="8">
        <f t="shared" ca="1" si="327"/>
        <v>1.377912932551244</v>
      </c>
      <c r="V2567" s="8">
        <f ca="1">RawData[[#This Row],[Z (smoothed demand size)]]/RawData[[#This Row],[X (smoothed interval)]]</f>
        <v>1.7787568236926499</v>
      </c>
    </row>
    <row r="2568" spans="1:22">
      <c r="A2568" t="s">
        <v>54</v>
      </c>
      <c r="B2568" t="s">
        <v>39</v>
      </c>
      <c r="C2568">
        <v>32</v>
      </c>
      <c r="D2568" t="s">
        <v>22</v>
      </c>
      <c r="E2568" t="s">
        <v>16</v>
      </c>
      <c r="F2568" s="1">
        <v>44207</v>
      </c>
      <c r="G2568">
        <v>2</v>
      </c>
      <c r="H2568">
        <v>2</v>
      </c>
      <c r="I2568">
        <v>11</v>
      </c>
      <c r="J2568">
        <v>9</v>
      </c>
      <c r="K2568">
        <v>0</v>
      </c>
      <c r="L2568">
        <v>605</v>
      </c>
      <c r="M2568">
        <v>45</v>
      </c>
      <c r="N2568" s="1">
        <f t="shared" si="320"/>
        <v>44938</v>
      </c>
      <c r="O2568" s="1">
        <f t="shared" si="321"/>
        <v>43101</v>
      </c>
      <c r="P2568" s="1">
        <f t="shared" si="322"/>
        <v>44501</v>
      </c>
      <c r="Q2568" s="8">
        <f t="shared" si="323"/>
        <v>0</v>
      </c>
      <c r="R2568" s="8">
        <f t="shared" si="324"/>
        <v>47</v>
      </c>
      <c r="S2568" s="8">
        <f t="shared" ca="1" si="325"/>
        <v>47</v>
      </c>
      <c r="T2568">
        <f t="shared" ca="1" si="326"/>
        <v>2.3607776249839003</v>
      </c>
      <c r="U2568" s="8">
        <f t="shared" ca="1" si="327"/>
        <v>1.7023303460409953</v>
      </c>
      <c r="V2568" s="8">
        <f ca="1">RawData[[#This Row],[Z (smoothed demand size)]]/RawData[[#This Row],[X (smoothed interval)]]</f>
        <v>1.3867917178790916</v>
      </c>
    </row>
    <row r="2569" spans="1:22">
      <c r="A2569" t="s">
        <v>54</v>
      </c>
      <c r="B2569" t="s">
        <v>39</v>
      </c>
      <c r="C2569">
        <v>32</v>
      </c>
      <c r="D2569" t="s">
        <v>22</v>
      </c>
      <c r="E2569" t="s">
        <v>16</v>
      </c>
      <c r="F2569" s="1">
        <v>44208</v>
      </c>
      <c r="G2569">
        <v>4</v>
      </c>
      <c r="H2569">
        <v>4</v>
      </c>
      <c r="I2569">
        <v>9</v>
      </c>
      <c r="J2569">
        <v>5</v>
      </c>
      <c r="K2569">
        <v>0</v>
      </c>
      <c r="L2569">
        <v>693</v>
      </c>
      <c r="M2569">
        <v>45</v>
      </c>
      <c r="N2569" s="1">
        <f t="shared" si="320"/>
        <v>44938</v>
      </c>
      <c r="O2569" s="1">
        <f t="shared" si="321"/>
        <v>43101</v>
      </c>
      <c r="P2569" s="1">
        <f t="shared" si="322"/>
        <v>44531</v>
      </c>
      <c r="Q2569" s="8">
        <f t="shared" si="323"/>
        <v>0</v>
      </c>
      <c r="R2569" s="8">
        <f t="shared" si="324"/>
        <v>48</v>
      </c>
      <c r="S2569" s="8">
        <f t="shared" ca="1" si="325"/>
        <v>48</v>
      </c>
      <c r="T2569">
        <f t="shared" ca="1" si="326"/>
        <v>2.6886220999871204</v>
      </c>
      <c r="U2569" s="8">
        <f t="shared" ca="1" si="327"/>
        <v>1.5618642768327964</v>
      </c>
      <c r="V2569" s="8">
        <f ca="1">RawData[[#This Row],[Z (smoothed demand size)]]/RawData[[#This Row],[X (smoothed interval)]]</f>
        <v>1.7214185251993877</v>
      </c>
    </row>
    <row r="2570" spans="1:22">
      <c r="A2570" t="s">
        <v>54</v>
      </c>
      <c r="B2570" t="s">
        <v>39</v>
      </c>
      <c r="C2570">
        <v>32</v>
      </c>
      <c r="D2570" t="s">
        <v>22</v>
      </c>
      <c r="E2570" t="s">
        <v>16</v>
      </c>
      <c r="F2570" s="1">
        <v>44562</v>
      </c>
      <c r="G2570">
        <v>1</v>
      </c>
      <c r="H2570">
        <v>1</v>
      </c>
      <c r="I2570">
        <v>5</v>
      </c>
      <c r="J2570">
        <v>4</v>
      </c>
      <c r="K2570">
        <v>0</v>
      </c>
      <c r="L2570">
        <v>619</v>
      </c>
      <c r="M2570">
        <v>60</v>
      </c>
      <c r="N2570" s="1">
        <f t="shared" si="320"/>
        <v>44938</v>
      </c>
      <c r="O2570" s="1">
        <f t="shared" si="321"/>
        <v>43101</v>
      </c>
      <c r="P2570" s="1">
        <f t="shared" si="322"/>
        <v>44562</v>
      </c>
      <c r="Q2570" s="8">
        <f t="shared" si="323"/>
        <v>0</v>
      </c>
      <c r="R2570" s="8">
        <f t="shared" si="324"/>
        <v>49</v>
      </c>
      <c r="S2570" s="8">
        <f t="shared" ca="1" si="325"/>
        <v>49</v>
      </c>
      <c r="T2570">
        <f t="shared" ca="1" si="326"/>
        <v>2.3508976799896968</v>
      </c>
      <c r="U2570" s="8">
        <f t="shared" ca="1" si="327"/>
        <v>1.4494914214662371</v>
      </c>
      <c r="V2570" s="8">
        <f ca="1">RawData[[#This Row],[Z (smoothed demand size)]]/RawData[[#This Row],[X (smoothed interval)]]</f>
        <v>1.6218776083625521</v>
      </c>
    </row>
    <row r="2571" spans="1:22">
      <c r="A2571" t="s">
        <v>54</v>
      </c>
      <c r="B2571" t="s">
        <v>39</v>
      </c>
      <c r="C2571">
        <v>32</v>
      </c>
      <c r="D2571" t="s">
        <v>22</v>
      </c>
      <c r="E2571" t="s">
        <v>16</v>
      </c>
      <c r="F2571" s="1">
        <v>44563</v>
      </c>
      <c r="G2571">
        <v>3</v>
      </c>
      <c r="H2571">
        <v>3</v>
      </c>
      <c r="I2571">
        <v>4</v>
      </c>
      <c r="J2571">
        <v>1</v>
      </c>
      <c r="K2571">
        <v>0</v>
      </c>
      <c r="L2571">
        <v>600</v>
      </c>
      <c r="M2571">
        <v>30</v>
      </c>
      <c r="N2571" s="1">
        <f t="shared" si="320"/>
        <v>44938</v>
      </c>
      <c r="O2571" s="1">
        <f t="shared" si="321"/>
        <v>43101</v>
      </c>
      <c r="P2571" s="1">
        <f t="shared" si="322"/>
        <v>44593</v>
      </c>
      <c r="Q2571" s="8">
        <f t="shared" si="323"/>
        <v>0</v>
      </c>
      <c r="R2571" s="8">
        <f t="shared" si="324"/>
        <v>50</v>
      </c>
      <c r="S2571" s="8">
        <f t="shared" ca="1" si="325"/>
        <v>50</v>
      </c>
      <c r="T2571">
        <f t="shared" ca="1" si="326"/>
        <v>2.4807181439917576</v>
      </c>
      <c r="U2571" s="8">
        <f t="shared" ca="1" si="327"/>
        <v>1.3595931371729897</v>
      </c>
      <c r="V2571" s="8">
        <f ca="1">RawData[[#This Row],[Z (smoothed demand size)]]/RawData[[#This Row],[X (smoothed interval)]]</f>
        <v>1.8246033141575941</v>
      </c>
    </row>
    <row r="2572" spans="1:22">
      <c r="A2572" t="s">
        <v>54</v>
      </c>
      <c r="B2572" t="s">
        <v>39</v>
      </c>
      <c r="C2572">
        <v>32</v>
      </c>
      <c r="D2572" t="s">
        <v>22</v>
      </c>
      <c r="E2572" t="s">
        <v>16</v>
      </c>
      <c r="F2572" s="1">
        <v>44564</v>
      </c>
      <c r="G2572">
        <v>2</v>
      </c>
      <c r="H2572">
        <v>2</v>
      </c>
      <c r="I2572">
        <v>8</v>
      </c>
      <c r="J2572">
        <v>6</v>
      </c>
      <c r="K2572">
        <v>0</v>
      </c>
      <c r="L2572">
        <v>605</v>
      </c>
      <c r="M2572">
        <v>60</v>
      </c>
      <c r="N2572" s="1">
        <f t="shared" si="320"/>
        <v>44938</v>
      </c>
      <c r="O2572" s="1">
        <f t="shared" si="321"/>
        <v>43101</v>
      </c>
      <c r="P2572" s="1">
        <f t="shared" si="322"/>
        <v>44621</v>
      </c>
      <c r="Q2572" s="8">
        <f t="shared" si="323"/>
        <v>0</v>
      </c>
      <c r="R2572" s="8">
        <f t="shared" si="324"/>
        <v>51</v>
      </c>
      <c r="S2572" s="8">
        <f t="shared" ca="1" si="325"/>
        <v>51</v>
      </c>
      <c r="T2572">
        <f t="shared" ca="1" si="326"/>
        <v>2.3845745151934064</v>
      </c>
      <c r="U2572" s="8">
        <f t="shared" ca="1" si="327"/>
        <v>1.2876745097383917</v>
      </c>
      <c r="V2572" s="8">
        <f ca="1">RawData[[#This Row],[Z (smoothed demand size)]]/RawData[[#This Row],[X (smoothed interval)]]</f>
        <v>1.851845708802502</v>
      </c>
    </row>
    <row r="2573" spans="1:22">
      <c r="A2573" t="s">
        <v>54</v>
      </c>
      <c r="B2573" t="s">
        <v>39</v>
      </c>
      <c r="C2573">
        <v>32</v>
      </c>
      <c r="D2573" t="s">
        <v>22</v>
      </c>
      <c r="E2573" t="s">
        <v>16</v>
      </c>
      <c r="F2573" s="1">
        <v>44565</v>
      </c>
      <c r="G2573">
        <v>0</v>
      </c>
      <c r="H2573">
        <v>0</v>
      </c>
      <c r="I2573">
        <v>6</v>
      </c>
      <c r="J2573">
        <v>6</v>
      </c>
      <c r="K2573">
        <v>0</v>
      </c>
      <c r="L2573">
        <v>591</v>
      </c>
      <c r="M2573">
        <v>60</v>
      </c>
      <c r="N2573" s="1">
        <f t="shared" si="320"/>
        <v>44938</v>
      </c>
      <c r="O2573" s="1">
        <f t="shared" si="321"/>
        <v>43101</v>
      </c>
      <c r="P2573" s="1">
        <f t="shared" si="322"/>
        <v>44652</v>
      </c>
      <c r="Q2573" s="8">
        <f t="shared" si="323"/>
        <v>0</v>
      </c>
      <c r="R2573" s="8">
        <f t="shared" si="324"/>
        <v>52</v>
      </c>
      <c r="S2573" s="8">
        <f t="shared" ca="1" si="325"/>
        <v>51</v>
      </c>
      <c r="T2573">
        <f t="shared" ca="1" si="326"/>
        <v>2.3845745151934064</v>
      </c>
      <c r="U2573" s="8">
        <f t="shared" ca="1" si="327"/>
        <v>1.2876745097383917</v>
      </c>
      <c r="V2573" s="8">
        <f ca="1">RawData[[#This Row],[Z (smoothed demand size)]]/RawData[[#This Row],[X (smoothed interval)]]</f>
        <v>1.851845708802502</v>
      </c>
    </row>
    <row r="2574" spans="1:22">
      <c r="A2574" t="s">
        <v>54</v>
      </c>
      <c r="B2574" t="s">
        <v>39</v>
      </c>
      <c r="C2574">
        <v>32</v>
      </c>
      <c r="D2574" t="s">
        <v>22</v>
      </c>
      <c r="E2574" t="s">
        <v>16</v>
      </c>
      <c r="F2574" s="1">
        <v>44566</v>
      </c>
      <c r="G2574">
        <v>6</v>
      </c>
      <c r="H2574">
        <v>6</v>
      </c>
      <c r="I2574">
        <v>6</v>
      </c>
      <c r="J2574">
        <v>0</v>
      </c>
      <c r="K2574">
        <v>0</v>
      </c>
      <c r="L2574">
        <v>596</v>
      </c>
      <c r="M2574">
        <v>30</v>
      </c>
      <c r="N2574" s="1">
        <f t="shared" si="320"/>
        <v>44938</v>
      </c>
      <c r="O2574" s="1">
        <f t="shared" si="321"/>
        <v>43101</v>
      </c>
      <c r="P2574" s="1">
        <f t="shared" si="322"/>
        <v>44682</v>
      </c>
      <c r="Q2574" s="8">
        <f t="shared" si="323"/>
        <v>0</v>
      </c>
      <c r="R2574" s="8">
        <f t="shared" si="324"/>
        <v>53</v>
      </c>
      <c r="S2574" s="8">
        <f t="shared" ca="1" si="325"/>
        <v>53</v>
      </c>
      <c r="T2574">
        <f t="shared" ca="1" si="326"/>
        <v>3.1076596121547251</v>
      </c>
      <c r="U2574" s="8">
        <f t="shared" ca="1" si="327"/>
        <v>1.4301396077907134</v>
      </c>
      <c r="V2574" s="8">
        <f ca="1">RawData[[#This Row],[Z (smoothed demand size)]]/RawData[[#This Row],[X (smoothed interval)]]</f>
        <v>2.1729763970074591</v>
      </c>
    </row>
    <row r="2575" spans="1:22">
      <c r="A2575" t="s">
        <v>54</v>
      </c>
      <c r="B2575" t="s">
        <v>39</v>
      </c>
      <c r="C2575">
        <v>32</v>
      </c>
      <c r="D2575" t="s">
        <v>22</v>
      </c>
      <c r="E2575" t="s">
        <v>16</v>
      </c>
      <c r="F2575" s="1">
        <v>44567</v>
      </c>
      <c r="G2575">
        <v>3</v>
      </c>
      <c r="H2575">
        <v>3</v>
      </c>
      <c r="I2575">
        <v>8</v>
      </c>
      <c r="J2575">
        <v>5</v>
      </c>
      <c r="K2575">
        <v>0</v>
      </c>
      <c r="L2575">
        <v>695</v>
      </c>
      <c r="M2575">
        <v>60</v>
      </c>
      <c r="N2575" s="1">
        <f t="shared" si="320"/>
        <v>44938</v>
      </c>
      <c r="O2575" s="1">
        <f t="shared" si="321"/>
        <v>43101</v>
      </c>
      <c r="P2575" s="1">
        <f t="shared" si="322"/>
        <v>44713</v>
      </c>
      <c r="Q2575" s="8">
        <f t="shared" si="323"/>
        <v>0</v>
      </c>
      <c r="R2575" s="8">
        <f t="shared" si="324"/>
        <v>54</v>
      </c>
      <c r="S2575" s="8">
        <f t="shared" ca="1" si="325"/>
        <v>54</v>
      </c>
      <c r="T2575">
        <f t="shared" ca="1" si="326"/>
        <v>3.0861276897237802</v>
      </c>
      <c r="U2575" s="8">
        <f t="shared" ca="1" si="327"/>
        <v>1.3441116862325706</v>
      </c>
      <c r="V2575" s="8">
        <f ca="1">RawData[[#This Row],[Z (smoothed demand size)]]/RawData[[#This Row],[X (smoothed interval)]]</f>
        <v>2.2960351593801929</v>
      </c>
    </row>
    <row r="2576" spans="1:22">
      <c r="A2576" t="s">
        <v>54</v>
      </c>
      <c r="B2576" t="s">
        <v>39</v>
      </c>
      <c r="C2576">
        <v>32</v>
      </c>
      <c r="D2576" t="s">
        <v>22</v>
      </c>
      <c r="E2576" t="s">
        <v>16</v>
      </c>
      <c r="F2576" s="1">
        <v>44568</v>
      </c>
      <c r="G2576">
        <v>5</v>
      </c>
      <c r="H2576">
        <v>5</v>
      </c>
      <c r="I2576">
        <v>5</v>
      </c>
      <c r="J2576">
        <v>0</v>
      </c>
      <c r="K2576">
        <v>0</v>
      </c>
      <c r="L2576">
        <v>691</v>
      </c>
      <c r="M2576">
        <v>15</v>
      </c>
      <c r="N2576" s="1">
        <f t="shared" si="320"/>
        <v>44938</v>
      </c>
      <c r="O2576" s="1">
        <f t="shared" si="321"/>
        <v>43101</v>
      </c>
      <c r="P2576" s="1">
        <f t="shared" si="322"/>
        <v>44743</v>
      </c>
      <c r="Q2576" s="8">
        <f t="shared" si="323"/>
        <v>0</v>
      </c>
      <c r="R2576" s="8">
        <f t="shared" si="324"/>
        <v>55</v>
      </c>
      <c r="S2576" s="8">
        <f t="shared" ca="1" si="325"/>
        <v>55</v>
      </c>
      <c r="T2576">
        <f t="shared" ca="1" si="326"/>
        <v>3.4689021517790244</v>
      </c>
      <c r="U2576" s="8">
        <f t="shared" ca="1" si="327"/>
        <v>1.2752893489860564</v>
      </c>
      <c r="V2576" s="8">
        <f ca="1">RawData[[#This Row],[Z (smoothed demand size)]]/RawData[[#This Row],[X (smoothed interval)]]</f>
        <v>2.7200902716995499</v>
      </c>
    </row>
    <row r="2577" spans="1:22">
      <c r="A2577" t="s">
        <v>54</v>
      </c>
      <c r="B2577" t="s">
        <v>39</v>
      </c>
      <c r="C2577">
        <v>32</v>
      </c>
      <c r="D2577" t="s">
        <v>22</v>
      </c>
      <c r="E2577" t="s">
        <v>16</v>
      </c>
      <c r="F2577" s="1">
        <v>44569</v>
      </c>
      <c r="G2577">
        <v>0</v>
      </c>
      <c r="H2577">
        <v>0</v>
      </c>
      <c r="I2577">
        <v>7</v>
      </c>
      <c r="J2577">
        <v>7</v>
      </c>
      <c r="K2577">
        <v>0</v>
      </c>
      <c r="L2577">
        <v>691</v>
      </c>
      <c r="M2577">
        <v>60</v>
      </c>
      <c r="N2577" s="1">
        <f t="shared" si="320"/>
        <v>44938</v>
      </c>
      <c r="O2577" s="1">
        <f t="shared" si="321"/>
        <v>43101</v>
      </c>
      <c r="P2577" s="1">
        <f t="shared" si="322"/>
        <v>44774</v>
      </c>
      <c r="Q2577" s="8">
        <f t="shared" si="323"/>
        <v>0</v>
      </c>
      <c r="R2577" s="8">
        <f t="shared" si="324"/>
        <v>56</v>
      </c>
      <c r="S2577" s="8">
        <f t="shared" ca="1" si="325"/>
        <v>55</v>
      </c>
      <c r="T2577">
        <f t="shared" ca="1" si="326"/>
        <v>3.4689021517790244</v>
      </c>
      <c r="U2577" s="8">
        <f t="shared" ca="1" si="327"/>
        <v>1.2752893489860564</v>
      </c>
      <c r="V2577" s="8">
        <f ca="1">RawData[[#This Row],[Z (smoothed demand size)]]/RawData[[#This Row],[X (smoothed interval)]]</f>
        <v>2.7200902716995499</v>
      </c>
    </row>
    <row r="2578" spans="1:22">
      <c r="A2578" t="s">
        <v>54</v>
      </c>
      <c r="B2578" t="s">
        <v>39</v>
      </c>
      <c r="C2578">
        <v>32</v>
      </c>
      <c r="D2578" t="s">
        <v>22</v>
      </c>
      <c r="E2578" t="s">
        <v>16</v>
      </c>
      <c r="F2578" s="1">
        <v>44570</v>
      </c>
      <c r="G2578">
        <v>2</v>
      </c>
      <c r="H2578">
        <v>2</v>
      </c>
      <c r="I2578">
        <v>7</v>
      </c>
      <c r="J2578">
        <v>5</v>
      </c>
      <c r="K2578">
        <v>0</v>
      </c>
      <c r="L2578">
        <v>601</v>
      </c>
      <c r="M2578">
        <v>15</v>
      </c>
      <c r="N2578" s="1">
        <f t="shared" si="320"/>
        <v>44938</v>
      </c>
      <c r="O2578" s="1">
        <f t="shared" si="321"/>
        <v>43101</v>
      </c>
      <c r="P2578" s="1">
        <f t="shared" si="322"/>
        <v>44805</v>
      </c>
      <c r="Q2578" s="8">
        <f t="shared" si="323"/>
        <v>0</v>
      </c>
      <c r="R2578" s="8">
        <f t="shared" si="324"/>
        <v>57</v>
      </c>
      <c r="S2578" s="8">
        <f t="shared" ca="1" si="325"/>
        <v>57</v>
      </c>
      <c r="T2578">
        <f t="shared" ca="1" si="326"/>
        <v>3.1751217214232197</v>
      </c>
      <c r="U2578" s="8">
        <f t="shared" ca="1" si="327"/>
        <v>1.4202314791888453</v>
      </c>
      <c r="V2578" s="8">
        <f ca="1">RawData[[#This Row],[Z (smoothed demand size)]]/RawData[[#This Row],[X (smoothed interval)]]</f>
        <v>2.2356367732650644</v>
      </c>
    </row>
    <row r="2579" spans="1:22">
      <c r="A2579" t="s">
        <v>54</v>
      </c>
      <c r="B2579" t="s">
        <v>39</v>
      </c>
      <c r="C2579">
        <v>32</v>
      </c>
      <c r="D2579" t="s">
        <v>22</v>
      </c>
      <c r="E2579" t="s">
        <v>16</v>
      </c>
      <c r="F2579" s="1">
        <v>44571</v>
      </c>
      <c r="G2579">
        <v>0</v>
      </c>
      <c r="H2579">
        <v>0</v>
      </c>
      <c r="I2579">
        <v>5</v>
      </c>
      <c r="J2579">
        <v>5</v>
      </c>
      <c r="K2579">
        <v>0</v>
      </c>
      <c r="L2579">
        <v>602</v>
      </c>
      <c r="M2579">
        <v>60</v>
      </c>
      <c r="N2579" s="1">
        <f t="shared" si="320"/>
        <v>44938</v>
      </c>
      <c r="O2579" s="1">
        <f t="shared" si="321"/>
        <v>43101</v>
      </c>
      <c r="P2579" s="1">
        <f t="shared" si="322"/>
        <v>44835</v>
      </c>
      <c r="Q2579" s="8">
        <f t="shared" si="323"/>
        <v>0</v>
      </c>
      <c r="R2579" s="8">
        <f t="shared" si="324"/>
        <v>58</v>
      </c>
      <c r="S2579" s="8">
        <f t="shared" ca="1" si="325"/>
        <v>57</v>
      </c>
      <c r="T2579">
        <f t="shared" ca="1" si="326"/>
        <v>3.1751217214232197</v>
      </c>
      <c r="U2579" s="8">
        <f t="shared" ca="1" si="327"/>
        <v>1.4202314791888453</v>
      </c>
      <c r="V2579" s="8">
        <f ca="1">RawData[[#This Row],[Z (smoothed demand size)]]/RawData[[#This Row],[X (smoothed interval)]]</f>
        <v>2.2356367732650644</v>
      </c>
    </row>
    <row r="2580" spans="1:22">
      <c r="A2580" t="s">
        <v>54</v>
      </c>
      <c r="B2580" t="s">
        <v>39</v>
      </c>
      <c r="C2580">
        <v>32</v>
      </c>
      <c r="D2580" t="s">
        <v>22</v>
      </c>
      <c r="E2580" t="s">
        <v>16</v>
      </c>
      <c r="F2580" s="1">
        <v>44572</v>
      </c>
      <c r="G2580">
        <v>0</v>
      </c>
      <c r="H2580">
        <v>0</v>
      </c>
      <c r="I2580">
        <v>5</v>
      </c>
      <c r="J2580">
        <v>5</v>
      </c>
      <c r="K2580">
        <v>0</v>
      </c>
      <c r="L2580">
        <v>592</v>
      </c>
      <c r="M2580">
        <v>45</v>
      </c>
      <c r="N2580" s="1">
        <f t="shared" si="320"/>
        <v>44938</v>
      </c>
      <c r="O2580" s="1">
        <f t="shared" si="321"/>
        <v>43101</v>
      </c>
      <c r="P2580" s="1">
        <f t="shared" si="322"/>
        <v>44866</v>
      </c>
      <c r="Q2580" s="8">
        <f t="shared" si="323"/>
        <v>0</v>
      </c>
      <c r="R2580" s="8">
        <f t="shared" si="324"/>
        <v>59</v>
      </c>
      <c r="S2580" s="8">
        <f t="shared" ca="1" si="325"/>
        <v>57</v>
      </c>
      <c r="T2580">
        <f t="shared" ca="1" si="326"/>
        <v>3.1751217214232197</v>
      </c>
      <c r="U2580" s="8">
        <f t="shared" ca="1" si="327"/>
        <v>1.4202314791888453</v>
      </c>
      <c r="V2580" s="8">
        <f ca="1">RawData[[#This Row],[Z (smoothed demand size)]]/RawData[[#This Row],[X (smoothed interval)]]</f>
        <v>2.2356367732650644</v>
      </c>
    </row>
    <row r="2581" spans="1:22">
      <c r="A2581" t="s">
        <v>54</v>
      </c>
      <c r="B2581" t="s">
        <v>39</v>
      </c>
      <c r="C2581">
        <v>32</v>
      </c>
      <c r="D2581" t="s">
        <v>22</v>
      </c>
      <c r="E2581" t="s">
        <v>16</v>
      </c>
      <c r="F2581" s="1">
        <v>44573</v>
      </c>
      <c r="G2581">
        <v>2</v>
      </c>
      <c r="H2581">
        <v>2</v>
      </c>
      <c r="I2581">
        <v>5</v>
      </c>
      <c r="J2581">
        <v>3</v>
      </c>
      <c r="K2581">
        <v>0</v>
      </c>
      <c r="L2581">
        <v>692</v>
      </c>
      <c r="M2581">
        <v>60</v>
      </c>
      <c r="N2581" s="1">
        <f t="shared" si="320"/>
        <v>44938</v>
      </c>
      <c r="O2581" s="1">
        <f t="shared" si="321"/>
        <v>43101</v>
      </c>
      <c r="P2581" s="1">
        <f t="shared" si="322"/>
        <v>44896</v>
      </c>
      <c r="Q2581" s="8">
        <f t="shared" si="323"/>
        <v>0</v>
      </c>
      <c r="R2581" s="8">
        <f t="shared" si="324"/>
        <v>60</v>
      </c>
      <c r="S2581" s="8">
        <f t="shared" ca="1" si="325"/>
        <v>60</v>
      </c>
      <c r="T2581">
        <f t="shared" ca="1" si="326"/>
        <v>2.9400973771385757</v>
      </c>
      <c r="U2581" s="8">
        <f t="shared" ca="1" si="327"/>
        <v>1.7361851833510764</v>
      </c>
      <c r="V2581" s="8">
        <f ca="1">RawData[[#This Row],[Z (smoothed demand size)]]/RawData[[#This Row],[X (smoothed interval)]]</f>
        <v>1.6934238382703986</v>
      </c>
    </row>
    <row r="2582" spans="1:22">
      <c r="A2582" t="s">
        <v>54</v>
      </c>
      <c r="B2582" t="s">
        <v>39</v>
      </c>
      <c r="C2582">
        <v>32</v>
      </c>
      <c r="D2582" t="s">
        <v>22</v>
      </c>
      <c r="E2582" t="s">
        <v>16</v>
      </c>
      <c r="F2582" s="1">
        <v>44927</v>
      </c>
      <c r="G2582">
        <v>0</v>
      </c>
      <c r="H2582">
        <v>0</v>
      </c>
      <c r="I2582">
        <v>3</v>
      </c>
      <c r="J2582">
        <v>3</v>
      </c>
      <c r="K2582">
        <v>0</v>
      </c>
      <c r="L2582">
        <v>600</v>
      </c>
      <c r="M2582">
        <v>30</v>
      </c>
      <c r="N2582" s="1">
        <f t="shared" si="320"/>
        <v>44938</v>
      </c>
      <c r="O2582" s="1">
        <f t="shared" si="321"/>
        <v>43101</v>
      </c>
      <c r="P2582" s="1">
        <f t="shared" si="322"/>
        <v>44927</v>
      </c>
      <c r="Q2582" s="8">
        <f t="shared" si="323"/>
        <v>0</v>
      </c>
      <c r="R2582" s="8">
        <f t="shared" si="324"/>
        <v>61</v>
      </c>
      <c r="S2582" s="8">
        <f t="shared" ca="1" si="325"/>
        <v>60</v>
      </c>
      <c r="T2582">
        <f t="shared" ca="1" si="326"/>
        <v>2.9400973771385757</v>
      </c>
      <c r="U2582" s="8">
        <f t="shared" ca="1" si="327"/>
        <v>1.7361851833510764</v>
      </c>
      <c r="V2582" s="8">
        <f ca="1">RawData[[#This Row],[Z (smoothed demand size)]]/RawData[[#This Row],[X (smoothed interval)]]</f>
        <v>1.6934238382703986</v>
      </c>
    </row>
    <row r="2583" spans="1:22">
      <c r="A2583" t="s">
        <v>54</v>
      </c>
      <c r="B2583" t="s">
        <v>39</v>
      </c>
      <c r="C2583">
        <v>32</v>
      </c>
      <c r="D2583" t="s">
        <v>22</v>
      </c>
      <c r="E2583" t="s">
        <v>16</v>
      </c>
      <c r="F2583" s="1">
        <v>44928</v>
      </c>
      <c r="G2583">
        <v>3</v>
      </c>
      <c r="H2583">
        <v>3</v>
      </c>
      <c r="I2583">
        <v>15</v>
      </c>
      <c r="J2583">
        <v>12</v>
      </c>
      <c r="K2583">
        <v>0</v>
      </c>
      <c r="L2583">
        <v>607</v>
      </c>
      <c r="M2583">
        <v>45</v>
      </c>
      <c r="N2583" s="1">
        <f t="shared" si="320"/>
        <v>44938</v>
      </c>
      <c r="O2583" s="1">
        <f t="shared" si="321"/>
        <v>43101</v>
      </c>
      <c r="P2583" s="1">
        <f t="shared" si="322"/>
        <v>44958</v>
      </c>
      <c r="Q2583" s="8">
        <f t="shared" si="323"/>
        <v>0</v>
      </c>
      <c r="R2583" s="8">
        <f t="shared" si="324"/>
        <v>62</v>
      </c>
      <c r="S2583" s="8">
        <f t="shared" ca="1" si="325"/>
        <v>62</v>
      </c>
      <c r="T2583">
        <f t="shared" ca="1" si="326"/>
        <v>2.9520779017108607</v>
      </c>
      <c r="U2583" s="8">
        <f t="shared" ca="1" si="327"/>
        <v>1.7889481466808612</v>
      </c>
      <c r="V2583" s="8">
        <f ca="1">RawData[[#This Row],[Z (smoothed demand size)]]/RawData[[#This Row],[X (smoothed interval)]]</f>
        <v>1.6501752201079842</v>
      </c>
    </row>
    <row r="2584" spans="1:22">
      <c r="A2584" t="s">
        <v>54</v>
      </c>
      <c r="B2584" t="s">
        <v>39</v>
      </c>
      <c r="C2584">
        <v>32</v>
      </c>
      <c r="D2584" t="s">
        <v>22</v>
      </c>
      <c r="E2584" t="s">
        <v>16</v>
      </c>
      <c r="F2584" s="1">
        <v>44929</v>
      </c>
      <c r="G2584">
        <v>0</v>
      </c>
      <c r="H2584">
        <v>0</v>
      </c>
      <c r="I2584">
        <v>12</v>
      </c>
      <c r="J2584">
        <v>12</v>
      </c>
      <c r="K2584">
        <v>0</v>
      </c>
      <c r="L2584">
        <v>606</v>
      </c>
      <c r="M2584">
        <v>15</v>
      </c>
      <c r="N2584" s="1">
        <f t="shared" si="320"/>
        <v>44938</v>
      </c>
      <c r="O2584" s="1">
        <f t="shared" si="321"/>
        <v>43101</v>
      </c>
      <c r="P2584" s="1">
        <f t="shared" si="322"/>
        <v>44986</v>
      </c>
      <c r="Q2584" s="8">
        <f t="shared" si="323"/>
        <v>0</v>
      </c>
      <c r="R2584" s="8">
        <f t="shared" si="324"/>
        <v>63</v>
      </c>
      <c r="S2584" s="8">
        <f t="shared" ca="1" si="325"/>
        <v>62</v>
      </c>
      <c r="T2584">
        <f t="shared" ca="1" si="326"/>
        <v>2.9520779017108607</v>
      </c>
      <c r="U2584" s="8">
        <f t="shared" ca="1" si="327"/>
        <v>1.7889481466808612</v>
      </c>
      <c r="V2584" s="8">
        <f ca="1">RawData[[#This Row],[Z (smoothed demand size)]]/RawData[[#This Row],[X (smoothed interval)]]</f>
        <v>1.6501752201079842</v>
      </c>
    </row>
    <row r="2585" spans="1:22">
      <c r="A2585" t="s">
        <v>54</v>
      </c>
      <c r="B2585" t="s">
        <v>39</v>
      </c>
      <c r="C2585">
        <v>32</v>
      </c>
      <c r="D2585" t="s">
        <v>22</v>
      </c>
      <c r="E2585" t="s">
        <v>16</v>
      </c>
      <c r="F2585" s="1">
        <v>44930</v>
      </c>
      <c r="G2585">
        <v>4</v>
      </c>
      <c r="H2585">
        <v>4</v>
      </c>
      <c r="I2585">
        <v>12</v>
      </c>
      <c r="J2585">
        <v>8</v>
      </c>
      <c r="K2585">
        <v>0</v>
      </c>
      <c r="L2585">
        <v>584</v>
      </c>
      <c r="M2585">
        <v>60</v>
      </c>
      <c r="N2585" s="1">
        <f t="shared" si="320"/>
        <v>44938</v>
      </c>
      <c r="O2585" s="1">
        <f t="shared" si="321"/>
        <v>43101</v>
      </c>
      <c r="P2585" s="1">
        <f t="shared" si="322"/>
        <v>45017</v>
      </c>
      <c r="Q2585" s="8">
        <f t="shared" si="323"/>
        <v>0</v>
      </c>
      <c r="R2585" s="8">
        <f t="shared" si="324"/>
        <v>64</v>
      </c>
      <c r="S2585" s="8">
        <f t="shared" ca="1" si="325"/>
        <v>64</v>
      </c>
      <c r="T2585">
        <f t="shared" ca="1" si="326"/>
        <v>3.1616623213686887</v>
      </c>
      <c r="U2585" s="8">
        <f t="shared" ca="1" si="327"/>
        <v>1.8311585173446892</v>
      </c>
      <c r="V2585" s="8">
        <f ca="1">RawData[[#This Row],[Z (smoothed demand size)]]/RawData[[#This Row],[X (smoothed interval)]]</f>
        <v>1.7265912761901823</v>
      </c>
    </row>
    <row r="2586" spans="1:22">
      <c r="A2586" t="s">
        <v>54</v>
      </c>
      <c r="B2586" t="s">
        <v>39</v>
      </c>
      <c r="C2586">
        <v>32</v>
      </c>
      <c r="D2586" t="s">
        <v>22</v>
      </c>
      <c r="E2586" t="s">
        <v>16</v>
      </c>
      <c r="F2586" s="1">
        <v>44931</v>
      </c>
      <c r="G2586">
        <v>1</v>
      </c>
      <c r="H2586">
        <v>1</v>
      </c>
      <c r="I2586">
        <v>8</v>
      </c>
      <c r="J2586">
        <v>7</v>
      </c>
      <c r="K2586">
        <v>0</v>
      </c>
      <c r="L2586">
        <v>596</v>
      </c>
      <c r="M2586">
        <v>60</v>
      </c>
      <c r="N2586" s="1">
        <f t="shared" si="320"/>
        <v>44938</v>
      </c>
      <c r="O2586" s="1">
        <f t="shared" si="321"/>
        <v>43101</v>
      </c>
      <c r="P2586" s="1">
        <f t="shared" si="322"/>
        <v>45047</v>
      </c>
      <c r="Q2586" s="8">
        <f t="shared" si="323"/>
        <v>0</v>
      </c>
      <c r="R2586" s="8">
        <f t="shared" si="324"/>
        <v>65</v>
      </c>
      <c r="S2586" s="8">
        <f t="shared" ca="1" si="325"/>
        <v>65</v>
      </c>
      <c r="T2586">
        <f t="shared" ca="1" si="326"/>
        <v>2.7293298570949514</v>
      </c>
      <c r="U2586" s="8">
        <f t="shared" ca="1" si="327"/>
        <v>1.6649268138757514</v>
      </c>
      <c r="V2586" s="8">
        <f ca="1">RawData[[#This Row],[Z (smoothed demand size)]]/RawData[[#This Row],[X (smoothed interval)]]</f>
        <v>1.6393092082776879</v>
      </c>
    </row>
    <row r="2587" spans="1:22">
      <c r="A2587" t="s">
        <v>54</v>
      </c>
      <c r="B2587" t="s">
        <v>39</v>
      </c>
      <c r="C2587">
        <v>32</v>
      </c>
      <c r="D2587" t="s">
        <v>22</v>
      </c>
      <c r="E2587" t="s">
        <v>16</v>
      </c>
      <c r="F2587" s="1">
        <v>44932</v>
      </c>
      <c r="G2587">
        <v>1</v>
      </c>
      <c r="H2587">
        <v>1</v>
      </c>
      <c r="I2587">
        <v>7</v>
      </c>
      <c r="J2587">
        <v>6</v>
      </c>
      <c r="K2587">
        <v>0</v>
      </c>
      <c r="L2587">
        <v>703</v>
      </c>
      <c r="M2587">
        <v>30</v>
      </c>
      <c r="N2587" s="1">
        <f t="shared" si="320"/>
        <v>44938</v>
      </c>
      <c r="O2587" s="1">
        <f t="shared" si="321"/>
        <v>43101</v>
      </c>
      <c r="P2587" s="1">
        <f t="shared" si="322"/>
        <v>45078</v>
      </c>
      <c r="Q2587" s="8">
        <f t="shared" si="323"/>
        <v>0</v>
      </c>
      <c r="R2587" s="8">
        <f t="shared" si="324"/>
        <v>66</v>
      </c>
      <c r="S2587" s="8">
        <f t="shared" ca="1" si="325"/>
        <v>66</v>
      </c>
      <c r="T2587">
        <f t="shared" ca="1" si="326"/>
        <v>2.3834638856759613</v>
      </c>
      <c r="U2587" s="8">
        <f t="shared" ca="1" si="327"/>
        <v>1.5319414511006011</v>
      </c>
      <c r="V2587" s="8">
        <f ca="1">RawData[[#This Row],[Z (smoothed demand size)]]/RawData[[#This Row],[X (smoothed interval)]]</f>
        <v>1.5558452863610397</v>
      </c>
    </row>
    <row r="2588" spans="1:22">
      <c r="A2588" t="s">
        <v>54</v>
      </c>
      <c r="B2588" t="s">
        <v>39</v>
      </c>
      <c r="C2588">
        <v>32</v>
      </c>
      <c r="D2588" t="s">
        <v>22</v>
      </c>
      <c r="E2588" t="s">
        <v>16</v>
      </c>
      <c r="F2588" s="1">
        <v>44933</v>
      </c>
      <c r="G2588">
        <v>5</v>
      </c>
      <c r="H2588">
        <v>5</v>
      </c>
      <c r="I2588">
        <v>6</v>
      </c>
      <c r="J2588">
        <v>1</v>
      </c>
      <c r="K2588">
        <v>0</v>
      </c>
      <c r="L2588">
        <v>697</v>
      </c>
      <c r="M2588">
        <v>45</v>
      </c>
      <c r="N2588" s="1">
        <f t="shared" si="320"/>
        <v>44938</v>
      </c>
      <c r="O2588" s="1">
        <f t="shared" si="321"/>
        <v>43101</v>
      </c>
      <c r="P2588" s="1">
        <f t="shared" si="322"/>
        <v>45108</v>
      </c>
      <c r="Q2588" s="8">
        <f t="shared" si="323"/>
        <v>0</v>
      </c>
      <c r="R2588" s="8">
        <f t="shared" si="324"/>
        <v>67</v>
      </c>
      <c r="S2588" s="8">
        <f t="shared" ca="1" si="325"/>
        <v>67</v>
      </c>
      <c r="T2588">
        <f t="shared" ca="1" si="326"/>
        <v>2.9067711085407693</v>
      </c>
      <c r="U2588" s="8">
        <f t="shared" ca="1" si="327"/>
        <v>1.425553160880481</v>
      </c>
      <c r="V2588" s="8">
        <f ca="1">RawData[[#This Row],[Z (smoothed demand size)]]/RawData[[#This Row],[X (smoothed interval)]]</f>
        <v>2.0390478505518703</v>
      </c>
    </row>
    <row r="2589" spans="1:22">
      <c r="A2589" t="s">
        <v>54</v>
      </c>
      <c r="B2589" t="s">
        <v>39</v>
      </c>
      <c r="C2589">
        <v>32</v>
      </c>
      <c r="D2589" t="s">
        <v>22</v>
      </c>
      <c r="E2589" t="s">
        <v>16</v>
      </c>
      <c r="F2589" s="1">
        <v>44934</v>
      </c>
      <c r="G2589">
        <v>1</v>
      </c>
      <c r="H2589">
        <v>1</v>
      </c>
      <c r="I2589">
        <v>1</v>
      </c>
      <c r="J2589">
        <v>0</v>
      </c>
      <c r="K2589">
        <v>0</v>
      </c>
      <c r="L2589">
        <v>694</v>
      </c>
      <c r="M2589">
        <v>30</v>
      </c>
      <c r="N2589" s="1">
        <f t="shared" si="320"/>
        <v>44938</v>
      </c>
      <c r="O2589" s="1">
        <f t="shared" si="321"/>
        <v>43101</v>
      </c>
      <c r="P2589" s="1">
        <f t="shared" si="322"/>
        <v>45139</v>
      </c>
      <c r="Q2589" s="8">
        <f t="shared" si="323"/>
        <v>0</v>
      </c>
      <c r="R2589" s="8">
        <f t="shared" si="324"/>
        <v>68</v>
      </c>
      <c r="S2589" s="8">
        <f t="shared" ca="1" si="325"/>
        <v>68</v>
      </c>
      <c r="T2589">
        <f t="shared" ca="1" si="326"/>
        <v>2.5254168868326157</v>
      </c>
      <c r="U2589" s="8">
        <f t="shared" ca="1" si="327"/>
        <v>1.3404425287043849</v>
      </c>
      <c r="V2589" s="8">
        <f ca="1">RawData[[#This Row],[Z (smoothed demand size)]]/RawData[[#This Row],[X (smoothed interval)]]</f>
        <v>1.8840172799303652</v>
      </c>
    </row>
    <row r="2590" spans="1:22">
      <c r="A2590" t="s">
        <v>54</v>
      </c>
      <c r="B2590" t="s">
        <v>39</v>
      </c>
      <c r="C2590">
        <v>32</v>
      </c>
      <c r="D2590" t="s">
        <v>22</v>
      </c>
      <c r="E2590" t="s">
        <v>16</v>
      </c>
      <c r="F2590" s="1">
        <v>44935</v>
      </c>
      <c r="G2590">
        <v>2</v>
      </c>
      <c r="H2590">
        <v>2</v>
      </c>
      <c r="I2590">
        <v>12</v>
      </c>
      <c r="J2590">
        <v>10</v>
      </c>
      <c r="K2590">
        <v>0</v>
      </c>
      <c r="L2590">
        <v>598</v>
      </c>
      <c r="M2590">
        <v>15</v>
      </c>
      <c r="N2590" s="1">
        <f t="shared" si="320"/>
        <v>44938</v>
      </c>
      <c r="O2590" s="1">
        <f t="shared" si="321"/>
        <v>43101</v>
      </c>
      <c r="P2590" s="1">
        <f t="shared" si="322"/>
        <v>45170</v>
      </c>
      <c r="Q2590" s="8">
        <f t="shared" si="323"/>
        <v>0</v>
      </c>
      <c r="R2590" s="8">
        <f t="shared" si="324"/>
        <v>69</v>
      </c>
      <c r="S2590" s="8">
        <f t="shared" ca="1" si="325"/>
        <v>69</v>
      </c>
      <c r="T2590">
        <f t="shared" ca="1" si="326"/>
        <v>2.4203335094660927</v>
      </c>
      <c r="U2590" s="8">
        <f t="shared" ca="1" si="327"/>
        <v>1.272354022963508</v>
      </c>
      <c r="V2590" s="8">
        <f ca="1">RawData[[#This Row],[Z (smoothed demand size)]]/RawData[[#This Row],[X (smoothed interval)]]</f>
        <v>1.9022484825636532</v>
      </c>
    </row>
    <row r="2591" spans="1:22">
      <c r="A2591" t="s">
        <v>54</v>
      </c>
      <c r="B2591" t="s">
        <v>39</v>
      </c>
      <c r="C2591">
        <v>32</v>
      </c>
      <c r="D2591" t="s">
        <v>22</v>
      </c>
      <c r="E2591" t="s">
        <v>16</v>
      </c>
      <c r="F2591" s="1">
        <v>44936</v>
      </c>
      <c r="G2591">
        <v>0</v>
      </c>
      <c r="H2591">
        <v>0</v>
      </c>
      <c r="I2591">
        <v>10</v>
      </c>
      <c r="J2591">
        <v>10</v>
      </c>
      <c r="K2591">
        <v>0</v>
      </c>
      <c r="L2591">
        <v>605</v>
      </c>
      <c r="M2591">
        <v>60</v>
      </c>
      <c r="N2591" s="1">
        <f t="shared" si="320"/>
        <v>44938</v>
      </c>
      <c r="O2591" s="1">
        <f t="shared" si="321"/>
        <v>43101</v>
      </c>
      <c r="P2591" s="1">
        <f t="shared" si="322"/>
        <v>45200</v>
      </c>
      <c r="Q2591" s="8">
        <f t="shared" si="323"/>
        <v>0</v>
      </c>
      <c r="R2591" s="8">
        <f t="shared" si="324"/>
        <v>70</v>
      </c>
      <c r="S2591" s="8">
        <f t="shared" ca="1" si="325"/>
        <v>69</v>
      </c>
      <c r="T2591">
        <f t="shared" ca="1" si="326"/>
        <v>2.4203335094660927</v>
      </c>
      <c r="U2591" s="8">
        <f t="shared" ca="1" si="327"/>
        <v>1.272354022963508</v>
      </c>
      <c r="V2591" s="8">
        <f ca="1">RawData[[#This Row],[Z (smoothed demand size)]]/RawData[[#This Row],[X (smoothed interval)]]</f>
        <v>1.9022484825636532</v>
      </c>
    </row>
    <row r="2592" spans="1:22">
      <c r="A2592" t="s">
        <v>54</v>
      </c>
      <c r="B2592" t="s">
        <v>39</v>
      </c>
      <c r="C2592">
        <v>32</v>
      </c>
      <c r="D2592" t="s">
        <v>22</v>
      </c>
      <c r="E2592" t="s">
        <v>16</v>
      </c>
      <c r="F2592" s="1">
        <v>44937</v>
      </c>
      <c r="G2592">
        <v>5</v>
      </c>
      <c r="H2592">
        <v>5</v>
      </c>
      <c r="I2592">
        <v>10</v>
      </c>
      <c r="J2592">
        <v>5</v>
      </c>
      <c r="K2592">
        <v>0</v>
      </c>
      <c r="L2592">
        <v>592</v>
      </c>
      <c r="M2592">
        <v>15</v>
      </c>
      <c r="N2592" s="1">
        <f t="shared" si="320"/>
        <v>44938</v>
      </c>
      <c r="O2592" s="1">
        <f t="shared" si="321"/>
        <v>43101</v>
      </c>
      <c r="P2592" s="1">
        <f t="shared" si="322"/>
        <v>45231</v>
      </c>
      <c r="Q2592" s="8">
        <f t="shared" si="323"/>
        <v>0</v>
      </c>
      <c r="R2592" s="8">
        <f t="shared" si="324"/>
        <v>71</v>
      </c>
      <c r="S2592" s="8">
        <f t="shared" ca="1" si="325"/>
        <v>71</v>
      </c>
      <c r="T2592">
        <f t="shared" ca="1" si="326"/>
        <v>2.9362668075728742</v>
      </c>
      <c r="U2592" s="8">
        <f t="shared" ca="1" si="327"/>
        <v>1.4178832183708066</v>
      </c>
      <c r="V2592" s="8">
        <f ca="1">RawData[[#This Row],[Z (smoothed demand size)]]/RawData[[#This Row],[X (smoothed interval)]]</f>
        <v>2.0708805700844244</v>
      </c>
    </row>
    <row r="2593" spans="1:22">
      <c r="A2593" t="s">
        <v>54</v>
      </c>
      <c r="B2593" t="s">
        <v>39</v>
      </c>
      <c r="C2593">
        <v>32</v>
      </c>
      <c r="D2593" t="s">
        <v>22</v>
      </c>
      <c r="E2593" t="s">
        <v>16</v>
      </c>
      <c r="F2593" s="1">
        <v>44938</v>
      </c>
      <c r="G2593">
        <v>0</v>
      </c>
      <c r="H2593">
        <v>0</v>
      </c>
      <c r="I2593">
        <v>5</v>
      </c>
      <c r="J2593">
        <v>5</v>
      </c>
      <c r="K2593">
        <v>0</v>
      </c>
      <c r="L2593">
        <v>687</v>
      </c>
      <c r="M2593">
        <v>15</v>
      </c>
      <c r="N2593" s="1">
        <f t="shared" si="320"/>
        <v>44938</v>
      </c>
      <c r="O2593" s="1">
        <f t="shared" si="321"/>
        <v>43101</v>
      </c>
      <c r="P2593" s="1">
        <f t="shared" si="322"/>
        <v>45261</v>
      </c>
      <c r="Q2593" s="8">
        <f t="shared" si="323"/>
        <v>0</v>
      </c>
      <c r="R2593" s="8">
        <f t="shared" si="324"/>
        <v>72</v>
      </c>
      <c r="S2593" s="8">
        <f t="shared" ca="1" si="325"/>
        <v>71</v>
      </c>
      <c r="T2593">
        <f t="shared" ca="1" si="326"/>
        <v>2.9362668075728742</v>
      </c>
      <c r="U2593" s="8">
        <f t="shared" ca="1" si="327"/>
        <v>1.4178832183708066</v>
      </c>
      <c r="V2593" s="8">
        <f ca="1">RawData[[#This Row],[Z (smoothed demand size)]]/RawData[[#This Row],[X (smoothed interval)]]</f>
        <v>2.0708805700844244</v>
      </c>
    </row>
    <row r="2594" spans="1:22">
      <c r="A2594" t="s">
        <v>55</v>
      </c>
      <c r="B2594" t="s">
        <v>39</v>
      </c>
      <c r="C2594">
        <v>32</v>
      </c>
      <c r="D2594" t="s">
        <v>18</v>
      </c>
      <c r="E2594" t="s">
        <v>16</v>
      </c>
      <c r="F2594" s="1">
        <v>43101</v>
      </c>
      <c r="G2594">
        <v>3</v>
      </c>
      <c r="H2594">
        <v>3</v>
      </c>
      <c r="I2594">
        <v>16</v>
      </c>
      <c r="J2594">
        <v>13</v>
      </c>
      <c r="K2594">
        <v>0</v>
      </c>
      <c r="L2594">
        <v>476</v>
      </c>
      <c r="M2594">
        <v>30</v>
      </c>
      <c r="N2594" s="1">
        <f t="shared" si="320"/>
        <v>44938</v>
      </c>
      <c r="O2594" s="1">
        <f t="shared" si="321"/>
        <v>43101</v>
      </c>
      <c r="P2594" s="1">
        <f t="shared" si="322"/>
        <v>43101</v>
      </c>
      <c r="Q2594" s="8">
        <f t="shared" si="323"/>
        <v>1</v>
      </c>
      <c r="R2594" s="8">
        <f t="shared" si="324"/>
        <v>1</v>
      </c>
      <c r="S2594" s="8">
        <f t="shared" ca="1" si="325"/>
        <v>1</v>
      </c>
      <c r="T2594">
        <f t="shared" ca="1" si="326"/>
        <v>3</v>
      </c>
      <c r="U2594" s="8">
        <f t="shared" ca="1" si="327"/>
        <v>1</v>
      </c>
      <c r="V2594" s="8">
        <f ca="1">RawData[[#This Row],[Z (smoothed demand size)]]/RawData[[#This Row],[X (smoothed interval)]]</f>
        <v>3</v>
      </c>
    </row>
    <row r="2595" spans="1:22">
      <c r="A2595" t="s">
        <v>55</v>
      </c>
      <c r="B2595" t="s">
        <v>39</v>
      </c>
      <c r="C2595">
        <v>32</v>
      </c>
      <c r="D2595" t="s">
        <v>18</v>
      </c>
      <c r="E2595" t="s">
        <v>16</v>
      </c>
      <c r="F2595" s="1">
        <v>43102</v>
      </c>
      <c r="G2595">
        <v>0</v>
      </c>
      <c r="H2595">
        <v>0</v>
      </c>
      <c r="I2595">
        <v>13</v>
      </c>
      <c r="J2595">
        <v>13</v>
      </c>
      <c r="K2595">
        <v>0</v>
      </c>
      <c r="L2595">
        <v>477</v>
      </c>
      <c r="M2595">
        <v>15</v>
      </c>
      <c r="N2595" s="1">
        <f t="shared" si="320"/>
        <v>44938</v>
      </c>
      <c r="O2595" s="1">
        <f t="shared" si="321"/>
        <v>43101</v>
      </c>
      <c r="P2595" s="1">
        <f t="shared" si="322"/>
        <v>43132</v>
      </c>
      <c r="Q2595" s="8">
        <f t="shared" si="323"/>
        <v>0</v>
      </c>
      <c r="R2595" s="8">
        <f t="shared" si="324"/>
        <v>2</v>
      </c>
      <c r="S2595" s="8">
        <f t="shared" ca="1" si="325"/>
        <v>1</v>
      </c>
      <c r="T2595">
        <f t="shared" ca="1" si="326"/>
        <v>3</v>
      </c>
      <c r="U2595" s="8">
        <f t="shared" ca="1" si="327"/>
        <v>1</v>
      </c>
      <c r="V2595" s="8">
        <f ca="1">RawData[[#This Row],[Z (smoothed demand size)]]/RawData[[#This Row],[X (smoothed interval)]]</f>
        <v>3</v>
      </c>
    </row>
    <row r="2596" spans="1:22">
      <c r="A2596" t="s">
        <v>55</v>
      </c>
      <c r="B2596" t="s">
        <v>39</v>
      </c>
      <c r="C2596">
        <v>32</v>
      </c>
      <c r="D2596" t="s">
        <v>18</v>
      </c>
      <c r="E2596" t="s">
        <v>16</v>
      </c>
      <c r="F2596" s="1">
        <v>43103</v>
      </c>
      <c r="G2596">
        <v>4</v>
      </c>
      <c r="H2596">
        <v>4</v>
      </c>
      <c r="I2596">
        <v>13</v>
      </c>
      <c r="J2596">
        <v>9</v>
      </c>
      <c r="K2596">
        <v>0</v>
      </c>
      <c r="L2596">
        <v>481</v>
      </c>
      <c r="M2596">
        <v>15</v>
      </c>
      <c r="N2596" s="1">
        <f t="shared" si="320"/>
        <v>44938</v>
      </c>
      <c r="O2596" s="1">
        <f t="shared" si="321"/>
        <v>43101</v>
      </c>
      <c r="P2596" s="1">
        <f t="shared" si="322"/>
        <v>43160</v>
      </c>
      <c r="Q2596" s="8">
        <f t="shared" si="323"/>
        <v>0</v>
      </c>
      <c r="R2596" s="8">
        <f t="shared" si="324"/>
        <v>3</v>
      </c>
      <c r="S2596" s="8">
        <f t="shared" ca="1" si="325"/>
        <v>3</v>
      </c>
      <c r="T2596">
        <f t="shared" ca="1" si="326"/>
        <v>3.2</v>
      </c>
      <c r="U2596" s="8">
        <f t="shared" ca="1" si="327"/>
        <v>1.2000000000000002</v>
      </c>
      <c r="V2596" s="8">
        <f ca="1">RawData[[#This Row],[Z (smoothed demand size)]]/RawData[[#This Row],[X (smoothed interval)]]</f>
        <v>2.6666666666666665</v>
      </c>
    </row>
    <row r="2597" spans="1:22">
      <c r="A2597" t="s">
        <v>55</v>
      </c>
      <c r="B2597" t="s">
        <v>39</v>
      </c>
      <c r="C2597">
        <v>32</v>
      </c>
      <c r="D2597" t="s">
        <v>18</v>
      </c>
      <c r="E2597" t="s">
        <v>16</v>
      </c>
      <c r="F2597" s="1">
        <v>43104</v>
      </c>
      <c r="G2597">
        <v>5</v>
      </c>
      <c r="H2597">
        <v>5</v>
      </c>
      <c r="I2597">
        <v>9</v>
      </c>
      <c r="J2597">
        <v>4</v>
      </c>
      <c r="K2597">
        <v>0</v>
      </c>
      <c r="L2597">
        <v>480</v>
      </c>
      <c r="M2597">
        <v>30</v>
      </c>
      <c r="N2597" s="1">
        <f t="shared" si="320"/>
        <v>44938</v>
      </c>
      <c r="O2597" s="1">
        <f t="shared" si="321"/>
        <v>43101</v>
      </c>
      <c r="P2597" s="1">
        <f t="shared" si="322"/>
        <v>43191</v>
      </c>
      <c r="Q2597" s="8">
        <f t="shared" si="323"/>
        <v>0</v>
      </c>
      <c r="R2597" s="8">
        <f t="shared" si="324"/>
        <v>4</v>
      </c>
      <c r="S2597" s="8">
        <f t="shared" ca="1" si="325"/>
        <v>4</v>
      </c>
      <c r="T2597">
        <f t="shared" ca="1" si="326"/>
        <v>3.5600000000000005</v>
      </c>
      <c r="U2597" s="8">
        <f t="shared" ca="1" si="327"/>
        <v>1.1600000000000001</v>
      </c>
      <c r="V2597" s="8">
        <f ca="1">RawData[[#This Row],[Z (smoothed demand size)]]/RawData[[#This Row],[X (smoothed interval)]]</f>
        <v>3.0689655172413794</v>
      </c>
    </row>
    <row r="2598" spans="1:22">
      <c r="A2598" t="s">
        <v>55</v>
      </c>
      <c r="B2598" t="s">
        <v>39</v>
      </c>
      <c r="C2598">
        <v>32</v>
      </c>
      <c r="D2598" t="s">
        <v>18</v>
      </c>
      <c r="E2598" t="s">
        <v>16</v>
      </c>
      <c r="F2598" s="1">
        <v>43105</v>
      </c>
      <c r="G2598">
        <v>2</v>
      </c>
      <c r="H2598">
        <v>2</v>
      </c>
      <c r="I2598">
        <v>4</v>
      </c>
      <c r="J2598">
        <v>2</v>
      </c>
      <c r="K2598">
        <v>0</v>
      </c>
      <c r="L2598">
        <v>484</v>
      </c>
      <c r="M2598">
        <v>15</v>
      </c>
      <c r="N2598" s="1">
        <f t="shared" si="320"/>
        <v>44938</v>
      </c>
      <c r="O2598" s="1">
        <f t="shared" si="321"/>
        <v>43101</v>
      </c>
      <c r="P2598" s="1">
        <f t="shared" si="322"/>
        <v>43221</v>
      </c>
      <c r="Q2598" s="8">
        <f t="shared" si="323"/>
        <v>0</v>
      </c>
      <c r="R2598" s="8">
        <f t="shared" si="324"/>
        <v>5</v>
      </c>
      <c r="S2598" s="8">
        <f t="shared" ca="1" si="325"/>
        <v>5</v>
      </c>
      <c r="T2598">
        <f t="shared" ca="1" si="326"/>
        <v>3.2480000000000007</v>
      </c>
      <c r="U2598" s="8">
        <f t="shared" ca="1" si="327"/>
        <v>1.1280000000000001</v>
      </c>
      <c r="V2598" s="8">
        <f ca="1">RawData[[#This Row],[Z (smoothed demand size)]]/RawData[[#This Row],[X (smoothed interval)]]</f>
        <v>2.8794326241134756</v>
      </c>
    </row>
    <row r="2599" spans="1:22">
      <c r="A2599" t="s">
        <v>55</v>
      </c>
      <c r="B2599" t="s">
        <v>39</v>
      </c>
      <c r="C2599">
        <v>32</v>
      </c>
      <c r="D2599" t="s">
        <v>18</v>
      </c>
      <c r="E2599" t="s">
        <v>16</v>
      </c>
      <c r="F2599" s="1">
        <v>43106</v>
      </c>
      <c r="G2599">
        <v>0</v>
      </c>
      <c r="H2599">
        <v>0</v>
      </c>
      <c r="I2599">
        <v>14</v>
      </c>
      <c r="J2599">
        <v>14</v>
      </c>
      <c r="K2599">
        <v>0</v>
      </c>
      <c r="L2599">
        <v>547</v>
      </c>
      <c r="M2599">
        <v>45</v>
      </c>
      <c r="N2599" s="1">
        <f t="shared" si="320"/>
        <v>44938</v>
      </c>
      <c r="O2599" s="1">
        <f t="shared" si="321"/>
        <v>43101</v>
      </c>
      <c r="P2599" s="1">
        <f t="shared" si="322"/>
        <v>43252</v>
      </c>
      <c r="Q2599" s="8">
        <f t="shared" si="323"/>
        <v>0</v>
      </c>
      <c r="R2599" s="8">
        <f t="shared" si="324"/>
        <v>6</v>
      </c>
      <c r="S2599" s="8">
        <f t="shared" ca="1" si="325"/>
        <v>5</v>
      </c>
      <c r="T2599">
        <f t="shared" ca="1" si="326"/>
        <v>3.2480000000000007</v>
      </c>
      <c r="U2599" s="8">
        <f t="shared" ca="1" si="327"/>
        <v>1.1280000000000001</v>
      </c>
      <c r="V2599" s="8">
        <f ca="1">RawData[[#This Row],[Z (smoothed demand size)]]/RawData[[#This Row],[X (smoothed interval)]]</f>
        <v>2.8794326241134756</v>
      </c>
    </row>
    <row r="2600" spans="1:22">
      <c r="A2600" t="s">
        <v>55</v>
      </c>
      <c r="B2600" t="s">
        <v>39</v>
      </c>
      <c r="C2600">
        <v>32</v>
      </c>
      <c r="D2600" t="s">
        <v>18</v>
      </c>
      <c r="E2600" t="s">
        <v>16</v>
      </c>
      <c r="F2600" s="1">
        <v>43107</v>
      </c>
      <c r="G2600">
        <v>3</v>
      </c>
      <c r="H2600">
        <v>3</v>
      </c>
      <c r="I2600">
        <v>14</v>
      </c>
      <c r="J2600">
        <v>11</v>
      </c>
      <c r="K2600">
        <v>0</v>
      </c>
      <c r="L2600">
        <v>548</v>
      </c>
      <c r="M2600">
        <v>60</v>
      </c>
      <c r="N2600" s="1">
        <f t="shared" si="320"/>
        <v>44938</v>
      </c>
      <c r="O2600" s="1">
        <f t="shared" si="321"/>
        <v>43101</v>
      </c>
      <c r="P2600" s="1">
        <f t="shared" si="322"/>
        <v>43282</v>
      </c>
      <c r="Q2600" s="8">
        <f t="shared" si="323"/>
        <v>0</v>
      </c>
      <c r="R2600" s="8">
        <f t="shared" si="324"/>
        <v>7</v>
      </c>
      <c r="S2600" s="8">
        <f t="shared" ca="1" si="325"/>
        <v>7</v>
      </c>
      <c r="T2600">
        <f t="shared" ca="1" si="326"/>
        <v>3.1984000000000008</v>
      </c>
      <c r="U2600" s="8">
        <f t="shared" ca="1" si="327"/>
        <v>1.3024</v>
      </c>
      <c r="V2600" s="8">
        <f ca="1">RawData[[#This Row],[Z (smoothed demand size)]]/RawData[[#This Row],[X (smoothed interval)]]</f>
        <v>2.4557739557739562</v>
      </c>
    </row>
    <row r="2601" spans="1:22">
      <c r="A2601" t="s">
        <v>55</v>
      </c>
      <c r="B2601" t="s">
        <v>39</v>
      </c>
      <c r="C2601">
        <v>32</v>
      </c>
      <c r="D2601" t="s">
        <v>18</v>
      </c>
      <c r="E2601" t="s">
        <v>16</v>
      </c>
      <c r="F2601" s="1">
        <v>43108</v>
      </c>
      <c r="G2601">
        <v>7</v>
      </c>
      <c r="H2601">
        <v>7</v>
      </c>
      <c r="I2601">
        <v>11</v>
      </c>
      <c r="J2601">
        <v>4</v>
      </c>
      <c r="K2601">
        <v>0</v>
      </c>
      <c r="L2601">
        <v>554</v>
      </c>
      <c r="M2601">
        <v>45</v>
      </c>
      <c r="N2601" s="1">
        <f t="shared" si="320"/>
        <v>44938</v>
      </c>
      <c r="O2601" s="1">
        <f t="shared" si="321"/>
        <v>43101</v>
      </c>
      <c r="P2601" s="1">
        <f t="shared" si="322"/>
        <v>43313</v>
      </c>
      <c r="Q2601" s="8">
        <f t="shared" si="323"/>
        <v>0</v>
      </c>
      <c r="R2601" s="8">
        <f t="shared" si="324"/>
        <v>8</v>
      </c>
      <c r="S2601" s="8">
        <f t="shared" ca="1" si="325"/>
        <v>8</v>
      </c>
      <c r="T2601">
        <f t="shared" ca="1" si="326"/>
        <v>3.9587200000000013</v>
      </c>
      <c r="U2601" s="8">
        <f t="shared" ca="1" si="327"/>
        <v>1.2419199999999999</v>
      </c>
      <c r="V2601" s="8">
        <f ca="1">RawData[[#This Row],[Z (smoothed demand size)]]/RawData[[#This Row],[X (smoothed interval)]]</f>
        <v>3.1875805204844125</v>
      </c>
    </row>
    <row r="2602" spans="1:22">
      <c r="A2602" t="s">
        <v>55</v>
      </c>
      <c r="B2602" t="s">
        <v>39</v>
      </c>
      <c r="C2602">
        <v>32</v>
      </c>
      <c r="D2602" t="s">
        <v>18</v>
      </c>
      <c r="E2602" t="s">
        <v>16</v>
      </c>
      <c r="F2602" s="1">
        <v>43109</v>
      </c>
      <c r="G2602">
        <v>5</v>
      </c>
      <c r="H2602">
        <v>4</v>
      </c>
      <c r="I2602">
        <v>4</v>
      </c>
      <c r="J2602">
        <v>0</v>
      </c>
      <c r="K2602">
        <v>1</v>
      </c>
      <c r="L2602">
        <v>476</v>
      </c>
      <c r="M2602">
        <v>30</v>
      </c>
      <c r="N2602" s="1">
        <f t="shared" si="320"/>
        <v>44938</v>
      </c>
      <c r="O2602" s="1">
        <f t="shared" si="321"/>
        <v>43101</v>
      </c>
      <c r="P2602" s="1">
        <f t="shared" si="322"/>
        <v>43344</v>
      </c>
      <c r="Q2602" s="8">
        <f t="shared" si="323"/>
        <v>0</v>
      </c>
      <c r="R2602" s="8">
        <f t="shared" si="324"/>
        <v>9</v>
      </c>
      <c r="S2602" s="8">
        <f t="shared" ca="1" si="325"/>
        <v>9</v>
      </c>
      <c r="T2602">
        <f t="shared" ca="1" si="326"/>
        <v>4.1669760000000018</v>
      </c>
      <c r="U2602" s="8">
        <f t="shared" ca="1" si="327"/>
        <v>1.1935359999999999</v>
      </c>
      <c r="V2602" s="8">
        <f ca="1">RawData[[#This Row],[Z (smoothed demand size)]]/RawData[[#This Row],[X (smoothed interval)]]</f>
        <v>3.4912863960534093</v>
      </c>
    </row>
    <row r="2603" spans="1:22">
      <c r="A2603" t="s">
        <v>55</v>
      </c>
      <c r="B2603" t="s">
        <v>39</v>
      </c>
      <c r="C2603">
        <v>32</v>
      </c>
      <c r="D2603" t="s">
        <v>18</v>
      </c>
      <c r="E2603" t="s">
        <v>16</v>
      </c>
      <c r="F2603" s="1">
        <v>43110</v>
      </c>
      <c r="G2603">
        <v>3</v>
      </c>
      <c r="H2603">
        <v>3</v>
      </c>
      <c r="I2603">
        <v>10</v>
      </c>
      <c r="J2603">
        <v>7</v>
      </c>
      <c r="K2603">
        <v>0</v>
      </c>
      <c r="L2603">
        <v>474</v>
      </c>
      <c r="M2603">
        <v>15</v>
      </c>
      <c r="N2603" s="1">
        <f t="shared" si="320"/>
        <v>44938</v>
      </c>
      <c r="O2603" s="1">
        <f t="shared" si="321"/>
        <v>43101</v>
      </c>
      <c r="P2603" s="1">
        <f t="shared" si="322"/>
        <v>43374</v>
      </c>
      <c r="Q2603" s="8">
        <f t="shared" si="323"/>
        <v>0</v>
      </c>
      <c r="R2603" s="8">
        <f t="shared" si="324"/>
        <v>10</v>
      </c>
      <c r="S2603" s="8">
        <f t="shared" ca="1" si="325"/>
        <v>10</v>
      </c>
      <c r="T2603">
        <f t="shared" ca="1" si="326"/>
        <v>3.9335808000000019</v>
      </c>
      <c r="U2603" s="8">
        <f t="shared" ca="1" si="327"/>
        <v>1.1548288</v>
      </c>
      <c r="V2603" s="8">
        <f ca="1">RawData[[#This Row],[Z (smoothed demand size)]]/RawData[[#This Row],[X (smoothed interval)]]</f>
        <v>3.4062025470788413</v>
      </c>
    </row>
    <row r="2604" spans="1:22">
      <c r="A2604" t="s">
        <v>55</v>
      </c>
      <c r="B2604" t="s">
        <v>39</v>
      </c>
      <c r="C2604">
        <v>32</v>
      </c>
      <c r="D2604" t="s">
        <v>18</v>
      </c>
      <c r="E2604" t="s">
        <v>16</v>
      </c>
      <c r="F2604" s="1">
        <v>43111</v>
      </c>
      <c r="G2604">
        <v>2</v>
      </c>
      <c r="H2604">
        <v>2</v>
      </c>
      <c r="I2604">
        <v>7</v>
      </c>
      <c r="J2604">
        <v>5</v>
      </c>
      <c r="K2604">
        <v>0</v>
      </c>
      <c r="L2604">
        <v>474</v>
      </c>
      <c r="M2604">
        <v>45</v>
      </c>
      <c r="N2604" s="1">
        <f t="shared" si="320"/>
        <v>44938</v>
      </c>
      <c r="O2604" s="1">
        <f t="shared" si="321"/>
        <v>43101</v>
      </c>
      <c r="P2604" s="1">
        <f t="shared" si="322"/>
        <v>43405</v>
      </c>
      <c r="Q2604" s="8">
        <f t="shared" si="323"/>
        <v>0</v>
      </c>
      <c r="R2604" s="8">
        <f t="shared" si="324"/>
        <v>11</v>
      </c>
      <c r="S2604" s="8">
        <f t="shared" ca="1" si="325"/>
        <v>11</v>
      </c>
      <c r="T2604">
        <f t="shared" ca="1" si="326"/>
        <v>3.5468646400000017</v>
      </c>
      <c r="U2604" s="8">
        <f t="shared" ca="1" si="327"/>
        <v>1.12386304</v>
      </c>
      <c r="V2604" s="8">
        <f ca="1">RawData[[#This Row],[Z (smoothed demand size)]]/RawData[[#This Row],[X (smoothed interval)]]</f>
        <v>3.1559580783081911</v>
      </c>
    </row>
    <row r="2605" spans="1:22">
      <c r="A2605" t="s">
        <v>55</v>
      </c>
      <c r="B2605" t="s">
        <v>39</v>
      </c>
      <c r="C2605">
        <v>32</v>
      </c>
      <c r="D2605" t="s">
        <v>18</v>
      </c>
      <c r="E2605" t="s">
        <v>16</v>
      </c>
      <c r="F2605" s="1">
        <v>43112</v>
      </c>
      <c r="G2605">
        <v>0</v>
      </c>
      <c r="H2605">
        <v>0</v>
      </c>
      <c r="I2605">
        <v>5</v>
      </c>
      <c r="J2605">
        <v>5</v>
      </c>
      <c r="K2605">
        <v>0</v>
      </c>
      <c r="L2605">
        <v>553</v>
      </c>
      <c r="M2605">
        <v>45</v>
      </c>
      <c r="N2605" s="1">
        <f t="shared" si="320"/>
        <v>44938</v>
      </c>
      <c r="O2605" s="1">
        <f t="shared" si="321"/>
        <v>43101</v>
      </c>
      <c r="P2605" s="1">
        <f t="shared" si="322"/>
        <v>43435</v>
      </c>
      <c r="Q2605" s="8">
        <f t="shared" si="323"/>
        <v>0</v>
      </c>
      <c r="R2605" s="8">
        <f t="shared" si="324"/>
        <v>12</v>
      </c>
      <c r="S2605" s="8">
        <f t="shared" ca="1" si="325"/>
        <v>11</v>
      </c>
      <c r="T2605">
        <f t="shared" ca="1" si="326"/>
        <v>3.5468646400000017</v>
      </c>
      <c r="U2605" s="8">
        <f t="shared" ca="1" si="327"/>
        <v>1.12386304</v>
      </c>
      <c r="V2605" s="8">
        <f ca="1">RawData[[#This Row],[Z (smoothed demand size)]]/RawData[[#This Row],[X (smoothed interval)]]</f>
        <v>3.1559580783081911</v>
      </c>
    </row>
    <row r="2606" spans="1:22">
      <c r="A2606" t="s">
        <v>55</v>
      </c>
      <c r="B2606" t="s">
        <v>39</v>
      </c>
      <c r="C2606">
        <v>32</v>
      </c>
      <c r="D2606" t="s">
        <v>18</v>
      </c>
      <c r="E2606" t="s">
        <v>16</v>
      </c>
      <c r="F2606" s="1">
        <v>43466</v>
      </c>
      <c r="G2606">
        <v>0</v>
      </c>
      <c r="H2606">
        <v>0</v>
      </c>
      <c r="I2606">
        <v>5</v>
      </c>
      <c r="J2606">
        <v>5</v>
      </c>
      <c r="K2606">
        <v>0</v>
      </c>
      <c r="L2606">
        <v>479</v>
      </c>
      <c r="M2606">
        <v>30</v>
      </c>
      <c r="N2606" s="1">
        <f t="shared" si="320"/>
        <v>44938</v>
      </c>
      <c r="O2606" s="1">
        <f t="shared" si="321"/>
        <v>43101</v>
      </c>
      <c r="P2606" s="1">
        <f t="shared" si="322"/>
        <v>43466</v>
      </c>
      <c r="Q2606" s="8">
        <f t="shared" si="323"/>
        <v>0</v>
      </c>
      <c r="R2606" s="8">
        <f t="shared" si="324"/>
        <v>13</v>
      </c>
      <c r="S2606" s="8">
        <f t="shared" ca="1" si="325"/>
        <v>11</v>
      </c>
      <c r="T2606">
        <f t="shared" ca="1" si="326"/>
        <v>3.5468646400000017</v>
      </c>
      <c r="U2606" s="8">
        <f t="shared" ca="1" si="327"/>
        <v>1.12386304</v>
      </c>
      <c r="V2606" s="8">
        <f ca="1">RawData[[#This Row],[Z (smoothed demand size)]]/RawData[[#This Row],[X (smoothed interval)]]</f>
        <v>3.1559580783081911</v>
      </c>
    </row>
    <row r="2607" spans="1:22">
      <c r="A2607" t="s">
        <v>55</v>
      </c>
      <c r="B2607" t="s">
        <v>39</v>
      </c>
      <c r="C2607">
        <v>32</v>
      </c>
      <c r="D2607" t="s">
        <v>18</v>
      </c>
      <c r="E2607" t="s">
        <v>16</v>
      </c>
      <c r="F2607" s="1">
        <v>43467</v>
      </c>
      <c r="G2607">
        <v>0</v>
      </c>
      <c r="H2607">
        <v>0</v>
      </c>
      <c r="I2607">
        <v>5</v>
      </c>
      <c r="J2607">
        <v>5</v>
      </c>
      <c r="K2607">
        <v>0</v>
      </c>
      <c r="L2607">
        <v>479</v>
      </c>
      <c r="M2607">
        <v>15</v>
      </c>
      <c r="N2607" s="1">
        <f t="shared" si="320"/>
        <v>44938</v>
      </c>
      <c r="O2607" s="1">
        <f t="shared" si="321"/>
        <v>43101</v>
      </c>
      <c r="P2607" s="1">
        <f t="shared" si="322"/>
        <v>43497</v>
      </c>
      <c r="Q2607" s="8">
        <f t="shared" si="323"/>
        <v>0</v>
      </c>
      <c r="R2607" s="8">
        <f t="shared" si="324"/>
        <v>14</v>
      </c>
      <c r="S2607" s="8">
        <f t="shared" ca="1" si="325"/>
        <v>11</v>
      </c>
      <c r="T2607">
        <f t="shared" ca="1" si="326"/>
        <v>3.5468646400000017</v>
      </c>
      <c r="U2607" s="8">
        <f t="shared" ca="1" si="327"/>
        <v>1.12386304</v>
      </c>
      <c r="V2607" s="8">
        <f ca="1">RawData[[#This Row],[Z (smoothed demand size)]]/RawData[[#This Row],[X (smoothed interval)]]</f>
        <v>3.1559580783081911</v>
      </c>
    </row>
    <row r="2608" spans="1:22">
      <c r="A2608" t="s">
        <v>55</v>
      </c>
      <c r="B2608" t="s">
        <v>39</v>
      </c>
      <c r="C2608">
        <v>32</v>
      </c>
      <c r="D2608" t="s">
        <v>18</v>
      </c>
      <c r="E2608" t="s">
        <v>16</v>
      </c>
      <c r="F2608" s="1">
        <v>43468</v>
      </c>
      <c r="G2608">
        <v>2</v>
      </c>
      <c r="H2608">
        <v>2</v>
      </c>
      <c r="I2608">
        <v>5</v>
      </c>
      <c r="J2608">
        <v>3</v>
      </c>
      <c r="K2608">
        <v>0</v>
      </c>
      <c r="L2608">
        <v>485</v>
      </c>
      <c r="M2608">
        <v>60</v>
      </c>
      <c r="N2608" s="1">
        <f t="shared" si="320"/>
        <v>44938</v>
      </c>
      <c r="O2608" s="1">
        <f t="shared" si="321"/>
        <v>43101</v>
      </c>
      <c r="P2608" s="1">
        <f t="shared" si="322"/>
        <v>43525</v>
      </c>
      <c r="Q2608" s="8">
        <f t="shared" si="323"/>
        <v>0</v>
      </c>
      <c r="R2608" s="8">
        <f t="shared" si="324"/>
        <v>15</v>
      </c>
      <c r="S2608" s="8">
        <f t="shared" ca="1" si="325"/>
        <v>15</v>
      </c>
      <c r="T2608">
        <f t="shared" ca="1" si="326"/>
        <v>3.2374917120000015</v>
      </c>
      <c r="U2608" s="8">
        <f t="shared" ca="1" si="327"/>
        <v>1.6990904320000002</v>
      </c>
      <c r="V2608" s="8">
        <f ca="1">RawData[[#This Row],[Z (smoothed demand size)]]/RawData[[#This Row],[X (smoothed interval)]]</f>
        <v>1.9054263687360939</v>
      </c>
    </row>
    <row r="2609" spans="1:22">
      <c r="A2609" t="s">
        <v>55</v>
      </c>
      <c r="B2609" t="s">
        <v>39</v>
      </c>
      <c r="C2609">
        <v>32</v>
      </c>
      <c r="D2609" t="s">
        <v>18</v>
      </c>
      <c r="E2609" t="s">
        <v>16</v>
      </c>
      <c r="F2609" s="1">
        <v>43469</v>
      </c>
      <c r="G2609">
        <v>0</v>
      </c>
      <c r="H2609">
        <v>0</v>
      </c>
      <c r="I2609">
        <v>3</v>
      </c>
      <c r="J2609">
        <v>3</v>
      </c>
      <c r="K2609">
        <v>0</v>
      </c>
      <c r="L2609">
        <v>481</v>
      </c>
      <c r="M2609">
        <v>30</v>
      </c>
      <c r="N2609" s="1">
        <f t="shared" si="320"/>
        <v>44938</v>
      </c>
      <c r="O2609" s="1">
        <f t="shared" si="321"/>
        <v>43101</v>
      </c>
      <c r="P2609" s="1">
        <f t="shared" si="322"/>
        <v>43556</v>
      </c>
      <c r="Q2609" s="8">
        <f t="shared" si="323"/>
        <v>0</v>
      </c>
      <c r="R2609" s="8">
        <f t="shared" si="324"/>
        <v>16</v>
      </c>
      <c r="S2609" s="8">
        <f t="shared" ca="1" si="325"/>
        <v>15</v>
      </c>
      <c r="T2609">
        <f t="shared" ca="1" si="326"/>
        <v>3.2374917120000015</v>
      </c>
      <c r="U2609" s="8">
        <f t="shared" ca="1" si="327"/>
        <v>1.6990904320000002</v>
      </c>
      <c r="V2609" s="8">
        <f ca="1">RawData[[#This Row],[Z (smoothed demand size)]]/RawData[[#This Row],[X (smoothed interval)]]</f>
        <v>1.9054263687360939</v>
      </c>
    </row>
    <row r="2610" spans="1:22">
      <c r="A2610" t="s">
        <v>55</v>
      </c>
      <c r="B2610" t="s">
        <v>39</v>
      </c>
      <c r="C2610">
        <v>32</v>
      </c>
      <c r="D2610" t="s">
        <v>18</v>
      </c>
      <c r="E2610" t="s">
        <v>16</v>
      </c>
      <c r="F2610" s="1">
        <v>43470</v>
      </c>
      <c r="G2610">
        <v>2</v>
      </c>
      <c r="H2610">
        <v>2</v>
      </c>
      <c r="I2610">
        <v>11</v>
      </c>
      <c r="J2610">
        <v>9</v>
      </c>
      <c r="K2610">
        <v>0</v>
      </c>
      <c r="L2610">
        <v>480</v>
      </c>
      <c r="M2610">
        <v>45</v>
      </c>
      <c r="N2610" s="1">
        <f t="shared" si="320"/>
        <v>44938</v>
      </c>
      <c r="O2610" s="1">
        <f t="shared" si="321"/>
        <v>43101</v>
      </c>
      <c r="P2610" s="1">
        <f t="shared" si="322"/>
        <v>43586</v>
      </c>
      <c r="Q2610" s="8">
        <f t="shared" si="323"/>
        <v>0</v>
      </c>
      <c r="R2610" s="8">
        <f t="shared" si="324"/>
        <v>17</v>
      </c>
      <c r="S2610" s="8">
        <f t="shared" ca="1" si="325"/>
        <v>17</v>
      </c>
      <c r="T2610">
        <f t="shared" ca="1" si="326"/>
        <v>2.9899933696000014</v>
      </c>
      <c r="U2610" s="8">
        <f t="shared" ca="1" si="327"/>
        <v>1.7592723456000003</v>
      </c>
      <c r="V2610" s="8">
        <f ca="1">RawData[[#This Row],[Z (smoothed demand size)]]/RawData[[#This Row],[X (smoothed interval)]]</f>
        <v>1.6995625362258868</v>
      </c>
    </row>
    <row r="2611" spans="1:22">
      <c r="A2611" t="s">
        <v>55</v>
      </c>
      <c r="B2611" t="s">
        <v>39</v>
      </c>
      <c r="C2611">
        <v>32</v>
      </c>
      <c r="D2611" t="s">
        <v>18</v>
      </c>
      <c r="E2611" t="s">
        <v>16</v>
      </c>
      <c r="F2611" s="1">
        <v>43471</v>
      </c>
      <c r="G2611">
        <v>3</v>
      </c>
      <c r="H2611">
        <v>3</v>
      </c>
      <c r="I2611">
        <v>9</v>
      </c>
      <c r="J2611">
        <v>6</v>
      </c>
      <c r="K2611">
        <v>0</v>
      </c>
      <c r="L2611">
        <v>559</v>
      </c>
      <c r="M2611">
        <v>30</v>
      </c>
      <c r="N2611" s="1">
        <f t="shared" si="320"/>
        <v>44938</v>
      </c>
      <c r="O2611" s="1">
        <f t="shared" si="321"/>
        <v>43101</v>
      </c>
      <c r="P2611" s="1">
        <f t="shared" si="322"/>
        <v>43617</v>
      </c>
      <c r="Q2611" s="8">
        <f t="shared" si="323"/>
        <v>0</v>
      </c>
      <c r="R2611" s="8">
        <f t="shared" si="324"/>
        <v>18</v>
      </c>
      <c r="S2611" s="8">
        <f t="shared" ca="1" si="325"/>
        <v>18</v>
      </c>
      <c r="T2611">
        <f t="shared" ca="1" si="326"/>
        <v>2.9919946956800012</v>
      </c>
      <c r="U2611" s="8">
        <f t="shared" ca="1" si="327"/>
        <v>1.6074178764800002</v>
      </c>
      <c r="V2611" s="8">
        <f ca="1">RawData[[#This Row],[Z (smoothed demand size)]]/RawData[[#This Row],[X (smoothed interval)]]</f>
        <v>1.86136706544039</v>
      </c>
    </row>
    <row r="2612" spans="1:22">
      <c r="A2612" t="s">
        <v>55</v>
      </c>
      <c r="B2612" t="s">
        <v>39</v>
      </c>
      <c r="C2612">
        <v>32</v>
      </c>
      <c r="D2612" t="s">
        <v>18</v>
      </c>
      <c r="E2612" t="s">
        <v>16</v>
      </c>
      <c r="F2612" s="1">
        <v>43472</v>
      </c>
      <c r="G2612">
        <v>3</v>
      </c>
      <c r="H2612">
        <v>3</v>
      </c>
      <c r="I2612">
        <v>6</v>
      </c>
      <c r="J2612">
        <v>3</v>
      </c>
      <c r="K2612">
        <v>0</v>
      </c>
      <c r="L2612">
        <v>557</v>
      </c>
      <c r="M2612">
        <v>15</v>
      </c>
      <c r="N2612" s="1">
        <f t="shared" si="320"/>
        <v>44938</v>
      </c>
      <c r="O2612" s="1">
        <f t="shared" si="321"/>
        <v>43101</v>
      </c>
      <c r="P2612" s="1">
        <f t="shared" si="322"/>
        <v>43647</v>
      </c>
      <c r="Q2612" s="8">
        <f t="shared" si="323"/>
        <v>0</v>
      </c>
      <c r="R2612" s="8">
        <f t="shared" si="324"/>
        <v>19</v>
      </c>
      <c r="S2612" s="8">
        <f t="shared" ca="1" si="325"/>
        <v>19</v>
      </c>
      <c r="T2612">
        <f t="shared" ca="1" si="326"/>
        <v>2.9935957565440012</v>
      </c>
      <c r="U2612" s="8">
        <f t="shared" ca="1" si="327"/>
        <v>1.4859343011840003</v>
      </c>
      <c r="V2612" s="8">
        <f ca="1">RawData[[#This Row],[Z (smoothed demand size)]]/RawData[[#This Row],[X (smoothed interval)]]</f>
        <v>2.0146218807646399</v>
      </c>
    </row>
    <row r="2613" spans="1:22">
      <c r="A2613" t="s">
        <v>55</v>
      </c>
      <c r="B2613" t="s">
        <v>39</v>
      </c>
      <c r="C2613">
        <v>32</v>
      </c>
      <c r="D2613" t="s">
        <v>18</v>
      </c>
      <c r="E2613" t="s">
        <v>16</v>
      </c>
      <c r="F2613" s="1">
        <v>43473</v>
      </c>
      <c r="G2613">
        <v>8</v>
      </c>
      <c r="H2613">
        <v>8</v>
      </c>
      <c r="I2613">
        <v>10</v>
      </c>
      <c r="J2613">
        <v>2</v>
      </c>
      <c r="K2613">
        <v>0</v>
      </c>
      <c r="L2613">
        <v>547</v>
      </c>
      <c r="M2613">
        <v>60</v>
      </c>
      <c r="N2613" s="1">
        <f t="shared" si="320"/>
        <v>44938</v>
      </c>
      <c r="O2613" s="1">
        <f t="shared" si="321"/>
        <v>43101</v>
      </c>
      <c r="P2613" s="1">
        <f t="shared" si="322"/>
        <v>43678</v>
      </c>
      <c r="Q2613" s="8">
        <f t="shared" si="323"/>
        <v>0</v>
      </c>
      <c r="R2613" s="8">
        <f t="shared" si="324"/>
        <v>20</v>
      </c>
      <c r="S2613" s="8">
        <f t="shared" ca="1" si="325"/>
        <v>20</v>
      </c>
      <c r="T2613">
        <f t="shared" ca="1" si="326"/>
        <v>3.9948766052352012</v>
      </c>
      <c r="U2613" s="8">
        <f t="shared" ca="1" si="327"/>
        <v>1.3887474409472003</v>
      </c>
      <c r="V2613" s="8">
        <f ca="1">RawData[[#This Row],[Z (smoothed demand size)]]/RawData[[#This Row],[X (smoothed interval)]]</f>
        <v>2.8766041163758911</v>
      </c>
    </row>
    <row r="2614" spans="1:22">
      <c r="A2614" t="s">
        <v>55</v>
      </c>
      <c r="B2614" t="s">
        <v>39</v>
      </c>
      <c r="C2614">
        <v>32</v>
      </c>
      <c r="D2614" t="s">
        <v>18</v>
      </c>
      <c r="E2614" t="s">
        <v>16</v>
      </c>
      <c r="F2614" s="1">
        <v>43474</v>
      </c>
      <c r="G2614">
        <v>0</v>
      </c>
      <c r="H2614">
        <v>0</v>
      </c>
      <c r="I2614">
        <v>2</v>
      </c>
      <c r="J2614">
        <v>2</v>
      </c>
      <c r="K2614">
        <v>0</v>
      </c>
      <c r="L2614">
        <v>484</v>
      </c>
      <c r="M2614">
        <v>60</v>
      </c>
      <c r="N2614" s="1">
        <f t="shared" si="320"/>
        <v>44938</v>
      </c>
      <c r="O2614" s="1">
        <f t="shared" si="321"/>
        <v>43101</v>
      </c>
      <c r="P2614" s="1">
        <f t="shared" si="322"/>
        <v>43709</v>
      </c>
      <c r="Q2614" s="8">
        <f t="shared" si="323"/>
        <v>0</v>
      </c>
      <c r="R2614" s="8">
        <f t="shared" si="324"/>
        <v>21</v>
      </c>
      <c r="S2614" s="8">
        <f t="shared" ca="1" si="325"/>
        <v>20</v>
      </c>
      <c r="T2614">
        <f t="shared" ca="1" si="326"/>
        <v>3.9948766052352012</v>
      </c>
      <c r="U2614" s="8">
        <f t="shared" ca="1" si="327"/>
        <v>1.3887474409472003</v>
      </c>
      <c r="V2614" s="8">
        <f ca="1">RawData[[#This Row],[Z (smoothed demand size)]]/RawData[[#This Row],[X (smoothed interval)]]</f>
        <v>2.8766041163758911</v>
      </c>
    </row>
    <row r="2615" spans="1:22">
      <c r="A2615" t="s">
        <v>55</v>
      </c>
      <c r="B2615" t="s">
        <v>39</v>
      </c>
      <c r="C2615">
        <v>32</v>
      </c>
      <c r="D2615" t="s">
        <v>18</v>
      </c>
      <c r="E2615" t="s">
        <v>16</v>
      </c>
      <c r="F2615" s="1">
        <v>43475</v>
      </c>
      <c r="G2615">
        <v>4</v>
      </c>
      <c r="H2615">
        <v>4</v>
      </c>
      <c r="I2615">
        <v>9</v>
      </c>
      <c r="J2615">
        <v>5</v>
      </c>
      <c r="K2615">
        <v>0</v>
      </c>
      <c r="L2615">
        <v>488</v>
      </c>
      <c r="M2615">
        <v>15</v>
      </c>
      <c r="N2615" s="1">
        <f t="shared" si="320"/>
        <v>44938</v>
      </c>
      <c r="O2615" s="1">
        <f t="shared" si="321"/>
        <v>43101</v>
      </c>
      <c r="P2615" s="1">
        <f t="shared" si="322"/>
        <v>43739</v>
      </c>
      <c r="Q2615" s="8">
        <f t="shared" si="323"/>
        <v>0</v>
      </c>
      <c r="R2615" s="8">
        <f t="shared" si="324"/>
        <v>22</v>
      </c>
      <c r="S2615" s="8">
        <f t="shared" ca="1" si="325"/>
        <v>22</v>
      </c>
      <c r="T2615">
        <f t="shared" ca="1" si="326"/>
        <v>3.9959012841881609</v>
      </c>
      <c r="U2615" s="8">
        <f t="shared" ca="1" si="327"/>
        <v>1.5109979527577604</v>
      </c>
      <c r="V2615" s="8">
        <f ca="1">RawData[[#This Row],[Z (smoothed demand size)]]/RawData[[#This Row],[X (smoothed interval)]]</f>
        <v>2.644544472674593</v>
      </c>
    </row>
    <row r="2616" spans="1:22">
      <c r="A2616" t="s">
        <v>55</v>
      </c>
      <c r="B2616" t="s">
        <v>39</v>
      </c>
      <c r="C2616">
        <v>32</v>
      </c>
      <c r="D2616" t="s">
        <v>18</v>
      </c>
      <c r="E2616" t="s">
        <v>16</v>
      </c>
      <c r="F2616" s="1">
        <v>43476</v>
      </c>
      <c r="G2616">
        <v>5</v>
      </c>
      <c r="H2616">
        <v>5</v>
      </c>
      <c r="I2616">
        <v>5</v>
      </c>
      <c r="J2616">
        <v>0</v>
      </c>
      <c r="K2616">
        <v>0</v>
      </c>
      <c r="L2616">
        <v>488</v>
      </c>
      <c r="M2616">
        <v>15</v>
      </c>
      <c r="N2616" s="1">
        <f t="shared" si="320"/>
        <v>44938</v>
      </c>
      <c r="O2616" s="1">
        <f t="shared" si="321"/>
        <v>43101</v>
      </c>
      <c r="P2616" s="1">
        <f t="shared" si="322"/>
        <v>43770</v>
      </c>
      <c r="Q2616" s="8">
        <f t="shared" si="323"/>
        <v>0</v>
      </c>
      <c r="R2616" s="8">
        <f t="shared" si="324"/>
        <v>23</v>
      </c>
      <c r="S2616" s="8">
        <f t="shared" ca="1" si="325"/>
        <v>23</v>
      </c>
      <c r="T2616">
        <f t="shared" ca="1" si="326"/>
        <v>4.1967210273505291</v>
      </c>
      <c r="U2616" s="8">
        <f t="shared" ca="1" si="327"/>
        <v>1.4087983622062084</v>
      </c>
      <c r="V2616" s="8">
        <f ca="1">RawData[[#This Row],[Z (smoothed demand size)]]/RawData[[#This Row],[X (smoothed interval)]]</f>
        <v>2.9789366171453908</v>
      </c>
    </row>
    <row r="2617" spans="1:22">
      <c r="A2617" t="s">
        <v>55</v>
      </c>
      <c r="B2617" t="s">
        <v>39</v>
      </c>
      <c r="C2617">
        <v>32</v>
      </c>
      <c r="D2617" t="s">
        <v>18</v>
      </c>
      <c r="E2617" t="s">
        <v>16</v>
      </c>
      <c r="F2617" s="1">
        <v>43477</v>
      </c>
      <c r="G2617">
        <v>5</v>
      </c>
      <c r="H2617">
        <v>5</v>
      </c>
      <c r="I2617">
        <v>12</v>
      </c>
      <c r="J2617">
        <v>7</v>
      </c>
      <c r="K2617">
        <v>0</v>
      </c>
      <c r="L2617">
        <v>557</v>
      </c>
      <c r="M2617">
        <v>45</v>
      </c>
      <c r="N2617" s="1">
        <f t="shared" si="320"/>
        <v>44938</v>
      </c>
      <c r="O2617" s="1">
        <f t="shared" si="321"/>
        <v>43101</v>
      </c>
      <c r="P2617" s="1">
        <f t="shared" si="322"/>
        <v>43800</v>
      </c>
      <c r="Q2617" s="8">
        <f t="shared" si="323"/>
        <v>0</v>
      </c>
      <c r="R2617" s="8">
        <f t="shared" si="324"/>
        <v>24</v>
      </c>
      <c r="S2617" s="8">
        <f t="shared" ca="1" si="325"/>
        <v>24</v>
      </c>
      <c r="T2617">
        <f t="shared" ca="1" si="326"/>
        <v>4.3573768218804236</v>
      </c>
      <c r="U2617" s="8">
        <f t="shared" ca="1" si="327"/>
        <v>1.3270386897649666</v>
      </c>
      <c r="V2617" s="8">
        <f ca="1">RawData[[#This Row],[Z (smoothed demand size)]]/RawData[[#This Row],[X (smoothed interval)]]</f>
        <v>3.2835341241272804</v>
      </c>
    </row>
    <row r="2618" spans="1:22">
      <c r="A2618" t="s">
        <v>55</v>
      </c>
      <c r="B2618" t="s">
        <v>39</v>
      </c>
      <c r="C2618">
        <v>32</v>
      </c>
      <c r="D2618" t="s">
        <v>18</v>
      </c>
      <c r="E2618" t="s">
        <v>16</v>
      </c>
      <c r="F2618" s="1">
        <v>43831</v>
      </c>
      <c r="G2618">
        <v>2</v>
      </c>
      <c r="H2618">
        <v>2</v>
      </c>
      <c r="I2618">
        <v>7</v>
      </c>
      <c r="J2618">
        <v>5</v>
      </c>
      <c r="K2618">
        <v>0</v>
      </c>
      <c r="L2618">
        <v>480</v>
      </c>
      <c r="M2618">
        <v>45</v>
      </c>
      <c r="N2618" s="1">
        <f t="shared" si="320"/>
        <v>44938</v>
      </c>
      <c r="O2618" s="1">
        <f t="shared" si="321"/>
        <v>43101</v>
      </c>
      <c r="P2618" s="1">
        <f t="shared" si="322"/>
        <v>43831</v>
      </c>
      <c r="Q2618" s="8">
        <f t="shared" si="323"/>
        <v>0</v>
      </c>
      <c r="R2618" s="8">
        <f t="shared" si="324"/>
        <v>25</v>
      </c>
      <c r="S2618" s="8">
        <f t="shared" ca="1" si="325"/>
        <v>25</v>
      </c>
      <c r="T2618">
        <f t="shared" ca="1" si="326"/>
        <v>3.8859014575043389</v>
      </c>
      <c r="U2618" s="8">
        <f t="shared" ca="1" si="327"/>
        <v>1.2616309518119733</v>
      </c>
      <c r="V2618" s="8">
        <f ca="1">RawData[[#This Row],[Z (smoothed demand size)]]/RawData[[#This Row],[X (smoothed interval)]]</f>
        <v>3.0800619245456438</v>
      </c>
    </row>
    <row r="2619" spans="1:22">
      <c r="A2619" t="s">
        <v>55</v>
      </c>
      <c r="B2619" t="s">
        <v>39</v>
      </c>
      <c r="C2619">
        <v>32</v>
      </c>
      <c r="D2619" t="s">
        <v>18</v>
      </c>
      <c r="E2619" t="s">
        <v>16</v>
      </c>
      <c r="F2619" s="1">
        <v>43832</v>
      </c>
      <c r="G2619">
        <v>1</v>
      </c>
      <c r="H2619">
        <v>1</v>
      </c>
      <c r="I2619">
        <v>5</v>
      </c>
      <c r="J2619">
        <v>4</v>
      </c>
      <c r="K2619">
        <v>0</v>
      </c>
      <c r="L2619">
        <v>480</v>
      </c>
      <c r="M2619">
        <v>45</v>
      </c>
      <c r="N2619" s="1">
        <f t="shared" si="320"/>
        <v>44938</v>
      </c>
      <c r="O2619" s="1">
        <f t="shared" si="321"/>
        <v>43101</v>
      </c>
      <c r="P2619" s="1">
        <f t="shared" si="322"/>
        <v>43862</v>
      </c>
      <c r="Q2619" s="8">
        <f t="shared" si="323"/>
        <v>0</v>
      </c>
      <c r="R2619" s="8">
        <f t="shared" si="324"/>
        <v>26</v>
      </c>
      <c r="S2619" s="8">
        <f t="shared" ca="1" si="325"/>
        <v>26</v>
      </c>
      <c r="T2619">
        <f t="shared" ca="1" si="326"/>
        <v>3.3087211660034717</v>
      </c>
      <c r="U2619" s="8">
        <f t="shared" ca="1" si="327"/>
        <v>1.2093047614495787</v>
      </c>
      <c r="V2619" s="8">
        <f ca="1">RawData[[#This Row],[Z (smoothed demand size)]]/RawData[[#This Row],[X (smoothed interval)]]</f>
        <v>2.7360523761085243</v>
      </c>
    </row>
    <row r="2620" spans="1:22">
      <c r="A2620" t="s">
        <v>55</v>
      </c>
      <c r="B2620" t="s">
        <v>39</v>
      </c>
      <c r="C2620">
        <v>32</v>
      </c>
      <c r="D2620" t="s">
        <v>18</v>
      </c>
      <c r="E2620" t="s">
        <v>16</v>
      </c>
      <c r="F2620" s="1">
        <v>43833</v>
      </c>
      <c r="G2620">
        <v>3</v>
      </c>
      <c r="H2620">
        <v>3</v>
      </c>
      <c r="I2620">
        <v>4</v>
      </c>
      <c r="J2620">
        <v>1</v>
      </c>
      <c r="K2620">
        <v>0</v>
      </c>
      <c r="L2620">
        <v>485</v>
      </c>
      <c r="M2620">
        <v>30</v>
      </c>
      <c r="N2620" s="1">
        <f t="shared" si="320"/>
        <v>44938</v>
      </c>
      <c r="O2620" s="1">
        <f t="shared" si="321"/>
        <v>43101</v>
      </c>
      <c r="P2620" s="1">
        <f t="shared" si="322"/>
        <v>43891</v>
      </c>
      <c r="Q2620" s="8">
        <f t="shared" si="323"/>
        <v>0</v>
      </c>
      <c r="R2620" s="8">
        <f t="shared" si="324"/>
        <v>27</v>
      </c>
      <c r="S2620" s="8">
        <f t="shared" ca="1" si="325"/>
        <v>27</v>
      </c>
      <c r="T2620">
        <f t="shared" ca="1" si="326"/>
        <v>3.2469769328027778</v>
      </c>
      <c r="U2620" s="8">
        <f t="shared" ca="1" si="327"/>
        <v>1.1674438091596631</v>
      </c>
      <c r="V2620" s="8">
        <f ca="1">RawData[[#This Row],[Z (smoothed demand size)]]/RawData[[#This Row],[X (smoothed interval)]]</f>
        <v>2.781270419464541</v>
      </c>
    </row>
    <row r="2621" spans="1:22">
      <c r="A2621" t="s">
        <v>55</v>
      </c>
      <c r="B2621" t="s">
        <v>39</v>
      </c>
      <c r="C2621">
        <v>32</v>
      </c>
      <c r="D2621" t="s">
        <v>18</v>
      </c>
      <c r="E2621" t="s">
        <v>16</v>
      </c>
      <c r="F2621" s="1">
        <v>43834</v>
      </c>
      <c r="G2621">
        <v>5</v>
      </c>
      <c r="H2621">
        <v>5</v>
      </c>
      <c r="I2621">
        <v>11</v>
      </c>
      <c r="J2621">
        <v>6</v>
      </c>
      <c r="K2621">
        <v>0</v>
      </c>
      <c r="L2621">
        <v>472</v>
      </c>
      <c r="M2621">
        <v>30</v>
      </c>
      <c r="N2621" s="1">
        <f t="shared" si="320"/>
        <v>44938</v>
      </c>
      <c r="O2621" s="1">
        <f t="shared" si="321"/>
        <v>43101</v>
      </c>
      <c r="P2621" s="1">
        <f t="shared" si="322"/>
        <v>43922</v>
      </c>
      <c r="Q2621" s="8">
        <f t="shared" si="323"/>
        <v>0</v>
      </c>
      <c r="R2621" s="8">
        <f t="shared" si="324"/>
        <v>28</v>
      </c>
      <c r="S2621" s="8">
        <f t="shared" ca="1" si="325"/>
        <v>28</v>
      </c>
      <c r="T2621">
        <f t="shared" ca="1" si="326"/>
        <v>3.5975815462422225</v>
      </c>
      <c r="U2621" s="8">
        <f t="shared" ca="1" si="327"/>
        <v>1.1339550473277304</v>
      </c>
      <c r="V2621" s="8">
        <f ca="1">RawData[[#This Row],[Z (smoothed demand size)]]/RawData[[#This Row],[X (smoothed interval)]]</f>
        <v>3.1725962635999152</v>
      </c>
    </row>
    <row r="2622" spans="1:22">
      <c r="A2622" t="s">
        <v>55</v>
      </c>
      <c r="B2622" t="s">
        <v>39</v>
      </c>
      <c r="C2622">
        <v>32</v>
      </c>
      <c r="D2622" t="s">
        <v>18</v>
      </c>
      <c r="E2622" t="s">
        <v>16</v>
      </c>
      <c r="F2622" s="1">
        <v>43835</v>
      </c>
      <c r="G2622">
        <v>0</v>
      </c>
      <c r="H2622">
        <v>0</v>
      </c>
      <c r="I2622">
        <v>6</v>
      </c>
      <c r="J2622">
        <v>6</v>
      </c>
      <c r="K2622">
        <v>0</v>
      </c>
      <c r="L2622">
        <v>484</v>
      </c>
      <c r="M2622">
        <v>60</v>
      </c>
      <c r="N2622" s="1">
        <f t="shared" si="320"/>
        <v>44938</v>
      </c>
      <c r="O2622" s="1">
        <f t="shared" si="321"/>
        <v>43101</v>
      </c>
      <c r="P2622" s="1">
        <f t="shared" si="322"/>
        <v>43952</v>
      </c>
      <c r="Q2622" s="8">
        <f t="shared" si="323"/>
        <v>0</v>
      </c>
      <c r="R2622" s="8">
        <f t="shared" si="324"/>
        <v>29</v>
      </c>
      <c r="S2622" s="8">
        <f t="shared" ca="1" si="325"/>
        <v>28</v>
      </c>
      <c r="T2622">
        <f t="shared" ca="1" si="326"/>
        <v>3.5975815462422225</v>
      </c>
      <c r="U2622" s="8">
        <f t="shared" ca="1" si="327"/>
        <v>1.1339550473277304</v>
      </c>
      <c r="V2622" s="8">
        <f ca="1">RawData[[#This Row],[Z (smoothed demand size)]]/RawData[[#This Row],[X (smoothed interval)]]</f>
        <v>3.1725962635999152</v>
      </c>
    </row>
    <row r="2623" spans="1:22">
      <c r="A2623" t="s">
        <v>55</v>
      </c>
      <c r="B2623" t="s">
        <v>39</v>
      </c>
      <c r="C2623">
        <v>32</v>
      </c>
      <c r="D2623" t="s">
        <v>18</v>
      </c>
      <c r="E2623" t="s">
        <v>16</v>
      </c>
      <c r="F2623" s="1">
        <v>43836</v>
      </c>
      <c r="G2623">
        <v>0</v>
      </c>
      <c r="H2623">
        <v>0</v>
      </c>
      <c r="I2623">
        <v>6</v>
      </c>
      <c r="J2623">
        <v>6</v>
      </c>
      <c r="K2623">
        <v>0</v>
      </c>
      <c r="L2623">
        <v>551</v>
      </c>
      <c r="M2623">
        <v>60</v>
      </c>
      <c r="N2623" s="1">
        <f t="shared" si="320"/>
        <v>44938</v>
      </c>
      <c r="O2623" s="1">
        <f t="shared" si="321"/>
        <v>43101</v>
      </c>
      <c r="P2623" s="1">
        <f t="shared" si="322"/>
        <v>43983</v>
      </c>
      <c r="Q2623" s="8">
        <f t="shared" si="323"/>
        <v>0</v>
      </c>
      <c r="R2623" s="8">
        <f t="shared" si="324"/>
        <v>30</v>
      </c>
      <c r="S2623" s="8">
        <f t="shared" ca="1" si="325"/>
        <v>28</v>
      </c>
      <c r="T2623">
        <f t="shared" ca="1" si="326"/>
        <v>3.5975815462422225</v>
      </c>
      <c r="U2623" s="8">
        <f t="shared" ca="1" si="327"/>
        <v>1.1339550473277304</v>
      </c>
      <c r="V2623" s="8">
        <f ca="1">RawData[[#This Row],[Z (smoothed demand size)]]/RawData[[#This Row],[X (smoothed interval)]]</f>
        <v>3.1725962635999152</v>
      </c>
    </row>
    <row r="2624" spans="1:22">
      <c r="A2624" t="s">
        <v>55</v>
      </c>
      <c r="B2624" t="s">
        <v>39</v>
      </c>
      <c r="C2624">
        <v>32</v>
      </c>
      <c r="D2624" t="s">
        <v>18</v>
      </c>
      <c r="E2624" t="s">
        <v>16</v>
      </c>
      <c r="F2624" s="1">
        <v>43837</v>
      </c>
      <c r="G2624">
        <v>1</v>
      </c>
      <c r="H2624">
        <v>1</v>
      </c>
      <c r="I2624">
        <v>6</v>
      </c>
      <c r="J2624">
        <v>5</v>
      </c>
      <c r="K2624">
        <v>0</v>
      </c>
      <c r="L2624">
        <v>545</v>
      </c>
      <c r="M2624">
        <v>15</v>
      </c>
      <c r="N2624" s="1">
        <f t="shared" si="320"/>
        <v>44938</v>
      </c>
      <c r="O2624" s="1">
        <f t="shared" si="321"/>
        <v>43101</v>
      </c>
      <c r="P2624" s="1">
        <f t="shared" si="322"/>
        <v>44013</v>
      </c>
      <c r="Q2624" s="8">
        <f t="shared" si="323"/>
        <v>0</v>
      </c>
      <c r="R2624" s="8">
        <f t="shared" si="324"/>
        <v>31</v>
      </c>
      <c r="S2624" s="8">
        <f t="shared" ca="1" si="325"/>
        <v>31</v>
      </c>
      <c r="T2624">
        <f t="shared" ca="1" si="326"/>
        <v>3.0780652369937784</v>
      </c>
      <c r="U2624" s="8">
        <f t="shared" ca="1" si="327"/>
        <v>1.5071640378621844</v>
      </c>
      <c r="V2624" s="8">
        <f ca="1">RawData[[#This Row],[Z (smoothed demand size)]]/RawData[[#This Row],[X (smoothed interval)]]</f>
        <v>2.0422894652925878</v>
      </c>
    </row>
    <row r="2625" spans="1:22">
      <c r="A2625" t="s">
        <v>55</v>
      </c>
      <c r="B2625" t="s">
        <v>39</v>
      </c>
      <c r="C2625">
        <v>32</v>
      </c>
      <c r="D2625" t="s">
        <v>18</v>
      </c>
      <c r="E2625" t="s">
        <v>16</v>
      </c>
      <c r="F2625" s="1">
        <v>43838</v>
      </c>
      <c r="G2625">
        <v>0</v>
      </c>
      <c r="H2625">
        <v>0</v>
      </c>
      <c r="I2625">
        <v>5</v>
      </c>
      <c r="J2625">
        <v>5</v>
      </c>
      <c r="K2625">
        <v>0</v>
      </c>
      <c r="L2625">
        <v>543</v>
      </c>
      <c r="M2625">
        <v>45</v>
      </c>
      <c r="N2625" s="1">
        <f t="shared" si="320"/>
        <v>44938</v>
      </c>
      <c r="O2625" s="1">
        <f t="shared" si="321"/>
        <v>43101</v>
      </c>
      <c r="P2625" s="1">
        <f t="shared" si="322"/>
        <v>44044</v>
      </c>
      <c r="Q2625" s="8">
        <f t="shared" si="323"/>
        <v>0</v>
      </c>
      <c r="R2625" s="8">
        <f t="shared" si="324"/>
        <v>32</v>
      </c>
      <c r="S2625" s="8">
        <f t="shared" ca="1" si="325"/>
        <v>31</v>
      </c>
      <c r="T2625">
        <f t="shared" ca="1" si="326"/>
        <v>3.0780652369937784</v>
      </c>
      <c r="U2625" s="8">
        <f t="shared" ca="1" si="327"/>
        <v>1.5071640378621844</v>
      </c>
      <c r="V2625" s="8">
        <f ca="1">RawData[[#This Row],[Z (smoothed demand size)]]/RawData[[#This Row],[X (smoothed interval)]]</f>
        <v>2.0422894652925878</v>
      </c>
    </row>
    <row r="2626" spans="1:22">
      <c r="A2626" t="s">
        <v>55</v>
      </c>
      <c r="B2626" t="s">
        <v>39</v>
      </c>
      <c r="C2626">
        <v>32</v>
      </c>
      <c r="D2626" t="s">
        <v>18</v>
      </c>
      <c r="E2626" t="s">
        <v>16</v>
      </c>
      <c r="F2626" s="1">
        <v>43839</v>
      </c>
      <c r="G2626">
        <v>1</v>
      </c>
      <c r="H2626">
        <v>1</v>
      </c>
      <c r="I2626">
        <v>5</v>
      </c>
      <c r="J2626">
        <v>4</v>
      </c>
      <c r="K2626">
        <v>0</v>
      </c>
      <c r="L2626">
        <v>470</v>
      </c>
      <c r="M2626">
        <v>60</v>
      </c>
      <c r="N2626" s="1">
        <f t="shared" ref="N2626:N2689" si="328">MAX(F:F)</f>
        <v>44938</v>
      </c>
      <c r="O2626" s="1">
        <f t="shared" ref="O2626:O2689" si="329">MIN(F:F)</f>
        <v>43101</v>
      </c>
      <c r="P2626" s="1">
        <f t="shared" ref="P2626:P2689" si="330">DATE(YEAR(F2626), DAY(F2626), 1)</f>
        <v>44075</v>
      </c>
      <c r="Q2626" s="8">
        <f t="shared" ref="Q2626:Q2689" si="331" xml:space="preserve"> IF(A2626&lt;&gt;A2625, 1, 0)</f>
        <v>0</v>
      </c>
      <c r="R2626" s="8">
        <f t="shared" ref="R2626:R2689" si="332">IF(Q2626=1,1,R2625+1)</f>
        <v>33</v>
      </c>
      <c r="S2626" s="8">
        <f t="shared" ref="S2626:S2689" ca="1" si="333" xml:space="preserve"> IF(Q2626=1, IF(G2626&gt;0, R2626, 0), IF(G2626&gt;0, R2626, OFFSET(S2626,-1,0)))</f>
        <v>33</v>
      </c>
      <c r="T2626">
        <f t="shared" ref="T2626:T2689" ca="1" si="334" xml:space="preserve"> IF(Q2626=1, IF(G2626&gt;0, G2626, 0), IF(G2626&gt;0, $X$1*G2626+(1-$X$1)*OFFSET(T2626,-1,0), OFFSET(T2626,-1,0)))</f>
        <v>2.6624521895950233</v>
      </c>
      <c r="U2626" s="8">
        <f t="shared" ref="U2626:U2689" ca="1" si="335" xml:space="preserve"> IF(Q2626=1, 1, IF(G2626&gt;0, $X$1*(R2626-OFFSET(S2626,-1,0))+(1-$X$1)*OFFSET(U2626,-1,0), OFFSET(U2626,-1,0)))</f>
        <v>1.6057312302897477</v>
      </c>
      <c r="V2626" s="8">
        <f ca="1">RawData[[#This Row],[Z (smoothed demand size)]]/RawData[[#This Row],[X (smoothed interval)]]</f>
        <v>1.6580932969178126</v>
      </c>
    </row>
    <row r="2627" spans="1:22">
      <c r="A2627" t="s">
        <v>55</v>
      </c>
      <c r="B2627" t="s">
        <v>39</v>
      </c>
      <c r="C2627">
        <v>32</v>
      </c>
      <c r="D2627" t="s">
        <v>18</v>
      </c>
      <c r="E2627" t="s">
        <v>16</v>
      </c>
      <c r="F2627" s="1">
        <v>43840</v>
      </c>
      <c r="G2627">
        <v>1</v>
      </c>
      <c r="H2627">
        <v>1</v>
      </c>
      <c r="I2627">
        <v>4</v>
      </c>
      <c r="J2627">
        <v>3</v>
      </c>
      <c r="K2627">
        <v>0</v>
      </c>
      <c r="L2627">
        <v>481</v>
      </c>
      <c r="M2627">
        <v>30</v>
      </c>
      <c r="N2627" s="1">
        <f t="shared" si="328"/>
        <v>44938</v>
      </c>
      <c r="O2627" s="1">
        <f t="shared" si="329"/>
        <v>43101</v>
      </c>
      <c r="P2627" s="1">
        <f t="shared" si="330"/>
        <v>44105</v>
      </c>
      <c r="Q2627" s="8">
        <f t="shared" si="331"/>
        <v>0</v>
      </c>
      <c r="R2627" s="8">
        <f t="shared" si="332"/>
        <v>34</v>
      </c>
      <c r="S2627" s="8">
        <f t="shared" ca="1" si="333"/>
        <v>34</v>
      </c>
      <c r="T2627">
        <f t="shared" ca="1" si="334"/>
        <v>2.3299617516760187</v>
      </c>
      <c r="U2627" s="8">
        <f t="shared" ca="1" si="335"/>
        <v>1.4845849842317982</v>
      </c>
      <c r="V2627" s="8">
        <f ca="1">RawData[[#This Row],[Z (smoothed demand size)]]/RawData[[#This Row],[X (smoothed interval)]]</f>
        <v>1.5694364259528482</v>
      </c>
    </row>
    <row r="2628" spans="1:22">
      <c r="A2628" t="s">
        <v>55</v>
      </c>
      <c r="B2628" t="s">
        <v>39</v>
      </c>
      <c r="C2628">
        <v>32</v>
      </c>
      <c r="D2628" t="s">
        <v>18</v>
      </c>
      <c r="E2628" t="s">
        <v>16</v>
      </c>
      <c r="F2628" s="1">
        <v>43841</v>
      </c>
      <c r="G2628">
        <v>3</v>
      </c>
      <c r="H2628">
        <v>3</v>
      </c>
      <c r="I2628">
        <v>13</v>
      </c>
      <c r="J2628">
        <v>10</v>
      </c>
      <c r="K2628">
        <v>0</v>
      </c>
      <c r="L2628">
        <v>487</v>
      </c>
      <c r="M2628">
        <v>60</v>
      </c>
      <c r="N2628" s="1">
        <f t="shared" si="328"/>
        <v>44938</v>
      </c>
      <c r="O2628" s="1">
        <f t="shared" si="329"/>
        <v>43101</v>
      </c>
      <c r="P2628" s="1">
        <f t="shared" si="330"/>
        <v>44136</v>
      </c>
      <c r="Q2628" s="8">
        <f t="shared" si="331"/>
        <v>0</v>
      </c>
      <c r="R2628" s="8">
        <f t="shared" si="332"/>
        <v>35</v>
      </c>
      <c r="S2628" s="8">
        <f t="shared" ca="1" si="333"/>
        <v>35</v>
      </c>
      <c r="T2628">
        <f t="shared" ca="1" si="334"/>
        <v>2.4639694013408153</v>
      </c>
      <c r="U2628" s="8">
        <f t="shared" ca="1" si="335"/>
        <v>1.3876679873854385</v>
      </c>
      <c r="V2628" s="8">
        <f ca="1">RawData[[#This Row],[Z (smoothed demand size)]]/RawData[[#This Row],[X (smoothed interval)]]</f>
        <v>1.7756188250644016</v>
      </c>
    </row>
    <row r="2629" spans="1:22">
      <c r="A2629" t="s">
        <v>55</v>
      </c>
      <c r="B2629" t="s">
        <v>39</v>
      </c>
      <c r="C2629">
        <v>32</v>
      </c>
      <c r="D2629" t="s">
        <v>18</v>
      </c>
      <c r="E2629" t="s">
        <v>16</v>
      </c>
      <c r="F2629" s="1">
        <v>43842</v>
      </c>
      <c r="G2629">
        <v>1</v>
      </c>
      <c r="H2629">
        <v>1</v>
      </c>
      <c r="I2629">
        <v>10</v>
      </c>
      <c r="J2629">
        <v>9</v>
      </c>
      <c r="K2629">
        <v>0</v>
      </c>
      <c r="L2629">
        <v>547</v>
      </c>
      <c r="M2629">
        <v>15</v>
      </c>
      <c r="N2629" s="1">
        <f t="shared" si="328"/>
        <v>44938</v>
      </c>
      <c r="O2629" s="1">
        <f t="shared" si="329"/>
        <v>43101</v>
      </c>
      <c r="P2629" s="1">
        <f t="shared" si="330"/>
        <v>44166</v>
      </c>
      <c r="Q2629" s="8">
        <f t="shared" si="331"/>
        <v>0</v>
      </c>
      <c r="R2629" s="8">
        <f t="shared" si="332"/>
        <v>36</v>
      </c>
      <c r="S2629" s="8">
        <f t="shared" ca="1" si="333"/>
        <v>36</v>
      </c>
      <c r="T2629">
        <f t="shared" ca="1" si="334"/>
        <v>2.1711755210726524</v>
      </c>
      <c r="U2629" s="8">
        <f t="shared" ca="1" si="335"/>
        <v>1.3101343899083508</v>
      </c>
      <c r="V2629" s="8">
        <f ca="1">RawData[[#This Row],[Z (smoothed demand size)]]/RawData[[#This Row],[X (smoothed interval)]]</f>
        <v>1.6572158839556412</v>
      </c>
    </row>
    <row r="2630" spans="1:22">
      <c r="A2630" t="s">
        <v>55</v>
      </c>
      <c r="B2630" t="s">
        <v>39</v>
      </c>
      <c r="C2630">
        <v>32</v>
      </c>
      <c r="D2630" t="s">
        <v>18</v>
      </c>
      <c r="E2630" t="s">
        <v>16</v>
      </c>
      <c r="F2630" s="1">
        <v>44197</v>
      </c>
      <c r="G2630">
        <v>3</v>
      </c>
      <c r="H2630">
        <v>3</v>
      </c>
      <c r="I2630">
        <v>9</v>
      </c>
      <c r="J2630">
        <v>6</v>
      </c>
      <c r="K2630">
        <v>0</v>
      </c>
      <c r="L2630">
        <v>473</v>
      </c>
      <c r="M2630">
        <v>30</v>
      </c>
      <c r="N2630" s="1">
        <f t="shared" si="328"/>
        <v>44938</v>
      </c>
      <c r="O2630" s="1">
        <f t="shared" si="329"/>
        <v>43101</v>
      </c>
      <c r="P2630" s="1">
        <f t="shared" si="330"/>
        <v>44197</v>
      </c>
      <c r="Q2630" s="8">
        <f t="shared" si="331"/>
        <v>0</v>
      </c>
      <c r="R2630" s="8">
        <f t="shared" si="332"/>
        <v>37</v>
      </c>
      <c r="S2630" s="8">
        <f t="shared" ca="1" si="333"/>
        <v>37</v>
      </c>
      <c r="T2630">
        <f t="shared" ca="1" si="334"/>
        <v>2.336940416858122</v>
      </c>
      <c r="U2630" s="8">
        <f t="shared" ca="1" si="335"/>
        <v>1.2481075119266807</v>
      </c>
      <c r="V2630" s="8">
        <f ca="1">RawData[[#This Row],[Z (smoothed demand size)]]/RawData[[#This Row],[X (smoothed interval)]]</f>
        <v>1.8723871097055012</v>
      </c>
    </row>
    <row r="2631" spans="1:22">
      <c r="A2631" t="s">
        <v>55</v>
      </c>
      <c r="B2631" t="s">
        <v>39</v>
      </c>
      <c r="C2631">
        <v>32</v>
      </c>
      <c r="D2631" t="s">
        <v>18</v>
      </c>
      <c r="E2631" t="s">
        <v>16</v>
      </c>
      <c r="F2631" s="1">
        <v>44198</v>
      </c>
      <c r="G2631">
        <v>1</v>
      </c>
      <c r="H2631">
        <v>1</v>
      </c>
      <c r="I2631">
        <v>6</v>
      </c>
      <c r="J2631">
        <v>5</v>
      </c>
      <c r="K2631">
        <v>0</v>
      </c>
      <c r="L2631">
        <v>482</v>
      </c>
      <c r="M2631">
        <v>45</v>
      </c>
      <c r="N2631" s="1">
        <f t="shared" si="328"/>
        <v>44938</v>
      </c>
      <c r="O2631" s="1">
        <f t="shared" si="329"/>
        <v>43101</v>
      </c>
      <c r="P2631" s="1">
        <f t="shared" si="330"/>
        <v>44228</v>
      </c>
      <c r="Q2631" s="8">
        <f t="shared" si="331"/>
        <v>0</v>
      </c>
      <c r="R2631" s="8">
        <f t="shared" si="332"/>
        <v>38</v>
      </c>
      <c r="S2631" s="8">
        <f t="shared" ca="1" si="333"/>
        <v>38</v>
      </c>
      <c r="T2631">
        <f t="shared" ca="1" si="334"/>
        <v>2.0695523334864978</v>
      </c>
      <c r="U2631" s="8">
        <f t="shared" ca="1" si="335"/>
        <v>1.1984860095413445</v>
      </c>
      <c r="V2631" s="8">
        <f ca="1">RawData[[#This Row],[Z (smoothed demand size)]]/RawData[[#This Row],[X (smoothed interval)]]</f>
        <v>1.7268055838870464</v>
      </c>
    </row>
    <row r="2632" spans="1:22">
      <c r="A2632" t="s">
        <v>55</v>
      </c>
      <c r="B2632" t="s">
        <v>39</v>
      </c>
      <c r="C2632">
        <v>32</v>
      </c>
      <c r="D2632" t="s">
        <v>18</v>
      </c>
      <c r="E2632" t="s">
        <v>16</v>
      </c>
      <c r="F2632" s="1">
        <v>44199</v>
      </c>
      <c r="G2632">
        <v>5</v>
      </c>
      <c r="H2632">
        <v>5</v>
      </c>
      <c r="I2632">
        <v>5</v>
      </c>
      <c r="J2632">
        <v>0</v>
      </c>
      <c r="K2632">
        <v>0</v>
      </c>
      <c r="L2632">
        <v>477</v>
      </c>
      <c r="M2632">
        <v>60</v>
      </c>
      <c r="N2632" s="1">
        <f t="shared" si="328"/>
        <v>44938</v>
      </c>
      <c r="O2632" s="1">
        <f t="shared" si="329"/>
        <v>43101</v>
      </c>
      <c r="P2632" s="1">
        <f t="shared" si="330"/>
        <v>44256</v>
      </c>
      <c r="Q2632" s="8">
        <f t="shared" si="331"/>
        <v>0</v>
      </c>
      <c r="R2632" s="8">
        <f t="shared" si="332"/>
        <v>39</v>
      </c>
      <c r="S2632" s="8">
        <f t="shared" ca="1" si="333"/>
        <v>39</v>
      </c>
      <c r="T2632">
        <f t="shared" ca="1" si="334"/>
        <v>2.6556418667891983</v>
      </c>
      <c r="U2632" s="8">
        <f t="shared" ca="1" si="335"/>
        <v>1.1587888076330757</v>
      </c>
      <c r="V2632" s="8">
        <f ca="1">RawData[[#This Row],[Z (smoothed demand size)]]/RawData[[#This Row],[X (smoothed interval)]]</f>
        <v>2.2917393137525828</v>
      </c>
    </row>
    <row r="2633" spans="1:22">
      <c r="A2633" t="s">
        <v>55</v>
      </c>
      <c r="B2633" t="s">
        <v>39</v>
      </c>
      <c r="C2633">
        <v>32</v>
      </c>
      <c r="D2633" t="s">
        <v>18</v>
      </c>
      <c r="E2633" t="s">
        <v>16</v>
      </c>
      <c r="F2633" s="1">
        <v>44200</v>
      </c>
      <c r="G2633">
        <v>1</v>
      </c>
      <c r="H2633">
        <v>0</v>
      </c>
      <c r="I2633">
        <v>0</v>
      </c>
      <c r="J2633">
        <v>0</v>
      </c>
      <c r="K2633">
        <v>1</v>
      </c>
      <c r="L2633">
        <v>483</v>
      </c>
      <c r="M2633">
        <v>60</v>
      </c>
      <c r="N2633" s="1">
        <f t="shared" si="328"/>
        <v>44938</v>
      </c>
      <c r="O2633" s="1">
        <f t="shared" si="329"/>
        <v>43101</v>
      </c>
      <c r="P2633" s="1">
        <f t="shared" si="330"/>
        <v>44287</v>
      </c>
      <c r="Q2633" s="8">
        <f t="shared" si="331"/>
        <v>0</v>
      </c>
      <c r="R2633" s="8">
        <f t="shared" si="332"/>
        <v>40</v>
      </c>
      <c r="S2633" s="8">
        <f t="shared" ca="1" si="333"/>
        <v>40</v>
      </c>
      <c r="T2633">
        <f t="shared" ca="1" si="334"/>
        <v>2.3245134934313589</v>
      </c>
      <c r="U2633" s="8">
        <f t="shared" ca="1" si="335"/>
        <v>1.1270310461064605</v>
      </c>
      <c r="V2633" s="8">
        <f ca="1">RawData[[#This Row],[Z (smoothed demand size)]]/RawData[[#This Row],[X (smoothed interval)]]</f>
        <v>2.0625106126950321</v>
      </c>
    </row>
    <row r="2634" spans="1:22">
      <c r="A2634" t="s">
        <v>55</v>
      </c>
      <c r="B2634" t="s">
        <v>39</v>
      </c>
      <c r="C2634">
        <v>32</v>
      </c>
      <c r="D2634" t="s">
        <v>18</v>
      </c>
      <c r="E2634" t="s">
        <v>16</v>
      </c>
      <c r="F2634" s="1">
        <v>44201</v>
      </c>
      <c r="G2634">
        <v>1</v>
      </c>
      <c r="H2634">
        <v>1</v>
      </c>
      <c r="I2634">
        <v>10</v>
      </c>
      <c r="J2634">
        <v>9</v>
      </c>
      <c r="K2634">
        <v>0</v>
      </c>
      <c r="L2634">
        <v>472</v>
      </c>
      <c r="M2634">
        <v>15</v>
      </c>
      <c r="N2634" s="1">
        <f t="shared" si="328"/>
        <v>44938</v>
      </c>
      <c r="O2634" s="1">
        <f t="shared" si="329"/>
        <v>43101</v>
      </c>
      <c r="P2634" s="1">
        <f t="shared" si="330"/>
        <v>44317</v>
      </c>
      <c r="Q2634" s="8">
        <f t="shared" si="331"/>
        <v>0</v>
      </c>
      <c r="R2634" s="8">
        <f t="shared" si="332"/>
        <v>41</v>
      </c>
      <c r="S2634" s="8">
        <f t="shared" ca="1" si="333"/>
        <v>41</v>
      </c>
      <c r="T2634">
        <f t="shared" ca="1" si="334"/>
        <v>2.0596107947450872</v>
      </c>
      <c r="U2634" s="8">
        <f t="shared" ca="1" si="335"/>
        <v>1.1016248368851684</v>
      </c>
      <c r="V2634" s="8">
        <f ca="1">RawData[[#This Row],[Z (smoothed demand size)]]/RawData[[#This Row],[X (smoothed interval)]]</f>
        <v>1.8696118004824702</v>
      </c>
    </row>
    <row r="2635" spans="1:22">
      <c r="A2635" t="s">
        <v>55</v>
      </c>
      <c r="B2635" t="s">
        <v>39</v>
      </c>
      <c r="C2635">
        <v>32</v>
      </c>
      <c r="D2635" t="s">
        <v>18</v>
      </c>
      <c r="E2635" t="s">
        <v>16</v>
      </c>
      <c r="F2635" s="1">
        <v>44202</v>
      </c>
      <c r="G2635">
        <v>2</v>
      </c>
      <c r="H2635">
        <v>2</v>
      </c>
      <c r="I2635">
        <v>9</v>
      </c>
      <c r="J2635">
        <v>7</v>
      </c>
      <c r="K2635">
        <v>0</v>
      </c>
      <c r="L2635">
        <v>552</v>
      </c>
      <c r="M2635">
        <v>15</v>
      </c>
      <c r="N2635" s="1">
        <f t="shared" si="328"/>
        <v>44938</v>
      </c>
      <c r="O2635" s="1">
        <f t="shared" si="329"/>
        <v>43101</v>
      </c>
      <c r="P2635" s="1">
        <f t="shared" si="330"/>
        <v>44348</v>
      </c>
      <c r="Q2635" s="8">
        <f t="shared" si="331"/>
        <v>0</v>
      </c>
      <c r="R2635" s="8">
        <f t="shared" si="332"/>
        <v>42</v>
      </c>
      <c r="S2635" s="8">
        <f t="shared" ca="1" si="333"/>
        <v>42</v>
      </c>
      <c r="T2635">
        <f t="shared" ca="1" si="334"/>
        <v>2.04768863579607</v>
      </c>
      <c r="U2635" s="8">
        <f t="shared" ca="1" si="335"/>
        <v>1.0812998695081348</v>
      </c>
      <c r="V2635" s="8">
        <f ca="1">RawData[[#This Row],[Z (smoothed demand size)]]/RawData[[#This Row],[X (smoothed interval)]]</f>
        <v>1.8937287366246787</v>
      </c>
    </row>
    <row r="2636" spans="1:22">
      <c r="A2636" t="s">
        <v>55</v>
      </c>
      <c r="B2636" t="s">
        <v>39</v>
      </c>
      <c r="C2636">
        <v>32</v>
      </c>
      <c r="D2636" t="s">
        <v>18</v>
      </c>
      <c r="E2636" t="s">
        <v>16</v>
      </c>
      <c r="F2636" s="1">
        <v>44203</v>
      </c>
      <c r="G2636">
        <v>1</v>
      </c>
      <c r="H2636">
        <v>1</v>
      </c>
      <c r="I2636">
        <v>7</v>
      </c>
      <c r="J2636">
        <v>6</v>
      </c>
      <c r="K2636">
        <v>0</v>
      </c>
      <c r="L2636">
        <v>558</v>
      </c>
      <c r="M2636">
        <v>60</v>
      </c>
      <c r="N2636" s="1">
        <f t="shared" si="328"/>
        <v>44938</v>
      </c>
      <c r="O2636" s="1">
        <f t="shared" si="329"/>
        <v>43101</v>
      </c>
      <c r="P2636" s="1">
        <f t="shared" si="330"/>
        <v>44378</v>
      </c>
      <c r="Q2636" s="8">
        <f t="shared" si="331"/>
        <v>0</v>
      </c>
      <c r="R2636" s="8">
        <f t="shared" si="332"/>
        <v>43</v>
      </c>
      <c r="S2636" s="8">
        <f t="shared" ca="1" si="333"/>
        <v>43</v>
      </c>
      <c r="T2636">
        <f t="shared" ca="1" si="334"/>
        <v>1.8381509086368559</v>
      </c>
      <c r="U2636" s="8">
        <f t="shared" ca="1" si="335"/>
        <v>1.0650398956065079</v>
      </c>
      <c r="V2636" s="8">
        <f ca="1">RawData[[#This Row],[Z (smoothed demand size)]]/RawData[[#This Row],[X (smoothed interval)]]</f>
        <v>1.7258986411866617</v>
      </c>
    </row>
    <row r="2637" spans="1:22">
      <c r="A2637" t="s">
        <v>55</v>
      </c>
      <c r="B2637" t="s">
        <v>39</v>
      </c>
      <c r="C2637">
        <v>32</v>
      </c>
      <c r="D2637" t="s">
        <v>18</v>
      </c>
      <c r="E2637" t="s">
        <v>16</v>
      </c>
      <c r="F2637" s="1">
        <v>44204</v>
      </c>
      <c r="G2637">
        <v>3</v>
      </c>
      <c r="H2637">
        <v>3</v>
      </c>
      <c r="I2637">
        <v>6</v>
      </c>
      <c r="J2637">
        <v>3</v>
      </c>
      <c r="K2637">
        <v>0</v>
      </c>
      <c r="L2637">
        <v>542</v>
      </c>
      <c r="M2637">
        <v>60</v>
      </c>
      <c r="N2637" s="1">
        <f t="shared" si="328"/>
        <v>44938</v>
      </c>
      <c r="O2637" s="1">
        <f t="shared" si="329"/>
        <v>43101</v>
      </c>
      <c r="P2637" s="1">
        <f t="shared" si="330"/>
        <v>44409</v>
      </c>
      <c r="Q2637" s="8">
        <f t="shared" si="331"/>
        <v>0</v>
      </c>
      <c r="R2637" s="8">
        <f t="shared" si="332"/>
        <v>44</v>
      </c>
      <c r="S2637" s="8">
        <f t="shared" ca="1" si="333"/>
        <v>44</v>
      </c>
      <c r="T2637">
        <f t="shared" ca="1" si="334"/>
        <v>2.0705207269094847</v>
      </c>
      <c r="U2637" s="8">
        <f t="shared" ca="1" si="335"/>
        <v>1.0520319164852063</v>
      </c>
      <c r="V2637" s="8">
        <f ca="1">RawData[[#This Row],[Z (smoothed demand size)]]/RawData[[#This Row],[X (smoothed interval)]]</f>
        <v>1.9681158855208556</v>
      </c>
    </row>
    <row r="2638" spans="1:22">
      <c r="A2638" t="s">
        <v>55</v>
      </c>
      <c r="B2638" t="s">
        <v>39</v>
      </c>
      <c r="C2638">
        <v>32</v>
      </c>
      <c r="D2638" t="s">
        <v>18</v>
      </c>
      <c r="E2638" t="s">
        <v>16</v>
      </c>
      <c r="F2638" s="1">
        <v>44205</v>
      </c>
      <c r="G2638">
        <v>1</v>
      </c>
      <c r="H2638">
        <v>1</v>
      </c>
      <c r="I2638">
        <v>3</v>
      </c>
      <c r="J2638">
        <v>2</v>
      </c>
      <c r="K2638">
        <v>0</v>
      </c>
      <c r="L2638">
        <v>475</v>
      </c>
      <c r="M2638">
        <v>30</v>
      </c>
      <c r="N2638" s="1">
        <f t="shared" si="328"/>
        <v>44938</v>
      </c>
      <c r="O2638" s="1">
        <f t="shared" si="329"/>
        <v>43101</v>
      </c>
      <c r="P2638" s="1">
        <f t="shared" si="330"/>
        <v>44440</v>
      </c>
      <c r="Q2638" s="8">
        <f t="shared" si="331"/>
        <v>0</v>
      </c>
      <c r="R2638" s="8">
        <f t="shared" si="332"/>
        <v>45</v>
      </c>
      <c r="S2638" s="8">
        <f t="shared" ca="1" si="333"/>
        <v>45</v>
      </c>
      <c r="T2638">
        <f t="shared" ca="1" si="334"/>
        <v>1.8564165815275879</v>
      </c>
      <c r="U2638" s="8">
        <f t="shared" ca="1" si="335"/>
        <v>1.0416255331881652</v>
      </c>
      <c r="V2638" s="8">
        <f ca="1">RawData[[#This Row],[Z (smoothed demand size)]]/RawData[[#This Row],[X (smoothed interval)]]</f>
        <v>1.7822302952247564</v>
      </c>
    </row>
    <row r="2639" spans="1:22">
      <c r="A2639" t="s">
        <v>55</v>
      </c>
      <c r="B2639" t="s">
        <v>39</v>
      </c>
      <c r="C2639">
        <v>32</v>
      </c>
      <c r="D2639" t="s">
        <v>18</v>
      </c>
      <c r="E2639" t="s">
        <v>16</v>
      </c>
      <c r="F2639" s="1">
        <v>44206</v>
      </c>
      <c r="G2639">
        <v>0</v>
      </c>
      <c r="H2639">
        <v>0</v>
      </c>
      <c r="I2639">
        <v>9</v>
      </c>
      <c r="J2639">
        <v>9</v>
      </c>
      <c r="K2639">
        <v>0</v>
      </c>
      <c r="L2639">
        <v>475</v>
      </c>
      <c r="M2639">
        <v>15</v>
      </c>
      <c r="N2639" s="1">
        <f t="shared" si="328"/>
        <v>44938</v>
      </c>
      <c r="O2639" s="1">
        <f t="shared" si="329"/>
        <v>43101</v>
      </c>
      <c r="P2639" s="1">
        <f t="shared" si="330"/>
        <v>44470</v>
      </c>
      <c r="Q2639" s="8">
        <f t="shared" si="331"/>
        <v>0</v>
      </c>
      <c r="R2639" s="8">
        <f t="shared" si="332"/>
        <v>46</v>
      </c>
      <c r="S2639" s="8">
        <f t="shared" ca="1" si="333"/>
        <v>45</v>
      </c>
      <c r="T2639">
        <f t="shared" ca="1" si="334"/>
        <v>1.8564165815275879</v>
      </c>
      <c r="U2639" s="8">
        <f t="shared" ca="1" si="335"/>
        <v>1.0416255331881652</v>
      </c>
      <c r="V2639" s="8">
        <f ca="1">RawData[[#This Row],[Z (smoothed demand size)]]/RawData[[#This Row],[X (smoothed interval)]]</f>
        <v>1.7822302952247564</v>
      </c>
    </row>
    <row r="2640" spans="1:22">
      <c r="A2640" t="s">
        <v>55</v>
      </c>
      <c r="B2640" t="s">
        <v>39</v>
      </c>
      <c r="C2640">
        <v>32</v>
      </c>
      <c r="D2640" t="s">
        <v>18</v>
      </c>
      <c r="E2640" t="s">
        <v>16</v>
      </c>
      <c r="F2640" s="1">
        <v>44207</v>
      </c>
      <c r="G2640">
        <v>2</v>
      </c>
      <c r="H2640">
        <v>2</v>
      </c>
      <c r="I2640">
        <v>9</v>
      </c>
      <c r="J2640">
        <v>7</v>
      </c>
      <c r="K2640">
        <v>0</v>
      </c>
      <c r="L2640">
        <v>480</v>
      </c>
      <c r="M2640">
        <v>45</v>
      </c>
      <c r="N2640" s="1">
        <f t="shared" si="328"/>
        <v>44938</v>
      </c>
      <c r="O2640" s="1">
        <f t="shared" si="329"/>
        <v>43101</v>
      </c>
      <c r="P2640" s="1">
        <f t="shared" si="330"/>
        <v>44501</v>
      </c>
      <c r="Q2640" s="8">
        <f t="shared" si="331"/>
        <v>0</v>
      </c>
      <c r="R2640" s="8">
        <f t="shared" si="332"/>
        <v>47</v>
      </c>
      <c r="S2640" s="8">
        <f t="shared" ca="1" si="333"/>
        <v>47</v>
      </c>
      <c r="T2640">
        <f t="shared" ca="1" si="334"/>
        <v>1.8851332652220703</v>
      </c>
      <c r="U2640" s="8">
        <f t="shared" ca="1" si="335"/>
        <v>1.2333004265505321</v>
      </c>
      <c r="V2640" s="8">
        <f ca="1">RawData[[#This Row],[Z (smoothed demand size)]]/RawData[[#This Row],[X (smoothed interval)]]</f>
        <v>1.5285272141636048</v>
      </c>
    </row>
    <row r="2641" spans="1:22">
      <c r="A2641" t="s">
        <v>55</v>
      </c>
      <c r="B2641" t="s">
        <v>39</v>
      </c>
      <c r="C2641">
        <v>32</v>
      </c>
      <c r="D2641" t="s">
        <v>18</v>
      </c>
      <c r="E2641" t="s">
        <v>16</v>
      </c>
      <c r="F2641" s="1">
        <v>44208</v>
      </c>
      <c r="G2641">
        <v>1</v>
      </c>
      <c r="H2641">
        <v>1</v>
      </c>
      <c r="I2641">
        <v>7</v>
      </c>
      <c r="J2641">
        <v>6</v>
      </c>
      <c r="K2641">
        <v>0</v>
      </c>
      <c r="L2641">
        <v>555</v>
      </c>
      <c r="M2641">
        <v>45</v>
      </c>
      <c r="N2641" s="1">
        <f t="shared" si="328"/>
        <v>44938</v>
      </c>
      <c r="O2641" s="1">
        <f t="shared" si="329"/>
        <v>43101</v>
      </c>
      <c r="P2641" s="1">
        <f t="shared" si="330"/>
        <v>44531</v>
      </c>
      <c r="Q2641" s="8">
        <f t="shared" si="331"/>
        <v>0</v>
      </c>
      <c r="R2641" s="8">
        <f t="shared" si="332"/>
        <v>48</v>
      </c>
      <c r="S2641" s="8">
        <f t="shared" ca="1" si="333"/>
        <v>48</v>
      </c>
      <c r="T2641">
        <f t="shared" ca="1" si="334"/>
        <v>1.7081066121776562</v>
      </c>
      <c r="U2641" s="8">
        <f t="shared" ca="1" si="335"/>
        <v>1.1866403412404256</v>
      </c>
      <c r="V2641" s="8">
        <f ca="1">RawData[[#This Row],[Z (smoothed demand size)]]/RawData[[#This Row],[X (smoothed interval)]]</f>
        <v>1.439447617626187</v>
      </c>
    </row>
    <row r="2642" spans="1:22">
      <c r="A2642" t="s">
        <v>55</v>
      </c>
      <c r="B2642" t="s">
        <v>39</v>
      </c>
      <c r="C2642">
        <v>32</v>
      </c>
      <c r="D2642" t="s">
        <v>18</v>
      </c>
      <c r="E2642" t="s">
        <v>16</v>
      </c>
      <c r="F2642" s="1">
        <v>44562</v>
      </c>
      <c r="G2642">
        <v>0</v>
      </c>
      <c r="H2642">
        <v>0</v>
      </c>
      <c r="I2642">
        <v>6</v>
      </c>
      <c r="J2642">
        <v>6</v>
      </c>
      <c r="K2642">
        <v>0</v>
      </c>
      <c r="L2642">
        <v>472</v>
      </c>
      <c r="M2642">
        <v>15</v>
      </c>
      <c r="N2642" s="1">
        <f t="shared" si="328"/>
        <v>44938</v>
      </c>
      <c r="O2642" s="1">
        <f t="shared" si="329"/>
        <v>43101</v>
      </c>
      <c r="P2642" s="1">
        <f t="shared" si="330"/>
        <v>44562</v>
      </c>
      <c r="Q2642" s="8">
        <f t="shared" si="331"/>
        <v>0</v>
      </c>
      <c r="R2642" s="8">
        <f t="shared" si="332"/>
        <v>49</v>
      </c>
      <c r="S2642" s="8">
        <f t="shared" ca="1" si="333"/>
        <v>48</v>
      </c>
      <c r="T2642">
        <f t="shared" ca="1" si="334"/>
        <v>1.7081066121776562</v>
      </c>
      <c r="U2642" s="8">
        <f t="shared" ca="1" si="335"/>
        <v>1.1866403412404256</v>
      </c>
      <c r="V2642" s="8">
        <f ca="1">RawData[[#This Row],[Z (smoothed demand size)]]/RawData[[#This Row],[X (smoothed interval)]]</f>
        <v>1.439447617626187</v>
      </c>
    </row>
    <row r="2643" spans="1:22">
      <c r="A2643" t="s">
        <v>55</v>
      </c>
      <c r="B2643" t="s">
        <v>39</v>
      </c>
      <c r="C2643">
        <v>32</v>
      </c>
      <c r="D2643" t="s">
        <v>18</v>
      </c>
      <c r="E2643" t="s">
        <v>16</v>
      </c>
      <c r="F2643" s="1">
        <v>44563</v>
      </c>
      <c r="G2643">
        <v>0</v>
      </c>
      <c r="H2643">
        <v>0</v>
      </c>
      <c r="I2643">
        <v>6</v>
      </c>
      <c r="J2643">
        <v>6</v>
      </c>
      <c r="K2643">
        <v>0</v>
      </c>
      <c r="L2643">
        <v>487</v>
      </c>
      <c r="M2643">
        <v>60</v>
      </c>
      <c r="N2643" s="1">
        <f t="shared" si="328"/>
        <v>44938</v>
      </c>
      <c r="O2643" s="1">
        <f t="shared" si="329"/>
        <v>43101</v>
      </c>
      <c r="P2643" s="1">
        <f t="shared" si="330"/>
        <v>44593</v>
      </c>
      <c r="Q2643" s="8">
        <f t="shared" si="331"/>
        <v>0</v>
      </c>
      <c r="R2643" s="8">
        <f t="shared" si="332"/>
        <v>50</v>
      </c>
      <c r="S2643" s="8">
        <f t="shared" ca="1" si="333"/>
        <v>48</v>
      </c>
      <c r="T2643">
        <f t="shared" ca="1" si="334"/>
        <v>1.7081066121776562</v>
      </c>
      <c r="U2643" s="8">
        <f t="shared" ca="1" si="335"/>
        <v>1.1866403412404256</v>
      </c>
      <c r="V2643" s="8">
        <f ca="1">RawData[[#This Row],[Z (smoothed demand size)]]/RawData[[#This Row],[X (smoothed interval)]]</f>
        <v>1.439447617626187</v>
      </c>
    </row>
    <row r="2644" spans="1:22">
      <c r="A2644" t="s">
        <v>55</v>
      </c>
      <c r="B2644" t="s">
        <v>39</v>
      </c>
      <c r="C2644">
        <v>32</v>
      </c>
      <c r="D2644" t="s">
        <v>18</v>
      </c>
      <c r="E2644" t="s">
        <v>16</v>
      </c>
      <c r="F2644" s="1">
        <v>44564</v>
      </c>
      <c r="G2644">
        <v>0</v>
      </c>
      <c r="H2644">
        <v>0</v>
      </c>
      <c r="I2644">
        <v>6</v>
      </c>
      <c r="J2644">
        <v>6</v>
      </c>
      <c r="K2644">
        <v>0</v>
      </c>
      <c r="L2644">
        <v>475</v>
      </c>
      <c r="M2644">
        <v>15</v>
      </c>
      <c r="N2644" s="1">
        <f t="shared" si="328"/>
        <v>44938</v>
      </c>
      <c r="O2644" s="1">
        <f t="shared" si="329"/>
        <v>43101</v>
      </c>
      <c r="P2644" s="1">
        <f t="shared" si="330"/>
        <v>44621</v>
      </c>
      <c r="Q2644" s="8">
        <f t="shared" si="331"/>
        <v>0</v>
      </c>
      <c r="R2644" s="8">
        <f t="shared" si="332"/>
        <v>51</v>
      </c>
      <c r="S2644" s="8">
        <f t="shared" ca="1" si="333"/>
        <v>48</v>
      </c>
      <c r="T2644">
        <f t="shared" ca="1" si="334"/>
        <v>1.7081066121776562</v>
      </c>
      <c r="U2644" s="8">
        <f t="shared" ca="1" si="335"/>
        <v>1.1866403412404256</v>
      </c>
      <c r="V2644" s="8">
        <f ca="1">RawData[[#This Row],[Z (smoothed demand size)]]/RawData[[#This Row],[X (smoothed interval)]]</f>
        <v>1.439447617626187</v>
      </c>
    </row>
    <row r="2645" spans="1:22">
      <c r="A2645" t="s">
        <v>55</v>
      </c>
      <c r="B2645" t="s">
        <v>39</v>
      </c>
      <c r="C2645">
        <v>32</v>
      </c>
      <c r="D2645" t="s">
        <v>18</v>
      </c>
      <c r="E2645" t="s">
        <v>16</v>
      </c>
      <c r="F2645" s="1">
        <v>44565</v>
      </c>
      <c r="G2645">
        <v>0</v>
      </c>
      <c r="H2645">
        <v>0</v>
      </c>
      <c r="I2645">
        <v>6</v>
      </c>
      <c r="J2645">
        <v>6</v>
      </c>
      <c r="K2645">
        <v>0</v>
      </c>
      <c r="L2645">
        <v>473</v>
      </c>
      <c r="M2645">
        <v>45</v>
      </c>
      <c r="N2645" s="1">
        <f t="shared" si="328"/>
        <v>44938</v>
      </c>
      <c r="O2645" s="1">
        <f t="shared" si="329"/>
        <v>43101</v>
      </c>
      <c r="P2645" s="1">
        <f t="shared" si="330"/>
        <v>44652</v>
      </c>
      <c r="Q2645" s="8">
        <f t="shared" si="331"/>
        <v>0</v>
      </c>
      <c r="R2645" s="8">
        <f t="shared" si="332"/>
        <v>52</v>
      </c>
      <c r="S2645" s="8">
        <f t="shared" ca="1" si="333"/>
        <v>48</v>
      </c>
      <c r="T2645">
        <f t="shared" ca="1" si="334"/>
        <v>1.7081066121776562</v>
      </c>
      <c r="U2645" s="8">
        <f t="shared" ca="1" si="335"/>
        <v>1.1866403412404256</v>
      </c>
      <c r="V2645" s="8">
        <f ca="1">RawData[[#This Row],[Z (smoothed demand size)]]/RawData[[#This Row],[X (smoothed interval)]]</f>
        <v>1.439447617626187</v>
      </c>
    </row>
    <row r="2646" spans="1:22">
      <c r="A2646" t="s">
        <v>55</v>
      </c>
      <c r="B2646" t="s">
        <v>39</v>
      </c>
      <c r="C2646">
        <v>32</v>
      </c>
      <c r="D2646" t="s">
        <v>18</v>
      </c>
      <c r="E2646" t="s">
        <v>16</v>
      </c>
      <c r="F2646" s="1">
        <v>44566</v>
      </c>
      <c r="G2646">
        <v>0</v>
      </c>
      <c r="H2646">
        <v>0</v>
      </c>
      <c r="I2646">
        <v>6</v>
      </c>
      <c r="J2646">
        <v>6</v>
      </c>
      <c r="K2646">
        <v>0</v>
      </c>
      <c r="L2646">
        <v>482</v>
      </c>
      <c r="M2646">
        <v>60</v>
      </c>
      <c r="N2646" s="1">
        <f t="shared" si="328"/>
        <v>44938</v>
      </c>
      <c r="O2646" s="1">
        <f t="shared" si="329"/>
        <v>43101</v>
      </c>
      <c r="P2646" s="1">
        <f t="shared" si="330"/>
        <v>44682</v>
      </c>
      <c r="Q2646" s="8">
        <f t="shared" si="331"/>
        <v>0</v>
      </c>
      <c r="R2646" s="8">
        <f t="shared" si="332"/>
        <v>53</v>
      </c>
      <c r="S2646" s="8">
        <f t="shared" ca="1" si="333"/>
        <v>48</v>
      </c>
      <c r="T2646">
        <f t="shared" ca="1" si="334"/>
        <v>1.7081066121776562</v>
      </c>
      <c r="U2646" s="8">
        <f t="shared" ca="1" si="335"/>
        <v>1.1866403412404256</v>
      </c>
      <c r="V2646" s="8">
        <f ca="1">RawData[[#This Row],[Z (smoothed demand size)]]/RawData[[#This Row],[X (smoothed interval)]]</f>
        <v>1.439447617626187</v>
      </c>
    </row>
    <row r="2647" spans="1:22">
      <c r="A2647" t="s">
        <v>55</v>
      </c>
      <c r="B2647" t="s">
        <v>39</v>
      </c>
      <c r="C2647">
        <v>32</v>
      </c>
      <c r="D2647" t="s">
        <v>18</v>
      </c>
      <c r="E2647" t="s">
        <v>16</v>
      </c>
      <c r="F2647" s="1">
        <v>44567</v>
      </c>
      <c r="G2647">
        <v>0</v>
      </c>
      <c r="H2647">
        <v>0</v>
      </c>
      <c r="I2647">
        <v>6</v>
      </c>
      <c r="J2647">
        <v>6</v>
      </c>
      <c r="K2647">
        <v>0</v>
      </c>
      <c r="L2647">
        <v>547</v>
      </c>
      <c r="M2647">
        <v>45</v>
      </c>
      <c r="N2647" s="1">
        <f t="shared" si="328"/>
        <v>44938</v>
      </c>
      <c r="O2647" s="1">
        <f t="shared" si="329"/>
        <v>43101</v>
      </c>
      <c r="P2647" s="1">
        <f t="shared" si="330"/>
        <v>44713</v>
      </c>
      <c r="Q2647" s="8">
        <f t="shared" si="331"/>
        <v>0</v>
      </c>
      <c r="R2647" s="8">
        <f t="shared" si="332"/>
        <v>54</v>
      </c>
      <c r="S2647" s="8">
        <f t="shared" ca="1" si="333"/>
        <v>48</v>
      </c>
      <c r="T2647">
        <f t="shared" ca="1" si="334"/>
        <v>1.7081066121776562</v>
      </c>
      <c r="U2647" s="8">
        <f t="shared" ca="1" si="335"/>
        <v>1.1866403412404256</v>
      </c>
      <c r="V2647" s="8">
        <f ca="1">RawData[[#This Row],[Z (smoothed demand size)]]/RawData[[#This Row],[X (smoothed interval)]]</f>
        <v>1.439447617626187</v>
      </c>
    </row>
    <row r="2648" spans="1:22">
      <c r="A2648" t="s">
        <v>55</v>
      </c>
      <c r="B2648" t="s">
        <v>39</v>
      </c>
      <c r="C2648">
        <v>32</v>
      </c>
      <c r="D2648" t="s">
        <v>18</v>
      </c>
      <c r="E2648" t="s">
        <v>16</v>
      </c>
      <c r="F2648" s="1">
        <v>44568</v>
      </c>
      <c r="G2648">
        <v>0</v>
      </c>
      <c r="H2648">
        <v>0</v>
      </c>
      <c r="I2648">
        <v>6</v>
      </c>
      <c r="J2648">
        <v>6</v>
      </c>
      <c r="K2648">
        <v>0</v>
      </c>
      <c r="L2648">
        <v>544</v>
      </c>
      <c r="M2648">
        <v>60</v>
      </c>
      <c r="N2648" s="1">
        <f t="shared" si="328"/>
        <v>44938</v>
      </c>
      <c r="O2648" s="1">
        <f t="shared" si="329"/>
        <v>43101</v>
      </c>
      <c r="P2648" s="1">
        <f t="shared" si="330"/>
        <v>44743</v>
      </c>
      <c r="Q2648" s="8">
        <f t="shared" si="331"/>
        <v>0</v>
      </c>
      <c r="R2648" s="8">
        <f t="shared" si="332"/>
        <v>55</v>
      </c>
      <c r="S2648" s="8">
        <f t="shared" ca="1" si="333"/>
        <v>48</v>
      </c>
      <c r="T2648">
        <f t="shared" ca="1" si="334"/>
        <v>1.7081066121776562</v>
      </c>
      <c r="U2648" s="8">
        <f t="shared" ca="1" si="335"/>
        <v>1.1866403412404256</v>
      </c>
      <c r="V2648" s="8">
        <f ca="1">RawData[[#This Row],[Z (smoothed demand size)]]/RawData[[#This Row],[X (smoothed interval)]]</f>
        <v>1.439447617626187</v>
      </c>
    </row>
    <row r="2649" spans="1:22">
      <c r="A2649" t="s">
        <v>55</v>
      </c>
      <c r="B2649" t="s">
        <v>39</v>
      </c>
      <c r="C2649">
        <v>32</v>
      </c>
      <c r="D2649" t="s">
        <v>18</v>
      </c>
      <c r="E2649" t="s">
        <v>16</v>
      </c>
      <c r="F2649" s="1">
        <v>44569</v>
      </c>
      <c r="G2649">
        <v>5</v>
      </c>
      <c r="H2649">
        <v>5</v>
      </c>
      <c r="I2649">
        <v>6</v>
      </c>
      <c r="J2649">
        <v>1</v>
      </c>
      <c r="K2649">
        <v>0</v>
      </c>
      <c r="L2649">
        <v>544</v>
      </c>
      <c r="M2649">
        <v>30</v>
      </c>
      <c r="N2649" s="1">
        <f t="shared" si="328"/>
        <v>44938</v>
      </c>
      <c r="O2649" s="1">
        <f t="shared" si="329"/>
        <v>43101</v>
      </c>
      <c r="P2649" s="1">
        <f t="shared" si="330"/>
        <v>44774</v>
      </c>
      <c r="Q2649" s="8">
        <f t="shared" si="331"/>
        <v>0</v>
      </c>
      <c r="R2649" s="8">
        <f t="shared" si="332"/>
        <v>56</v>
      </c>
      <c r="S2649" s="8">
        <f t="shared" ca="1" si="333"/>
        <v>56</v>
      </c>
      <c r="T2649">
        <f t="shared" ca="1" si="334"/>
        <v>2.3664852897421254</v>
      </c>
      <c r="U2649" s="8">
        <f t="shared" ca="1" si="335"/>
        <v>2.5493122729923408</v>
      </c>
      <c r="V2649" s="8">
        <f ca="1">RawData[[#This Row],[Z (smoothed demand size)]]/RawData[[#This Row],[X (smoothed interval)]]</f>
        <v>0.9282838021896721</v>
      </c>
    </row>
    <row r="2650" spans="1:22">
      <c r="A2650" t="s">
        <v>55</v>
      </c>
      <c r="B2650" t="s">
        <v>39</v>
      </c>
      <c r="C2650">
        <v>32</v>
      </c>
      <c r="D2650" t="s">
        <v>18</v>
      </c>
      <c r="E2650" t="s">
        <v>16</v>
      </c>
      <c r="F2650" s="1">
        <v>44570</v>
      </c>
      <c r="G2650">
        <v>1</v>
      </c>
      <c r="H2650">
        <v>1</v>
      </c>
      <c r="I2650">
        <v>9</v>
      </c>
      <c r="J2650">
        <v>8</v>
      </c>
      <c r="K2650">
        <v>0</v>
      </c>
      <c r="L2650">
        <v>485</v>
      </c>
      <c r="M2650">
        <v>45</v>
      </c>
      <c r="N2650" s="1">
        <f t="shared" si="328"/>
        <v>44938</v>
      </c>
      <c r="O2650" s="1">
        <f t="shared" si="329"/>
        <v>43101</v>
      </c>
      <c r="P2650" s="1">
        <f t="shared" si="330"/>
        <v>44805</v>
      </c>
      <c r="Q2650" s="8">
        <f t="shared" si="331"/>
        <v>0</v>
      </c>
      <c r="R2650" s="8">
        <f t="shared" si="332"/>
        <v>57</v>
      </c>
      <c r="S2650" s="8">
        <f t="shared" ca="1" si="333"/>
        <v>57</v>
      </c>
      <c r="T2650">
        <f t="shared" ca="1" si="334"/>
        <v>2.0931882317937003</v>
      </c>
      <c r="U2650" s="8">
        <f t="shared" ca="1" si="335"/>
        <v>2.2394498183938727</v>
      </c>
      <c r="V2650" s="8">
        <f ca="1">RawData[[#This Row],[Z (smoothed demand size)]]/RawData[[#This Row],[X (smoothed interval)]]</f>
        <v>0.93468860726467595</v>
      </c>
    </row>
    <row r="2651" spans="1:22">
      <c r="A2651" t="s">
        <v>55</v>
      </c>
      <c r="B2651" t="s">
        <v>39</v>
      </c>
      <c r="C2651">
        <v>32</v>
      </c>
      <c r="D2651" t="s">
        <v>18</v>
      </c>
      <c r="E2651" t="s">
        <v>16</v>
      </c>
      <c r="F2651" s="1">
        <v>44571</v>
      </c>
      <c r="G2651">
        <v>1</v>
      </c>
      <c r="H2651">
        <v>1</v>
      </c>
      <c r="I2651">
        <v>8</v>
      </c>
      <c r="J2651">
        <v>7</v>
      </c>
      <c r="K2651">
        <v>0</v>
      </c>
      <c r="L2651">
        <v>471</v>
      </c>
      <c r="M2651">
        <v>45</v>
      </c>
      <c r="N2651" s="1">
        <f t="shared" si="328"/>
        <v>44938</v>
      </c>
      <c r="O2651" s="1">
        <f t="shared" si="329"/>
        <v>43101</v>
      </c>
      <c r="P2651" s="1">
        <f t="shared" si="330"/>
        <v>44835</v>
      </c>
      <c r="Q2651" s="8">
        <f t="shared" si="331"/>
        <v>0</v>
      </c>
      <c r="R2651" s="8">
        <f t="shared" si="332"/>
        <v>58</v>
      </c>
      <c r="S2651" s="8">
        <f t="shared" ca="1" si="333"/>
        <v>58</v>
      </c>
      <c r="T2651">
        <f t="shared" ca="1" si="334"/>
        <v>1.8745505854349602</v>
      </c>
      <c r="U2651" s="8">
        <f t="shared" ca="1" si="335"/>
        <v>1.9915598547150981</v>
      </c>
      <c r="V2651" s="8">
        <f ca="1">RawData[[#This Row],[Z (smoothed demand size)]]/RawData[[#This Row],[X (smoothed interval)]]</f>
        <v>0.94124742522645566</v>
      </c>
    </row>
    <row r="2652" spans="1:22">
      <c r="A2652" t="s">
        <v>55</v>
      </c>
      <c r="B2652" t="s">
        <v>39</v>
      </c>
      <c r="C2652">
        <v>32</v>
      </c>
      <c r="D2652" t="s">
        <v>18</v>
      </c>
      <c r="E2652" t="s">
        <v>16</v>
      </c>
      <c r="F2652" s="1">
        <v>44572</v>
      </c>
      <c r="G2652">
        <v>2</v>
      </c>
      <c r="H2652">
        <v>2</v>
      </c>
      <c r="I2652">
        <v>7</v>
      </c>
      <c r="J2652">
        <v>5</v>
      </c>
      <c r="K2652">
        <v>0</v>
      </c>
      <c r="L2652">
        <v>481</v>
      </c>
      <c r="M2652">
        <v>30</v>
      </c>
      <c r="N2652" s="1">
        <f t="shared" si="328"/>
        <v>44938</v>
      </c>
      <c r="O2652" s="1">
        <f t="shared" si="329"/>
        <v>43101</v>
      </c>
      <c r="P2652" s="1">
        <f t="shared" si="330"/>
        <v>44866</v>
      </c>
      <c r="Q2652" s="8">
        <f t="shared" si="331"/>
        <v>0</v>
      </c>
      <c r="R2652" s="8">
        <f t="shared" si="332"/>
        <v>59</v>
      </c>
      <c r="S2652" s="8">
        <f t="shared" ca="1" si="333"/>
        <v>59</v>
      </c>
      <c r="T2652">
        <f t="shared" ca="1" si="334"/>
        <v>1.8996404683479682</v>
      </c>
      <c r="U2652" s="8">
        <f t="shared" ca="1" si="335"/>
        <v>1.7932478837720784</v>
      </c>
      <c r="V2652" s="8">
        <f ca="1">RawData[[#This Row],[Z (smoothed demand size)]]/RawData[[#This Row],[X (smoothed interval)]]</f>
        <v>1.0593295469849344</v>
      </c>
    </row>
    <row r="2653" spans="1:22">
      <c r="A2653" t="s">
        <v>55</v>
      </c>
      <c r="B2653" t="s">
        <v>39</v>
      </c>
      <c r="C2653">
        <v>32</v>
      </c>
      <c r="D2653" t="s">
        <v>18</v>
      </c>
      <c r="E2653" t="s">
        <v>16</v>
      </c>
      <c r="F2653" s="1">
        <v>44573</v>
      </c>
      <c r="G2653">
        <v>1</v>
      </c>
      <c r="H2653">
        <v>1</v>
      </c>
      <c r="I2653">
        <v>5</v>
      </c>
      <c r="J2653">
        <v>4</v>
      </c>
      <c r="K2653">
        <v>0</v>
      </c>
      <c r="L2653">
        <v>542</v>
      </c>
      <c r="M2653">
        <v>15</v>
      </c>
      <c r="N2653" s="1">
        <f t="shared" si="328"/>
        <v>44938</v>
      </c>
      <c r="O2653" s="1">
        <f t="shared" si="329"/>
        <v>43101</v>
      </c>
      <c r="P2653" s="1">
        <f t="shared" si="330"/>
        <v>44896</v>
      </c>
      <c r="Q2653" s="8">
        <f t="shared" si="331"/>
        <v>0</v>
      </c>
      <c r="R2653" s="8">
        <f t="shared" si="332"/>
        <v>60</v>
      </c>
      <c r="S2653" s="8">
        <f t="shared" ca="1" si="333"/>
        <v>60</v>
      </c>
      <c r="T2653">
        <f t="shared" ca="1" si="334"/>
        <v>1.7197123746783747</v>
      </c>
      <c r="U2653" s="8">
        <f t="shared" ca="1" si="335"/>
        <v>1.6345983070176628</v>
      </c>
      <c r="V2653" s="8">
        <f ca="1">RawData[[#This Row],[Z (smoothed demand size)]]/RawData[[#This Row],[X (smoothed interval)]]</f>
        <v>1.0520703265721614</v>
      </c>
    </row>
    <row r="2654" spans="1:22">
      <c r="A2654" t="s">
        <v>55</v>
      </c>
      <c r="B2654" t="s">
        <v>39</v>
      </c>
      <c r="C2654">
        <v>32</v>
      </c>
      <c r="D2654" t="s">
        <v>18</v>
      </c>
      <c r="E2654" t="s">
        <v>16</v>
      </c>
      <c r="F2654" s="1">
        <v>44927</v>
      </c>
      <c r="G2654">
        <v>0</v>
      </c>
      <c r="H2654">
        <v>0</v>
      </c>
      <c r="I2654">
        <v>4</v>
      </c>
      <c r="J2654">
        <v>4</v>
      </c>
      <c r="K2654">
        <v>0</v>
      </c>
      <c r="L2654">
        <v>471</v>
      </c>
      <c r="M2654">
        <v>30</v>
      </c>
      <c r="N2654" s="1">
        <f t="shared" si="328"/>
        <v>44938</v>
      </c>
      <c r="O2654" s="1">
        <f t="shared" si="329"/>
        <v>43101</v>
      </c>
      <c r="P2654" s="1">
        <f t="shared" si="330"/>
        <v>44927</v>
      </c>
      <c r="Q2654" s="8">
        <f t="shared" si="331"/>
        <v>0</v>
      </c>
      <c r="R2654" s="8">
        <f t="shared" si="332"/>
        <v>61</v>
      </c>
      <c r="S2654" s="8">
        <f t="shared" ca="1" si="333"/>
        <v>60</v>
      </c>
      <c r="T2654">
        <f t="shared" ca="1" si="334"/>
        <v>1.7197123746783747</v>
      </c>
      <c r="U2654" s="8">
        <f t="shared" ca="1" si="335"/>
        <v>1.6345983070176628</v>
      </c>
      <c r="V2654" s="8">
        <f ca="1">RawData[[#This Row],[Z (smoothed demand size)]]/RawData[[#This Row],[X (smoothed interval)]]</f>
        <v>1.0520703265721614</v>
      </c>
    </row>
    <row r="2655" spans="1:22">
      <c r="A2655" t="s">
        <v>55</v>
      </c>
      <c r="B2655" t="s">
        <v>39</v>
      </c>
      <c r="C2655">
        <v>32</v>
      </c>
      <c r="D2655" t="s">
        <v>18</v>
      </c>
      <c r="E2655" t="s">
        <v>16</v>
      </c>
      <c r="F2655" s="1">
        <v>44928</v>
      </c>
      <c r="G2655">
        <v>3</v>
      </c>
      <c r="H2655">
        <v>3</v>
      </c>
      <c r="I2655">
        <v>4</v>
      </c>
      <c r="J2655">
        <v>1</v>
      </c>
      <c r="K2655">
        <v>0</v>
      </c>
      <c r="L2655">
        <v>473</v>
      </c>
      <c r="M2655">
        <v>45</v>
      </c>
      <c r="N2655" s="1">
        <f t="shared" si="328"/>
        <v>44938</v>
      </c>
      <c r="O2655" s="1">
        <f t="shared" si="329"/>
        <v>43101</v>
      </c>
      <c r="P2655" s="1">
        <f t="shared" si="330"/>
        <v>44958</v>
      </c>
      <c r="Q2655" s="8">
        <f t="shared" si="331"/>
        <v>0</v>
      </c>
      <c r="R2655" s="8">
        <f t="shared" si="332"/>
        <v>62</v>
      </c>
      <c r="S2655" s="8">
        <f t="shared" ca="1" si="333"/>
        <v>62</v>
      </c>
      <c r="T2655">
        <f t="shared" ca="1" si="334"/>
        <v>1.9757698997427</v>
      </c>
      <c r="U2655" s="8">
        <f t="shared" ca="1" si="335"/>
        <v>1.7076786456141302</v>
      </c>
      <c r="V2655" s="8">
        <f ca="1">RawData[[#This Row],[Z (smoothed demand size)]]/RawData[[#This Row],[X (smoothed interval)]]</f>
        <v>1.1569916300219099</v>
      </c>
    </row>
    <row r="2656" spans="1:22">
      <c r="A2656" t="s">
        <v>55</v>
      </c>
      <c r="B2656" t="s">
        <v>39</v>
      </c>
      <c r="C2656">
        <v>32</v>
      </c>
      <c r="D2656" t="s">
        <v>18</v>
      </c>
      <c r="E2656" t="s">
        <v>16</v>
      </c>
      <c r="F2656" s="1">
        <v>44929</v>
      </c>
      <c r="G2656">
        <v>3</v>
      </c>
      <c r="H2656">
        <v>1</v>
      </c>
      <c r="I2656">
        <v>1</v>
      </c>
      <c r="J2656">
        <v>0</v>
      </c>
      <c r="K2656">
        <v>1</v>
      </c>
      <c r="L2656">
        <v>476</v>
      </c>
      <c r="M2656">
        <v>60</v>
      </c>
      <c r="N2656" s="1">
        <f t="shared" si="328"/>
        <v>44938</v>
      </c>
      <c r="O2656" s="1">
        <f t="shared" si="329"/>
        <v>43101</v>
      </c>
      <c r="P2656" s="1">
        <f t="shared" si="330"/>
        <v>44986</v>
      </c>
      <c r="Q2656" s="8">
        <f t="shared" si="331"/>
        <v>0</v>
      </c>
      <c r="R2656" s="8">
        <f t="shared" si="332"/>
        <v>63</v>
      </c>
      <c r="S2656" s="8">
        <f t="shared" ca="1" si="333"/>
        <v>63</v>
      </c>
      <c r="T2656">
        <f t="shared" ca="1" si="334"/>
        <v>2.1806159197941604</v>
      </c>
      <c r="U2656" s="8">
        <f t="shared" ca="1" si="335"/>
        <v>1.5661429164913041</v>
      </c>
      <c r="V2656" s="8">
        <f ca="1">RawData[[#This Row],[Z (smoothed demand size)]]/RawData[[#This Row],[X (smoothed interval)]]</f>
        <v>1.3923479759302466</v>
      </c>
    </row>
    <row r="2657" spans="1:22">
      <c r="A2657" t="s">
        <v>55</v>
      </c>
      <c r="B2657" t="s">
        <v>39</v>
      </c>
      <c r="C2657">
        <v>32</v>
      </c>
      <c r="D2657" t="s">
        <v>18</v>
      </c>
      <c r="E2657" t="s">
        <v>16</v>
      </c>
      <c r="F2657" s="1">
        <v>44930</v>
      </c>
      <c r="G2657">
        <v>0</v>
      </c>
      <c r="H2657">
        <v>0</v>
      </c>
      <c r="I2657">
        <v>9</v>
      </c>
      <c r="J2657">
        <v>9</v>
      </c>
      <c r="K2657">
        <v>0</v>
      </c>
      <c r="L2657">
        <v>466</v>
      </c>
      <c r="M2657">
        <v>60</v>
      </c>
      <c r="N2657" s="1">
        <f t="shared" si="328"/>
        <v>44938</v>
      </c>
      <c r="O2657" s="1">
        <f t="shared" si="329"/>
        <v>43101</v>
      </c>
      <c r="P2657" s="1">
        <f t="shared" si="330"/>
        <v>45017</v>
      </c>
      <c r="Q2657" s="8">
        <f t="shared" si="331"/>
        <v>0</v>
      </c>
      <c r="R2657" s="8">
        <f t="shared" si="332"/>
        <v>64</v>
      </c>
      <c r="S2657" s="8">
        <f t="shared" ca="1" si="333"/>
        <v>63</v>
      </c>
      <c r="T2657">
        <f t="shared" ca="1" si="334"/>
        <v>2.1806159197941604</v>
      </c>
      <c r="U2657" s="8">
        <f t="shared" ca="1" si="335"/>
        <v>1.5661429164913041</v>
      </c>
      <c r="V2657" s="8">
        <f ca="1">RawData[[#This Row],[Z (smoothed demand size)]]/RawData[[#This Row],[X (smoothed interval)]]</f>
        <v>1.3923479759302466</v>
      </c>
    </row>
    <row r="2658" spans="1:22">
      <c r="A2658" t="s">
        <v>55</v>
      </c>
      <c r="B2658" t="s">
        <v>39</v>
      </c>
      <c r="C2658">
        <v>32</v>
      </c>
      <c r="D2658" t="s">
        <v>18</v>
      </c>
      <c r="E2658" t="s">
        <v>16</v>
      </c>
      <c r="F2658" s="1">
        <v>44931</v>
      </c>
      <c r="G2658">
        <v>3</v>
      </c>
      <c r="H2658">
        <v>3</v>
      </c>
      <c r="I2658">
        <v>9</v>
      </c>
      <c r="J2658">
        <v>6</v>
      </c>
      <c r="K2658">
        <v>0</v>
      </c>
      <c r="L2658">
        <v>471</v>
      </c>
      <c r="M2658">
        <v>45</v>
      </c>
      <c r="N2658" s="1">
        <f t="shared" si="328"/>
        <v>44938</v>
      </c>
      <c r="O2658" s="1">
        <f t="shared" si="329"/>
        <v>43101</v>
      </c>
      <c r="P2658" s="1">
        <f t="shared" si="330"/>
        <v>45047</v>
      </c>
      <c r="Q2658" s="8">
        <f t="shared" si="331"/>
        <v>0</v>
      </c>
      <c r="R2658" s="8">
        <f t="shared" si="332"/>
        <v>65</v>
      </c>
      <c r="S2658" s="8">
        <f t="shared" ca="1" si="333"/>
        <v>65</v>
      </c>
      <c r="T2658">
        <f t="shared" ca="1" si="334"/>
        <v>2.3444927358353285</v>
      </c>
      <c r="U2658" s="8">
        <f t="shared" ca="1" si="335"/>
        <v>1.6529143331930434</v>
      </c>
      <c r="V2658" s="8">
        <f ca="1">RawData[[#This Row],[Z (smoothed demand size)]]/RawData[[#This Row],[X (smoothed interval)]]</f>
        <v>1.4183994226163661</v>
      </c>
    </row>
    <row r="2659" spans="1:22">
      <c r="A2659" t="s">
        <v>55</v>
      </c>
      <c r="B2659" t="s">
        <v>39</v>
      </c>
      <c r="C2659">
        <v>32</v>
      </c>
      <c r="D2659" t="s">
        <v>18</v>
      </c>
      <c r="E2659" t="s">
        <v>16</v>
      </c>
      <c r="F2659" s="1">
        <v>44932</v>
      </c>
      <c r="G2659">
        <v>0</v>
      </c>
      <c r="H2659">
        <v>0</v>
      </c>
      <c r="I2659">
        <v>6</v>
      </c>
      <c r="J2659">
        <v>6</v>
      </c>
      <c r="K2659">
        <v>0</v>
      </c>
      <c r="L2659">
        <v>550</v>
      </c>
      <c r="M2659">
        <v>30</v>
      </c>
      <c r="N2659" s="1">
        <f t="shared" si="328"/>
        <v>44938</v>
      </c>
      <c r="O2659" s="1">
        <f t="shared" si="329"/>
        <v>43101</v>
      </c>
      <c r="P2659" s="1">
        <f t="shared" si="330"/>
        <v>45078</v>
      </c>
      <c r="Q2659" s="8">
        <f t="shared" si="331"/>
        <v>0</v>
      </c>
      <c r="R2659" s="8">
        <f t="shared" si="332"/>
        <v>66</v>
      </c>
      <c r="S2659" s="8">
        <f t="shared" ca="1" si="333"/>
        <v>65</v>
      </c>
      <c r="T2659">
        <f t="shared" ca="1" si="334"/>
        <v>2.3444927358353285</v>
      </c>
      <c r="U2659" s="8">
        <f t="shared" ca="1" si="335"/>
        <v>1.6529143331930434</v>
      </c>
      <c r="V2659" s="8">
        <f ca="1">RawData[[#This Row],[Z (smoothed demand size)]]/RawData[[#This Row],[X (smoothed interval)]]</f>
        <v>1.4183994226163661</v>
      </c>
    </row>
    <row r="2660" spans="1:22">
      <c r="A2660" t="s">
        <v>55</v>
      </c>
      <c r="B2660" t="s">
        <v>39</v>
      </c>
      <c r="C2660">
        <v>32</v>
      </c>
      <c r="D2660" t="s">
        <v>18</v>
      </c>
      <c r="E2660" t="s">
        <v>16</v>
      </c>
      <c r="F2660" s="1">
        <v>44933</v>
      </c>
      <c r="G2660">
        <v>0</v>
      </c>
      <c r="H2660">
        <v>0</v>
      </c>
      <c r="I2660">
        <v>6</v>
      </c>
      <c r="J2660">
        <v>6</v>
      </c>
      <c r="K2660">
        <v>0</v>
      </c>
      <c r="L2660">
        <v>550</v>
      </c>
      <c r="M2660">
        <v>15</v>
      </c>
      <c r="N2660" s="1">
        <f t="shared" si="328"/>
        <v>44938</v>
      </c>
      <c r="O2660" s="1">
        <f t="shared" si="329"/>
        <v>43101</v>
      </c>
      <c r="P2660" s="1">
        <f t="shared" si="330"/>
        <v>45108</v>
      </c>
      <c r="Q2660" s="8">
        <f t="shared" si="331"/>
        <v>0</v>
      </c>
      <c r="R2660" s="8">
        <f t="shared" si="332"/>
        <v>67</v>
      </c>
      <c r="S2660" s="8">
        <f t="shared" ca="1" si="333"/>
        <v>65</v>
      </c>
      <c r="T2660">
        <f t="shared" ca="1" si="334"/>
        <v>2.3444927358353285</v>
      </c>
      <c r="U2660" s="8">
        <f t="shared" ca="1" si="335"/>
        <v>1.6529143331930434</v>
      </c>
      <c r="V2660" s="8">
        <f ca="1">RawData[[#This Row],[Z (smoothed demand size)]]/RawData[[#This Row],[X (smoothed interval)]]</f>
        <v>1.4183994226163661</v>
      </c>
    </row>
    <row r="2661" spans="1:22">
      <c r="A2661" t="s">
        <v>55</v>
      </c>
      <c r="B2661" t="s">
        <v>39</v>
      </c>
      <c r="C2661">
        <v>32</v>
      </c>
      <c r="D2661" t="s">
        <v>18</v>
      </c>
      <c r="E2661" t="s">
        <v>16</v>
      </c>
      <c r="F2661" s="1">
        <v>44934</v>
      </c>
      <c r="G2661">
        <v>2</v>
      </c>
      <c r="H2661">
        <v>2</v>
      </c>
      <c r="I2661">
        <v>6</v>
      </c>
      <c r="J2661">
        <v>4</v>
      </c>
      <c r="K2661">
        <v>0</v>
      </c>
      <c r="L2661">
        <v>543</v>
      </c>
      <c r="M2661">
        <v>60</v>
      </c>
      <c r="N2661" s="1">
        <f t="shared" si="328"/>
        <v>44938</v>
      </c>
      <c r="O2661" s="1">
        <f t="shared" si="329"/>
        <v>43101</v>
      </c>
      <c r="P2661" s="1">
        <f t="shared" si="330"/>
        <v>45139</v>
      </c>
      <c r="Q2661" s="8">
        <f t="shared" si="331"/>
        <v>0</v>
      </c>
      <c r="R2661" s="8">
        <f t="shared" si="332"/>
        <v>68</v>
      </c>
      <c r="S2661" s="8">
        <f t="shared" ca="1" si="333"/>
        <v>68</v>
      </c>
      <c r="T2661">
        <f t="shared" ca="1" si="334"/>
        <v>2.2755941886682627</v>
      </c>
      <c r="U2661" s="8">
        <f t="shared" ca="1" si="335"/>
        <v>1.9223314665544349</v>
      </c>
      <c r="V2661" s="8">
        <f ca="1">RawData[[#This Row],[Z (smoothed demand size)]]/RawData[[#This Row],[X (smoothed interval)]]</f>
        <v>1.1837678507895477</v>
      </c>
    </row>
    <row r="2662" spans="1:22">
      <c r="A2662" t="s">
        <v>55</v>
      </c>
      <c r="B2662" t="s">
        <v>39</v>
      </c>
      <c r="C2662">
        <v>32</v>
      </c>
      <c r="D2662" t="s">
        <v>18</v>
      </c>
      <c r="E2662" t="s">
        <v>16</v>
      </c>
      <c r="F2662" s="1">
        <v>44935</v>
      </c>
      <c r="G2662">
        <v>2</v>
      </c>
      <c r="H2662">
        <v>2</v>
      </c>
      <c r="I2662">
        <v>4</v>
      </c>
      <c r="J2662">
        <v>2</v>
      </c>
      <c r="K2662">
        <v>0</v>
      </c>
      <c r="L2662">
        <v>468</v>
      </c>
      <c r="M2662">
        <v>60</v>
      </c>
      <c r="N2662" s="1">
        <f t="shared" si="328"/>
        <v>44938</v>
      </c>
      <c r="O2662" s="1">
        <f t="shared" si="329"/>
        <v>43101</v>
      </c>
      <c r="P2662" s="1">
        <f t="shared" si="330"/>
        <v>45170</v>
      </c>
      <c r="Q2662" s="8">
        <f t="shared" si="331"/>
        <v>0</v>
      </c>
      <c r="R2662" s="8">
        <f t="shared" si="332"/>
        <v>69</v>
      </c>
      <c r="S2662" s="8">
        <f t="shared" ca="1" si="333"/>
        <v>69</v>
      </c>
      <c r="T2662">
        <f t="shared" ca="1" si="334"/>
        <v>2.2204753509346102</v>
      </c>
      <c r="U2662" s="8">
        <f t="shared" ca="1" si="335"/>
        <v>1.7378651732435479</v>
      </c>
      <c r="V2662" s="8">
        <f ca="1">RawData[[#This Row],[Z (smoothed demand size)]]/RawData[[#This Row],[X (smoothed interval)]]</f>
        <v>1.2777028880729104</v>
      </c>
    </row>
    <row r="2663" spans="1:22">
      <c r="A2663" t="s">
        <v>55</v>
      </c>
      <c r="B2663" t="s">
        <v>39</v>
      </c>
      <c r="C2663">
        <v>32</v>
      </c>
      <c r="D2663" t="s">
        <v>18</v>
      </c>
      <c r="E2663" t="s">
        <v>16</v>
      </c>
      <c r="F2663" s="1">
        <v>44936</v>
      </c>
      <c r="G2663">
        <v>5</v>
      </c>
      <c r="H2663">
        <v>2</v>
      </c>
      <c r="I2663">
        <v>2</v>
      </c>
      <c r="J2663">
        <v>0</v>
      </c>
      <c r="K2663">
        <v>1</v>
      </c>
      <c r="L2663">
        <v>475</v>
      </c>
      <c r="M2663">
        <v>15</v>
      </c>
      <c r="N2663" s="1">
        <f t="shared" si="328"/>
        <v>44938</v>
      </c>
      <c r="O2663" s="1">
        <f t="shared" si="329"/>
        <v>43101</v>
      </c>
      <c r="P2663" s="1">
        <f t="shared" si="330"/>
        <v>45200</v>
      </c>
      <c r="Q2663" s="8">
        <f t="shared" si="331"/>
        <v>0</v>
      </c>
      <c r="R2663" s="8">
        <f t="shared" si="332"/>
        <v>70</v>
      </c>
      <c r="S2663" s="8">
        <f t="shared" ca="1" si="333"/>
        <v>70</v>
      </c>
      <c r="T2663">
        <f t="shared" ca="1" si="334"/>
        <v>2.7763802807476883</v>
      </c>
      <c r="U2663" s="8">
        <f t="shared" ca="1" si="335"/>
        <v>1.5902921385948383</v>
      </c>
      <c r="V2663" s="8">
        <f ca="1">RawData[[#This Row],[Z (smoothed demand size)]]/RawData[[#This Row],[X (smoothed interval)]]</f>
        <v>1.7458303498883307</v>
      </c>
    </row>
    <row r="2664" spans="1:22">
      <c r="A2664" t="s">
        <v>55</v>
      </c>
      <c r="B2664" t="s">
        <v>39</v>
      </c>
      <c r="C2664">
        <v>32</v>
      </c>
      <c r="D2664" t="s">
        <v>18</v>
      </c>
      <c r="E2664" t="s">
        <v>16</v>
      </c>
      <c r="F2664" s="1">
        <v>44937</v>
      </c>
      <c r="G2664">
        <v>4</v>
      </c>
      <c r="H2664">
        <v>4</v>
      </c>
      <c r="I2664">
        <v>10</v>
      </c>
      <c r="J2664">
        <v>6</v>
      </c>
      <c r="K2664">
        <v>0</v>
      </c>
      <c r="L2664">
        <v>478</v>
      </c>
      <c r="M2664">
        <v>15</v>
      </c>
      <c r="N2664" s="1">
        <f t="shared" si="328"/>
        <v>44938</v>
      </c>
      <c r="O2664" s="1">
        <f t="shared" si="329"/>
        <v>43101</v>
      </c>
      <c r="P2664" s="1">
        <f t="shared" si="330"/>
        <v>45231</v>
      </c>
      <c r="Q2664" s="8">
        <f t="shared" si="331"/>
        <v>0</v>
      </c>
      <c r="R2664" s="8">
        <f t="shared" si="332"/>
        <v>71</v>
      </c>
      <c r="S2664" s="8">
        <f t="shared" ca="1" si="333"/>
        <v>71</v>
      </c>
      <c r="T2664">
        <f t="shared" ca="1" si="334"/>
        <v>3.021104224598151</v>
      </c>
      <c r="U2664" s="8">
        <f t="shared" ca="1" si="335"/>
        <v>1.4722337108758707</v>
      </c>
      <c r="V2664" s="8">
        <f ca="1">RawData[[#This Row],[Z (smoothed demand size)]]/RawData[[#This Row],[X (smoothed interval)]]</f>
        <v>2.0520547806236662</v>
      </c>
    </row>
    <row r="2665" spans="1:22">
      <c r="A2665" t="s">
        <v>55</v>
      </c>
      <c r="B2665" t="s">
        <v>39</v>
      </c>
      <c r="C2665">
        <v>32</v>
      </c>
      <c r="D2665" t="s">
        <v>18</v>
      </c>
      <c r="E2665" t="s">
        <v>16</v>
      </c>
      <c r="F2665" s="1">
        <v>44938</v>
      </c>
      <c r="G2665">
        <v>0</v>
      </c>
      <c r="H2665">
        <v>0</v>
      </c>
      <c r="I2665">
        <v>6</v>
      </c>
      <c r="J2665">
        <v>6</v>
      </c>
      <c r="K2665">
        <v>0</v>
      </c>
      <c r="L2665">
        <v>546</v>
      </c>
      <c r="M2665">
        <v>45</v>
      </c>
      <c r="N2665" s="1">
        <f t="shared" si="328"/>
        <v>44938</v>
      </c>
      <c r="O2665" s="1">
        <f t="shared" si="329"/>
        <v>43101</v>
      </c>
      <c r="P2665" s="1">
        <f t="shared" si="330"/>
        <v>45261</v>
      </c>
      <c r="Q2665" s="8">
        <f t="shared" si="331"/>
        <v>0</v>
      </c>
      <c r="R2665" s="8">
        <f t="shared" si="332"/>
        <v>72</v>
      </c>
      <c r="S2665" s="8">
        <f t="shared" ca="1" si="333"/>
        <v>71</v>
      </c>
      <c r="T2665">
        <f t="shared" ca="1" si="334"/>
        <v>3.021104224598151</v>
      </c>
      <c r="U2665" s="8">
        <f t="shared" ca="1" si="335"/>
        <v>1.4722337108758707</v>
      </c>
      <c r="V2665" s="8">
        <f ca="1">RawData[[#This Row],[Z (smoothed demand size)]]/RawData[[#This Row],[X (smoothed interval)]]</f>
        <v>2.0520547806236662</v>
      </c>
    </row>
    <row r="2666" spans="1:22">
      <c r="A2666" t="s">
        <v>56</v>
      </c>
      <c r="B2666" t="s">
        <v>39</v>
      </c>
      <c r="C2666">
        <v>28</v>
      </c>
      <c r="D2666" t="s">
        <v>22</v>
      </c>
      <c r="E2666" t="s">
        <v>16</v>
      </c>
      <c r="F2666" s="1">
        <v>43101</v>
      </c>
      <c r="G2666">
        <v>1</v>
      </c>
      <c r="H2666">
        <v>1</v>
      </c>
      <c r="I2666">
        <v>28</v>
      </c>
      <c r="J2666">
        <v>27</v>
      </c>
      <c r="K2666">
        <v>0</v>
      </c>
      <c r="L2666">
        <v>555</v>
      </c>
      <c r="M2666">
        <v>15</v>
      </c>
      <c r="N2666" s="1">
        <f t="shared" si="328"/>
        <v>44938</v>
      </c>
      <c r="O2666" s="1">
        <f t="shared" si="329"/>
        <v>43101</v>
      </c>
      <c r="P2666" s="1">
        <f t="shared" si="330"/>
        <v>43101</v>
      </c>
      <c r="Q2666" s="8">
        <f t="shared" si="331"/>
        <v>1</v>
      </c>
      <c r="R2666" s="8">
        <f t="shared" si="332"/>
        <v>1</v>
      </c>
      <c r="S2666" s="8">
        <f t="shared" ca="1" si="333"/>
        <v>1</v>
      </c>
      <c r="T2666">
        <f t="shared" ca="1" si="334"/>
        <v>1</v>
      </c>
      <c r="U2666" s="8">
        <f t="shared" ca="1" si="335"/>
        <v>1</v>
      </c>
      <c r="V2666" s="8">
        <f ca="1">RawData[[#This Row],[Z (smoothed demand size)]]/RawData[[#This Row],[X (smoothed interval)]]</f>
        <v>1</v>
      </c>
    </row>
    <row r="2667" spans="1:22">
      <c r="A2667" t="s">
        <v>56</v>
      </c>
      <c r="B2667" t="s">
        <v>39</v>
      </c>
      <c r="C2667">
        <v>28</v>
      </c>
      <c r="D2667" t="s">
        <v>22</v>
      </c>
      <c r="E2667" t="s">
        <v>16</v>
      </c>
      <c r="F2667" s="1">
        <v>43102</v>
      </c>
      <c r="G2667">
        <v>0</v>
      </c>
      <c r="H2667">
        <v>0</v>
      </c>
      <c r="I2667">
        <v>27</v>
      </c>
      <c r="J2667">
        <v>27</v>
      </c>
      <c r="K2667">
        <v>0</v>
      </c>
      <c r="L2667">
        <v>538</v>
      </c>
      <c r="M2667">
        <v>30</v>
      </c>
      <c r="N2667" s="1">
        <f t="shared" si="328"/>
        <v>44938</v>
      </c>
      <c r="O2667" s="1">
        <f t="shared" si="329"/>
        <v>43101</v>
      </c>
      <c r="P2667" s="1">
        <f t="shared" si="330"/>
        <v>43132</v>
      </c>
      <c r="Q2667" s="8">
        <f t="shared" si="331"/>
        <v>0</v>
      </c>
      <c r="R2667" s="8">
        <f t="shared" si="332"/>
        <v>2</v>
      </c>
      <c r="S2667" s="8">
        <f t="shared" ca="1" si="333"/>
        <v>1</v>
      </c>
      <c r="T2667">
        <f t="shared" ca="1" si="334"/>
        <v>1</v>
      </c>
      <c r="U2667" s="8">
        <f t="shared" ca="1" si="335"/>
        <v>1</v>
      </c>
      <c r="V2667" s="8">
        <f ca="1">RawData[[#This Row],[Z (smoothed demand size)]]/RawData[[#This Row],[X (smoothed interval)]]</f>
        <v>1</v>
      </c>
    </row>
    <row r="2668" spans="1:22">
      <c r="A2668" t="s">
        <v>56</v>
      </c>
      <c r="B2668" t="s">
        <v>39</v>
      </c>
      <c r="C2668">
        <v>28</v>
      </c>
      <c r="D2668" t="s">
        <v>22</v>
      </c>
      <c r="E2668" t="s">
        <v>16</v>
      </c>
      <c r="F2668" s="1">
        <v>43103</v>
      </c>
      <c r="G2668">
        <v>0</v>
      </c>
      <c r="H2668">
        <v>0</v>
      </c>
      <c r="I2668">
        <v>27</v>
      </c>
      <c r="J2668">
        <v>27</v>
      </c>
      <c r="K2668">
        <v>0</v>
      </c>
      <c r="L2668">
        <v>537</v>
      </c>
      <c r="M2668">
        <v>60</v>
      </c>
      <c r="N2668" s="1">
        <f t="shared" si="328"/>
        <v>44938</v>
      </c>
      <c r="O2668" s="1">
        <f t="shared" si="329"/>
        <v>43101</v>
      </c>
      <c r="P2668" s="1">
        <f t="shared" si="330"/>
        <v>43160</v>
      </c>
      <c r="Q2668" s="8">
        <f t="shared" si="331"/>
        <v>0</v>
      </c>
      <c r="R2668" s="8">
        <f t="shared" si="332"/>
        <v>3</v>
      </c>
      <c r="S2668" s="8">
        <f t="shared" ca="1" si="333"/>
        <v>1</v>
      </c>
      <c r="T2668">
        <f t="shared" ca="1" si="334"/>
        <v>1</v>
      </c>
      <c r="U2668" s="8">
        <f t="shared" ca="1" si="335"/>
        <v>1</v>
      </c>
      <c r="V2668" s="8">
        <f ca="1">RawData[[#This Row],[Z (smoothed demand size)]]/RawData[[#This Row],[X (smoothed interval)]]</f>
        <v>1</v>
      </c>
    </row>
    <row r="2669" spans="1:22">
      <c r="A2669" t="s">
        <v>56</v>
      </c>
      <c r="B2669" t="s">
        <v>39</v>
      </c>
      <c r="C2669">
        <v>28</v>
      </c>
      <c r="D2669" t="s">
        <v>22</v>
      </c>
      <c r="E2669" t="s">
        <v>16</v>
      </c>
      <c r="F2669" s="1">
        <v>43104</v>
      </c>
      <c r="G2669">
        <v>0</v>
      </c>
      <c r="H2669">
        <v>0</v>
      </c>
      <c r="I2669">
        <v>27</v>
      </c>
      <c r="J2669">
        <v>27</v>
      </c>
      <c r="K2669">
        <v>0</v>
      </c>
      <c r="L2669">
        <v>542</v>
      </c>
      <c r="M2669">
        <v>30</v>
      </c>
      <c r="N2669" s="1">
        <f t="shared" si="328"/>
        <v>44938</v>
      </c>
      <c r="O2669" s="1">
        <f t="shared" si="329"/>
        <v>43101</v>
      </c>
      <c r="P2669" s="1">
        <f t="shared" si="330"/>
        <v>43191</v>
      </c>
      <c r="Q2669" s="8">
        <f t="shared" si="331"/>
        <v>0</v>
      </c>
      <c r="R2669" s="8">
        <f t="shared" si="332"/>
        <v>4</v>
      </c>
      <c r="S2669" s="8">
        <f t="shared" ca="1" si="333"/>
        <v>1</v>
      </c>
      <c r="T2669">
        <f t="shared" ca="1" si="334"/>
        <v>1</v>
      </c>
      <c r="U2669" s="8">
        <f t="shared" ca="1" si="335"/>
        <v>1</v>
      </c>
      <c r="V2669" s="8">
        <f ca="1">RawData[[#This Row],[Z (smoothed demand size)]]/RawData[[#This Row],[X (smoothed interval)]]</f>
        <v>1</v>
      </c>
    </row>
    <row r="2670" spans="1:22">
      <c r="A2670" t="s">
        <v>56</v>
      </c>
      <c r="B2670" t="s">
        <v>39</v>
      </c>
      <c r="C2670">
        <v>28</v>
      </c>
      <c r="D2670" t="s">
        <v>22</v>
      </c>
      <c r="E2670" t="s">
        <v>16</v>
      </c>
      <c r="F2670" s="1">
        <v>43105</v>
      </c>
      <c r="G2670">
        <v>0</v>
      </c>
      <c r="H2670">
        <v>0</v>
      </c>
      <c r="I2670">
        <v>27</v>
      </c>
      <c r="J2670">
        <v>27</v>
      </c>
      <c r="K2670">
        <v>0</v>
      </c>
      <c r="L2670">
        <v>534</v>
      </c>
      <c r="M2670">
        <v>45</v>
      </c>
      <c r="N2670" s="1">
        <f t="shared" si="328"/>
        <v>44938</v>
      </c>
      <c r="O2670" s="1">
        <f t="shared" si="329"/>
        <v>43101</v>
      </c>
      <c r="P2670" s="1">
        <f t="shared" si="330"/>
        <v>43221</v>
      </c>
      <c r="Q2670" s="8">
        <f t="shared" si="331"/>
        <v>0</v>
      </c>
      <c r="R2670" s="8">
        <f t="shared" si="332"/>
        <v>5</v>
      </c>
      <c r="S2670" s="8">
        <f t="shared" ca="1" si="333"/>
        <v>1</v>
      </c>
      <c r="T2670">
        <f t="shared" ca="1" si="334"/>
        <v>1</v>
      </c>
      <c r="U2670" s="8">
        <f t="shared" ca="1" si="335"/>
        <v>1</v>
      </c>
      <c r="V2670" s="8">
        <f ca="1">RawData[[#This Row],[Z (smoothed demand size)]]/RawData[[#This Row],[X (smoothed interval)]]</f>
        <v>1</v>
      </c>
    </row>
    <row r="2671" spans="1:22">
      <c r="A2671" t="s">
        <v>56</v>
      </c>
      <c r="B2671" t="s">
        <v>39</v>
      </c>
      <c r="C2671">
        <v>28</v>
      </c>
      <c r="D2671" t="s">
        <v>22</v>
      </c>
      <c r="E2671" t="s">
        <v>16</v>
      </c>
      <c r="F2671" s="1">
        <v>43106</v>
      </c>
      <c r="G2671">
        <v>0</v>
      </c>
      <c r="H2671">
        <v>0</v>
      </c>
      <c r="I2671">
        <v>27</v>
      </c>
      <c r="J2671">
        <v>27</v>
      </c>
      <c r="K2671">
        <v>0</v>
      </c>
      <c r="L2671">
        <v>629</v>
      </c>
      <c r="M2671">
        <v>15</v>
      </c>
      <c r="N2671" s="1">
        <f t="shared" si="328"/>
        <v>44938</v>
      </c>
      <c r="O2671" s="1">
        <f t="shared" si="329"/>
        <v>43101</v>
      </c>
      <c r="P2671" s="1">
        <f t="shared" si="330"/>
        <v>43252</v>
      </c>
      <c r="Q2671" s="8">
        <f t="shared" si="331"/>
        <v>0</v>
      </c>
      <c r="R2671" s="8">
        <f t="shared" si="332"/>
        <v>6</v>
      </c>
      <c r="S2671" s="8">
        <f t="shared" ca="1" si="333"/>
        <v>1</v>
      </c>
      <c r="T2671">
        <f t="shared" ca="1" si="334"/>
        <v>1</v>
      </c>
      <c r="U2671" s="8">
        <f t="shared" ca="1" si="335"/>
        <v>1</v>
      </c>
      <c r="V2671" s="8">
        <f ca="1">RawData[[#This Row],[Z (smoothed demand size)]]/RawData[[#This Row],[X (smoothed interval)]]</f>
        <v>1</v>
      </c>
    </row>
    <row r="2672" spans="1:22">
      <c r="A2672" t="s">
        <v>56</v>
      </c>
      <c r="B2672" t="s">
        <v>39</v>
      </c>
      <c r="C2672">
        <v>28</v>
      </c>
      <c r="D2672" t="s">
        <v>22</v>
      </c>
      <c r="E2672" t="s">
        <v>16</v>
      </c>
      <c r="F2672" s="1">
        <v>43107</v>
      </c>
      <c r="G2672">
        <v>3</v>
      </c>
      <c r="H2672">
        <v>3</v>
      </c>
      <c r="I2672">
        <v>27</v>
      </c>
      <c r="J2672">
        <v>24</v>
      </c>
      <c r="K2672">
        <v>0</v>
      </c>
      <c r="L2672">
        <v>616</v>
      </c>
      <c r="M2672">
        <v>45</v>
      </c>
      <c r="N2672" s="1">
        <f t="shared" si="328"/>
        <v>44938</v>
      </c>
      <c r="O2672" s="1">
        <f t="shared" si="329"/>
        <v>43101</v>
      </c>
      <c r="P2672" s="1">
        <f t="shared" si="330"/>
        <v>43282</v>
      </c>
      <c r="Q2672" s="8">
        <f t="shared" si="331"/>
        <v>0</v>
      </c>
      <c r="R2672" s="8">
        <f t="shared" si="332"/>
        <v>7</v>
      </c>
      <c r="S2672" s="8">
        <f t="shared" ca="1" si="333"/>
        <v>7</v>
      </c>
      <c r="T2672">
        <f t="shared" ca="1" si="334"/>
        <v>1.4000000000000001</v>
      </c>
      <c r="U2672" s="8">
        <f t="shared" ca="1" si="335"/>
        <v>2</v>
      </c>
      <c r="V2672" s="8">
        <f ca="1">RawData[[#This Row],[Z (smoothed demand size)]]/RawData[[#This Row],[X (smoothed interval)]]</f>
        <v>0.70000000000000007</v>
      </c>
    </row>
    <row r="2673" spans="1:22">
      <c r="A2673" t="s">
        <v>56</v>
      </c>
      <c r="B2673" t="s">
        <v>39</v>
      </c>
      <c r="C2673">
        <v>28</v>
      </c>
      <c r="D2673" t="s">
        <v>22</v>
      </c>
      <c r="E2673" t="s">
        <v>16</v>
      </c>
      <c r="F2673" s="1">
        <v>43108</v>
      </c>
      <c r="G2673">
        <v>2</v>
      </c>
      <c r="H2673">
        <v>2</v>
      </c>
      <c r="I2673">
        <v>24</v>
      </c>
      <c r="J2673">
        <v>22</v>
      </c>
      <c r="K2673">
        <v>0</v>
      </c>
      <c r="L2673">
        <v>617</v>
      </c>
      <c r="M2673">
        <v>30</v>
      </c>
      <c r="N2673" s="1">
        <f t="shared" si="328"/>
        <v>44938</v>
      </c>
      <c r="O2673" s="1">
        <f t="shared" si="329"/>
        <v>43101</v>
      </c>
      <c r="P2673" s="1">
        <f t="shared" si="330"/>
        <v>43313</v>
      </c>
      <c r="Q2673" s="8">
        <f t="shared" si="331"/>
        <v>0</v>
      </c>
      <c r="R2673" s="8">
        <f t="shared" si="332"/>
        <v>8</v>
      </c>
      <c r="S2673" s="8">
        <f t="shared" ca="1" si="333"/>
        <v>8</v>
      </c>
      <c r="T2673">
        <f t="shared" ca="1" si="334"/>
        <v>1.52</v>
      </c>
      <c r="U2673" s="8">
        <f t="shared" ca="1" si="335"/>
        <v>1.8</v>
      </c>
      <c r="V2673" s="8">
        <f ca="1">RawData[[#This Row],[Z (smoothed demand size)]]/RawData[[#This Row],[X (smoothed interval)]]</f>
        <v>0.84444444444444444</v>
      </c>
    </row>
    <row r="2674" spans="1:22">
      <c r="A2674" t="s">
        <v>56</v>
      </c>
      <c r="B2674" t="s">
        <v>39</v>
      </c>
      <c r="C2674">
        <v>28</v>
      </c>
      <c r="D2674" t="s">
        <v>22</v>
      </c>
      <c r="E2674" t="s">
        <v>16</v>
      </c>
      <c r="F2674" s="1">
        <v>43109</v>
      </c>
      <c r="G2674">
        <v>0</v>
      </c>
      <c r="H2674">
        <v>0</v>
      </c>
      <c r="I2674">
        <v>22</v>
      </c>
      <c r="J2674">
        <v>22</v>
      </c>
      <c r="K2674">
        <v>0</v>
      </c>
      <c r="L2674">
        <v>545</v>
      </c>
      <c r="M2674">
        <v>15</v>
      </c>
      <c r="N2674" s="1">
        <f t="shared" si="328"/>
        <v>44938</v>
      </c>
      <c r="O2674" s="1">
        <f t="shared" si="329"/>
        <v>43101</v>
      </c>
      <c r="P2674" s="1">
        <f t="shared" si="330"/>
        <v>43344</v>
      </c>
      <c r="Q2674" s="8">
        <f t="shared" si="331"/>
        <v>0</v>
      </c>
      <c r="R2674" s="8">
        <f t="shared" si="332"/>
        <v>9</v>
      </c>
      <c r="S2674" s="8">
        <f t="shared" ca="1" si="333"/>
        <v>8</v>
      </c>
      <c r="T2674">
        <f t="shared" ca="1" si="334"/>
        <v>1.52</v>
      </c>
      <c r="U2674" s="8">
        <f t="shared" ca="1" si="335"/>
        <v>1.8</v>
      </c>
      <c r="V2674" s="8">
        <f ca="1">RawData[[#This Row],[Z (smoothed demand size)]]/RawData[[#This Row],[X (smoothed interval)]]</f>
        <v>0.84444444444444444</v>
      </c>
    </row>
    <row r="2675" spans="1:22">
      <c r="A2675" t="s">
        <v>56</v>
      </c>
      <c r="B2675" t="s">
        <v>39</v>
      </c>
      <c r="C2675">
        <v>28</v>
      </c>
      <c r="D2675" t="s">
        <v>22</v>
      </c>
      <c r="E2675" t="s">
        <v>16</v>
      </c>
      <c r="F2675" s="1">
        <v>43110</v>
      </c>
      <c r="G2675">
        <v>0</v>
      </c>
      <c r="H2675">
        <v>0</v>
      </c>
      <c r="I2675">
        <v>22</v>
      </c>
      <c r="J2675">
        <v>22</v>
      </c>
      <c r="K2675">
        <v>0</v>
      </c>
      <c r="L2675">
        <v>542</v>
      </c>
      <c r="M2675">
        <v>30</v>
      </c>
      <c r="N2675" s="1">
        <f t="shared" si="328"/>
        <v>44938</v>
      </c>
      <c r="O2675" s="1">
        <f t="shared" si="329"/>
        <v>43101</v>
      </c>
      <c r="P2675" s="1">
        <f t="shared" si="330"/>
        <v>43374</v>
      </c>
      <c r="Q2675" s="8">
        <f t="shared" si="331"/>
        <v>0</v>
      </c>
      <c r="R2675" s="8">
        <f t="shared" si="332"/>
        <v>10</v>
      </c>
      <c r="S2675" s="8">
        <f t="shared" ca="1" si="333"/>
        <v>8</v>
      </c>
      <c r="T2675">
        <f t="shared" ca="1" si="334"/>
        <v>1.52</v>
      </c>
      <c r="U2675" s="8">
        <f t="shared" ca="1" si="335"/>
        <v>1.8</v>
      </c>
      <c r="V2675" s="8">
        <f ca="1">RawData[[#This Row],[Z (smoothed demand size)]]/RawData[[#This Row],[X (smoothed interval)]]</f>
        <v>0.84444444444444444</v>
      </c>
    </row>
    <row r="2676" spans="1:22">
      <c r="A2676" t="s">
        <v>56</v>
      </c>
      <c r="B2676" t="s">
        <v>39</v>
      </c>
      <c r="C2676">
        <v>28</v>
      </c>
      <c r="D2676" t="s">
        <v>22</v>
      </c>
      <c r="E2676" t="s">
        <v>16</v>
      </c>
      <c r="F2676" s="1">
        <v>43111</v>
      </c>
      <c r="G2676">
        <v>3</v>
      </c>
      <c r="H2676">
        <v>3</v>
      </c>
      <c r="I2676">
        <v>22</v>
      </c>
      <c r="J2676">
        <v>19</v>
      </c>
      <c r="K2676">
        <v>0</v>
      </c>
      <c r="L2676">
        <v>542</v>
      </c>
      <c r="M2676">
        <v>60</v>
      </c>
      <c r="N2676" s="1">
        <f t="shared" si="328"/>
        <v>44938</v>
      </c>
      <c r="O2676" s="1">
        <f t="shared" si="329"/>
        <v>43101</v>
      </c>
      <c r="P2676" s="1">
        <f t="shared" si="330"/>
        <v>43405</v>
      </c>
      <c r="Q2676" s="8">
        <f t="shared" si="331"/>
        <v>0</v>
      </c>
      <c r="R2676" s="8">
        <f t="shared" si="332"/>
        <v>11</v>
      </c>
      <c r="S2676" s="8">
        <f t="shared" ca="1" si="333"/>
        <v>11</v>
      </c>
      <c r="T2676">
        <f t="shared" ca="1" si="334"/>
        <v>1.8160000000000003</v>
      </c>
      <c r="U2676" s="8">
        <f t="shared" ca="1" si="335"/>
        <v>2.04</v>
      </c>
      <c r="V2676" s="8">
        <f ca="1">RawData[[#This Row],[Z (smoothed demand size)]]/RawData[[#This Row],[X (smoothed interval)]]</f>
        <v>0.89019607843137272</v>
      </c>
    </row>
    <row r="2677" spans="1:22">
      <c r="A2677" t="s">
        <v>56</v>
      </c>
      <c r="B2677" t="s">
        <v>39</v>
      </c>
      <c r="C2677">
        <v>28</v>
      </c>
      <c r="D2677" t="s">
        <v>22</v>
      </c>
      <c r="E2677" t="s">
        <v>16</v>
      </c>
      <c r="F2677" s="1">
        <v>43112</v>
      </c>
      <c r="G2677">
        <v>4</v>
      </c>
      <c r="H2677">
        <v>4</v>
      </c>
      <c r="I2677">
        <v>19</v>
      </c>
      <c r="J2677">
        <v>15</v>
      </c>
      <c r="K2677">
        <v>0</v>
      </c>
      <c r="L2677">
        <v>614</v>
      </c>
      <c r="M2677">
        <v>15</v>
      </c>
      <c r="N2677" s="1">
        <f t="shared" si="328"/>
        <v>44938</v>
      </c>
      <c r="O2677" s="1">
        <f t="shared" si="329"/>
        <v>43101</v>
      </c>
      <c r="P2677" s="1">
        <f t="shared" si="330"/>
        <v>43435</v>
      </c>
      <c r="Q2677" s="8">
        <f t="shared" si="331"/>
        <v>0</v>
      </c>
      <c r="R2677" s="8">
        <f t="shared" si="332"/>
        <v>12</v>
      </c>
      <c r="S2677" s="8">
        <f t="shared" ca="1" si="333"/>
        <v>12</v>
      </c>
      <c r="T2677">
        <f t="shared" ca="1" si="334"/>
        <v>2.2528000000000006</v>
      </c>
      <c r="U2677" s="8">
        <f t="shared" ca="1" si="335"/>
        <v>1.8320000000000001</v>
      </c>
      <c r="V2677" s="8">
        <f ca="1">RawData[[#This Row],[Z (smoothed demand size)]]/RawData[[#This Row],[X (smoothed interval)]]</f>
        <v>1.2296943231441051</v>
      </c>
    </row>
    <row r="2678" spans="1:22">
      <c r="A2678" t="s">
        <v>56</v>
      </c>
      <c r="B2678" t="s">
        <v>39</v>
      </c>
      <c r="C2678">
        <v>28</v>
      </c>
      <c r="D2678" t="s">
        <v>22</v>
      </c>
      <c r="E2678" t="s">
        <v>16</v>
      </c>
      <c r="F2678" s="1">
        <v>43466</v>
      </c>
      <c r="G2678">
        <v>0</v>
      </c>
      <c r="H2678">
        <v>0</v>
      </c>
      <c r="I2678">
        <v>15</v>
      </c>
      <c r="J2678">
        <v>15</v>
      </c>
      <c r="K2678">
        <v>0</v>
      </c>
      <c r="L2678">
        <v>545</v>
      </c>
      <c r="M2678">
        <v>60</v>
      </c>
      <c r="N2678" s="1">
        <f t="shared" si="328"/>
        <v>44938</v>
      </c>
      <c r="O2678" s="1">
        <f t="shared" si="329"/>
        <v>43101</v>
      </c>
      <c r="P2678" s="1">
        <f t="shared" si="330"/>
        <v>43466</v>
      </c>
      <c r="Q2678" s="8">
        <f t="shared" si="331"/>
        <v>0</v>
      </c>
      <c r="R2678" s="8">
        <f t="shared" si="332"/>
        <v>13</v>
      </c>
      <c r="S2678" s="8">
        <f t="shared" ca="1" si="333"/>
        <v>12</v>
      </c>
      <c r="T2678">
        <f t="shared" ca="1" si="334"/>
        <v>2.2528000000000006</v>
      </c>
      <c r="U2678" s="8">
        <f t="shared" ca="1" si="335"/>
        <v>1.8320000000000001</v>
      </c>
      <c r="V2678" s="8">
        <f ca="1">RawData[[#This Row],[Z (smoothed demand size)]]/RawData[[#This Row],[X (smoothed interval)]]</f>
        <v>1.2296943231441051</v>
      </c>
    </row>
    <row r="2679" spans="1:22">
      <c r="A2679" t="s">
        <v>56</v>
      </c>
      <c r="B2679" t="s">
        <v>39</v>
      </c>
      <c r="C2679">
        <v>28</v>
      </c>
      <c r="D2679" t="s">
        <v>22</v>
      </c>
      <c r="E2679" t="s">
        <v>16</v>
      </c>
      <c r="F2679" s="1">
        <v>43467</v>
      </c>
      <c r="G2679">
        <v>0</v>
      </c>
      <c r="H2679">
        <v>0</v>
      </c>
      <c r="I2679">
        <v>15</v>
      </c>
      <c r="J2679">
        <v>15</v>
      </c>
      <c r="K2679">
        <v>0</v>
      </c>
      <c r="L2679">
        <v>534</v>
      </c>
      <c r="M2679">
        <v>30</v>
      </c>
      <c r="N2679" s="1">
        <f t="shared" si="328"/>
        <v>44938</v>
      </c>
      <c r="O2679" s="1">
        <f t="shared" si="329"/>
        <v>43101</v>
      </c>
      <c r="P2679" s="1">
        <f t="shared" si="330"/>
        <v>43497</v>
      </c>
      <c r="Q2679" s="8">
        <f t="shared" si="331"/>
        <v>0</v>
      </c>
      <c r="R2679" s="8">
        <f t="shared" si="332"/>
        <v>14</v>
      </c>
      <c r="S2679" s="8">
        <f t="shared" ca="1" si="333"/>
        <v>12</v>
      </c>
      <c r="T2679">
        <f t="shared" ca="1" si="334"/>
        <v>2.2528000000000006</v>
      </c>
      <c r="U2679" s="8">
        <f t="shared" ca="1" si="335"/>
        <v>1.8320000000000001</v>
      </c>
      <c r="V2679" s="8">
        <f ca="1">RawData[[#This Row],[Z (smoothed demand size)]]/RawData[[#This Row],[X (smoothed interval)]]</f>
        <v>1.2296943231441051</v>
      </c>
    </row>
    <row r="2680" spans="1:22">
      <c r="A2680" t="s">
        <v>56</v>
      </c>
      <c r="B2680" t="s">
        <v>39</v>
      </c>
      <c r="C2680">
        <v>28</v>
      </c>
      <c r="D2680" t="s">
        <v>22</v>
      </c>
      <c r="E2680" t="s">
        <v>16</v>
      </c>
      <c r="F2680" s="1">
        <v>43468</v>
      </c>
      <c r="G2680">
        <v>3</v>
      </c>
      <c r="H2680">
        <v>3</v>
      </c>
      <c r="I2680">
        <v>15</v>
      </c>
      <c r="J2680">
        <v>12</v>
      </c>
      <c r="K2680">
        <v>0</v>
      </c>
      <c r="L2680">
        <v>530</v>
      </c>
      <c r="M2680">
        <v>30</v>
      </c>
      <c r="N2680" s="1">
        <f t="shared" si="328"/>
        <v>44938</v>
      </c>
      <c r="O2680" s="1">
        <f t="shared" si="329"/>
        <v>43101</v>
      </c>
      <c r="P2680" s="1">
        <f t="shared" si="330"/>
        <v>43525</v>
      </c>
      <c r="Q2680" s="8">
        <f t="shared" si="331"/>
        <v>0</v>
      </c>
      <c r="R2680" s="8">
        <f t="shared" si="332"/>
        <v>15</v>
      </c>
      <c r="S2680" s="8">
        <f t="shared" ca="1" si="333"/>
        <v>15</v>
      </c>
      <c r="T2680">
        <f t="shared" ca="1" si="334"/>
        <v>2.4022400000000008</v>
      </c>
      <c r="U2680" s="8">
        <f t="shared" ca="1" si="335"/>
        <v>2.0656000000000003</v>
      </c>
      <c r="V2680" s="8">
        <f ca="1">RawData[[#This Row],[Z (smoothed demand size)]]/RawData[[#This Row],[X (smoothed interval)]]</f>
        <v>1.1629744384198297</v>
      </c>
    </row>
    <row r="2681" spans="1:22">
      <c r="A2681" t="s">
        <v>56</v>
      </c>
      <c r="B2681" t="s">
        <v>39</v>
      </c>
      <c r="C2681">
        <v>28</v>
      </c>
      <c r="D2681" t="s">
        <v>22</v>
      </c>
      <c r="E2681" t="s">
        <v>16</v>
      </c>
      <c r="F2681" s="1">
        <v>43469</v>
      </c>
      <c r="G2681">
        <v>4</v>
      </c>
      <c r="H2681">
        <v>4</v>
      </c>
      <c r="I2681">
        <v>12</v>
      </c>
      <c r="J2681">
        <v>8</v>
      </c>
      <c r="K2681">
        <v>0</v>
      </c>
      <c r="L2681">
        <v>541</v>
      </c>
      <c r="M2681">
        <v>15</v>
      </c>
      <c r="N2681" s="1">
        <f t="shared" si="328"/>
        <v>44938</v>
      </c>
      <c r="O2681" s="1">
        <f t="shared" si="329"/>
        <v>43101</v>
      </c>
      <c r="P2681" s="1">
        <f t="shared" si="330"/>
        <v>43556</v>
      </c>
      <c r="Q2681" s="8">
        <f t="shared" si="331"/>
        <v>0</v>
      </c>
      <c r="R2681" s="8">
        <f t="shared" si="332"/>
        <v>16</v>
      </c>
      <c r="S2681" s="8">
        <f t="shared" ca="1" si="333"/>
        <v>16</v>
      </c>
      <c r="T2681">
        <f t="shared" ca="1" si="334"/>
        <v>2.7217920000000007</v>
      </c>
      <c r="U2681" s="8">
        <f t="shared" ca="1" si="335"/>
        <v>1.8524800000000003</v>
      </c>
      <c r="V2681" s="8">
        <f ca="1">RawData[[#This Row],[Z (smoothed demand size)]]/RawData[[#This Row],[X (smoothed interval)]]</f>
        <v>1.4692693038521334</v>
      </c>
    </row>
    <row r="2682" spans="1:22">
      <c r="A2682" t="s">
        <v>56</v>
      </c>
      <c r="B2682" t="s">
        <v>39</v>
      </c>
      <c r="C2682">
        <v>28</v>
      </c>
      <c r="D2682" t="s">
        <v>22</v>
      </c>
      <c r="E2682" t="s">
        <v>16</v>
      </c>
      <c r="F2682" s="1">
        <v>43470</v>
      </c>
      <c r="G2682">
        <v>0</v>
      </c>
      <c r="H2682">
        <v>0</v>
      </c>
      <c r="I2682">
        <v>8</v>
      </c>
      <c r="J2682">
        <v>8</v>
      </c>
      <c r="K2682">
        <v>0</v>
      </c>
      <c r="L2682">
        <v>538</v>
      </c>
      <c r="M2682">
        <v>15</v>
      </c>
      <c r="N2682" s="1">
        <f t="shared" si="328"/>
        <v>44938</v>
      </c>
      <c r="O2682" s="1">
        <f t="shared" si="329"/>
        <v>43101</v>
      </c>
      <c r="P2682" s="1">
        <f t="shared" si="330"/>
        <v>43586</v>
      </c>
      <c r="Q2682" s="8">
        <f t="shared" si="331"/>
        <v>0</v>
      </c>
      <c r="R2682" s="8">
        <f t="shared" si="332"/>
        <v>17</v>
      </c>
      <c r="S2682" s="8">
        <f t="shared" ca="1" si="333"/>
        <v>16</v>
      </c>
      <c r="T2682">
        <f t="shared" ca="1" si="334"/>
        <v>2.7217920000000007</v>
      </c>
      <c r="U2682" s="8">
        <f t="shared" ca="1" si="335"/>
        <v>1.8524800000000003</v>
      </c>
      <c r="V2682" s="8">
        <f ca="1">RawData[[#This Row],[Z (smoothed demand size)]]/RawData[[#This Row],[X (smoothed interval)]]</f>
        <v>1.4692693038521334</v>
      </c>
    </row>
    <row r="2683" spans="1:22">
      <c r="A2683" t="s">
        <v>56</v>
      </c>
      <c r="B2683" t="s">
        <v>39</v>
      </c>
      <c r="C2683">
        <v>28</v>
      </c>
      <c r="D2683" t="s">
        <v>22</v>
      </c>
      <c r="E2683" t="s">
        <v>16</v>
      </c>
      <c r="F2683" s="1">
        <v>43471</v>
      </c>
      <c r="G2683">
        <v>6</v>
      </c>
      <c r="H2683">
        <v>6</v>
      </c>
      <c r="I2683">
        <v>8</v>
      </c>
      <c r="J2683">
        <v>2</v>
      </c>
      <c r="K2683">
        <v>0</v>
      </c>
      <c r="L2683">
        <v>619</v>
      </c>
      <c r="M2683">
        <v>60</v>
      </c>
      <c r="N2683" s="1">
        <f t="shared" si="328"/>
        <v>44938</v>
      </c>
      <c r="O2683" s="1">
        <f t="shared" si="329"/>
        <v>43101</v>
      </c>
      <c r="P2683" s="1">
        <f t="shared" si="330"/>
        <v>43617</v>
      </c>
      <c r="Q2683" s="8">
        <f t="shared" si="331"/>
        <v>0</v>
      </c>
      <c r="R2683" s="8">
        <f t="shared" si="332"/>
        <v>18</v>
      </c>
      <c r="S2683" s="8">
        <f t="shared" ca="1" si="333"/>
        <v>18</v>
      </c>
      <c r="T2683">
        <f t="shared" ca="1" si="334"/>
        <v>3.3774336000000007</v>
      </c>
      <c r="U2683" s="8">
        <f t="shared" ca="1" si="335"/>
        <v>1.8819840000000005</v>
      </c>
      <c r="V2683" s="8">
        <f ca="1">RawData[[#This Row],[Z (smoothed demand size)]]/RawData[[#This Row],[X (smoothed interval)]]</f>
        <v>1.7946133442154661</v>
      </c>
    </row>
    <row r="2684" spans="1:22">
      <c r="A2684" t="s">
        <v>56</v>
      </c>
      <c r="B2684" t="s">
        <v>39</v>
      </c>
      <c r="C2684">
        <v>28</v>
      </c>
      <c r="D2684" t="s">
        <v>22</v>
      </c>
      <c r="E2684" t="s">
        <v>16</v>
      </c>
      <c r="F2684" s="1">
        <v>43472</v>
      </c>
      <c r="G2684">
        <v>7</v>
      </c>
      <c r="H2684">
        <v>2</v>
      </c>
      <c r="I2684">
        <v>2</v>
      </c>
      <c r="J2684">
        <v>0</v>
      </c>
      <c r="K2684">
        <v>1</v>
      </c>
      <c r="L2684">
        <v>624</v>
      </c>
      <c r="M2684">
        <v>45</v>
      </c>
      <c r="N2684" s="1">
        <f t="shared" si="328"/>
        <v>44938</v>
      </c>
      <c r="O2684" s="1">
        <f t="shared" si="329"/>
        <v>43101</v>
      </c>
      <c r="P2684" s="1">
        <f t="shared" si="330"/>
        <v>43647</v>
      </c>
      <c r="Q2684" s="8">
        <f t="shared" si="331"/>
        <v>0</v>
      </c>
      <c r="R2684" s="8">
        <f t="shared" si="332"/>
        <v>19</v>
      </c>
      <c r="S2684" s="8">
        <f t="shared" ca="1" si="333"/>
        <v>19</v>
      </c>
      <c r="T2684">
        <f t="shared" ca="1" si="334"/>
        <v>4.1019468800000007</v>
      </c>
      <c r="U2684" s="8">
        <f t="shared" ca="1" si="335"/>
        <v>1.7055872000000005</v>
      </c>
      <c r="V2684" s="8">
        <f ca="1">RawData[[#This Row],[Z (smoothed demand size)]]/RawData[[#This Row],[X (smoothed interval)]]</f>
        <v>2.4050056660837975</v>
      </c>
    </row>
    <row r="2685" spans="1:22">
      <c r="A2685" t="s">
        <v>56</v>
      </c>
      <c r="B2685" t="s">
        <v>39</v>
      </c>
      <c r="C2685">
        <v>28</v>
      </c>
      <c r="D2685" t="s">
        <v>22</v>
      </c>
      <c r="E2685" t="s">
        <v>16</v>
      </c>
      <c r="F2685" s="1">
        <v>43473</v>
      </c>
      <c r="G2685">
        <v>1</v>
      </c>
      <c r="H2685">
        <v>1</v>
      </c>
      <c r="I2685">
        <v>9</v>
      </c>
      <c r="J2685">
        <v>8</v>
      </c>
      <c r="K2685">
        <v>0</v>
      </c>
      <c r="L2685">
        <v>618</v>
      </c>
      <c r="M2685">
        <v>15</v>
      </c>
      <c r="N2685" s="1">
        <f t="shared" si="328"/>
        <v>44938</v>
      </c>
      <c r="O2685" s="1">
        <f t="shared" si="329"/>
        <v>43101</v>
      </c>
      <c r="P2685" s="1">
        <f t="shared" si="330"/>
        <v>43678</v>
      </c>
      <c r="Q2685" s="8">
        <f t="shared" si="331"/>
        <v>0</v>
      </c>
      <c r="R2685" s="8">
        <f t="shared" si="332"/>
        <v>20</v>
      </c>
      <c r="S2685" s="8">
        <f t="shared" ca="1" si="333"/>
        <v>20</v>
      </c>
      <c r="T2685">
        <f t="shared" ca="1" si="334"/>
        <v>3.4815575040000009</v>
      </c>
      <c r="U2685" s="8">
        <f t="shared" ca="1" si="335"/>
        <v>1.5644697600000004</v>
      </c>
      <c r="V2685" s="8">
        <f ca="1">RawData[[#This Row],[Z (smoothed demand size)]]/RawData[[#This Row],[X (smoothed interval)]]</f>
        <v>2.2253913709396338</v>
      </c>
    </row>
    <row r="2686" spans="1:22">
      <c r="A2686" t="s">
        <v>56</v>
      </c>
      <c r="B2686" t="s">
        <v>39</v>
      </c>
      <c r="C2686">
        <v>28</v>
      </c>
      <c r="D2686" t="s">
        <v>22</v>
      </c>
      <c r="E2686" t="s">
        <v>16</v>
      </c>
      <c r="F2686" s="1">
        <v>43474</v>
      </c>
      <c r="G2686">
        <v>6</v>
      </c>
      <c r="H2686">
        <v>6</v>
      </c>
      <c r="I2686">
        <v>8</v>
      </c>
      <c r="J2686">
        <v>2</v>
      </c>
      <c r="K2686">
        <v>0</v>
      </c>
      <c r="L2686">
        <v>530</v>
      </c>
      <c r="M2686">
        <v>15</v>
      </c>
      <c r="N2686" s="1">
        <f t="shared" si="328"/>
        <v>44938</v>
      </c>
      <c r="O2686" s="1">
        <f t="shared" si="329"/>
        <v>43101</v>
      </c>
      <c r="P2686" s="1">
        <f t="shared" si="330"/>
        <v>43709</v>
      </c>
      <c r="Q2686" s="8">
        <f t="shared" si="331"/>
        <v>0</v>
      </c>
      <c r="R2686" s="8">
        <f t="shared" si="332"/>
        <v>21</v>
      </c>
      <c r="S2686" s="8">
        <f t="shared" ca="1" si="333"/>
        <v>21</v>
      </c>
      <c r="T2686">
        <f t="shared" ca="1" si="334"/>
        <v>3.9852460032000012</v>
      </c>
      <c r="U2686" s="8">
        <f t="shared" ca="1" si="335"/>
        <v>1.4515758080000003</v>
      </c>
      <c r="V2686" s="8">
        <f ca="1">RawData[[#This Row],[Z (smoothed demand size)]]/RawData[[#This Row],[X (smoothed interval)]]</f>
        <v>2.7454618499676733</v>
      </c>
    </row>
    <row r="2687" spans="1:22">
      <c r="A2687" t="s">
        <v>56</v>
      </c>
      <c r="B2687" t="s">
        <v>39</v>
      </c>
      <c r="C2687">
        <v>28</v>
      </c>
      <c r="D2687" t="s">
        <v>22</v>
      </c>
      <c r="E2687" t="s">
        <v>16</v>
      </c>
      <c r="F2687" s="1">
        <v>43475</v>
      </c>
      <c r="G2687">
        <v>0</v>
      </c>
      <c r="H2687">
        <v>0</v>
      </c>
      <c r="I2687">
        <v>12</v>
      </c>
      <c r="J2687">
        <v>12</v>
      </c>
      <c r="K2687">
        <v>0</v>
      </c>
      <c r="L2687">
        <v>538</v>
      </c>
      <c r="M2687">
        <v>45</v>
      </c>
      <c r="N2687" s="1">
        <f t="shared" si="328"/>
        <v>44938</v>
      </c>
      <c r="O2687" s="1">
        <f t="shared" si="329"/>
        <v>43101</v>
      </c>
      <c r="P2687" s="1">
        <f t="shared" si="330"/>
        <v>43739</v>
      </c>
      <c r="Q2687" s="8">
        <f t="shared" si="331"/>
        <v>0</v>
      </c>
      <c r="R2687" s="8">
        <f t="shared" si="332"/>
        <v>22</v>
      </c>
      <c r="S2687" s="8">
        <f t="shared" ca="1" si="333"/>
        <v>21</v>
      </c>
      <c r="T2687">
        <f t="shared" ca="1" si="334"/>
        <v>3.9852460032000012</v>
      </c>
      <c r="U2687" s="8">
        <f t="shared" ca="1" si="335"/>
        <v>1.4515758080000003</v>
      </c>
      <c r="V2687" s="8">
        <f ca="1">RawData[[#This Row],[Z (smoothed demand size)]]/RawData[[#This Row],[X (smoothed interval)]]</f>
        <v>2.7454618499676733</v>
      </c>
    </row>
    <row r="2688" spans="1:22">
      <c r="A2688" t="s">
        <v>56</v>
      </c>
      <c r="B2688" t="s">
        <v>39</v>
      </c>
      <c r="C2688">
        <v>28</v>
      </c>
      <c r="D2688" t="s">
        <v>22</v>
      </c>
      <c r="E2688" t="s">
        <v>16</v>
      </c>
      <c r="F2688" s="1">
        <v>43476</v>
      </c>
      <c r="G2688">
        <v>0</v>
      </c>
      <c r="H2688">
        <v>0</v>
      </c>
      <c r="I2688">
        <v>12</v>
      </c>
      <c r="J2688">
        <v>12</v>
      </c>
      <c r="K2688">
        <v>0</v>
      </c>
      <c r="L2688">
        <v>541</v>
      </c>
      <c r="M2688">
        <v>45</v>
      </c>
      <c r="N2688" s="1">
        <f t="shared" si="328"/>
        <v>44938</v>
      </c>
      <c r="O2688" s="1">
        <f t="shared" si="329"/>
        <v>43101</v>
      </c>
      <c r="P2688" s="1">
        <f t="shared" si="330"/>
        <v>43770</v>
      </c>
      <c r="Q2688" s="8">
        <f t="shared" si="331"/>
        <v>0</v>
      </c>
      <c r="R2688" s="8">
        <f t="shared" si="332"/>
        <v>23</v>
      </c>
      <c r="S2688" s="8">
        <f t="shared" ca="1" si="333"/>
        <v>21</v>
      </c>
      <c r="T2688">
        <f t="shared" ca="1" si="334"/>
        <v>3.9852460032000012</v>
      </c>
      <c r="U2688" s="8">
        <f t="shared" ca="1" si="335"/>
        <v>1.4515758080000003</v>
      </c>
      <c r="V2688" s="8">
        <f ca="1">RawData[[#This Row],[Z (smoothed demand size)]]/RawData[[#This Row],[X (smoothed interval)]]</f>
        <v>2.7454618499676733</v>
      </c>
    </row>
    <row r="2689" spans="1:22">
      <c r="A2689" t="s">
        <v>56</v>
      </c>
      <c r="B2689" t="s">
        <v>39</v>
      </c>
      <c r="C2689">
        <v>28</v>
      </c>
      <c r="D2689" t="s">
        <v>22</v>
      </c>
      <c r="E2689" t="s">
        <v>16</v>
      </c>
      <c r="F2689" s="1">
        <v>43477</v>
      </c>
      <c r="G2689">
        <v>5</v>
      </c>
      <c r="H2689">
        <v>5</v>
      </c>
      <c r="I2689">
        <v>12</v>
      </c>
      <c r="J2689">
        <v>7</v>
      </c>
      <c r="K2689">
        <v>0</v>
      </c>
      <c r="L2689">
        <v>621</v>
      </c>
      <c r="M2689">
        <v>45</v>
      </c>
      <c r="N2689" s="1">
        <f t="shared" si="328"/>
        <v>44938</v>
      </c>
      <c r="O2689" s="1">
        <f t="shared" si="329"/>
        <v>43101</v>
      </c>
      <c r="P2689" s="1">
        <f t="shared" si="330"/>
        <v>43800</v>
      </c>
      <c r="Q2689" s="8">
        <f t="shared" si="331"/>
        <v>0</v>
      </c>
      <c r="R2689" s="8">
        <f t="shared" si="332"/>
        <v>24</v>
      </c>
      <c r="S2689" s="8">
        <f t="shared" ca="1" si="333"/>
        <v>24</v>
      </c>
      <c r="T2689">
        <f t="shared" ca="1" si="334"/>
        <v>4.1881968025600012</v>
      </c>
      <c r="U2689" s="8">
        <f t="shared" ca="1" si="335"/>
        <v>1.7612606464000005</v>
      </c>
      <c r="V2689" s="8">
        <f ca="1">RawData[[#This Row],[Z (smoothed demand size)]]/RawData[[#This Row],[X (smoothed interval)]]</f>
        <v>2.3779540019364167</v>
      </c>
    </row>
    <row r="2690" spans="1:22">
      <c r="A2690" t="s">
        <v>56</v>
      </c>
      <c r="B2690" t="s">
        <v>39</v>
      </c>
      <c r="C2690">
        <v>28</v>
      </c>
      <c r="D2690" t="s">
        <v>22</v>
      </c>
      <c r="E2690" t="s">
        <v>16</v>
      </c>
      <c r="F2690" s="1">
        <v>43831</v>
      </c>
      <c r="G2690">
        <v>1</v>
      </c>
      <c r="H2690">
        <v>1</v>
      </c>
      <c r="I2690">
        <v>7</v>
      </c>
      <c r="J2690">
        <v>6</v>
      </c>
      <c r="K2690">
        <v>0</v>
      </c>
      <c r="L2690">
        <v>537</v>
      </c>
      <c r="M2690">
        <v>30</v>
      </c>
      <c r="N2690" s="1">
        <f t="shared" ref="N2690:N2753" si="336">MAX(F:F)</f>
        <v>44938</v>
      </c>
      <c r="O2690" s="1">
        <f t="shared" ref="O2690:O2753" si="337">MIN(F:F)</f>
        <v>43101</v>
      </c>
      <c r="P2690" s="1">
        <f t="shared" ref="P2690:P2753" si="338">DATE(YEAR(F2690), DAY(F2690), 1)</f>
        <v>43831</v>
      </c>
      <c r="Q2690" s="8">
        <f t="shared" ref="Q2690:Q2753" si="339" xml:space="preserve"> IF(A2690&lt;&gt;A2689, 1, 0)</f>
        <v>0</v>
      </c>
      <c r="R2690" s="8">
        <f t="shared" ref="R2690:R2753" si="340">IF(Q2690=1,1,R2689+1)</f>
        <v>25</v>
      </c>
      <c r="S2690" s="8">
        <f t="shared" ref="S2690:S2753" ca="1" si="341" xml:space="preserve"> IF(Q2690=1, IF(G2690&gt;0, R2690, 0), IF(G2690&gt;0, R2690, OFFSET(S2690,-1,0)))</f>
        <v>25</v>
      </c>
      <c r="T2690">
        <f t="shared" ref="T2690:T2753" ca="1" si="342" xml:space="preserve"> IF(Q2690=1, IF(G2690&gt;0, G2690, 0), IF(G2690&gt;0, $X$1*G2690+(1-$X$1)*OFFSET(T2690,-1,0), OFFSET(T2690,-1,0)))</f>
        <v>3.5505574420480013</v>
      </c>
      <c r="U2690" s="8">
        <f t="shared" ref="U2690:U2753" ca="1" si="343" xml:space="preserve"> IF(Q2690=1, 1, IF(G2690&gt;0, $X$1*(R2690-OFFSET(S2690,-1,0))+(1-$X$1)*OFFSET(U2690,-1,0), OFFSET(U2690,-1,0)))</f>
        <v>1.6090085171200004</v>
      </c>
      <c r="V2690" s="8">
        <f ca="1">RawData[[#This Row],[Z (smoothed demand size)]]/RawData[[#This Row],[X (smoothed interval)]]</f>
        <v>2.2066741128277072</v>
      </c>
    </row>
    <row r="2691" spans="1:22">
      <c r="A2691" t="s">
        <v>56</v>
      </c>
      <c r="B2691" t="s">
        <v>39</v>
      </c>
      <c r="C2691">
        <v>28</v>
      </c>
      <c r="D2691" t="s">
        <v>22</v>
      </c>
      <c r="E2691" t="s">
        <v>16</v>
      </c>
      <c r="F2691" s="1">
        <v>43832</v>
      </c>
      <c r="G2691">
        <v>0</v>
      </c>
      <c r="H2691">
        <v>0</v>
      </c>
      <c r="I2691">
        <v>6</v>
      </c>
      <c r="J2691">
        <v>6</v>
      </c>
      <c r="K2691">
        <v>0</v>
      </c>
      <c r="L2691">
        <v>551</v>
      </c>
      <c r="M2691">
        <v>45</v>
      </c>
      <c r="N2691" s="1">
        <f t="shared" si="336"/>
        <v>44938</v>
      </c>
      <c r="O2691" s="1">
        <f t="shared" si="337"/>
        <v>43101</v>
      </c>
      <c r="P2691" s="1">
        <f t="shared" si="338"/>
        <v>43862</v>
      </c>
      <c r="Q2691" s="8">
        <f t="shared" si="339"/>
        <v>0</v>
      </c>
      <c r="R2691" s="8">
        <f t="shared" si="340"/>
        <v>26</v>
      </c>
      <c r="S2691" s="8">
        <f t="shared" ca="1" si="341"/>
        <v>25</v>
      </c>
      <c r="T2691">
        <f t="shared" ca="1" si="342"/>
        <v>3.5505574420480013</v>
      </c>
      <c r="U2691" s="8">
        <f t="shared" ca="1" si="343"/>
        <v>1.6090085171200004</v>
      </c>
      <c r="V2691" s="8">
        <f ca="1">RawData[[#This Row],[Z (smoothed demand size)]]/RawData[[#This Row],[X (smoothed interval)]]</f>
        <v>2.2066741128277072</v>
      </c>
    </row>
    <row r="2692" spans="1:22">
      <c r="A2692" t="s">
        <v>56</v>
      </c>
      <c r="B2692" t="s">
        <v>39</v>
      </c>
      <c r="C2692">
        <v>28</v>
      </c>
      <c r="D2692" t="s">
        <v>22</v>
      </c>
      <c r="E2692" t="s">
        <v>16</v>
      </c>
      <c r="F2692" s="1">
        <v>43833</v>
      </c>
      <c r="G2692">
        <v>2</v>
      </c>
      <c r="H2692">
        <v>2</v>
      </c>
      <c r="I2692">
        <v>6</v>
      </c>
      <c r="J2692">
        <v>4</v>
      </c>
      <c r="K2692">
        <v>0</v>
      </c>
      <c r="L2692">
        <v>547</v>
      </c>
      <c r="M2692">
        <v>60</v>
      </c>
      <c r="N2692" s="1">
        <f t="shared" si="336"/>
        <v>44938</v>
      </c>
      <c r="O2692" s="1">
        <f t="shared" si="337"/>
        <v>43101</v>
      </c>
      <c r="P2692" s="1">
        <f t="shared" si="338"/>
        <v>43891</v>
      </c>
      <c r="Q2692" s="8">
        <f t="shared" si="339"/>
        <v>0</v>
      </c>
      <c r="R2692" s="8">
        <f t="shared" si="340"/>
        <v>27</v>
      </c>
      <c r="S2692" s="8">
        <f t="shared" ca="1" si="341"/>
        <v>27</v>
      </c>
      <c r="T2692">
        <f t="shared" ca="1" si="342"/>
        <v>3.2404459536384009</v>
      </c>
      <c r="U2692" s="8">
        <f t="shared" ca="1" si="343"/>
        <v>1.6872068136960006</v>
      </c>
      <c r="V2692" s="8">
        <f ca="1">RawData[[#This Row],[Z (smoothed demand size)]]/RawData[[#This Row],[X (smoothed interval)]]</f>
        <v>1.9205979535726683</v>
      </c>
    </row>
    <row r="2693" spans="1:22">
      <c r="A2693" t="s">
        <v>56</v>
      </c>
      <c r="B2693" t="s">
        <v>39</v>
      </c>
      <c r="C2693">
        <v>28</v>
      </c>
      <c r="D2693" t="s">
        <v>22</v>
      </c>
      <c r="E2693" t="s">
        <v>16</v>
      </c>
      <c r="F2693" s="1">
        <v>43834</v>
      </c>
      <c r="G2693">
        <v>0</v>
      </c>
      <c r="H2693">
        <v>0</v>
      </c>
      <c r="I2693">
        <v>4</v>
      </c>
      <c r="J2693">
        <v>4</v>
      </c>
      <c r="K2693">
        <v>0</v>
      </c>
      <c r="L2693">
        <v>531</v>
      </c>
      <c r="M2693">
        <v>45</v>
      </c>
      <c r="N2693" s="1">
        <f t="shared" si="336"/>
        <v>44938</v>
      </c>
      <c r="O2693" s="1">
        <f t="shared" si="337"/>
        <v>43101</v>
      </c>
      <c r="P2693" s="1">
        <f t="shared" si="338"/>
        <v>43922</v>
      </c>
      <c r="Q2693" s="8">
        <f t="shared" si="339"/>
        <v>0</v>
      </c>
      <c r="R2693" s="8">
        <f t="shared" si="340"/>
        <v>28</v>
      </c>
      <c r="S2693" s="8">
        <f t="shared" ca="1" si="341"/>
        <v>27</v>
      </c>
      <c r="T2693">
        <f t="shared" ca="1" si="342"/>
        <v>3.2404459536384009</v>
      </c>
      <c r="U2693" s="8">
        <f t="shared" ca="1" si="343"/>
        <v>1.6872068136960006</v>
      </c>
      <c r="V2693" s="8">
        <f ca="1">RawData[[#This Row],[Z (smoothed demand size)]]/RawData[[#This Row],[X (smoothed interval)]]</f>
        <v>1.9205979535726683</v>
      </c>
    </row>
    <row r="2694" spans="1:22">
      <c r="A2694" t="s">
        <v>56</v>
      </c>
      <c r="B2694" t="s">
        <v>39</v>
      </c>
      <c r="C2694">
        <v>28</v>
      </c>
      <c r="D2694" t="s">
        <v>22</v>
      </c>
      <c r="E2694" t="s">
        <v>16</v>
      </c>
      <c r="F2694" s="1">
        <v>43835</v>
      </c>
      <c r="G2694">
        <v>4</v>
      </c>
      <c r="H2694">
        <v>4</v>
      </c>
      <c r="I2694">
        <v>4</v>
      </c>
      <c r="J2694">
        <v>0</v>
      </c>
      <c r="K2694">
        <v>0</v>
      </c>
      <c r="L2694">
        <v>530</v>
      </c>
      <c r="M2694">
        <v>60</v>
      </c>
      <c r="N2694" s="1">
        <f t="shared" si="336"/>
        <v>44938</v>
      </c>
      <c r="O2694" s="1">
        <f t="shared" si="337"/>
        <v>43101</v>
      </c>
      <c r="P2694" s="1">
        <f t="shared" si="338"/>
        <v>43952</v>
      </c>
      <c r="Q2694" s="8">
        <f t="shared" si="339"/>
        <v>0</v>
      </c>
      <c r="R2694" s="8">
        <f t="shared" si="340"/>
        <v>29</v>
      </c>
      <c r="S2694" s="8">
        <f t="shared" ca="1" si="341"/>
        <v>29</v>
      </c>
      <c r="T2694">
        <f t="shared" ca="1" si="342"/>
        <v>3.3923567629107207</v>
      </c>
      <c r="U2694" s="8">
        <f t="shared" ca="1" si="343"/>
        <v>1.7497654509568004</v>
      </c>
      <c r="V2694" s="8">
        <f ca="1">RawData[[#This Row],[Z (smoothed demand size)]]/RawData[[#This Row],[X (smoothed interval)]]</f>
        <v>1.9387494255619944</v>
      </c>
    </row>
    <row r="2695" spans="1:22">
      <c r="A2695" t="s">
        <v>56</v>
      </c>
      <c r="B2695" t="s">
        <v>39</v>
      </c>
      <c r="C2695">
        <v>28</v>
      </c>
      <c r="D2695" t="s">
        <v>22</v>
      </c>
      <c r="E2695" t="s">
        <v>16</v>
      </c>
      <c r="F2695" s="1">
        <v>43836</v>
      </c>
      <c r="G2695">
        <v>1</v>
      </c>
      <c r="H2695">
        <v>0</v>
      </c>
      <c r="I2695">
        <v>0</v>
      </c>
      <c r="J2695">
        <v>0</v>
      </c>
      <c r="K2695">
        <v>1</v>
      </c>
      <c r="L2695">
        <v>627</v>
      </c>
      <c r="M2695">
        <v>60</v>
      </c>
      <c r="N2695" s="1">
        <f t="shared" si="336"/>
        <v>44938</v>
      </c>
      <c r="O2695" s="1">
        <f t="shared" si="337"/>
        <v>43101</v>
      </c>
      <c r="P2695" s="1">
        <f t="shared" si="338"/>
        <v>43983</v>
      </c>
      <c r="Q2695" s="8">
        <f t="shared" si="339"/>
        <v>0</v>
      </c>
      <c r="R2695" s="8">
        <f t="shared" si="340"/>
        <v>30</v>
      </c>
      <c r="S2695" s="8">
        <f t="shared" ca="1" si="341"/>
        <v>30</v>
      </c>
      <c r="T2695">
        <f t="shared" ca="1" si="342"/>
        <v>2.913885410328577</v>
      </c>
      <c r="U2695" s="8">
        <f t="shared" ca="1" si="343"/>
        <v>1.5998123607654404</v>
      </c>
      <c r="V2695" s="8">
        <f ca="1">RawData[[#This Row],[Z (smoothed demand size)]]/RawData[[#This Row],[X (smoothed interval)]]</f>
        <v>1.8213919843289683</v>
      </c>
    </row>
    <row r="2696" spans="1:22">
      <c r="A2696" t="s">
        <v>56</v>
      </c>
      <c r="B2696" t="s">
        <v>39</v>
      </c>
      <c r="C2696">
        <v>28</v>
      </c>
      <c r="D2696" t="s">
        <v>22</v>
      </c>
      <c r="E2696" t="s">
        <v>16</v>
      </c>
      <c r="F2696" s="1">
        <v>43837</v>
      </c>
      <c r="G2696">
        <v>5</v>
      </c>
      <c r="H2696">
        <v>5</v>
      </c>
      <c r="I2696">
        <v>12</v>
      </c>
      <c r="J2696">
        <v>7</v>
      </c>
      <c r="K2696">
        <v>0</v>
      </c>
      <c r="L2696">
        <v>625</v>
      </c>
      <c r="M2696">
        <v>60</v>
      </c>
      <c r="N2696" s="1">
        <f t="shared" si="336"/>
        <v>44938</v>
      </c>
      <c r="O2696" s="1">
        <f t="shared" si="337"/>
        <v>43101</v>
      </c>
      <c r="P2696" s="1">
        <f t="shared" si="338"/>
        <v>44013</v>
      </c>
      <c r="Q2696" s="8">
        <f t="shared" si="339"/>
        <v>0</v>
      </c>
      <c r="R2696" s="8">
        <f t="shared" si="340"/>
        <v>31</v>
      </c>
      <c r="S2696" s="8">
        <f t="shared" ca="1" si="341"/>
        <v>31</v>
      </c>
      <c r="T2696">
        <f t="shared" ca="1" si="342"/>
        <v>3.3311083282628617</v>
      </c>
      <c r="U2696" s="8">
        <f t="shared" ca="1" si="343"/>
        <v>1.4798498886123523</v>
      </c>
      <c r="V2696" s="8">
        <f ca="1">RawData[[#This Row],[Z (smoothed demand size)]]/RawData[[#This Row],[X (smoothed interval)]]</f>
        <v>2.2509771794397504</v>
      </c>
    </row>
    <row r="2697" spans="1:22">
      <c r="A2697" t="s">
        <v>56</v>
      </c>
      <c r="B2697" t="s">
        <v>39</v>
      </c>
      <c r="C2697">
        <v>28</v>
      </c>
      <c r="D2697" t="s">
        <v>22</v>
      </c>
      <c r="E2697" t="s">
        <v>16</v>
      </c>
      <c r="F2697" s="1">
        <v>43838</v>
      </c>
      <c r="G2697">
        <v>0</v>
      </c>
      <c r="H2697">
        <v>0</v>
      </c>
      <c r="I2697">
        <v>7</v>
      </c>
      <c r="J2697">
        <v>7</v>
      </c>
      <c r="K2697">
        <v>0</v>
      </c>
      <c r="L2697">
        <v>628</v>
      </c>
      <c r="M2697">
        <v>45</v>
      </c>
      <c r="N2697" s="1">
        <f t="shared" si="336"/>
        <v>44938</v>
      </c>
      <c r="O2697" s="1">
        <f t="shared" si="337"/>
        <v>43101</v>
      </c>
      <c r="P2697" s="1">
        <f t="shared" si="338"/>
        <v>44044</v>
      </c>
      <c r="Q2697" s="8">
        <f t="shared" si="339"/>
        <v>0</v>
      </c>
      <c r="R2697" s="8">
        <f t="shared" si="340"/>
        <v>32</v>
      </c>
      <c r="S2697" s="8">
        <f t="shared" ca="1" si="341"/>
        <v>31</v>
      </c>
      <c r="T2697">
        <f t="shared" ca="1" si="342"/>
        <v>3.3311083282628617</v>
      </c>
      <c r="U2697" s="8">
        <f t="shared" ca="1" si="343"/>
        <v>1.4798498886123523</v>
      </c>
      <c r="V2697" s="8">
        <f ca="1">RawData[[#This Row],[Z (smoothed demand size)]]/RawData[[#This Row],[X (smoothed interval)]]</f>
        <v>2.2509771794397504</v>
      </c>
    </row>
    <row r="2698" spans="1:22">
      <c r="A2698" t="s">
        <v>56</v>
      </c>
      <c r="B2698" t="s">
        <v>39</v>
      </c>
      <c r="C2698">
        <v>28</v>
      </c>
      <c r="D2698" t="s">
        <v>22</v>
      </c>
      <c r="E2698" t="s">
        <v>16</v>
      </c>
      <c r="F2698" s="1">
        <v>43839</v>
      </c>
      <c r="G2698">
        <v>0</v>
      </c>
      <c r="H2698">
        <v>0</v>
      </c>
      <c r="I2698">
        <v>7</v>
      </c>
      <c r="J2698">
        <v>7</v>
      </c>
      <c r="K2698">
        <v>0</v>
      </c>
      <c r="L2698">
        <v>535</v>
      </c>
      <c r="M2698">
        <v>15</v>
      </c>
      <c r="N2698" s="1">
        <f t="shared" si="336"/>
        <v>44938</v>
      </c>
      <c r="O2698" s="1">
        <f t="shared" si="337"/>
        <v>43101</v>
      </c>
      <c r="P2698" s="1">
        <f t="shared" si="338"/>
        <v>44075</v>
      </c>
      <c r="Q2698" s="8">
        <f t="shared" si="339"/>
        <v>0</v>
      </c>
      <c r="R2698" s="8">
        <f t="shared" si="340"/>
        <v>33</v>
      </c>
      <c r="S2698" s="8">
        <f t="shared" ca="1" si="341"/>
        <v>31</v>
      </c>
      <c r="T2698">
        <f t="shared" ca="1" si="342"/>
        <v>3.3311083282628617</v>
      </c>
      <c r="U2698" s="8">
        <f t="shared" ca="1" si="343"/>
        <v>1.4798498886123523</v>
      </c>
      <c r="V2698" s="8">
        <f ca="1">RawData[[#This Row],[Z (smoothed demand size)]]/RawData[[#This Row],[X (smoothed interval)]]</f>
        <v>2.2509771794397504</v>
      </c>
    </row>
    <row r="2699" spans="1:22">
      <c r="A2699" t="s">
        <v>56</v>
      </c>
      <c r="B2699" t="s">
        <v>39</v>
      </c>
      <c r="C2699">
        <v>28</v>
      </c>
      <c r="D2699" t="s">
        <v>22</v>
      </c>
      <c r="E2699" t="s">
        <v>16</v>
      </c>
      <c r="F2699" s="1">
        <v>43840</v>
      </c>
      <c r="G2699">
        <v>0</v>
      </c>
      <c r="H2699">
        <v>0</v>
      </c>
      <c r="I2699">
        <v>7</v>
      </c>
      <c r="J2699">
        <v>7</v>
      </c>
      <c r="K2699">
        <v>0</v>
      </c>
      <c r="L2699">
        <v>537</v>
      </c>
      <c r="M2699">
        <v>45</v>
      </c>
      <c r="N2699" s="1">
        <f t="shared" si="336"/>
        <v>44938</v>
      </c>
      <c r="O2699" s="1">
        <f t="shared" si="337"/>
        <v>43101</v>
      </c>
      <c r="P2699" s="1">
        <f t="shared" si="338"/>
        <v>44105</v>
      </c>
      <c r="Q2699" s="8">
        <f t="shared" si="339"/>
        <v>0</v>
      </c>
      <c r="R2699" s="8">
        <f t="shared" si="340"/>
        <v>34</v>
      </c>
      <c r="S2699" s="8">
        <f t="shared" ca="1" si="341"/>
        <v>31</v>
      </c>
      <c r="T2699">
        <f t="shared" ca="1" si="342"/>
        <v>3.3311083282628617</v>
      </c>
      <c r="U2699" s="8">
        <f t="shared" ca="1" si="343"/>
        <v>1.4798498886123523</v>
      </c>
      <c r="V2699" s="8">
        <f ca="1">RawData[[#This Row],[Z (smoothed demand size)]]/RawData[[#This Row],[X (smoothed interval)]]</f>
        <v>2.2509771794397504</v>
      </c>
    </row>
    <row r="2700" spans="1:22">
      <c r="A2700" t="s">
        <v>56</v>
      </c>
      <c r="B2700" t="s">
        <v>39</v>
      </c>
      <c r="C2700">
        <v>28</v>
      </c>
      <c r="D2700" t="s">
        <v>22</v>
      </c>
      <c r="E2700" t="s">
        <v>16</v>
      </c>
      <c r="F2700" s="1">
        <v>43841</v>
      </c>
      <c r="G2700">
        <v>0</v>
      </c>
      <c r="H2700">
        <v>0</v>
      </c>
      <c r="I2700">
        <v>7</v>
      </c>
      <c r="J2700">
        <v>7</v>
      </c>
      <c r="K2700">
        <v>0</v>
      </c>
      <c r="L2700">
        <v>528</v>
      </c>
      <c r="M2700">
        <v>45</v>
      </c>
      <c r="N2700" s="1">
        <f t="shared" si="336"/>
        <v>44938</v>
      </c>
      <c r="O2700" s="1">
        <f t="shared" si="337"/>
        <v>43101</v>
      </c>
      <c r="P2700" s="1">
        <f t="shared" si="338"/>
        <v>44136</v>
      </c>
      <c r="Q2700" s="8">
        <f t="shared" si="339"/>
        <v>0</v>
      </c>
      <c r="R2700" s="8">
        <f t="shared" si="340"/>
        <v>35</v>
      </c>
      <c r="S2700" s="8">
        <f t="shared" ca="1" si="341"/>
        <v>31</v>
      </c>
      <c r="T2700">
        <f t="shared" ca="1" si="342"/>
        <v>3.3311083282628617</v>
      </c>
      <c r="U2700" s="8">
        <f t="shared" ca="1" si="343"/>
        <v>1.4798498886123523</v>
      </c>
      <c r="V2700" s="8">
        <f ca="1">RawData[[#This Row],[Z (smoothed demand size)]]/RawData[[#This Row],[X (smoothed interval)]]</f>
        <v>2.2509771794397504</v>
      </c>
    </row>
    <row r="2701" spans="1:22">
      <c r="A2701" t="s">
        <v>56</v>
      </c>
      <c r="B2701" t="s">
        <v>39</v>
      </c>
      <c r="C2701">
        <v>28</v>
      </c>
      <c r="D2701" t="s">
        <v>22</v>
      </c>
      <c r="E2701" t="s">
        <v>16</v>
      </c>
      <c r="F2701" s="1">
        <v>43842</v>
      </c>
      <c r="G2701">
        <v>1</v>
      </c>
      <c r="H2701">
        <v>1</v>
      </c>
      <c r="I2701">
        <v>7</v>
      </c>
      <c r="J2701">
        <v>6</v>
      </c>
      <c r="K2701">
        <v>0</v>
      </c>
      <c r="L2701">
        <v>619</v>
      </c>
      <c r="M2701">
        <v>60</v>
      </c>
      <c r="N2701" s="1">
        <f t="shared" si="336"/>
        <v>44938</v>
      </c>
      <c r="O2701" s="1">
        <f t="shared" si="337"/>
        <v>43101</v>
      </c>
      <c r="P2701" s="1">
        <f t="shared" si="338"/>
        <v>44166</v>
      </c>
      <c r="Q2701" s="8">
        <f t="shared" si="339"/>
        <v>0</v>
      </c>
      <c r="R2701" s="8">
        <f t="shared" si="340"/>
        <v>36</v>
      </c>
      <c r="S2701" s="8">
        <f t="shared" ca="1" si="341"/>
        <v>36</v>
      </c>
      <c r="T2701">
        <f t="shared" ca="1" si="342"/>
        <v>2.8648866626102896</v>
      </c>
      <c r="U2701" s="8">
        <f t="shared" ca="1" si="343"/>
        <v>2.1838799108898819</v>
      </c>
      <c r="V2701" s="8">
        <f ca="1">RawData[[#This Row],[Z (smoothed demand size)]]/RawData[[#This Row],[X (smoothed interval)]]</f>
        <v>1.3118334246881336</v>
      </c>
    </row>
    <row r="2702" spans="1:22">
      <c r="A2702" t="s">
        <v>56</v>
      </c>
      <c r="B2702" t="s">
        <v>39</v>
      </c>
      <c r="C2702">
        <v>28</v>
      </c>
      <c r="D2702" t="s">
        <v>22</v>
      </c>
      <c r="E2702" t="s">
        <v>16</v>
      </c>
      <c r="F2702" s="1">
        <v>44197</v>
      </c>
      <c r="G2702">
        <v>3</v>
      </c>
      <c r="H2702">
        <v>3</v>
      </c>
      <c r="I2702">
        <v>6</v>
      </c>
      <c r="J2702">
        <v>3</v>
      </c>
      <c r="K2702">
        <v>0</v>
      </c>
      <c r="L2702">
        <v>533</v>
      </c>
      <c r="M2702">
        <v>30</v>
      </c>
      <c r="N2702" s="1">
        <f t="shared" si="336"/>
        <v>44938</v>
      </c>
      <c r="O2702" s="1">
        <f t="shared" si="337"/>
        <v>43101</v>
      </c>
      <c r="P2702" s="1">
        <f t="shared" si="338"/>
        <v>44197</v>
      </c>
      <c r="Q2702" s="8">
        <f t="shared" si="339"/>
        <v>0</v>
      </c>
      <c r="R2702" s="8">
        <f t="shared" si="340"/>
        <v>37</v>
      </c>
      <c r="S2702" s="8">
        <f t="shared" ca="1" si="341"/>
        <v>37</v>
      </c>
      <c r="T2702">
        <f t="shared" ca="1" si="342"/>
        <v>2.8919093300882319</v>
      </c>
      <c r="U2702" s="8">
        <f t="shared" ca="1" si="343"/>
        <v>1.9471039287119056</v>
      </c>
      <c r="V2702" s="8">
        <f ca="1">RawData[[#This Row],[Z (smoothed demand size)]]/RawData[[#This Row],[X (smoothed interval)]]</f>
        <v>1.4852362462240813</v>
      </c>
    </row>
    <row r="2703" spans="1:22">
      <c r="A2703" t="s">
        <v>56</v>
      </c>
      <c r="B2703" t="s">
        <v>39</v>
      </c>
      <c r="C2703">
        <v>28</v>
      </c>
      <c r="D2703" t="s">
        <v>22</v>
      </c>
      <c r="E2703" t="s">
        <v>16</v>
      </c>
      <c r="F2703" s="1">
        <v>44198</v>
      </c>
      <c r="G2703">
        <v>0</v>
      </c>
      <c r="H2703">
        <v>0</v>
      </c>
      <c r="I2703">
        <v>14</v>
      </c>
      <c r="J2703">
        <v>14</v>
      </c>
      <c r="K2703">
        <v>0</v>
      </c>
      <c r="L2703">
        <v>532</v>
      </c>
      <c r="M2703">
        <v>15</v>
      </c>
      <c r="N2703" s="1">
        <f t="shared" si="336"/>
        <v>44938</v>
      </c>
      <c r="O2703" s="1">
        <f t="shared" si="337"/>
        <v>43101</v>
      </c>
      <c r="P2703" s="1">
        <f t="shared" si="338"/>
        <v>44228</v>
      </c>
      <c r="Q2703" s="8">
        <f t="shared" si="339"/>
        <v>0</v>
      </c>
      <c r="R2703" s="8">
        <f t="shared" si="340"/>
        <v>38</v>
      </c>
      <c r="S2703" s="8">
        <f t="shared" ca="1" si="341"/>
        <v>37</v>
      </c>
      <c r="T2703">
        <f t="shared" ca="1" si="342"/>
        <v>2.8919093300882319</v>
      </c>
      <c r="U2703" s="8">
        <f t="shared" ca="1" si="343"/>
        <v>1.9471039287119056</v>
      </c>
      <c r="V2703" s="8">
        <f ca="1">RawData[[#This Row],[Z (smoothed demand size)]]/RawData[[#This Row],[X (smoothed interval)]]</f>
        <v>1.4852362462240813</v>
      </c>
    </row>
    <row r="2704" spans="1:22">
      <c r="A2704" t="s">
        <v>56</v>
      </c>
      <c r="B2704" t="s">
        <v>39</v>
      </c>
      <c r="C2704">
        <v>28</v>
      </c>
      <c r="D2704" t="s">
        <v>22</v>
      </c>
      <c r="E2704" t="s">
        <v>16</v>
      </c>
      <c r="F2704" s="1">
        <v>44199</v>
      </c>
      <c r="G2704">
        <v>3</v>
      </c>
      <c r="H2704">
        <v>3</v>
      </c>
      <c r="I2704">
        <v>14</v>
      </c>
      <c r="J2704">
        <v>11</v>
      </c>
      <c r="K2704">
        <v>0</v>
      </c>
      <c r="L2704">
        <v>541</v>
      </c>
      <c r="M2704">
        <v>15</v>
      </c>
      <c r="N2704" s="1">
        <f t="shared" si="336"/>
        <v>44938</v>
      </c>
      <c r="O2704" s="1">
        <f t="shared" si="337"/>
        <v>43101</v>
      </c>
      <c r="P2704" s="1">
        <f t="shared" si="338"/>
        <v>44256</v>
      </c>
      <c r="Q2704" s="8">
        <f t="shared" si="339"/>
        <v>0</v>
      </c>
      <c r="R2704" s="8">
        <f t="shared" si="340"/>
        <v>39</v>
      </c>
      <c r="S2704" s="8">
        <f t="shared" ca="1" si="341"/>
        <v>39</v>
      </c>
      <c r="T2704">
        <f t="shared" ca="1" si="342"/>
        <v>2.9135274640705857</v>
      </c>
      <c r="U2704" s="8">
        <f t="shared" ca="1" si="343"/>
        <v>1.9576831429695245</v>
      </c>
      <c r="V2704" s="8">
        <f ca="1">RawData[[#This Row],[Z (smoothed demand size)]]/RawData[[#This Row],[X (smoothed interval)]]</f>
        <v>1.4882528230034113</v>
      </c>
    </row>
    <row r="2705" spans="1:22">
      <c r="A2705" t="s">
        <v>56</v>
      </c>
      <c r="B2705" t="s">
        <v>39</v>
      </c>
      <c r="C2705">
        <v>28</v>
      </c>
      <c r="D2705" t="s">
        <v>22</v>
      </c>
      <c r="E2705" t="s">
        <v>16</v>
      </c>
      <c r="F2705" s="1">
        <v>44200</v>
      </c>
      <c r="G2705">
        <v>0</v>
      </c>
      <c r="H2705">
        <v>0</v>
      </c>
      <c r="I2705">
        <v>11</v>
      </c>
      <c r="J2705">
        <v>11</v>
      </c>
      <c r="K2705">
        <v>0</v>
      </c>
      <c r="L2705">
        <v>535</v>
      </c>
      <c r="M2705">
        <v>60</v>
      </c>
      <c r="N2705" s="1">
        <f t="shared" si="336"/>
        <v>44938</v>
      </c>
      <c r="O2705" s="1">
        <f t="shared" si="337"/>
        <v>43101</v>
      </c>
      <c r="P2705" s="1">
        <f t="shared" si="338"/>
        <v>44287</v>
      </c>
      <c r="Q2705" s="8">
        <f t="shared" si="339"/>
        <v>0</v>
      </c>
      <c r="R2705" s="8">
        <f t="shared" si="340"/>
        <v>40</v>
      </c>
      <c r="S2705" s="8">
        <f t="shared" ca="1" si="341"/>
        <v>39</v>
      </c>
      <c r="T2705">
        <f t="shared" ca="1" si="342"/>
        <v>2.9135274640705857</v>
      </c>
      <c r="U2705" s="8">
        <f t="shared" ca="1" si="343"/>
        <v>1.9576831429695245</v>
      </c>
      <c r="V2705" s="8">
        <f ca="1">RawData[[#This Row],[Z (smoothed demand size)]]/RawData[[#This Row],[X (smoothed interval)]]</f>
        <v>1.4882528230034113</v>
      </c>
    </row>
    <row r="2706" spans="1:22">
      <c r="A2706" t="s">
        <v>56</v>
      </c>
      <c r="B2706" t="s">
        <v>39</v>
      </c>
      <c r="C2706">
        <v>28</v>
      </c>
      <c r="D2706" t="s">
        <v>22</v>
      </c>
      <c r="E2706" t="s">
        <v>16</v>
      </c>
      <c r="F2706" s="1">
        <v>44201</v>
      </c>
      <c r="G2706">
        <v>3</v>
      </c>
      <c r="H2706">
        <v>3</v>
      </c>
      <c r="I2706">
        <v>11</v>
      </c>
      <c r="J2706">
        <v>8</v>
      </c>
      <c r="K2706">
        <v>0</v>
      </c>
      <c r="L2706">
        <v>541</v>
      </c>
      <c r="M2706">
        <v>15</v>
      </c>
      <c r="N2706" s="1">
        <f t="shared" si="336"/>
        <v>44938</v>
      </c>
      <c r="O2706" s="1">
        <f t="shared" si="337"/>
        <v>43101</v>
      </c>
      <c r="P2706" s="1">
        <f t="shared" si="338"/>
        <v>44317</v>
      </c>
      <c r="Q2706" s="8">
        <f t="shared" si="339"/>
        <v>0</v>
      </c>
      <c r="R2706" s="8">
        <f t="shared" si="340"/>
        <v>41</v>
      </c>
      <c r="S2706" s="8">
        <f t="shared" ca="1" si="341"/>
        <v>41</v>
      </c>
      <c r="T2706">
        <f t="shared" ca="1" si="342"/>
        <v>2.9308219712564689</v>
      </c>
      <c r="U2706" s="8">
        <f t="shared" ca="1" si="343"/>
        <v>1.9661465143756196</v>
      </c>
      <c r="V2706" s="8">
        <f ca="1">RawData[[#This Row],[Z (smoothed demand size)]]/RawData[[#This Row],[X (smoothed interval)]]</f>
        <v>1.4906427114294669</v>
      </c>
    </row>
    <row r="2707" spans="1:22">
      <c r="A2707" t="s">
        <v>56</v>
      </c>
      <c r="B2707" t="s">
        <v>39</v>
      </c>
      <c r="C2707">
        <v>28</v>
      </c>
      <c r="D2707" t="s">
        <v>22</v>
      </c>
      <c r="E2707" t="s">
        <v>16</v>
      </c>
      <c r="F2707" s="1">
        <v>44202</v>
      </c>
      <c r="G2707">
        <v>2</v>
      </c>
      <c r="H2707">
        <v>2</v>
      </c>
      <c r="I2707">
        <v>8</v>
      </c>
      <c r="J2707">
        <v>6</v>
      </c>
      <c r="K2707">
        <v>0</v>
      </c>
      <c r="L2707">
        <v>616</v>
      </c>
      <c r="M2707">
        <v>60</v>
      </c>
      <c r="N2707" s="1">
        <f t="shared" si="336"/>
        <v>44938</v>
      </c>
      <c r="O2707" s="1">
        <f t="shared" si="337"/>
        <v>43101</v>
      </c>
      <c r="P2707" s="1">
        <f t="shared" si="338"/>
        <v>44348</v>
      </c>
      <c r="Q2707" s="8">
        <f t="shared" si="339"/>
        <v>0</v>
      </c>
      <c r="R2707" s="8">
        <f t="shared" si="340"/>
        <v>42</v>
      </c>
      <c r="S2707" s="8">
        <f t="shared" ca="1" si="341"/>
        <v>42</v>
      </c>
      <c r="T2707">
        <f t="shared" ca="1" si="342"/>
        <v>2.7446575770051753</v>
      </c>
      <c r="U2707" s="8">
        <f t="shared" ca="1" si="343"/>
        <v>1.7729172115004956</v>
      </c>
      <c r="V2707" s="8">
        <f ca="1">RawData[[#This Row],[Z (smoothed demand size)]]/RawData[[#This Row],[X (smoothed interval)]]</f>
        <v>1.5481025054081652</v>
      </c>
    </row>
    <row r="2708" spans="1:22">
      <c r="A2708" t="s">
        <v>56</v>
      </c>
      <c r="B2708" t="s">
        <v>39</v>
      </c>
      <c r="C2708">
        <v>28</v>
      </c>
      <c r="D2708" t="s">
        <v>22</v>
      </c>
      <c r="E2708" t="s">
        <v>16</v>
      </c>
      <c r="F2708" s="1">
        <v>44203</v>
      </c>
      <c r="G2708">
        <v>5</v>
      </c>
      <c r="H2708">
        <v>5</v>
      </c>
      <c r="I2708">
        <v>6</v>
      </c>
      <c r="J2708">
        <v>1</v>
      </c>
      <c r="K2708">
        <v>0</v>
      </c>
      <c r="L2708">
        <v>620</v>
      </c>
      <c r="M2708">
        <v>45</v>
      </c>
      <c r="N2708" s="1">
        <f t="shared" si="336"/>
        <v>44938</v>
      </c>
      <c r="O2708" s="1">
        <f t="shared" si="337"/>
        <v>43101</v>
      </c>
      <c r="P2708" s="1">
        <f t="shared" si="338"/>
        <v>44378</v>
      </c>
      <c r="Q2708" s="8">
        <f t="shared" si="339"/>
        <v>0</v>
      </c>
      <c r="R2708" s="8">
        <f t="shared" si="340"/>
        <v>43</v>
      </c>
      <c r="S2708" s="8">
        <f t="shared" ca="1" si="341"/>
        <v>43</v>
      </c>
      <c r="T2708">
        <f t="shared" ca="1" si="342"/>
        <v>3.1957260616041405</v>
      </c>
      <c r="U2708" s="8">
        <f t="shared" ca="1" si="343"/>
        <v>1.6183337692003965</v>
      </c>
      <c r="V2708" s="8">
        <f ca="1">RawData[[#This Row],[Z (smoothed demand size)]]/RawData[[#This Row],[X (smoothed interval)]]</f>
        <v>1.9747014629640451</v>
      </c>
    </row>
    <row r="2709" spans="1:22">
      <c r="A2709" t="s">
        <v>56</v>
      </c>
      <c r="B2709" t="s">
        <v>39</v>
      </c>
      <c r="C2709">
        <v>28</v>
      </c>
      <c r="D2709" t="s">
        <v>22</v>
      </c>
      <c r="E2709" t="s">
        <v>16</v>
      </c>
      <c r="F2709" s="1">
        <v>44204</v>
      </c>
      <c r="G2709">
        <v>4</v>
      </c>
      <c r="H2709">
        <v>1</v>
      </c>
      <c r="I2709">
        <v>1</v>
      </c>
      <c r="J2709">
        <v>0</v>
      </c>
      <c r="K2709">
        <v>1</v>
      </c>
      <c r="L2709">
        <v>608</v>
      </c>
      <c r="M2709">
        <v>60</v>
      </c>
      <c r="N2709" s="1">
        <f t="shared" si="336"/>
        <v>44938</v>
      </c>
      <c r="O2709" s="1">
        <f t="shared" si="337"/>
        <v>43101</v>
      </c>
      <c r="P2709" s="1">
        <f t="shared" si="338"/>
        <v>44409</v>
      </c>
      <c r="Q2709" s="8">
        <f t="shared" si="339"/>
        <v>0</v>
      </c>
      <c r="R2709" s="8">
        <f t="shared" si="340"/>
        <v>44</v>
      </c>
      <c r="S2709" s="8">
        <f t="shared" ca="1" si="341"/>
        <v>44</v>
      </c>
      <c r="T2709">
        <f t="shared" ca="1" si="342"/>
        <v>3.3565808492833122</v>
      </c>
      <c r="U2709" s="8">
        <f t="shared" ca="1" si="343"/>
        <v>1.4946670153603172</v>
      </c>
      <c r="V2709" s="8">
        <f ca="1">RawData[[#This Row],[Z (smoothed demand size)]]/RawData[[#This Row],[X (smoothed interval)]]</f>
        <v>2.2457047722259036</v>
      </c>
    </row>
    <row r="2710" spans="1:22">
      <c r="A2710" t="s">
        <v>56</v>
      </c>
      <c r="B2710" t="s">
        <v>39</v>
      </c>
      <c r="C2710">
        <v>28</v>
      </c>
      <c r="D2710" t="s">
        <v>22</v>
      </c>
      <c r="E2710" t="s">
        <v>16</v>
      </c>
      <c r="F2710" s="1">
        <v>44205</v>
      </c>
      <c r="G2710">
        <v>0</v>
      </c>
      <c r="H2710">
        <v>0</v>
      </c>
      <c r="I2710">
        <v>11</v>
      </c>
      <c r="J2710">
        <v>11</v>
      </c>
      <c r="K2710">
        <v>0</v>
      </c>
      <c r="L2710">
        <v>531</v>
      </c>
      <c r="M2710">
        <v>30</v>
      </c>
      <c r="N2710" s="1">
        <f t="shared" si="336"/>
        <v>44938</v>
      </c>
      <c r="O2710" s="1">
        <f t="shared" si="337"/>
        <v>43101</v>
      </c>
      <c r="P2710" s="1">
        <f t="shared" si="338"/>
        <v>44440</v>
      </c>
      <c r="Q2710" s="8">
        <f t="shared" si="339"/>
        <v>0</v>
      </c>
      <c r="R2710" s="8">
        <f t="shared" si="340"/>
        <v>45</v>
      </c>
      <c r="S2710" s="8">
        <f t="shared" ca="1" si="341"/>
        <v>44</v>
      </c>
      <c r="T2710">
        <f t="shared" ca="1" si="342"/>
        <v>3.3565808492833122</v>
      </c>
      <c r="U2710" s="8">
        <f t="shared" ca="1" si="343"/>
        <v>1.4946670153603172</v>
      </c>
      <c r="V2710" s="8">
        <f ca="1">RawData[[#This Row],[Z (smoothed demand size)]]/RawData[[#This Row],[X (smoothed interval)]]</f>
        <v>2.2457047722259036</v>
      </c>
    </row>
    <row r="2711" spans="1:22">
      <c r="A2711" t="s">
        <v>56</v>
      </c>
      <c r="B2711" t="s">
        <v>39</v>
      </c>
      <c r="C2711">
        <v>28</v>
      </c>
      <c r="D2711" t="s">
        <v>22</v>
      </c>
      <c r="E2711" t="s">
        <v>16</v>
      </c>
      <c r="F2711" s="1">
        <v>44206</v>
      </c>
      <c r="G2711">
        <v>0</v>
      </c>
      <c r="H2711">
        <v>0</v>
      </c>
      <c r="I2711">
        <v>11</v>
      </c>
      <c r="J2711">
        <v>11</v>
      </c>
      <c r="K2711">
        <v>0</v>
      </c>
      <c r="L2711">
        <v>539</v>
      </c>
      <c r="M2711">
        <v>30</v>
      </c>
      <c r="N2711" s="1">
        <f t="shared" si="336"/>
        <v>44938</v>
      </c>
      <c r="O2711" s="1">
        <f t="shared" si="337"/>
        <v>43101</v>
      </c>
      <c r="P2711" s="1">
        <f t="shared" si="338"/>
        <v>44470</v>
      </c>
      <c r="Q2711" s="8">
        <f t="shared" si="339"/>
        <v>0</v>
      </c>
      <c r="R2711" s="8">
        <f t="shared" si="340"/>
        <v>46</v>
      </c>
      <c r="S2711" s="8">
        <f t="shared" ca="1" si="341"/>
        <v>44</v>
      </c>
      <c r="T2711">
        <f t="shared" ca="1" si="342"/>
        <v>3.3565808492833122</v>
      </c>
      <c r="U2711" s="8">
        <f t="shared" ca="1" si="343"/>
        <v>1.4946670153603172</v>
      </c>
      <c r="V2711" s="8">
        <f ca="1">RawData[[#This Row],[Z (smoothed demand size)]]/RawData[[#This Row],[X (smoothed interval)]]</f>
        <v>2.2457047722259036</v>
      </c>
    </row>
    <row r="2712" spans="1:22">
      <c r="A2712" t="s">
        <v>56</v>
      </c>
      <c r="B2712" t="s">
        <v>39</v>
      </c>
      <c r="C2712">
        <v>28</v>
      </c>
      <c r="D2712" t="s">
        <v>22</v>
      </c>
      <c r="E2712" t="s">
        <v>16</v>
      </c>
      <c r="F2712" s="1">
        <v>44207</v>
      </c>
      <c r="G2712">
        <v>8</v>
      </c>
      <c r="H2712">
        <v>8</v>
      </c>
      <c r="I2712">
        <v>11</v>
      </c>
      <c r="J2712">
        <v>3</v>
      </c>
      <c r="K2712">
        <v>0</v>
      </c>
      <c r="L2712">
        <v>545</v>
      </c>
      <c r="M2712">
        <v>15</v>
      </c>
      <c r="N2712" s="1">
        <f t="shared" si="336"/>
        <v>44938</v>
      </c>
      <c r="O2712" s="1">
        <f t="shared" si="337"/>
        <v>43101</v>
      </c>
      <c r="P2712" s="1">
        <f t="shared" si="338"/>
        <v>44501</v>
      </c>
      <c r="Q2712" s="8">
        <f t="shared" si="339"/>
        <v>0</v>
      </c>
      <c r="R2712" s="8">
        <f t="shared" si="340"/>
        <v>47</v>
      </c>
      <c r="S2712" s="8">
        <f t="shared" ca="1" si="341"/>
        <v>47</v>
      </c>
      <c r="T2712">
        <f t="shared" ca="1" si="342"/>
        <v>4.2852646794266498</v>
      </c>
      <c r="U2712" s="8">
        <f t="shared" ca="1" si="343"/>
        <v>1.7957336122882539</v>
      </c>
      <c r="V2712" s="8">
        <f ca="1">RawData[[#This Row],[Z (smoothed demand size)]]/RawData[[#This Row],[X (smoothed interval)]]</f>
        <v>2.3863587840103162</v>
      </c>
    </row>
    <row r="2713" spans="1:22">
      <c r="A2713" t="s">
        <v>56</v>
      </c>
      <c r="B2713" t="s">
        <v>39</v>
      </c>
      <c r="C2713">
        <v>28</v>
      </c>
      <c r="D2713" t="s">
        <v>22</v>
      </c>
      <c r="E2713" t="s">
        <v>16</v>
      </c>
      <c r="F2713" s="1">
        <v>44208</v>
      </c>
      <c r="G2713">
        <v>0</v>
      </c>
      <c r="H2713">
        <v>0</v>
      </c>
      <c r="I2713">
        <v>13</v>
      </c>
      <c r="J2713">
        <v>13</v>
      </c>
      <c r="K2713">
        <v>0</v>
      </c>
      <c r="L2713">
        <v>619</v>
      </c>
      <c r="M2713">
        <v>30</v>
      </c>
      <c r="N2713" s="1">
        <f t="shared" si="336"/>
        <v>44938</v>
      </c>
      <c r="O2713" s="1">
        <f t="shared" si="337"/>
        <v>43101</v>
      </c>
      <c r="P2713" s="1">
        <f t="shared" si="338"/>
        <v>44531</v>
      </c>
      <c r="Q2713" s="8">
        <f t="shared" si="339"/>
        <v>0</v>
      </c>
      <c r="R2713" s="8">
        <f t="shared" si="340"/>
        <v>48</v>
      </c>
      <c r="S2713" s="8">
        <f t="shared" ca="1" si="341"/>
        <v>47</v>
      </c>
      <c r="T2713">
        <f t="shared" ca="1" si="342"/>
        <v>4.2852646794266498</v>
      </c>
      <c r="U2713" s="8">
        <f t="shared" ca="1" si="343"/>
        <v>1.7957336122882539</v>
      </c>
      <c r="V2713" s="8">
        <f ca="1">RawData[[#This Row],[Z (smoothed demand size)]]/RawData[[#This Row],[X (smoothed interval)]]</f>
        <v>2.3863587840103162</v>
      </c>
    </row>
    <row r="2714" spans="1:22">
      <c r="A2714" t="s">
        <v>56</v>
      </c>
      <c r="B2714" t="s">
        <v>39</v>
      </c>
      <c r="C2714">
        <v>28</v>
      </c>
      <c r="D2714" t="s">
        <v>22</v>
      </c>
      <c r="E2714" t="s">
        <v>16</v>
      </c>
      <c r="F2714" s="1">
        <v>44562</v>
      </c>
      <c r="G2714">
        <v>0</v>
      </c>
      <c r="H2714">
        <v>0</v>
      </c>
      <c r="I2714">
        <v>13</v>
      </c>
      <c r="J2714">
        <v>13</v>
      </c>
      <c r="K2714">
        <v>0</v>
      </c>
      <c r="L2714">
        <v>535</v>
      </c>
      <c r="M2714">
        <v>45</v>
      </c>
      <c r="N2714" s="1">
        <f t="shared" si="336"/>
        <v>44938</v>
      </c>
      <c r="O2714" s="1">
        <f t="shared" si="337"/>
        <v>43101</v>
      </c>
      <c r="P2714" s="1">
        <f t="shared" si="338"/>
        <v>44562</v>
      </c>
      <c r="Q2714" s="8">
        <f t="shared" si="339"/>
        <v>0</v>
      </c>
      <c r="R2714" s="8">
        <f t="shared" si="340"/>
        <v>49</v>
      </c>
      <c r="S2714" s="8">
        <f t="shared" ca="1" si="341"/>
        <v>47</v>
      </c>
      <c r="T2714">
        <f t="shared" ca="1" si="342"/>
        <v>4.2852646794266498</v>
      </c>
      <c r="U2714" s="8">
        <f t="shared" ca="1" si="343"/>
        <v>1.7957336122882539</v>
      </c>
      <c r="V2714" s="8">
        <f ca="1">RawData[[#This Row],[Z (smoothed demand size)]]/RawData[[#This Row],[X (smoothed interval)]]</f>
        <v>2.3863587840103162</v>
      </c>
    </row>
    <row r="2715" spans="1:22">
      <c r="A2715" t="s">
        <v>56</v>
      </c>
      <c r="B2715" t="s">
        <v>39</v>
      </c>
      <c r="C2715">
        <v>28</v>
      </c>
      <c r="D2715" t="s">
        <v>22</v>
      </c>
      <c r="E2715" t="s">
        <v>16</v>
      </c>
      <c r="F2715" s="1">
        <v>44563</v>
      </c>
      <c r="G2715">
        <v>0</v>
      </c>
      <c r="H2715">
        <v>0</v>
      </c>
      <c r="I2715">
        <v>13</v>
      </c>
      <c r="J2715">
        <v>13</v>
      </c>
      <c r="K2715">
        <v>0</v>
      </c>
      <c r="L2715">
        <v>543</v>
      </c>
      <c r="M2715">
        <v>45</v>
      </c>
      <c r="N2715" s="1">
        <f t="shared" si="336"/>
        <v>44938</v>
      </c>
      <c r="O2715" s="1">
        <f t="shared" si="337"/>
        <v>43101</v>
      </c>
      <c r="P2715" s="1">
        <f t="shared" si="338"/>
        <v>44593</v>
      </c>
      <c r="Q2715" s="8">
        <f t="shared" si="339"/>
        <v>0</v>
      </c>
      <c r="R2715" s="8">
        <f t="shared" si="340"/>
        <v>50</v>
      </c>
      <c r="S2715" s="8">
        <f t="shared" ca="1" si="341"/>
        <v>47</v>
      </c>
      <c r="T2715">
        <f t="shared" ca="1" si="342"/>
        <v>4.2852646794266498</v>
      </c>
      <c r="U2715" s="8">
        <f t="shared" ca="1" si="343"/>
        <v>1.7957336122882539</v>
      </c>
      <c r="V2715" s="8">
        <f ca="1">RawData[[#This Row],[Z (smoothed demand size)]]/RawData[[#This Row],[X (smoothed interval)]]</f>
        <v>2.3863587840103162</v>
      </c>
    </row>
    <row r="2716" spans="1:22">
      <c r="A2716" t="s">
        <v>56</v>
      </c>
      <c r="B2716" t="s">
        <v>39</v>
      </c>
      <c r="C2716">
        <v>28</v>
      </c>
      <c r="D2716" t="s">
        <v>22</v>
      </c>
      <c r="E2716" t="s">
        <v>16</v>
      </c>
      <c r="F2716" s="1">
        <v>44564</v>
      </c>
      <c r="G2716">
        <v>2</v>
      </c>
      <c r="H2716">
        <v>2</v>
      </c>
      <c r="I2716">
        <v>13</v>
      </c>
      <c r="J2716">
        <v>11</v>
      </c>
      <c r="K2716">
        <v>0</v>
      </c>
      <c r="L2716">
        <v>533</v>
      </c>
      <c r="M2716">
        <v>30</v>
      </c>
      <c r="N2716" s="1">
        <f t="shared" si="336"/>
        <v>44938</v>
      </c>
      <c r="O2716" s="1">
        <f t="shared" si="337"/>
        <v>43101</v>
      </c>
      <c r="P2716" s="1">
        <f t="shared" si="338"/>
        <v>44621</v>
      </c>
      <c r="Q2716" s="8">
        <f t="shared" si="339"/>
        <v>0</v>
      </c>
      <c r="R2716" s="8">
        <f t="shared" si="340"/>
        <v>51</v>
      </c>
      <c r="S2716" s="8">
        <f t="shared" ca="1" si="341"/>
        <v>51</v>
      </c>
      <c r="T2716">
        <f t="shared" ca="1" si="342"/>
        <v>3.8282117435413201</v>
      </c>
      <c r="U2716" s="8">
        <f t="shared" ca="1" si="343"/>
        <v>2.2365868898306029</v>
      </c>
      <c r="V2716" s="8">
        <f ca="1">RawData[[#This Row],[Z (smoothed demand size)]]/RawData[[#This Row],[X (smoothed interval)]]</f>
        <v>1.7116311290867243</v>
      </c>
    </row>
    <row r="2717" spans="1:22">
      <c r="A2717" t="s">
        <v>56</v>
      </c>
      <c r="B2717" t="s">
        <v>39</v>
      </c>
      <c r="C2717">
        <v>28</v>
      </c>
      <c r="D2717" t="s">
        <v>22</v>
      </c>
      <c r="E2717" t="s">
        <v>16</v>
      </c>
      <c r="F2717" s="1">
        <v>44565</v>
      </c>
      <c r="G2717">
        <v>0</v>
      </c>
      <c r="H2717">
        <v>0</v>
      </c>
      <c r="I2717">
        <v>11</v>
      </c>
      <c r="J2717">
        <v>11</v>
      </c>
      <c r="K2717">
        <v>0</v>
      </c>
      <c r="L2717">
        <v>530</v>
      </c>
      <c r="M2717">
        <v>30</v>
      </c>
      <c r="N2717" s="1">
        <f t="shared" si="336"/>
        <v>44938</v>
      </c>
      <c r="O2717" s="1">
        <f t="shared" si="337"/>
        <v>43101</v>
      </c>
      <c r="P2717" s="1">
        <f t="shared" si="338"/>
        <v>44652</v>
      </c>
      <c r="Q2717" s="8">
        <f t="shared" si="339"/>
        <v>0</v>
      </c>
      <c r="R2717" s="8">
        <f t="shared" si="340"/>
        <v>52</v>
      </c>
      <c r="S2717" s="8">
        <f t="shared" ca="1" si="341"/>
        <v>51</v>
      </c>
      <c r="T2717">
        <f t="shared" ca="1" si="342"/>
        <v>3.8282117435413201</v>
      </c>
      <c r="U2717" s="8">
        <f t="shared" ca="1" si="343"/>
        <v>2.2365868898306029</v>
      </c>
      <c r="V2717" s="8">
        <f ca="1">RawData[[#This Row],[Z (smoothed demand size)]]/RawData[[#This Row],[X (smoothed interval)]]</f>
        <v>1.7116311290867243</v>
      </c>
    </row>
    <row r="2718" spans="1:22">
      <c r="A2718" t="s">
        <v>56</v>
      </c>
      <c r="B2718" t="s">
        <v>39</v>
      </c>
      <c r="C2718">
        <v>28</v>
      </c>
      <c r="D2718" t="s">
        <v>22</v>
      </c>
      <c r="E2718" t="s">
        <v>16</v>
      </c>
      <c r="F2718" s="1">
        <v>44566</v>
      </c>
      <c r="G2718">
        <v>5</v>
      </c>
      <c r="H2718">
        <v>5</v>
      </c>
      <c r="I2718">
        <v>11</v>
      </c>
      <c r="J2718">
        <v>6</v>
      </c>
      <c r="K2718">
        <v>0</v>
      </c>
      <c r="L2718">
        <v>535</v>
      </c>
      <c r="M2718">
        <v>30</v>
      </c>
      <c r="N2718" s="1">
        <f t="shared" si="336"/>
        <v>44938</v>
      </c>
      <c r="O2718" s="1">
        <f t="shared" si="337"/>
        <v>43101</v>
      </c>
      <c r="P2718" s="1">
        <f t="shared" si="338"/>
        <v>44682</v>
      </c>
      <c r="Q2718" s="8">
        <f t="shared" si="339"/>
        <v>0</v>
      </c>
      <c r="R2718" s="8">
        <f t="shared" si="340"/>
        <v>53</v>
      </c>
      <c r="S2718" s="8">
        <f t="shared" ca="1" si="341"/>
        <v>53</v>
      </c>
      <c r="T2718">
        <f t="shared" ca="1" si="342"/>
        <v>4.0625693948330568</v>
      </c>
      <c r="U2718" s="8">
        <f t="shared" ca="1" si="343"/>
        <v>2.1892695118644823</v>
      </c>
      <c r="V2718" s="8">
        <f ca="1">RawData[[#This Row],[Z (smoothed demand size)]]/RawData[[#This Row],[X (smoothed interval)]]</f>
        <v>1.8556734896349909</v>
      </c>
    </row>
    <row r="2719" spans="1:22">
      <c r="A2719" t="s">
        <v>56</v>
      </c>
      <c r="B2719" t="s">
        <v>39</v>
      </c>
      <c r="C2719">
        <v>28</v>
      </c>
      <c r="D2719" t="s">
        <v>22</v>
      </c>
      <c r="E2719" t="s">
        <v>16</v>
      </c>
      <c r="F2719" s="1">
        <v>44567</v>
      </c>
      <c r="G2719">
        <v>0</v>
      </c>
      <c r="H2719">
        <v>0</v>
      </c>
      <c r="I2719">
        <v>6</v>
      </c>
      <c r="J2719">
        <v>6</v>
      </c>
      <c r="K2719">
        <v>0</v>
      </c>
      <c r="L2719">
        <v>617</v>
      </c>
      <c r="M2719">
        <v>45</v>
      </c>
      <c r="N2719" s="1">
        <f t="shared" si="336"/>
        <v>44938</v>
      </c>
      <c r="O2719" s="1">
        <f t="shared" si="337"/>
        <v>43101</v>
      </c>
      <c r="P2719" s="1">
        <f t="shared" si="338"/>
        <v>44713</v>
      </c>
      <c r="Q2719" s="8">
        <f t="shared" si="339"/>
        <v>0</v>
      </c>
      <c r="R2719" s="8">
        <f t="shared" si="340"/>
        <v>54</v>
      </c>
      <c r="S2719" s="8">
        <f t="shared" ca="1" si="341"/>
        <v>53</v>
      </c>
      <c r="T2719">
        <f t="shared" ca="1" si="342"/>
        <v>4.0625693948330568</v>
      </c>
      <c r="U2719" s="8">
        <f t="shared" ca="1" si="343"/>
        <v>2.1892695118644823</v>
      </c>
      <c r="V2719" s="8">
        <f ca="1">RawData[[#This Row],[Z (smoothed demand size)]]/RawData[[#This Row],[X (smoothed interval)]]</f>
        <v>1.8556734896349909</v>
      </c>
    </row>
    <row r="2720" spans="1:22">
      <c r="A2720" t="s">
        <v>56</v>
      </c>
      <c r="B2720" t="s">
        <v>39</v>
      </c>
      <c r="C2720">
        <v>28</v>
      </c>
      <c r="D2720" t="s">
        <v>22</v>
      </c>
      <c r="E2720" t="s">
        <v>16</v>
      </c>
      <c r="F2720" s="1">
        <v>44568</v>
      </c>
      <c r="G2720">
        <v>4</v>
      </c>
      <c r="H2720">
        <v>4</v>
      </c>
      <c r="I2720">
        <v>6</v>
      </c>
      <c r="J2720">
        <v>2</v>
      </c>
      <c r="K2720">
        <v>0</v>
      </c>
      <c r="L2720">
        <v>607</v>
      </c>
      <c r="M2720">
        <v>15</v>
      </c>
      <c r="N2720" s="1">
        <f t="shared" si="336"/>
        <v>44938</v>
      </c>
      <c r="O2720" s="1">
        <f t="shared" si="337"/>
        <v>43101</v>
      </c>
      <c r="P2720" s="1">
        <f t="shared" si="338"/>
        <v>44743</v>
      </c>
      <c r="Q2720" s="8">
        <f t="shared" si="339"/>
        <v>0</v>
      </c>
      <c r="R2720" s="8">
        <f t="shared" si="340"/>
        <v>55</v>
      </c>
      <c r="S2720" s="8">
        <f t="shared" ca="1" si="341"/>
        <v>55</v>
      </c>
      <c r="T2720">
        <f t="shared" ca="1" si="342"/>
        <v>4.050055515866446</v>
      </c>
      <c r="U2720" s="8">
        <f t="shared" ca="1" si="343"/>
        <v>2.1514156094915857</v>
      </c>
      <c r="V2720" s="8">
        <f ca="1">RawData[[#This Row],[Z (smoothed demand size)]]/RawData[[#This Row],[X (smoothed interval)]]</f>
        <v>1.8825072654481387</v>
      </c>
    </row>
    <row r="2721" spans="1:22">
      <c r="A2721" t="s">
        <v>56</v>
      </c>
      <c r="B2721" t="s">
        <v>39</v>
      </c>
      <c r="C2721">
        <v>28</v>
      </c>
      <c r="D2721" t="s">
        <v>22</v>
      </c>
      <c r="E2721" t="s">
        <v>16</v>
      </c>
      <c r="F2721" s="1">
        <v>44569</v>
      </c>
      <c r="G2721">
        <v>2</v>
      </c>
      <c r="H2721">
        <v>2</v>
      </c>
      <c r="I2721">
        <v>14</v>
      </c>
      <c r="J2721">
        <v>12</v>
      </c>
      <c r="K2721">
        <v>0</v>
      </c>
      <c r="L2721">
        <v>615</v>
      </c>
      <c r="M2721">
        <v>30</v>
      </c>
      <c r="N2721" s="1">
        <f t="shared" si="336"/>
        <v>44938</v>
      </c>
      <c r="O2721" s="1">
        <f t="shared" si="337"/>
        <v>43101</v>
      </c>
      <c r="P2721" s="1">
        <f t="shared" si="338"/>
        <v>44774</v>
      </c>
      <c r="Q2721" s="8">
        <f t="shared" si="339"/>
        <v>0</v>
      </c>
      <c r="R2721" s="8">
        <f t="shared" si="340"/>
        <v>56</v>
      </c>
      <c r="S2721" s="8">
        <f t="shared" ca="1" si="341"/>
        <v>56</v>
      </c>
      <c r="T2721">
        <f t="shared" ca="1" si="342"/>
        <v>3.640044412693157</v>
      </c>
      <c r="U2721" s="8">
        <f t="shared" ca="1" si="343"/>
        <v>1.9211324875932687</v>
      </c>
      <c r="V2721" s="8">
        <f ca="1">RawData[[#This Row],[Z (smoothed demand size)]]/RawData[[#This Row],[X (smoothed interval)]]</f>
        <v>1.8947388773031912</v>
      </c>
    </row>
    <row r="2722" spans="1:22">
      <c r="A2722" t="s">
        <v>56</v>
      </c>
      <c r="B2722" t="s">
        <v>39</v>
      </c>
      <c r="C2722">
        <v>28</v>
      </c>
      <c r="D2722" t="s">
        <v>22</v>
      </c>
      <c r="E2722" t="s">
        <v>16</v>
      </c>
      <c r="F2722" s="1">
        <v>44570</v>
      </c>
      <c r="G2722">
        <v>0</v>
      </c>
      <c r="H2722">
        <v>0</v>
      </c>
      <c r="I2722">
        <v>12</v>
      </c>
      <c r="J2722">
        <v>12</v>
      </c>
      <c r="K2722">
        <v>0</v>
      </c>
      <c r="L2722">
        <v>525</v>
      </c>
      <c r="M2722">
        <v>15</v>
      </c>
      <c r="N2722" s="1">
        <f t="shared" si="336"/>
        <v>44938</v>
      </c>
      <c r="O2722" s="1">
        <f t="shared" si="337"/>
        <v>43101</v>
      </c>
      <c r="P2722" s="1">
        <f t="shared" si="338"/>
        <v>44805</v>
      </c>
      <c r="Q2722" s="8">
        <f t="shared" si="339"/>
        <v>0</v>
      </c>
      <c r="R2722" s="8">
        <f t="shared" si="340"/>
        <v>57</v>
      </c>
      <c r="S2722" s="8">
        <f t="shared" ca="1" si="341"/>
        <v>56</v>
      </c>
      <c r="T2722">
        <f t="shared" ca="1" si="342"/>
        <v>3.640044412693157</v>
      </c>
      <c r="U2722" s="8">
        <f t="shared" ca="1" si="343"/>
        <v>1.9211324875932687</v>
      </c>
      <c r="V2722" s="8">
        <f ca="1">RawData[[#This Row],[Z (smoothed demand size)]]/RawData[[#This Row],[X (smoothed interval)]]</f>
        <v>1.8947388773031912</v>
      </c>
    </row>
    <row r="2723" spans="1:22">
      <c r="A2723" t="s">
        <v>56</v>
      </c>
      <c r="B2723" t="s">
        <v>39</v>
      </c>
      <c r="C2723">
        <v>28</v>
      </c>
      <c r="D2723" t="s">
        <v>22</v>
      </c>
      <c r="E2723" t="s">
        <v>16</v>
      </c>
      <c r="F2723" s="1">
        <v>44571</v>
      </c>
      <c r="G2723">
        <v>3</v>
      </c>
      <c r="H2723">
        <v>3</v>
      </c>
      <c r="I2723">
        <v>12</v>
      </c>
      <c r="J2723">
        <v>9</v>
      </c>
      <c r="K2723">
        <v>0</v>
      </c>
      <c r="L2723">
        <v>533</v>
      </c>
      <c r="M2723">
        <v>15</v>
      </c>
      <c r="N2723" s="1">
        <f t="shared" si="336"/>
        <v>44938</v>
      </c>
      <c r="O2723" s="1">
        <f t="shared" si="337"/>
        <v>43101</v>
      </c>
      <c r="P2723" s="1">
        <f t="shared" si="338"/>
        <v>44835</v>
      </c>
      <c r="Q2723" s="8">
        <f t="shared" si="339"/>
        <v>0</v>
      </c>
      <c r="R2723" s="8">
        <f t="shared" si="340"/>
        <v>58</v>
      </c>
      <c r="S2723" s="8">
        <f t="shared" ca="1" si="341"/>
        <v>58</v>
      </c>
      <c r="T2723">
        <f t="shared" ca="1" si="342"/>
        <v>3.5120355301545261</v>
      </c>
      <c r="U2723" s="8">
        <f t="shared" ca="1" si="343"/>
        <v>1.9369059900746151</v>
      </c>
      <c r="V2723" s="8">
        <f ca="1">RawData[[#This Row],[Z (smoothed demand size)]]/RawData[[#This Row],[X (smoothed interval)]]</f>
        <v>1.8132194066988416</v>
      </c>
    </row>
    <row r="2724" spans="1:22">
      <c r="A2724" t="s">
        <v>56</v>
      </c>
      <c r="B2724" t="s">
        <v>39</v>
      </c>
      <c r="C2724">
        <v>28</v>
      </c>
      <c r="D2724" t="s">
        <v>22</v>
      </c>
      <c r="E2724" t="s">
        <v>16</v>
      </c>
      <c r="F2724" s="1">
        <v>44572</v>
      </c>
      <c r="G2724">
        <v>4</v>
      </c>
      <c r="H2724">
        <v>4</v>
      </c>
      <c r="I2724">
        <v>9</v>
      </c>
      <c r="J2724">
        <v>5</v>
      </c>
      <c r="K2724">
        <v>0</v>
      </c>
      <c r="L2724">
        <v>534</v>
      </c>
      <c r="M2724">
        <v>60</v>
      </c>
      <c r="N2724" s="1">
        <f t="shared" si="336"/>
        <v>44938</v>
      </c>
      <c r="O2724" s="1">
        <f t="shared" si="337"/>
        <v>43101</v>
      </c>
      <c r="P2724" s="1">
        <f t="shared" si="338"/>
        <v>44866</v>
      </c>
      <c r="Q2724" s="8">
        <f t="shared" si="339"/>
        <v>0</v>
      </c>
      <c r="R2724" s="8">
        <f t="shared" si="340"/>
        <v>59</v>
      </c>
      <c r="S2724" s="8">
        <f t="shared" ca="1" si="341"/>
        <v>59</v>
      </c>
      <c r="T2724">
        <f t="shared" ca="1" si="342"/>
        <v>3.6096284241236214</v>
      </c>
      <c r="U2724" s="8">
        <f t="shared" ca="1" si="343"/>
        <v>1.7495247920596921</v>
      </c>
      <c r="V2724" s="8">
        <f ca="1">RawData[[#This Row],[Z (smoothed demand size)]]/RawData[[#This Row],[X (smoothed interval)]]</f>
        <v>2.0632050717463994</v>
      </c>
    </row>
    <row r="2725" spans="1:22">
      <c r="A2725" t="s">
        <v>56</v>
      </c>
      <c r="B2725" t="s">
        <v>39</v>
      </c>
      <c r="C2725">
        <v>28</v>
      </c>
      <c r="D2725" t="s">
        <v>22</v>
      </c>
      <c r="E2725" t="s">
        <v>16</v>
      </c>
      <c r="F2725" s="1">
        <v>44573</v>
      </c>
      <c r="G2725">
        <v>1</v>
      </c>
      <c r="H2725">
        <v>1</v>
      </c>
      <c r="I2725">
        <v>5</v>
      </c>
      <c r="J2725">
        <v>4</v>
      </c>
      <c r="K2725">
        <v>0</v>
      </c>
      <c r="L2725">
        <v>614</v>
      </c>
      <c r="M2725">
        <v>45</v>
      </c>
      <c r="N2725" s="1">
        <f t="shared" si="336"/>
        <v>44938</v>
      </c>
      <c r="O2725" s="1">
        <f t="shared" si="337"/>
        <v>43101</v>
      </c>
      <c r="P2725" s="1">
        <f t="shared" si="338"/>
        <v>44896</v>
      </c>
      <c r="Q2725" s="8">
        <f t="shared" si="339"/>
        <v>0</v>
      </c>
      <c r="R2725" s="8">
        <f t="shared" si="340"/>
        <v>60</v>
      </c>
      <c r="S2725" s="8">
        <f t="shared" ca="1" si="341"/>
        <v>60</v>
      </c>
      <c r="T2725">
        <f t="shared" ca="1" si="342"/>
        <v>3.0877027392988974</v>
      </c>
      <c r="U2725" s="8">
        <f t="shared" ca="1" si="343"/>
        <v>1.5996198336477538</v>
      </c>
      <c r="V2725" s="8">
        <f ca="1">RawData[[#This Row],[Z (smoothed demand size)]]/RawData[[#This Row],[X (smoothed interval)]]</f>
        <v>1.9302728525550581</v>
      </c>
    </row>
    <row r="2726" spans="1:22">
      <c r="A2726" t="s">
        <v>56</v>
      </c>
      <c r="B2726" t="s">
        <v>39</v>
      </c>
      <c r="C2726">
        <v>28</v>
      </c>
      <c r="D2726" t="s">
        <v>22</v>
      </c>
      <c r="E2726" t="s">
        <v>16</v>
      </c>
      <c r="F2726" s="1">
        <v>44927</v>
      </c>
      <c r="G2726">
        <v>3</v>
      </c>
      <c r="H2726">
        <v>3</v>
      </c>
      <c r="I2726">
        <v>4</v>
      </c>
      <c r="J2726">
        <v>1</v>
      </c>
      <c r="K2726">
        <v>0</v>
      </c>
      <c r="L2726">
        <v>522</v>
      </c>
      <c r="M2726">
        <v>30</v>
      </c>
      <c r="N2726" s="1">
        <f t="shared" si="336"/>
        <v>44938</v>
      </c>
      <c r="O2726" s="1">
        <f t="shared" si="337"/>
        <v>43101</v>
      </c>
      <c r="P2726" s="1">
        <f t="shared" si="338"/>
        <v>44927</v>
      </c>
      <c r="Q2726" s="8">
        <f t="shared" si="339"/>
        <v>0</v>
      </c>
      <c r="R2726" s="8">
        <f t="shared" si="340"/>
        <v>61</v>
      </c>
      <c r="S2726" s="8">
        <f t="shared" ca="1" si="341"/>
        <v>61</v>
      </c>
      <c r="T2726">
        <f t="shared" ca="1" si="342"/>
        <v>3.0701621914391182</v>
      </c>
      <c r="U2726" s="8">
        <f t="shared" ca="1" si="343"/>
        <v>1.4796958669182032</v>
      </c>
      <c r="V2726" s="8">
        <f ca="1">RawData[[#This Row],[Z (smoothed demand size)]]/RawData[[#This Row],[X (smoothed interval)]]</f>
        <v>2.0748602872247091</v>
      </c>
    </row>
    <row r="2727" spans="1:22">
      <c r="A2727" t="s">
        <v>56</v>
      </c>
      <c r="B2727" t="s">
        <v>39</v>
      </c>
      <c r="C2727">
        <v>28</v>
      </c>
      <c r="D2727" t="s">
        <v>22</v>
      </c>
      <c r="E2727" t="s">
        <v>16</v>
      </c>
      <c r="F2727" s="1">
        <v>44928</v>
      </c>
      <c r="G2727">
        <v>3</v>
      </c>
      <c r="H2727">
        <v>3</v>
      </c>
      <c r="I2727">
        <v>11</v>
      </c>
      <c r="J2727">
        <v>8</v>
      </c>
      <c r="K2727">
        <v>0</v>
      </c>
      <c r="L2727">
        <v>533</v>
      </c>
      <c r="M2727">
        <v>30</v>
      </c>
      <c r="N2727" s="1">
        <f t="shared" si="336"/>
        <v>44938</v>
      </c>
      <c r="O2727" s="1">
        <f t="shared" si="337"/>
        <v>43101</v>
      </c>
      <c r="P2727" s="1">
        <f t="shared" si="338"/>
        <v>44958</v>
      </c>
      <c r="Q2727" s="8">
        <f t="shared" si="339"/>
        <v>0</v>
      </c>
      <c r="R2727" s="8">
        <f t="shared" si="340"/>
        <v>62</v>
      </c>
      <c r="S2727" s="8">
        <f t="shared" ca="1" si="341"/>
        <v>62</v>
      </c>
      <c r="T2727">
        <f t="shared" ca="1" si="342"/>
        <v>3.056129753151295</v>
      </c>
      <c r="U2727" s="8">
        <f t="shared" ca="1" si="343"/>
        <v>1.3837566935345627</v>
      </c>
      <c r="V2727" s="8">
        <f ca="1">RawData[[#This Row],[Z (smoothed demand size)]]/RawData[[#This Row],[X (smoothed interval)]]</f>
        <v>2.208574504051684</v>
      </c>
    </row>
    <row r="2728" spans="1:22">
      <c r="A2728" t="s">
        <v>56</v>
      </c>
      <c r="B2728" t="s">
        <v>39</v>
      </c>
      <c r="C2728">
        <v>28</v>
      </c>
      <c r="D2728" t="s">
        <v>22</v>
      </c>
      <c r="E2728" t="s">
        <v>16</v>
      </c>
      <c r="F2728" s="1">
        <v>44929</v>
      </c>
      <c r="G2728">
        <v>0</v>
      </c>
      <c r="H2728">
        <v>0</v>
      </c>
      <c r="I2728">
        <v>8</v>
      </c>
      <c r="J2728">
        <v>8</v>
      </c>
      <c r="K2728">
        <v>0</v>
      </c>
      <c r="L2728">
        <v>538</v>
      </c>
      <c r="M2728">
        <v>15</v>
      </c>
      <c r="N2728" s="1">
        <f t="shared" si="336"/>
        <v>44938</v>
      </c>
      <c r="O2728" s="1">
        <f t="shared" si="337"/>
        <v>43101</v>
      </c>
      <c r="P2728" s="1">
        <f t="shared" si="338"/>
        <v>44986</v>
      </c>
      <c r="Q2728" s="8">
        <f t="shared" si="339"/>
        <v>0</v>
      </c>
      <c r="R2728" s="8">
        <f t="shared" si="340"/>
        <v>63</v>
      </c>
      <c r="S2728" s="8">
        <f t="shared" ca="1" si="341"/>
        <v>62</v>
      </c>
      <c r="T2728">
        <f t="shared" ca="1" si="342"/>
        <v>3.056129753151295</v>
      </c>
      <c r="U2728" s="8">
        <f t="shared" ca="1" si="343"/>
        <v>1.3837566935345627</v>
      </c>
      <c r="V2728" s="8">
        <f ca="1">RawData[[#This Row],[Z (smoothed demand size)]]/RawData[[#This Row],[X (smoothed interval)]]</f>
        <v>2.208574504051684</v>
      </c>
    </row>
    <row r="2729" spans="1:22">
      <c r="A2729" t="s">
        <v>56</v>
      </c>
      <c r="B2729" t="s">
        <v>39</v>
      </c>
      <c r="C2729">
        <v>28</v>
      </c>
      <c r="D2729" t="s">
        <v>22</v>
      </c>
      <c r="E2729" t="s">
        <v>16</v>
      </c>
      <c r="F2729" s="1">
        <v>44930</v>
      </c>
      <c r="G2729">
        <v>5</v>
      </c>
      <c r="H2729">
        <v>5</v>
      </c>
      <c r="I2729">
        <v>8</v>
      </c>
      <c r="J2729">
        <v>3</v>
      </c>
      <c r="K2729">
        <v>0</v>
      </c>
      <c r="L2729">
        <v>540</v>
      </c>
      <c r="M2729">
        <v>15</v>
      </c>
      <c r="N2729" s="1">
        <f t="shared" si="336"/>
        <v>44938</v>
      </c>
      <c r="O2729" s="1">
        <f t="shared" si="337"/>
        <v>43101</v>
      </c>
      <c r="P2729" s="1">
        <f t="shared" si="338"/>
        <v>45017</v>
      </c>
      <c r="Q2729" s="8">
        <f t="shared" si="339"/>
        <v>0</v>
      </c>
      <c r="R2729" s="8">
        <f t="shared" si="340"/>
        <v>64</v>
      </c>
      <c r="S2729" s="8">
        <f t="shared" ca="1" si="341"/>
        <v>64</v>
      </c>
      <c r="T2729">
        <f t="shared" ca="1" si="342"/>
        <v>3.4449038025210363</v>
      </c>
      <c r="U2729" s="8">
        <f t="shared" ca="1" si="343"/>
        <v>1.5070053548276503</v>
      </c>
      <c r="V2729" s="8">
        <f ca="1">RawData[[#This Row],[Z (smoothed demand size)]]/RawData[[#This Row],[X (smoothed interval)]]</f>
        <v>2.2859267165079284</v>
      </c>
    </row>
    <row r="2730" spans="1:22">
      <c r="A2730" t="s">
        <v>56</v>
      </c>
      <c r="B2730" t="s">
        <v>39</v>
      </c>
      <c r="C2730">
        <v>28</v>
      </c>
      <c r="D2730" t="s">
        <v>22</v>
      </c>
      <c r="E2730" t="s">
        <v>16</v>
      </c>
      <c r="F2730" s="1">
        <v>44931</v>
      </c>
      <c r="G2730">
        <v>0</v>
      </c>
      <c r="H2730">
        <v>0</v>
      </c>
      <c r="I2730">
        <v>10</v>
      </c>
      <c r="J2730">
        <v>10</v>
      </c>
      <c r="K2730">
        <v>0</v>
      </c>
      <c r="L2730">
        <v>541</v>
      </c>
      <c r="M2730">
        <v>15</v>
      </c>
      <c r="N2730" s="1">
        <f t="shared" si="336"/>
        <v>44938</v>
      </c>
      <c r="O2730" s="1">
        <f t="shared" si="337"/>
        <v>43101</v>
      </c>
      <c r="P2730" s="1">
        <f t="shared" si="338"/>
        <v>45047</v>
      </c>
      <c r="Q2730" s="8">
        <f t="shared" si="339"/>
        <v>0</v>
      </c>
      <c r="R2730" s="8">
        <f t="shared" si="340"/>
        <v>65</v>
      </c>
      <c r="S2730" s="8">
        <f t="shared" ca="1" si="341"/>
        <v>64</v>
      </c>
      <c r="T2730">
        <f t="shared" ca="1" si="342"/>
        <v>3.4449038025210363</v>
      </c>
      <c r="U2730" s="8">
        <f t="shared" ca="1" si="343"/>
        <v>1.5070053548276503</v>
      </c>
      <c r="V2730" s="8">
        <f ca="1">RawData[[#This Row],[Z (smoothed demand size)]]/RawData[[#This Row],[X (smoothed interval)]]</f>
        <v>2.2859267165079284</v>
      </c>
    </row>
    <row r="2731" spans="1:22">
      <c r="A2731" t="s">
        <v>56</v>
      </c>
      <c r="B2731" t="s">
        <v>39</v>
      </c>
      <c r="C2731">
        <v>28</v>
      </c>
      <c r="D2731" t="s">
        <v>22</v>
      </c>
      <c r="E2731" t="s">
        <v>16</v>
      </c>
      <c r="F2731" s="1">
        <v>44932</v>
      </c>
      <c r="G2731">
        <v>3</v>
      </c>
      <c r="H2731">
        <v>3</v>
      </c>
      <c r="I2731">
        <v>10</v>
      </c>
      <c r="J2731">
        <v>7</v>
      </c>
      <c r="K2731">
        <v>0</v>
      </c>
      <c r="L2731">
        <v>613</v>
      </c>
      <c r="M2731">
        <v>45</v>
      </c>
      <c r="N2731" s="1">
        <f t="shared" si="336"/>
        <v>44938</v>
      </c>
      <c r="O2731" s="1">
        <f t="shared" si="337"/>
        <v>43101</v>
      </c>
      <c r="P2731" s="1">
        <f t="shared" si="338"/>
        <v>45078</v>
      </c>
      <c r="Q2731" s="8">
        <f t="shared" si="339"/>
        <v>0</v>
      </c>
      <c r="R2731" s="8">
        <f t="shared" si="340"/>
        <v>66</v>
      </c>
      <c r="S2731" s="8">
        <f t="shared" ca="1" si="341"/>
        <v>66</v>
      </c>
      <c r="T2731">
        <f t="shared" ca="1" si="342"/>
        <v>3.3559230420168293</v>
      </c>
      <c r="U2731" s="8">
        <f t="shared" ca="1" si="343"/>
        <v>1.6056042838621205</v>
      </c>
      <c r="V2731" s="8">
        <f ca="1">RawData[[#This Row],[Z (smoothed demand size)]]/RawData[[#This Row],[X (smoothed interval)]]</f>
        <v>2.0901308471502653</v>
      </c>
    </row>
    <row r="2732" spans="1:22">
      <c r="A2732" t="s">
        <v>56</v>
      </c>
      <c r="B2732" t="s">
        <v>39</v>
      </c>
      <c r="C2732">
        <v>28</v>
      </c>
      <c r="D2732" t="s">
        <v>22</v>
      </c>
      <c r="E2732" t="s">
        <v>16</v>
      </c>
      <c r="F2732" s="1">
        <v>44933</v>
      </c>
      <c r="G2732">
        <v>0</v>
      </c>
      <c r="H2732">
        <v>0</v>
      </c>
      <c r="I2732">
        <v>7</v>
      </c>
      <c r="J2732">
        <v>7</v>
      </c>
      <c r="K2732">
        <v>0</v>
      </c>
      <c r="L2732">
        <v>628</v>
      </c>
      <c r="M2732">
        <v>45</v>
      </c>
      <c r="N2732" s="1">
        <f t="shared" si="336"/>
        <v>44938</v>
      </c>
      <c r="O2732" s="1">
        <f t="shared" si="337"/>
        <v>43101</v>
      </c>
      <c r="P2732" s="1">
        <f t="shared" si="338"/>
        <v>45108</v>
      </c>
      <c r="Q2732" s="8">
        <f t="shared" si="339"/>
        <v>0</v>
      </c>
      <c r="R2732" s="8">
        <f t="shared" si="340"/>
        <v>67</v>
      </c>
      <c r="S2732" s="8">
        <f t="shared" ca="1" si="341"/>
        <v>66</v>
      </c>
      <c r="T2732">
        <f t="shared" ca="1" si="342"/>
        <v>3.3559230420168293</v>
      </c>
      <c r="U2732" s="8">
        <f t="shared" ca="1" si="343"/>
        <v>1.6056042838621205</v>
      </c>
      <c r="V2732" s="8">
        <f ca="1">RawData[[#This Row],[Z (smoothed demand size)]]/RawData[[#This Row],[X (smoothed interval)]]</f>
        <v>2.0901308471502653</v>
      </c>
    </row>
    <row r="2733" spans="1:22">
      <c r="A2733" t="s">
        <v>56</v>
      </c>
      <c r="B2733" t="s">
        <v>39</v>
      </c>
      <c r="C2733">
        <v>28</v>
      </c>
      <c r="D2733" t="s">
        <v>22</v>
      </c>
      <c r="E2733" t="s">
        <v>16</v>
      </c>
      <c r="F2733" s="1">
        <v>44934</v>
      </c>
      <c r="G2733">
        <v>2</v>
      </c>
      <c r="H2733">
        <v>2</v>
      </c>
      <c r="I2733">
        <v>7</v>
      </c>
      <c r="J2733">
        <v>5</v>
      </c>
      <c r="K2733">
        <v>0</v>
      </c>
      <c r="L2733">
        <v>608</v>
      </c>
      <c r="M2733">
        <v>30</v>
      </c>
      <c r="N2733" s="1">
        <f t="shared" si="336"/>
        <v>44938</v>
      </c>
      <c r="O2733" s="1">
        <f t="shared" si="337"/>
        <v>43101</v>
      </c>
      <c r="P2733" s="1">
        <f t="shared" si="338"/>
        <v>45139</v>
      </c>
      <c r="Q2733" s="8">
        <f t="shared" si="339"/>
        <v>0</v>
      </c>
      <c r="R2733" s="8">
        <f t="shared" si="340"/>
        <v>68</v>
      </c>
      <c r="S2733" s="8">
        <f t="shared" ca="1" si="341"/>
        <v>68</v>
      </c>
      <c r="T2733">
        <f t="shared" ca="1" si="342"/>
        <v>3.0847384336134636</v>
      </c>
      <c r="U2733" s="8">
        <f t="shared" ca="1" si="343"/>
        <v>1.6844834270896967</v>
      </c>
      <c r="V2733" s="8">
        <f ca="1">RawData[[#This Row],[Z (smoothed demand size)]]/RawData[[#This Row],[X (smoothed interval)]]</f>
        <v>1.8312667159587348</v>
      </c>
    </row>
    <row r="2734" spans="1:22">
      <c r="A2734" t="s">
        <v>56</v>
      </c>
      <c r="B2734" t="s">
        <v>39</v>
      </c>
      <c r="C2734">
        <v>28</v>
      </c>
      <c r="D2734" t="s">
        <v>22</v>
      </c>
      <c r="E2734" t="s">
        <v>16</v>
      </c>
      <c r="F2734" s="1">
        <v>44935</v>
      </c>
      <c r="G2734">
        <v>4</v>
      </c>
      <c r="H2734">
        <v>4</v>
      </c>
      <c r="I2734">
        <v>5</v>
      </c>
      <c r="J2734">
        <v>1</v>
      </c>
      <c r="K2734">
        <v>0</v>
      </c>
      <c r="L2734">
        <v>529</v>
      </c>
      <c r="M2734">
        <v>45</v>
      </c>
      <c r="N2734" s="1">
        <f t="shared" si="336"/>
        <v>44938</v>
      </c>
      <c r="O2734" s="1">
        <f t="shared" si="337"/>
        <v>43101</v>
      </c>
      <c r="P2734" s="1">
        <f t="shared" si="338"/>
        <v>45170</v>
      </c>
      <c r="Q2734" s="8">
        <f t="shared" si="339"/>
        <v>0</v>
      </c>
      <c r="R2734" s="8">
        <f t="shared" si="340"/>
        <v>69</v>
      </c>
      <c r="S2734" s="8">
        <f t="shared" ca="1" si="341"/>
        <v>69</v>
      </c>
      <c r="T2734">
        <f t="shared" ca="1" si="342"/>
        <v>3.2677907468907712</v>
      </c>
      <c r="U2734" s="8">
        <f t="shared" ca="1" si="343"/>
        <v>1.5475867416717575</v>
      </c>
      <c r="V2734" s="8">
        <f ca="1">RawData[[#This Row],[Z (smoothed demand size)]]/RawData[[#This Row],[X (smoothed interval)]]</f>
        <v>2.1115396371002695</v>
      </c>
    </row>
    <row r="2735" spans="1:22">
      <c r="A2735" t="s">
        <v>56</v>
      </c>
      <c r="B2735" t="s">
        <v>39</v>
      </c>
      <c r="C2735">
        <v>28</v>
      </c>
      <c r="D2735" t="s">
        <v>22</v>
      </c>
      <c r="E2735" t="s">
        <v>16</v>
      </c>
      <c r="F2735" s="1">
        <v>44936</v>
      </c>
      <c r="G2735">
        <v>0</v>
      </c>
      <c r="H2735">
        <v>0</v>
      </c>
      <c r="I2735">
        <v>1</v>
      </c>
      <c r="J2735">
        <v>1</v>
      </c>
      <c r="K2735">
        <v>0</v>
      </c>
      <c r="L2735">
        <v>533</v>
      </c>
      <c r="M2735">
        <v>60</v>
      </c>
      <c r="N2735" s="1">
        <f t="shared" si="336"/>
        <v>44938</v>
      </c>
      <c r="O2735" s="1">
        <f t="shared" si="337"/>
        <v>43101</v>
      </c>
      <c r="P2735" s="1">
        <f t="shared" si="338"/>
        <v>45200</v>
      </c>
      <c r="Q2735" s="8">
        <f t="shared" si="339"/>
        <v>0</v>
      </c>
      <c r="R2735" s="8">
        <f t="shared" si="340"/>
        <v>70</v>
      </c>
      <c r="S2735" s="8">
        <f t="shared" ca="1" si="341"/>
        <v>69</v>
      </c>
      <c r="T2735">
        <f t="shared" ca="1" si="342"/>
        <v>3.2677907468907712</v>
      </c>
      <c r="U2735" s="8">
        <f t="shared" ca="1" si="343"/>
        <v>1.5475867416717575</v>
      </c>
      <c r="V2735" s="8">
        <f ca="1">RawData[[#This Row],[Z (smoothed demand size)]]/RawData[[#This Row],[X (smoothed interval)]]</f>
        <v>2.1115396371002695</v>
      </c>
    </row>
    <row r="2736" spans="1:22">
      <c r="A2736" t="s">
        <v>56</v>
      </c>
      <c r="B2736" t="s">
        <v>39</v>
      </c>
      <c r="C2736">
        <v>28</v>
      </c>
      <c r="D2736" t="s">
        <v>22</v>
      </c>
      <c r="E2736" t="s">
        <v>16</v>
      </c>
      <c r="F2736" s="1">
        <v>44937</v>
      </c>
      <c r="G2736">
        <v>3</v>
      </c>
      <c r="H2736">
        <v>3</v>
      </c>
      <c r="I2736">
        <v>10</v>
      </c>
      <c r="J2736">
        <v>7</v>
      </c>
      <c r="K2736">
        <v>0</v>
      </c>
      <c r="L2736">
        <v>537</v>
      </c>
      <c r="M2736">
        <v>60</v>
      </c>
      <c r="N2736" s="1">
        <f t="shared" si="336"/>
        <v>44938</v>
      </c>
      <c r="O2736" s="1">
        <f t="shared" si="337"/>
        <v>43101</v>
      </c>
      <c r="P2736" s="1">
        <f t="shared" si="338"/>
        <v>45231</v>
      </c>
      <c r="Q2736" s="8">
        <f t="shared" si="339"/>
        <v>0</v>
      </c>
      <c r="R2736" s="8">
        <f t="shared" si="340"/>
        <v>71</v>
      </c>
      <c r="S2736" s="8">
        <f t="shared" ca="1" si="341"/>
        <v>71</v>
      </c>
      <c r="T2736">
        <f t="shared" ca="1" si="342"/>
        <v>3.2142325975126171</v>
      </c>
      <c r="U2736" s="8">
        <f t="shared" ca="1" si="343"/>
        <v>1.638069393337406</v>
      </c>
      <c r="V2736" s="8">
        <f ca="1">RawData[[#This Row],[Z (smoothed demand size)]]/RawData[[#This Row],[X (smoothed interval)]]</f>
        <v>1.9622078347755054</v>
      </c>
    </row>
    <row r="2737" spans="1:22">
      <c r="A2737" t="s">
        <v>56</v>
      </c>
      <c r="B2737" t="s">
        <v>39</v>
      </c>
      <c r="C2737">
        <v>28</v>
      </c>
      <c r="D2737" t="s">
        <v>22</v>
      </c>
      <c r="E2737" t="s">
        <v>16</v>
      </c>
      <c r="F2737" s="1">
        <v>44938</v>
      </c>
      <c r="G2737">
        <v>0</v>
      </c>
      <c r="H2737">
        <v>0</v>
      </c>
      <c r="I2737">
        <v>7</v>
      </c>
      <c r="J2737">
        <v>7</v>
      </c>
      <c r="K2737">
        <v>0</v>
      </c>
      <c r="L2737">
        <v>617</v>
      </c>
      <c r="M2737">
        <v>15</v>
      </c>
      <c r="N2737" s="1">
        <f t="shared" si="336"/>
        <v>44938</v>
      </c>
      <c r="O2737" s="1">
        <f t="shared" si="337"/>
        <v>43101</v>
      </c>
      <c r="P2737" s="1">
        <f t="shared" si="338"/>
        <v>45261</v>
      </c>
      <c r="Q2737" s="8">
        <f t="shared" si="339"/>
        <v>0</v>
      </c>
      <c r="R2737" s="8">
        <f t="shared" si="340"/>
        <v>72</v>
      </c>
      <c r="S2737" s="8">
        <f t="shared" ca="1" si="341"/>
        <v>71</v>
      </c>
      <c r="T2737">
        <f t="shared" ca="1" si="342"/>
        <v>3.2142325975126171</v>
      </c>
      <c r="U2737" s="8">
        <f t="shared" ca="1" si="343"/>
        <v>1.638069393337406</v>
      </c>
      <c r="V2737" s="8">
        <f ca="1">RawData[[#This Row],[Z (smoothed demand size)]]/RawData[[#This Row],[X (smoothed interval)]]</f>
        <v>1.9622078347755054</v>
      </c>
    </row>
    <row r="2738" spans="1:22">
      <c r="A2738" t="s">
        <v>57</v>
      </c>
      <c r="B2738" t="s">
        <v>39</v>
      </c>
      <c r="C2738">
        <v>28</v>
      </c>
      <c r="D2738" t="s">
        <v>18</v>
      </c>
      <c r="E2738" t="s">
        <v>16</v>
      </c>
      <c r="F2738" s="1">
        <v>43101</v>
      </c>
      <c r="G2738">
        <v>2</v>
      </c>
      <c r="H2738">
        <v>2</v>
      </c>
      <c r="I2738">
        <v>16</v>
      </c>
      <c r="J2738">
        <v>14</v>
      </c>
      <c r="K2738">
        <v>0</v>
      </c>
      <c r="L2738">
        <v>397</v>
      </c>
      <c r="M2738">
        <v>15</v>
      </c>
      <c r="N2738" s="1">
        <f t="shared" si="336"/>
        <v>44938</v>
      </c>
      <c r="O2738" s="1">
        <f t="shared" si="337"/>
        <v>43101</v>
      </c>
      <c r="P2738" s="1">
        <f t="shared" si="338"/>
        <v>43101</v>
      </c>
      <c r="Q2738" s="8">
        <f t="shared" si="339"/>
        <v>1</v>
      </c>
      <c r="R2738" s="8">
        <f t="shared" si="340"/>
        <v>1</v>
      </c>
      <c r="S2738" s="8">
        <f t="shared" ca="1" si="341"/>
        <v>1</v>
      </c>
      <c r="T2738">
        <f t="shared" ca="1" si="342"/>
        <v>2</v>
      </c>
      <c r="U2738" s="8">
        <f t="shared" ca="1" si="343"/>
        <v>1</v>
      </c>
      <c r="V2738" s="8">
        <f ca="1">RawData[[#This Row],[Z (smoothed demand size)]]/RawData[[#This Row],[X (smoothed interval)]]</f>
        <v>2</v>
      </c>
    </row>
    <row r="2739" spans="1:22">
      <c r="A2739" t="s">
        <v>57</v>
      </c>
      <c r="B2739" t="s">
        <v>39</v>
      </c>
      <c r="C2739">
        <v>28</v>
      </c>
      <c r="D2739" t="s">
        <v>18</v>
      </c>
      <c r="E2739" t="s">
        <v>16</v>
      </c>
      <c r="F2739" s="1">
        <v>43102</v>
      </c>
      <c r="G2739">
        <v>2</v>
      </c>
      <c r="H2739">
        <v>2</v>
      </c>
      <c r="I2739">
        <v>14</v>
      </c>
      <c r="J2739">
        <v>12</v>
      </c>
      <c r="K2739">
        <v>0</v>
      </c>
      <c r="L2739">
        <v>402</v>
      </c>
      <c r="M2739">
        <v>30</v>
      </c>
      <c r="N2739" s="1">
        <f t="shared" si="336"/>
        <v>44938</v>
      </c>
      <c r="O2739" s="1">
        <f t="shared" si="337"/>
        <v>43101</v>
      </c>
      <c r="P2739" s="1">
        <f t="shared" si="338"/>
        <v>43132</v>
      </c>
      <c r="Q2739" s="8">
        <f t="shared" si="339"/>
        <v>0</v>
      </c>
      <c r="R2739" s="8">
        <f t="shared" si="340"/>
        <v>2</v>
      </c>
      <c r="S2739" s="8">
        <f t="shared" ca="1" si="341"/>
        <v>2</v>
      </c>
      <c r="T2739">
        <f t="shared" ca="1" si="342"/>
        <v>2</v>
      </c>
      <c r="U2739" s="8">
        <f t="shared" ca="1" si="343"/>
        <v>1</v>
      </c>
      <c r="V2739" s="8">
        <f ca="1">RawData[[#This Row],[Z (smoothed demand size)]]/RawData[[#This Row],[X (smoothed interval)]]</f>
        <v>2</v>
      </c>
    </row>
    <row r="2740" spans="1:22">
      <c r="A2740" t="s">
        <v>57</v>
      </c>
      <c r="B2740" t="s">
        <v>39</v>
      </c>
      <c r="C2740">
        <v>28</v>
      </c>
      <c r="D2740" t="s">
        <v>18</v>
      </c>
      <c r="E2740" t="s">
        <v>16</v>
      </c>
      <c r="F2740" s="1">
        <v>43103</v>
      </c>
      <c r="G2740">
        <v>4</v>
      </c>
      <c r="H2740">
        <v>4</v>
      </c>
      <c r="I2740">
        <v>12</v>
      </c>
      <c r="J2740">
        <v>8</v>
      </c>
      <c r="K2740">
        <v>0</v>
      </c>
      <c r="L2740">
        <v>401</v>
      </c>
      <c r="M2740">
        <v>60</v>
      </c>
      <c r="N2740" s="1">
        <f t="shared" si="336"/>
        <v>44938</v>
      </c>
      <c r="O2740" s="1">
        <f t="shared" si="337"/>
        <v>43101</v>
      </c>
      <c r="P2740" s="1">
        <f t="shared" si="338"/>
        <v>43160</v>
      </c>
      <c r="Q2740" s="8">
        <f t="shared" si="339"/>
        <v>0</v>
      </c>
      <c r="R2740" s="8">
        <f t="shared" si="340"/>
        <v>3</v>
      </c>
      <c r="S2740" s="8">
        <f t="shared" ca="1" si="341"/>
        <v>3</v>
      </c>
      <c r="T2740">
        <f t="shared" ca="1" si="342"/>
        <v>2.4000000000000004</v>
      </c>
      <c r="U2740" s="8">
        <f t="shared" ca="1" si="343"/>
        <v>1</v>
      </c>
      <c r="V2740" s="8">
        <f ca="1">RawData[[#This Row],[Z (smoothed demand size)]]/RawData[[#This Row],[X (smoothed interval)]]</f>
        <v>2.4000000000000004</v>
      </c>
    </row>
    <row r="2741" spans="1:22">
      <c r="A2741" t="s">
        <v>57</v>
      </c>
      <c r="B2741" t="s">
        <v>39</v>
      </c>
      <c r="C2741">
        <v>28</v>
      </c>
      <c r="D2741" t="s">
        <v>18</v>
      </c>
      <c r="E2741" t="s">
        <v>16</v>
      </c>
      <c r="F2741" s="1">
        <v>43104</v>
      </c>
      <c r="G2741">
        <v>1</v>
      </c>
      <c r="H2741">
        <v>1</v>
      </c>
      <c r="I2741">
        <v>8</v>
      </c>
      <c r="J2741">
        <v>7</v>
      </c>
      <c r="K2741">
        <v>0</v>
      </c>
      <c r="L2741">
        <v>400</v>
      </c>
      <c r="M2741">
        <v>30</v>
      </c>
      <c r="N2741" s="1">
        <f t="shared" si="336"/>
        <v>44938</v>
      </c>
      <c r="O2741" s="1">
        <f t="shared" si="337"/>
        <v>43101</v>
      </c>
      <c r="P2741" s="1">
        <f t="shared" si="338"/>
        <v>43191</v>
      </c>
      <c r="Q2741" s="8">
        <f t="shared" si="339"/>
        <v>0</v>
      </c>
      <c r="R2741" s="8">
        <f t="shared" si="340"/>
        <v>4</v>
      </c>
      <c r="S2741" s="8">
        <f t="shared" ca="1" si="341"/>
        <v>4</v>
      </c>
      <c r="T2741">
        <f t="shared" ca="1" si="342"/>
        <v>2.1200000000000006</v>
      </c>
      <c r="U2741" s="8">
        <f t="shared" ca="1" si="343"/>
        <v>1</v>
      </c>
      <c r="V2741" s="8">
        <f ca="1">RawData[[#This Row],[Z (smoothed demand size)]]/RawData[[#This Row],[X (smoothed interval)]]</f>
        <v>2.1200000000000006</v>
      </c>
    </row>
    <row r="2742" spans="1:22">
      <c r="A2742" t="s">
        <v>57</v>
      </c>
      <c r="B2742" t="s">
        <v>39</v>
      </c>
      <c r="C2742">
        <v>28</v>
      </c>
      <c r="D2742" t="s">
        <v>18</v>
      </c>
      <c r="E2742" t="s">
        <v>16</v>
      </c>
      <c r="F2742" s="1">
        <v>43105</v>
      </c>
      <c r="G2742">
        <v>0</v>
      </c>
      <c r="H2742">
        <v>0</v>
      </c>
      <c r="I2742">
        <v>7</v>
      </c>
      <c r="J2742">
        <v>7</v>
      </c>
      <c r="K2742">
        <v>0</v>
      </c>
      <c r="L2742">
        <v>400</v>
      </c>
      <c r="M2742">
        <v>45</v>
      </c>
      <c r="N2742" s="1">
        <f t="shared" si="336"/>
        <v>44938</v>
      </c>
      <c r="O2742" s="1">
        <f t="shared" si="337"/>
        <v>43101</v>
      </c>
      <c r="P2742" s="1">
        <f t="shared" si="338"/>
        <v>43221</v>
      </c>
      <c r="Q2742" s="8">
        <f t="shared" si="339"/>
        <v>0</v>
      </c>
      <c r="R2742" s="8">
        <f t="shared" si="340"/>
        <v>5</v>
      </c>
      <c r="S2742" s="8">
        <f t="shared" ca="1" si="341"/>
        <v>4</v>
      </c>
      <c r="T2742">
        <f t="shared" ca="1" si="342"/>
        <v>2.1200000000000006</v>
      </c>
      <c r="U2742" s="8">
        <f t="shared" ca="1" si="343"/>
        <v>1</v>
      </c>
      <c r="V2742" s="8">
        <f ca="1">RawData[[#This Row],[Z (smoothed demand size)]]/RawData[[#This Row],[X (smoothed interval)]]</f>
        <v>2.1200000000000006</v>
      </c>
    </row>
    <row r="2743" spans="1:22">
      <c r="A2743" t="s">
        <v>57</v>
      </c>
      <c r="B2743" t="s">
        <v>39</v>
      </c>
      <c r="C2743">
        <v>28</v>
      </c>
      <c r="D2743" t="s">
        <v>18</v>
      </c>
      <c r="E2743" t="s">
        <v>16</v>
      </c>
      <c r="F2743" s="1">
        <v>43106</v>
      </c>
      <c r="G2743">
        <v>0</v>
      </c>
      <c r="H2743">
        <v>0</v>
      </c>
      <c r="I2743">
        <v>7</v>
      </c>
      <c r="J2743">
        <v>7</v>
      </c>
      <c r="K2743">
        <v>0</v>
      </c>
      <c r="L2743">
        <v>463</v>
      </c>
      <c r="M2743">
        <v>60</v>
      </c>
      <c r="N2743" s="1">
        <f t="shared" si="336"/>
        <v>44938</v>
      </c>
      <c r="O2743" s="1">
        <f t="shared" si="337"/>
        <v>43101</v>
      </c>
      <c r="P2743" s="1">
        <f t="shared" si="338"/>
        <v>43252</v>
      </c>
      <c r="Q2743" s="8">
        <f t="shared" si="339"/>
        <v>0</v>
      </c>
      <c r="R2743" s="8">
        <f t="shared" si="340"/>
        <v>6</v>
      </c>
      <c r="S2743" s="8">
        <f t="shared" ca="1" si="341"/>
        <v>4</v>
      </c>
      <c r="T2743">
        <f t="shared" ca="1" si="342"/>
        <v>2.1200000000000006</v>
      </c>
      <c r="U2743" s="8">
        <f t="shared" ca="1" si="343"/>
        <v>1</v>
      </c>
      <c r="V2743" s="8">
        <f ca="1">RawData[[#This Row],[Z (smoothed demand size)]]/RawData[[#This Row],[X (smoothed interval)]]</f>
        <v>2.1200000000000006</v>
      </c>
    </row>
    <row r="2744" spans="1:22">
      <c r="A2744" t="s">
        <v>57</v>
      </c>
      <c r="B2744" t="s">
        <v>39</v>
      </c>
      <c r="C2744">
        <v>28</v>
      </c>
      <c r="D2744" t="s">
        <v>18</v>
      </c>
      <c r="E2744" t="s">
        <v>16</v>
      </c>
      <c r="F2744" s="1">
        <v>43107</v>
      </c>
      <c r="G2744">
        <v>1</v>
      </c>
      <c r="H2744">
        <v>1</v>
      </c>
      <c r="I2744">
        <v>7</v>
      </c>
      <c r="J2744">
        <v>6</v>
      </c>
      <c r="K2744">
        <v>0</v>
      </c>
      <c r="L2744">
        <v>466</v>
      </c>
      <c r="M2744">
        <v>45</v>
      </c>
      <c r="N2744" s="1">
        <f t="shared" si="336"/>
        <v>44938</v>
      </c>
      <c r="O2744" s="1">
        <f t="shared" si="337"/>
        <v>43101</v>
      </c>
      <c r="P2744" s="1">
        <f t="shared" si="338"/>
        <v>43282</v>
      </c>
      <c r="Q2744" s="8">
        <f t="shared" si="339"/>
        <v>0</v>
      </c>
      <c r="R2744" s="8">
        <f t="shared" si="340"/>
        <v>7</v>
      </c>
      <c r="S2744" s="8">
        <f t="shared" ca="1" si="341"/>
        <v>7</v>
      </c>
      <c r="T2744">
        <f t="shared" ca="1" si="342"/>
        <v>1.8960000000000006</v>
      </c>
      <c r="U2744" s="8">
        <f t="shared" ca="1" si="343"/>
        <v>1.4000000000000001</v>
      </c>
      <c r="V2744" s="8">
        <f ca="1">RawData[[#This Row],[Z (smoothed demand size)]]/RawData[[#This Row],[X (smoothed interval)]]</f>
        <v>1.3542857142857145</v>
      </c>
    </row>
    <row r="2745" spans="1:22">
      <c r="A2745" t="s">
        <v>57</v>
      </c>
      <c r="B2745" t="s">
        <v>39</v>
      </c>
      <c r="C2745">
        <v>28</v>
      </c>
      <c r="D2745" t="s">
        <v>18</v>
      </c>
      <c r="E2745" t="s">
        <v>16</v>
      </c>
      <c r="F2745" s="1">
        <v>43108</v>
      </c>
      <c r="G2745">
        <v>4</v>
      </c>
      <c r="H2745">
        <v>4</v>
      </c>
      <c r="I2745">
        <v>6</v>
      </c>
      <c r="J2745">
        <v>2</v>
      </c>
      <c r="K2745">
        <v>0</v>
      </c>
      <c r="L2745">
        <v>469</v>
      </c>
      <c r="M2745">
        <v>45</v>
      </c>
      <c r="N2745" s="1">
        <f t="shared" si="336"/>
        <v>44938</v>
      </c>
      <c r="O2745" s="1">
        <f t="shared" si="337"/>
        <v>43101</v>
      </c>
      <c r="P2745" s="1">
        <f t="shared" si="338"/>
        <v>43313</v>
      </c>
      <c r="Q2745" s="8">
        <f t="shared" si="339"/>
        <v>0</v>
      </c>
      <c r="R2745" s="8">
        <f t="shared" si="340"/>
        <v>8</v>
      </c>
      <c r="S2745" s="8">
        <f t="shared" ca="1" si="341"/>
        <v>8</v>
      </c>
      <c r="T2745">
        <f t="shared" ca="1" si="342"/>
        <v>2.3168000000000006</v>
      </c>
      <c r="U2745" s="8">
        <f t="shared" ca="1" si="343"/>
        <v>1.32</v>
      </c>
      <c r="V2745" s="8">
        <f ca="1">RawData[[#This Row],[Z (smoothed demand size)]]/RawData[[#This Row],[X (smoothed interval)]]</f>
        <v>1.7551515151515156</v>
      </c>
    </row>
    <row r="2746" spans="1:22">
      <c r="A2746" t="s">
        <v>57</v>
      </c>
      <c r="B2746" t="s">
        <v>39</v>
      </c>
      <c r="C2746">
        <v>28</v>
      </c>
      <c r="D2746" t="s">
        <v>18</v>
      </c>
      <c r="E2746" t="s">
        <v>16</v>
      </c>
      <c r="F2746" s="1">
        <v>43109</v>
      </c>
      <c r="G2746">
        <v>3</v>
      </c>
      <c r="H2746">
        <v>2</v>
      </c>
      <c r="I2746">
        <v>2</v>
      </c>
      <c r="J2746">
        <v>0</v>
      </c>
      <c r="K2746">
        <v>1</v>
      </c>
      <c r="L2746">
        <v>401</v>
      </c>
      <c r="M2746">
        <v>45</v>
      </c>
      <c r="N2746" s="1">
        <f t="shared" si="336"/>
        <v>44938</v>
      </c>
      <c r="O2746" s="1">
        <f t="shared" si="337"/>
        <v>43101</v>
      </c>
      <c r="P2746" s="1">
        <f t="shared" si="338"/>
        <v>43344</v>
      </c>
      <c r="Q2746" s="8">
        <f t="shared" si="339"/>
        <v>0</v>
      </c>
      <c r="R2746" s="8">
        <f t="shared" si="340"/>
        <v>9</v>
      </c>
      <c r="S2746" s="8">
        <f t="shared" ca="1" si="341"/>
        <v>9</v>
      </c>
      <c r="T2746">
        <f t="shared" ca="1" si="342"/>
        <v>2.4534400000000005</v>
      </c>
      <c r="U2746" s="8">
        <f t="shared" ca="1" si="343"/>
        <v>1.256</v>
      </c>
      <c r="V2746" s="8">
        <f ca="1">RawData[[#This Row],[Z (smoothed demand size)]]/RawData[[#This Row],[X (smoothed interval)]]</f>
        <v>1.9533757961783444</v>
      </c>
    </row>
    <row r="2747" spans="1:22">
      <c r="A2747" t="s">
        <v>57</v>
      </c>
      <c r="B2747" t="s">
        <v>39</v>
      </c>
      <c r="C2747">
        <v>28</v>
      </c>
      <c r="D2747" t="s">
        <v>18</v>
      </c>
      <c r="E2747" t="s">
        <v>16</v>
      </c>
      <c r="F2747" s="1">
        <v>43110</v>
      </c>
      <c r="G2747">
        <v>0</v>
      </c>
      <c r="H2747">
        <v>0</v>
      </c>
      <c r="I2747">
        <v>10</v>
      </c>
      <c r="J2747">
        <v>10</v>
      </c>
      <c r="K2747">
        <v>0</v>
      </c>
      <c r="L2747">
        <v>401</v>
      </c>
      <c r="M2747">
        <v>60</v>
      </c>
      <c r="N2747" s="1">
        <f t="shared" si="336"/>
        <v>44938</v>
      </c>
      <c r="O2747" s="1">
        <f t="shared" si="337"/>
        <v>43101</v>
      </c>
      <c r="P2747" s="1">
        <f t="shared" si="338"/>
        <v>43374</v>
      </c>
      <c r="Q2747" s="8">
        <f t="shared" si="339"/>
        <v>0</v>
      </c>
      <c r="R2747" s="8">
        <f t="shared" si="340"/>
        <v>10</v>
      </c>
      <c r="S2747" s="8">
        <f t="shared" ca="1" si="341"/>
        <v>9</v>
      </c>
      <c r="T2747">
        <f t="shared" ca="1" si="342"/>
        <v>2.4534400000000005</v>
      </c>
      <c r="U2747" s="8">
        <f t="shared" ca="1" si="343"/>
        <v>1.256</v>
      </c>
      <c r="V2747" s="8">
        <f ca="1">RawData[[#This Row],[Z (smoothed demand size)]]/RawData[[#This Row],[X (smoothed interval)]]</f>
        <v>1.9533757961783444</v>
      </c>
    </row>
    <row r="2748" spans="1:22">
      <c r="A2748" t="s">
        <v>57</v>
      </c>
      <c r="B2748" t="s">
        <v>39</v>
      </c>
      <c r="C2748">
        <v>28</v>
      </c>
      <c r="D2748" t="s">
        <v>18</v>
      </c>
      <c r="E2748" t="s">
        <v>16</v>
      </c>
      <c r="F2748" s="1">
        <v>43111</v>
      </c>
      <c r="G2748">
        <v>0</v>
      </c>
      <c r="H2748">
        <v>0</v>
      </c>
      <c r="I2748">
        <v>10</v>
      </c>
      <c r="J2748">
        <v>10</v>
      </c>
      <c r="K2748">
        <v>0</v>
      </c>
      <c r="L2748">
        <v>391</v>
      </c>
      <c r="M2748">
        <v>30</v>
      </c>
      <c r="N2748" s="1">
        <f t="shared" si="336"/>
        <v>44938</v>
      </c>
      <c r="O2748" s="1">
        <f t="shared" si="337"/>
        <v>43101</v>
      </c>
      <c r="P2748" s="1">
        <f t="shared" si="338"/>
        <v>43405</v>
      </c>
      <c r="Q2748" s="8">
        <f t="shared" si="339"/>
        <v>0</v>
      </c>
      <c r="R2748" s="8">
        <f t="shared" si="340"/>
        <v>11</v>
      </c>
      <c r="S2748" s="8">
        <f t="shared" ca="1" si="341"/>
        <v>9</v>
      </c>
      <c r="T2748">
        <f t="shared" ca="1" si="342"/>
        <v>2.4534400000000005</v>
      </c>
      <c r="U2748" s="8">
        <f t="shared" ca="1" si="343"/>
        <v>1.256</v>
      </c>
      <c r="V2748" s="8">
        <f ca="1">RawData[[#This Row],[Z (smoothed demand size)]]/RawData[[#This Row],[X (smoothed interval)]]</f>
        <v>1.9533757961783444</v>
      </c>
    </row>
    <row r="2749" spans="1:22">
      <c r="A2749" t="s">
        <v>57</v>
      </c>
      <c r="B2749" t="s">
        <v>39</v>
      </c>
      <c r="C2749">
        <v>28</v>
      </c>
      <c r="D2749" t="s">
        <v>18</v>
      </c>
      <c r="E2749" t="s">
        <v>16</v>
      </c>
      <c r="F2749" s="1">
        <v>43112</v>
      </c>
      <c r="G2749">
        <v>0</v>
      </c>
      <c r="H2749">
        <v>0</v>
      </c>
      <c r="I2749">
        <v>10</v>
      </c>
      <c r="J2749">
        <v>10</v>
      </c>
      <c r="K2749">
        <v>0</v>
      </c>
      <c r="L2749">
        <v>469</v>
      </c>
      <c r="M2749">
        <v>15</v>
      </c>
      <c r="N2749" s="1">
        <f t="shared" si="336"/>
        <v>44938</v>
      </c>
      <c r="O2749" s="1">
        <f t="shared" si="337"/>
        <v>43101</v>
      </c>
      <c r="P2749" s="1">
        <f t="shared" si="338"/>
        <v>43435</v>
      </c>
      <c r="Q2749" s="8">
        <f t="shared" si="339"/>
        <v>0</v>
      </c>
      <c r="R2749" s="8">
        <f t="shared" si="340"/>
        <v>12</v>
      </c>
      <c r="S2749" s="8">
        <f t="shared" ca="1" si="341"/>
        <v>9</v>
      </c>
      <c r="T2749">
        <f t="shared" ca="1" si="342"/>
        <v>2.4534400000000005</v>
      </c>
      <c r="U2749" s="8">
        <f t="shared" ca="1" si="343"/>
        <v>1.256</v>
      </c>
      <c r="V2749" s="8">
        <f ca="1">RawData[[#This Row],[Z (smoothed demand size)]]/RawData[[#This Row],[X (smoothed interval)]]</f>
        <v>1.9533757961783444</v>
      </c>
    </row>
    <row r="2750" spans="1:22">
      <c r="A2750" t="s">
        <v>57</v>
      </c>
      <c r="B2750" t="s">
        <v>39</v>
      </c>
      <c r="C2750">
        <v>28</v>
      </c>
      <c r="D2750" t="s">
        <v>18</v>
      </c>
      <c r="E2750" t="s">
        <v>16</v>
      </c>
      <c r="F2750" s="1">
        <v>43466</v>
      </c>
      <c r="G2750">
        <v>2</v>
      </c>
      <c r="H2750">
        <v>2</v>
      </c>
      <c r="I2750">
        <v>10</v>
      </c>
      <c r="J2750">
        <v>8</v>
      </c>
      <c r="K2750">
        <v>0</v>
      </c>
      <c r="L2750">
        <v>395</v>
      </c>
      <c r="M2750">
        <v>60</v>
      </c>
      <c r="N2750" s="1">
        <f t="shared" si="336"/>
        <v>44938</v>
      </c>
      <c r="O2750" s="1">
        <f t="shared" si="337"/>
        <v>43101</v>
      </c>
      <c r="P2750" s="1">
        <f t="shared" si="338"/>
        <v>43466</v>
      </c>
      <c r="Q2750" s="8">
        <f t="shared" si="339"/>
        <v>0</v>
      </c>
      <c r="R2750" s="8">
        <f t="shared" si="340"/>
        <v>13</v>
      </c>
      <c r="S2750" s="8">
        <f t="shared" ca="1" si="341"/>
        <v>13</v>
      </c>
      <c r="T2750">
        <f t="shared" ca="1" si="342"/>
        <v>2.3627520000000004</v>
      </c>
      <c r="U2750" s="8">
        <f t="shared" ca="1" si="343"/>
        <v>1.8048000000000002</v>
      </c>
      <c r="V2750" s="8">
        <f ca="1">RawData[[#This Row],[Z (smoothed demand size)]]/RawData[[#This Row],[X (smoothed interval)]]</f>
        <v>1.3091489361702129</v>
      </c>
    </row>
    <row r="2751" spans="1:22">
      <c r="A2751" t="s">
        <v>57</v>
      </c>
      <c r="B2751" t="s">
        <v>39</v>
      </c>
      <c r="C2751">
        <v>28</v>
      </c>
      <c r="D2751" t="s">
        <v>18</v>
      </c>
      <c r="E2751" t="s">
        <v>16</v>
      </c>
      <c r="F2751" s="1">
        <v>43467</v>
      </c>
      <c r="G2751">
        <v>3</v>
      </c>
      <c r="H2751">
        <v>3</v>
      </c>
      <c r="I2751">
        <v>8</v>
      </c>
      <c r="J2751">
        <v>5</v>
      </c>
      <c r="K2751">
        <v>0</v>
      </c>
      <c r="L2751">
        <v>403</v>
      </c>
      <c r="M2751">
        <v>30</v>
      </c>
      <c r="N2751" s="1">
        <f t="shared" si="336"/>
        <v>44938</v>
      </c>
      <c r="O2751" s="1">
        <f t="shared" si="337"/>
        <v>43101</v>
      </c>
      <c r="P2751" s="1">
        <f t="shared" si="338"/>
        <v>43497</v>
      </c>
      <c r="Q2751" s="8">
        <f t="shared" si="339"/>
        <v>0</v>
      </c>
      <c r="R2751" s="8">
        <f t="shared" si="340"/>
        <v>14</v>
      </c>
      <c r="S2751" s="8">
        <f t="shared" ca="1" si="341"/>
        <v>14</v>
      </c>
      <c r="T2751">
        <f t="shared" ca="1" si="342"/>
        <v>2.4902016000000007</v>
      </c>
      <c r="U2751" s="8">
        <f t="shared" ca="1" si="343"/>
        <v>1.6438400000000002</v>
      </c>
      <c r="V2751" s="8">
        <f ca="1">RawData[[#This Row],[Z (smoothed demand size)]]/RawData[[#This Row],[X (smoothed interval)]]</f>
        <v>1.5148686003503993</v>
      </c>
    </row>
    <row r="2752" spans="1:22">
      <c r="A2752" t="s">
        <v>57</v>
      </c>
      <c r="B2752" t="s">
        <v>39</v>
      </c>
      <c r="C2752">
        <v>28</v>
      </c>
      <c r="D2752" t="s">
        <v>18</v>
      </c>
      <c r="E2752" t="s">
        <v>16</v>
      </c>
      <c r="F2752" s="1">
        <v>43468</v>
      </c>
      <c r="G2752">
        <v>2</v>
      </c>
      <c r="H2752">
        <v>2</v>
      </c>
      <c r="I2752">
        <v>5</v>
      </c>
      <c r="J2752">
        <v>3</v>
      </c>
      <c r="K2752">
        <v>0</v>
      </c>
      <c r="L2752">
        <v>402</v>
      </c>
      <c r="M2752">
        <v>60</v>
      </c>
      <c r="N2752" s="1">
        <f t="shared" si="336"/>
        <v>44938</v>
      </c>
      <c r="O2752" s="1">
        <f t="shared" si="337"/>
        <v>43101</v>
      </c>
      <c r="P2752" s="1">
        <f t="shared" si="338"/>
        <v>43525</v>
      </c>
      <c r="Q2752" s="8">
        <f t="shared" si="339"/>
        <v>0</v>
      </c>
      <c r="R2752" s="8">
        <f t="shared" si="340"/>
        <v>15</v>
      </c>
      <c r="S2752" s="8">
        <f t="shared" ca="1" si="341"/>
        <v>15</v>
      </c>
      <c r="T2752">
        <f t="shared" ca="1" si="342"/>
        <v>2.3921612800000007</v>
      </c>
      <c r="U2752" s="8">
        <f t="shared" ca="1" si="343"/>
        <v>1.5150720000000002</v>
      </c>
      <c r="V2752" s="8">
        <f ca="1">RawData[[#This Row],[Z (smoothed demand size)]]/RawData[[#This Row],[X (smoothed interval)]]</f>
        <v>1.5789093059603772</v>
      </c>
    </row>
    <row r="2753" spans="1:22">
      <c r="A2753" t="s">
        <v>57</v>
      </c>
      <c r="B2753" t="s">
        <v>39</v>
      </c>
      <c r="C2753">
        <v>28</v>
      </c>
      <c r="D2753" t="s">
        <v>18</v>
      </c>
      <c r="E2753" t="s">
        <v>16</v>
      </c>
      <c r="F2753" s="1">
        <v>43469</v>
      </c>
      <c r="G2753">
        <v>0</v>
      </c>
      <c r="H2753">
        <v>0</v>
      </c>
      <c r="I2753">
        <v>3</v>
      </c>
      <c r="J2753">
        <v>3</v>
      </c>
      <c r="K2753">
        <v>0</v>
      </c>
      <c r="L2753">
        <v>405</v>
      </c>
      <c r="M2753">
        <v>45</v>
      </c>
      <c r="N2753" s="1">
        <f t="shared" si="336"/>
        <v>44938</v>
      </c>
      <c r="O2753" s="1">
        <f t="shared" si="337"/>
        <v>43101</v>
      </c>
      <c r="P2753" s="1">
        <f t="shared" si="338"/>
        <v>43556</v>
      </c>
      <c r="Q2753" s="8">
        <f t="shared" si="339"/>
        <v>0</v>
      </c>
      <c r="R2753" s="8">
        <f t="shared" si="340"/>
        <v>16</v>
      </c>
      <c r="S2753" s="8">
        <f t="shared" ca="1" si="341"/>
        <v>15</v>
      </c>
      <c r="T2753">
        <f t="shared" ca="1" si="342"/>
        <v>2.3921612800000007</v>
      </c>
      <c r="U2753" s="8">
        <f t="shared" ca="1" si="343"/>
        <v>1.5150720000000002</v>
      </c>
      <c r="V2753" s="8">
        <f ca="1">RawData[[#This Row],[Z (smoothed demand size)]]/RawData[[#This Row],[X (smoothed interval)]]</f>
        <v>1.5789093059603772</v>
      </c>
    </row>
    <row r="2754" spans="1:22">
      <c r="A2754" t="s">
        <v>57</v>
      </c>
      <c r="B2754" t="s">
        <v>39</v>
      </c>
      <c r="C2754">
        <v>28</v>
      </c>
      <c r="D2754" t="s">
        <v>18</v>
      </c>
      <c r="E2754" t="s">
        <v>16</v>
      </c>
      <c r="F2754" s="1">
        <v>43470</v>
      </c>
      <c r="G2754">
        <v>3</v>
      </c>
      <c r="H2754">
        <v>3</v>
      </c>
      <c r="I2754">
        <v>14</v>
      </c>
      <c r="J2754">
        <v>11</v>
      </c>
      <c r="K2754">
        <v>0</v>
      </c>
      <c r="L2754">
        <v>397</v>
      </c>
      <c r="M2754">
        <v>45</v>
      </c>
      <c r="N2754" s="1">
        <f t="shared" ref="N2754:N2817" si="344">MAX(F:F)</f>
        <v>44938</v>
      </c>
      <c r="O2754" s="1">
        <f t="shared" ref="O2754:O2817" si="345">MIN(F:F)</f>
        <v>43101</v>
      </c>
      <c r="P2754" s="1">
        <f t="shared" ref="P2754:P2817" si="346">DATE(YEAR(F2754), DAY(F2754), 1)</f>
        <v>43586</v>
      </c>
      <c r="Q2754" s="8">
        <f t="shared" ref="Q2754:Q2817" si="347" xml:space="preserve"> IF(A2754&lt;&gt;A2753, 1, 0)</f>
        <v>0</v>
      </c>
      <c r="R2754" s="8">
        <f t="shared" ref="R2754:R2817" si="348">IF(Q2754=1,1,R2753+1)</f>
        <v>17</v>
      </c>
      <c r="S2754" s="8">
        <f t="shared" ref="S2754:S2817" ca="1" si="349" xml:space="preserve"> IF(Q2754=1, IF(G2754&gt;0, R2754, 0), IF(G2754&gt;0, R2754, OFFSET(S2754,-1,0)))</f>
        <v>17</v>
      </c>
      <c r="T2754">
        <f t="shared" ref="T2754:T2817" ca="1" si="350" xml:space="preserve"> IF(Q2754=1, IF(G2754&gt;0, G2754, 0), IF(G2754&gt;0, $X$1*G2754+(1-$X$1)*OFFSET(T2754,-1,0), OFFSET(T2754,-1,0)))</f>
        <v>2.5137290240000008</v>
      </c>
      <c r="U2754" s="8">
        <f t="shared" ref="U2754:U2817" ca="1" si="351" xml:space="preserve"> IF(Q2754=1, 1, IF(G2754&gt;0, $X$1*(R2754-OFFSET(S2754,-1,0))+(1-$X$1)*OFFSET(U2754,-1,0), OFFSET(U2754,-1,0)))</f>
        <v>1.6120576000000004</v>
      </c>
      <c r="V2754" s="8">
        <f ca="1">RawData[[#This Row],[Z (smoothed demand size)]]/RawData[[#This Row],[X (smoothed interval)]]</f>
        <v>1.5593295326420098</v>
      </c>
    </row>
    <row r="2755" spans="1:22">
      <c r="A2755" t="s">
        <v>57</v>
      </c>
      <c r="B2755" t="s">
        <v>39</v>
      </c>
      <c r="C2755">
        <v>28</v>
      </c>
      <c r="D2755" t="s">
        <v>18</v>
      </c>
      <c r="E2755" t="s">
        <v>16</v>
      </c>
      <c r="F2755" s="1">
        <v>43471</v>
      </c>
      <c r="G2755">
        <v>5</v>
      </c>
      <c r="H2755">
        <v>5</v>
      </c>
      <c r="I2755">
        <v>11</v>
      </c>
      <c r="J2755">
        <v>6</v>
      </c>
      <c r="K2755">
        <v>0</v>
      </c>
      <c r="L2755">
        <v>464</v>
      </c>
      <c r="M2755">
        <v>30</v>
      </c>
      <c r="N2755" s="1">
        <f t="shared" si="344"/>
        <v>44938</v>
      </c>
      <c r="O2755" s="1">
        <f t="shared" si="345"/>
        <v>43101</v>
      </c>
      <c r="P2755" s="1">
        <f t="shared" si="346"/>
        <v>43617</v>
      </c>
      <c r="Q2755" s="8">
        <f t="shared" si="347"/>
        <v>0</v>
      </c>
      <c r="R2755" s="8">
        <f t="shared" si="348"/>
        <v>18</v>
      </c>
      <c r="S2755" s="8">
        <f t="shared" ca="1" si="349"/>
        <v>18</v>
      </c>
      <c r="T2755">
        <f t="shared" ca="1" si="350"/>
        <v>3.0109832192000008</v>
      </c>
      <c r="U2755" s="8">
        <f t="shared" ca="1" si="351"/>
        <v>1.4896460800000004</v>
      </c>
      <c r="V2755" s="8">
        <f ca="1">RawData[[#This Row],[Z (smoothed demand size)]]/RawData[[#This Row],[X (smoothed interval)]]</f>
        <v>2.021274220518205</v>
      </c>
    </row>
    <row r="2756" spans="1:22">
      <c r="A2756" t="s">
        <v>57</v>
      </c>
      <c r="B2756" t="s">
        <v>39</v>
      </c>
      <c r="C2756">
        <v>28</v>
      </c>
      <c r="D2756" t="s">
        <v>18</v>
      </c>
      <c r="E2756" t="s">
        <v>16</v>
      </c>
      <c r="F2756" s="1">
        <v>43472</v>
      </c>
      <c r="G2756">
        <v>0</v>
      </c>
      <c r="H2756">
        <v>0</v>
      </c>
      <c r="I2756">
        <v>6</v>
      </c>
      <c r="J2756">
        <v>6</v>
      </c>
      <c r="K2756">
        <v>0</v>
      </c>
      <c r="L2756">
        <v>468</v>
      </c>
      <c r="M2756">
        <v>45</v>
      </c>
      <c r="N2756" s="1">
        <f t="shared" si="344"/>
        <v>44938</v>
      </c>
      <c r="O2756" s="1">
        <f t="shared" si="345"/>
        <v>43101</v>
      </c>
      <c r="P2756" s="1">
        <f t="shared" si="346"/>
        <v>43647</v>
      </c>
      <c r="Q2756" s="8">
        <f t="shared" si="347"/>
        <v>0</v>
      </c>
      <c r="R2756" s="8">
        <f t="shared" si="348"/>
        <v>19</v>
      </c>
      <c r="S2756" s="8">
        <f t="shared" ca="1" si="349"/>
        <v>18</v>
      </c>
      <c r="T2756">
        <f t="shared" ca="1" si="350"/>
        <v>3.0109832192000008</v>
      </c>
      <c r="U2756" s="8">
        <f t="shared" ca="1" si="351"/>
        <v>1.4896460800000004</v>
      </c>
      <c r="V2756" s="8">
        <f ca="1">RawData[[#This Row],[Z (smoothed demand size)]]/RawData[[#This Row],[X (smoothed interval)]]</f>
        <v>2.021274220518205</v>
      </c>
    </row>
    <row r="2757" spans="1:22">
      <c r="A2757" t="s">
        <v>57</v>
      </c>
      <c r="B2757" t="s">
        <v>39</v>
      </c>
      <c r="C2757">
        <v>28</v>
      </c>
      <c r="D2757" t="s">
        <v>18</v>
      </c>
      <c r="E2757" t="s">
        <v>16</v>
      </c>
      <c r="F2757" s="1">
        <v>43473</v>
      </c>
      <c r="G2757">
        <v>0</v>
      </c>
      <c r="H2757">
        <v>0</v>
      </c>
      <c r="I2757">
        <v>6</v>
      </c>
      <c r="J2757">
        <v>6</v>
      </c>
      <c r="K2757">
        <v>0</v>
      </c>
      <c r="L2757">
        <v>462</v>
      </c>
      <c r="M2757">
        <v>30</v>
      </c>
      <c r="N2757" s="1">
        <f t="shared" si="344"/>
        <v>44938</v>
      </c>
      <c r="O2757" s="1">
        <f t="shared" si="345"/>
        <v>43101</v>
      </c>
      <c r="P2757" s="1">
        <f t="shared" si="346"/>
        <v>43678</v>
      </c>
      <c r="Q2757" s="8">
        <f t="shared" si="347"/>
        <v>0</v>
      </c>
      <c r="R2757" s="8">
        <f t="shared" si="348"/>
        <v>20</v>
      </c>
      <c r="S2757" s="8">
        <f t="shared" ca="1" si="349"/>
        <v>18</v>
      </c>
      <c r="T2757">
        <f t="shared" ca="1" si="350"/>
        <v>3.0109832192000008</v>
      </c>
      <c r="U2757" s="8">
        <f t="shared" ca="1" si="351"/>
        <v>1.4896460800000004</v>
      </c>
      <c r="V2757" s="8">
        <f ca="1">RawData[[#This Row],[Z (smoothed demand size)]]/RawData[[#This Row],[X (smoothed interval)]]</f>
        <v>2.021274220518205</v>
      </c>
    </row>
    <row r="2758" spans="1:22">
      <c r="A2758" t="s">
        <v>57</v>
      </c>
      <c r="B2758" t="s">
        <v>39</v>
      </c>
      <c r="C2758">
        <v>28</v>
      </c>
      <c r="D2758" t="s">
        <v>18</v>
      </c>
      <c r="E2758" t="s">
        <v>16</v>
      </c>
      <c r="F2758" s="1">
        <v>43474</v>
      </c>
      <c r="G2758">
        <v>3</v>
      </c>
      <c r="H2758">
        <v>3</v>
      </c>
      <c r="I2758">
        <v>6</v>
      </c>
      <c r="J2758">
        <v>3</v>
      </c>
      <c r="K2758">
        <v>0</v>
      </c>
      <c r="L2758">
        <v>397</v>
      </c>
      <c r="M2758">
        <v>60</v>
      </c>
      <c r="N2758" s="1">
        <f t="shared" si="344"/>
        <v>44938</v>
      </c>
      <c r="O2758" s="1">
        <f t="shared" si="345"/>
        <v>43101</v>
      </c>
      <c r="P2758" s="1">
        <f t="shared" si="346"/>
        <v>43709</v>
      </c>
      <c r="Q2758" s="8">
        <f t="shared" si="347"/>
        <v>0</v>
      </c>
      <c r="R2758" s="8">
        <f t="shared" si="348"/>
        <v>21</v>
      </c>
      <c r="S2758" s="8">
        <f t="shared" ca="1" si="349"/>
        <v>21</v>
      </c>
      <c r="T2758">
        <f t="shared" ca="1" si="350"/>
        <v>3.0087865753600007</v>
      </c>
      <c r="U2758" s="8">
        <f t="shared" ca="1" si="351"/>
        <v>1.7917168640000005</v>
      </c>
      <c r="V2758" s="8">
        <f ca="1">RawData[[#This Row],[Z (smoothed demand size)]]/RawData[[#This Row],[X (smoothed interval)]]</f>
        <v>1.6792756912735067</v>
      </c>
    </row>
    <row r="2759" spans="1:22">
      <c r="A2759" t="s">
        <v>57</v>
      </c>
      <c r="B2759" t="s">
        <v>39</v>
      </c>
      <c r="C2759">
        <v>28</v>
      </c>
      <c r="D2759" t="s">
        <v>18</v>
      </c>
      <c r="E2759" t="s">
        <v>16</v>
      </c>
      <c r="F2759" s="1">
        <v>43475</v>
      </c>
      <c r="G2759">
        <v>0</v>
      </c>
      <c r="H2759">
        <v>0</v>
      </c>
      <c r="I2759">
        <v>3</v>
      </c>
      <c r="J2759">
        <v>3</v>
      </c>
      <c r="K2759">
        <v>0</v>
      </c>
      <c r="L2759">
        <v>395</v>
      </c>
      <c r="M2759">
        <v>30</v>
      </c>
      <c r="N2759" s="1">
        <f t="shared" si="344"/>
        <v>44938</v>
      </c>
      <c r="O2759" s="1">
        <f t="shared" si="345"/>
        <v>43101</v>
      </c>
      <c r="P2759" s="1">
        <f t="shared" si="346"/>
        <v>43739</v>
      </c>
      <c r="Q2759" s="8">
        <f t="shared" si="347"/>
        <v>0</v>
      </c>
      <c r="R2759" s="8">
        <f t="shared" si="348"/>
        <v>22</v>
      </c>
      <c r="S2759" s="8">
        <f t="shared" ca="1" si="349"/>
        <v>21</v>
      </c>
      <c r="T2759">
        <f t="shared" ca="1" si="350"/>
        <v>3.0087865753600007</v>
      </c>
      <c r="U2759" s="8">
        <f t="shared" ca="1" si="351"/>
        <v>1.7917168640000005</v>
      </c>
      <c r="V2759" s="8">
        <f ca="1">RawData[[#This Row],[Z (smoothed demand size)]]/RawData[[#This Row],[X (smoothed interval)]]</f>
        <v>1.6792756912735067</v>
      </c>
    </row>
    <row r="2760" spans="1:22">
      <c r="A2760" t="s">
        <v>57</v>
      </c>
      <c r="B2760" t="s">
        <v>39</v>
      </c>
      <c r="C2760">
        <v>28</v>
      </c>
      <c r="D2760" t="s">
        <v>18</v>
      </c>
      <c r="E2760" t="s">
        <v>16</v>
      </c>
      <c r="F2760" s="1">
        <v>43476</v>
      </c>
      <c r="G2760">
        <v>4</v>
      </c>
      <c r="H2760">
        <v>4</v>
      </c>
      <c r="I2760">
        <v>13</v>
      </c>
      <c r="J2760">
        <v>9</v>
      </c>
      <c r="K2760">
        <v>0</v>
      </c>
      <c r="L2760">
        <v>407</v>
      </c>
      <c r="M2760">
        <v>30</v>
      </c>
      <c r="N2760" s="1">
        <f t="shared" si="344"/>
        <v>44938</v>
      </c>
      <c r="O2760" s="1">
        <f t="shared" si="345"/>
        <v>43101</v>
      </c>
      <c r="P2760" s="1">
        <f t="shared" si="346"/>
        <v>43770</v>
      </c>
      <c r="Q2760" s="8">
        <f t="shared" si="347"/>
        <v>0</v>
      </c>
      <c r="R2760" s="8">
        <f t="shared" si="348"/>
        <v>23</v>
      </c>
      <c r="S2760" s="8">
        <f t="shared" ca="1" si="349"/>
        <v>23</v>
      </c>
      <c r="T2760">
        <f t="shared" ca="1" si="350"/>
        <v>3.2070292602880004</v>
      </c>
      <c r="U2760" s="8">
        <f t="shared" ca="1" si="351"/>
        <v>1.8333734912000006</v>
      </c>
      <c r="V2760" s="8">
        <f ca="1">RawData[[#This Row],[Z (smoothed demand size)]]/RawData[[#This Row],[X (smoothed interval)]]</f>
        <v>1.7492503713408112</v>
      </c>
    </row>
    <row r="2761" spans="1:22">
      <c r="A2761" t="s">
        <v>57</v>
      </c>
      <c r="B2761" t="s">
        <v>39</v>
      </c>
      <c r="C2761">
        <v>28</v>
      </c>
      <c r="D2761" t="s">
        <v>18</v>
      </c>
      <c r="E2761" t="s">
        <v>16</v>
      </c>
      <c r="F2761" s="1">
        <v>43477</v>
      </c>
      <c r="G2761">
        <v>3</v>
      </c>
      <c r="H2761">
        <v>3</v>
      </c>
      <c r="I2761">
        <v>9</v>
      </c>
      <c r="J2761">
        <v>6</v>
      </c>
      <c r="K2761">
        <v>0</v>
      </c>
      <c r="L2761">
        <v>459</v>
      </c>
      <c r="M2761">
        <v>60</v>
      </c>
      <c r="N2761" s="1">
        <f t="shared" si="344"/>
        <v>44938</v>
      </c>
      <c r="O2761" s="1">
        <f t="shared" si="345"/>
        <v>43101</v>
      </c>
      <c r="P2761" s="1">
        <f t="shared" si="346"/>
        <v>43800</v>
      </c>
      <c r="Q2761" s="8">
        <f t="shared" si="347"/>
        <v>0</v>
      </c>
      <c r="R2761" s="8">
        <f t="shared" si="348"/>
        <v>24</v>
      </c>
      <c r="S2761" s="8">
        <f t="shared" ca="1" si="349"/>
        <v>24</v>
      </c>
      <c r="T2761">
        <f t="shared" ca="1" si="350"/>
        <v>3.1656234082304007</v>
      </c>
      <c r="U2761" s="8">
        <f t="shared" ca="1" si="351"/>
        <v>1.6666987929600006</v>
      </c>
      <c r="V2761" s="8">
        <f ca="1">RawData[[#This Row],[Z (smoothed demand size)]]/RawData[[#This Row],[X (smoothed interval)]]</f>
        <v>1.8993374337353186</v>
      </c>
    </row>
    <row r="2762" spans="1:22">
      <c r="A2762" t="s">
        <v>57</v>
      </c>
      <c r="B2762" t="s">
        <v>39</v>
      </c>
      <c r="C2762">
        <v>28</v>
      </c>
      <c r="D2762" t="s">
        <v>18</v>
      </c>
      <c r="E2762" t="s">
        <v>16</v>
      </c>
      <c r="F2762" s="1">
        <v>43831</v>
      </c>
      <c r="G2762">
        <v>3</v>
      </c>
      <c r="H2762">
        <v>3</v>
      </c>
      <c r="I2762">
        <v>6</v>
      </c>
      <c r="J2762">
        <v>3</v>
      </c>
      <c r="K2762">
        <v>0</v>
      </c>
      <c r="L2762">
        <v>399</v>
      </c>
      <c r="M2762">
        <v>30</v>
      </c>
      <c r="N2762" s="1">
        <f t="shared" si="344"/>
        <v>44938</v>
      </c>
      <c r="O2762" s="1">
        <f t="shared" si="345"/>
        <v>43101</v>
      </c>
      <c r="P2762" s="1">
        <f t="shared" si="346"/>
        <v>43831</v>
      </c>
      <c r="Q2762" s="8">
        <f t="shared" si="347"/>
        <v>0</v>
      </c>
      <c r="R2762" s="8">
        <f t="shared" si="348"/>
        <v>25</v>
      </c>
      <c r="S2762" s="8">
        <f t="shared" ca="1" si="349"/>
        <v>25</v>
      </c>
      <c r="T2762">
        <f t="shared" ca="1" si="350"/>
        <v>3.1324987265843207</v>
      </c>
      <c r="U2762" s="8">
        <f t="shared" ca="1" si="351"/>
        <v>1.5333590343680006</v>
      </c>
      <c r="V2762" s="8">
        <f ca="1">RawData[[#This Row],[Z (smoothed demand size)]]/RawData[[#This Row],[X (smoothed interval)]]</f>
        <v>2.0428997099661217</v>
      </c>
    </row>
    <row r="2763" spans="1:22">
      <c r="A2763" t="s">
        <v>57</v>
      </c>
      <c r="B2763" t="s">
        <v>39</v>
      </c>
      <c r="C2763">
        <v>28</v>
      </c>
      <c r="D2763" t="s">
        <v>18</v>
      </c>
      <c r="E2763" t="s">
        <v>16</v>
      </c>
      <c r="F2763" s="1">
        <v>43832</v>
      </c>
      <c r="G2763">
        <v>1</v>
      </c>
      <c r="H2763">
        <v>1</v>
      </c>
      <c r="I2763">
        <v>12</v>
      </c>
      <c r="J2763">
        <v>11</v>
      </c>
      <c r="K2763">
        <v>0</v>
      </c>
      <c r="L2763">
        <v>410</v>
      </c>
      <c r="M2763">
        <v>15</v>
      </c>
      <c r="N2763" s="1">
        <f t="shared" si="344"/>
        <v>44938</v>
      </c>
      <c r="O2763" s="1">
        <f t="shared" si="345"/>
        <v>43101</v>
      </c>
      <c r="P2763" s="1">
        <f t="shared" si="346"/>
        <v>43862</v>
      </c>
      <c r="Q2763" s="8">
        <f t="shared" si="347"/>
        <v>0</v>
      </c>
      <c r="R2763" s="8">
        <f t="shared" si="348"/>
        <v>26</v>
      </c>
      <c r="S2763" s="8">
        <f t="shared" ca="1" si="349"/>
        <v>26</v>
      </c>
      <c r="T2763">
        <f t="shared" ca="1" si="350"/>
        <v>2.7059989812674567</v>
      </c>
      <c r="U2763" s="8">
        <f t="shared" ca="1" si="351"/>
        <v>1.4266872274944005</v>
      </c>
      <c r="V2763" s="8">
        <f ca="1">RawData[[#This Row],[Z (smoothed demand size)]]/RawData[[#This Row],[X (smoothed interval)]]</f>
        <v>1.8967009230326044</v>
      </c>
    </row>
    <row r="2764" spans="1:22">
      <c r="A2764" t="s">
        <v>57</v>
      </c>
      <c r="B2764" t="s">
        <v>39</v>
      </c>
      <c r="C2764">
        <v>28</v>
      </c>
      <c r="D2764" t="s">
        <v>18</v>
      </c>
      <c r="E2764" t="s">
        <v>16</v>
      </c>
      <c r="F2764" s="1">
        <v>43833</v>
      </c>
      <c r="G2764">
        <v>1</v>
      </c>
      <c r="H2764">
        <v>1</v>
      </c>
      <c r="I2764">
        <v>11</v>
      </c>
      <c r="J2764">
        <v>10</v>
      </c>
      <c r="K2764">
        <v>0</v>
      </c>
      <c r="L2764">
        <v>403</v>
      </c>
      <c r="M2764">
        <v>45</v>
      </c>
      <c r="N2764" s="1">
        <f t="shared" si="344"/>
        <v>44938</v>
      </c>
      <c r="O2764" s="1">
        <f t="shared" si="345"/>
        <v>43101</v>
      </c>
      <c r="P2764" s="1">
        <f t="shared" si="346"/>
        <v>43891</v>
      </c>
      <c r="Q2764" s="8">
        <f t="shared" si="347"/>
        <v>0</v>
      </c>
      <c r="R2764" s="8">
        <f t="shared" si="348"/>
        <v>27</v>
      </c>
      <c r="S2764" s="8">
        <f t="shared" ca="1" si="349"/>
        <v>27</v>
      </c>
      <c r="T2764">
        <f t="shared" ca="1" si="350"/>
        <v>2.3647991850139656</v>
      </c>
      <c r="U2764" s="8">
        <f t="shared" ca="1" si="351"/>
        <v>1.3413497819955205</v>
      </c>
      <c r="V2764" s="8">
        <f ca="1">RawData[[#This Row],[Z (smoothed demand size)]]/RawData[[#This Row],[X (smoothed interval)]]</f>
        <v>1.7629996416712901</v>
      </c>
    </row>
    <row r="2765" spans="1:22">
      <c r="A2765" t="s">
        <v>57</v>
      </c>
      <c r="B2765" t="s">
        <v>39</v>
      </c>
      <c r="C2765">
        <v>28</v>
      </c>
      <c r="D2765" t="s">
        <v>18</v>
      </c>
      <c r="E2765" t="s">
        <v>16</v>
      </c>
      <c r="F2765" s="1">
        <v>43834</v>
      </c>
      <c r="G2765">
        <v>0</v>
      </c>
      <c r="H2765">
        <v>0</v>
      </c>
      <c r="I2765">
        <v>10</v>
      </c>
      <c r="J2765">
        <v>10</v>
      </c>
      <c r="K2765">
        <v>0</v>
      </c>
      <c r="L2765">
        <v>404</v>
      </c>
      <c r="M2765">
        <v>15</v>
      </c>
      <c r="N2765" s="1">
        <f t="shared" si="344"/>
        <v>44938</v>
      </c>
      <c r="O2765" s="1">
        <f t="shared" si="345"/>
        <v>43101</v>
      </c>
      <c r="P2765" s="1">
        <f t="shared" si="346"/>
        <v>43922</v>
      </c>
      <c r="Q2765" s="8">
        <f t="shared" si="347"/>
        <v>0</v>
      </c>
      <c r="R2765" s="8">
        <f t="shared" si="348"/>
        <v>28</v>
      </c>
      <c r="S2765" s="8">
        <f t="shared" ca="1" si="349"/>
        <v>27</v>
      </c>
      <c r="T2765">
        <f t="shared" ca="1" si="350"/>
        <v>2.3647991850139656</v>
      </c>
      <c r="U2765" s="8">
        <f t="shared" ca="1" si="351"/>
        <v>1.3413497819955205</v>
      </c>
      <c r="V2765" s="8">
        <f ca="1">RawData[[#This Row],[Z (smoothed demand size)]]/RawData[[#This Row],[X (smoothed interval)]]</f>
        <v>1.7629996416712901</v>
      </c>
    </row>
    <row r="2766" spans="1:22">
      <c r="A2766" t="s">
        <v>57</v>
      </c>
      <c r="B2766" t="s">
        <v>39</v>
      </c>
      <c r="C2766">
        <v>28</v>
      </c>
      <c r="D2766" t="s">
        <v>18</v>
      </c>
      <c r="E2766" t="s">
        <v>16</v>
      </c>
      <c r="F2766" s="1">
        <v>43835</v>
      </c>
      <c r="G2766">
        <v>0</v>
      </c>
      <c r="H2766">
        <v>0</v>
      </c>
      <c r="I2766">
        <v>10</v>
      </c>
      <c r="J2766">
        <v>10</v>
      </c>
      <c r="K2766">
        <v>0</v>
      </c>
      <c r="L2766">
        <v>406</v>
      </c>
      <c r="M2766">
        <v>30</v>
      </c>
      <c r="N2766" s="1">
        <f t="shared" si="344"/>
        <v>44938</v>
      </c>
      <c r="O2766" s="1">
        <f t="shared" si="345"/>
        <v>43101</v>
      </c>
      <c r="P2766" s="1">
        <f t="shared" si="346"/>
        <v>43952</v>
      </c>
      <c r="Q2766" s="8">
        <f t="shared" si="347"/>
        <v>0</v>
      </c>
      <c r="R2766" s="8">
        <f t="shared" si="348"/>
        <v>29</v>
      </c>
      <c r="S2766" s="8">
        <f t="shared" ca="1" si="349"/>
        <v>27</v>
      </c>
      <c r="T2766">
        <f t="shared" ca="1" si="350"/>
        <v>2.3647991850139656</v>
      </c>
      <c r="U2766" s="8">
        <f t="shared" ca="1" si="351"/>
        <v>1.3413497819955205</v>
      </c>
      <c r="V2766" s="8">
        <f ca="1">RawData[[#This Row],[Z (smoothed demand size)]]/RawData[[#This Row],[X (smoothed interval)]]</f>
        <v>1.7629996416712901</v>
      </c>
    </row>
    <row r="2767" spans="1:22">
      <c r="A2767" t="s">
        <v>57</v>
      </c>
      <c r="B2767" t="s">
        <v>39</v>
      </c>
      <c r="C2767">
        <v>28</v>
      </c>
      <c r="D2767" t="s">
        <v>18</v>
      </c>
      <c r="E2767" t="s">
        <v>16</v>
      </c>
      <c r="F2767" s="1">
        <v>43836</v>
      </c>
      <c r="G2767">
        <v>0</v>
      </c>
      <c r="H2767">
        <v>0</v>
      </c>
      <c r="I2767">
        <v>10</v>
      </c>
      <c r="J2767">
        <v>10</v>
      </c>
      <c r="K2767">
        <v>0</v>
      </c>
      <c r="L2767">
        <v>452</v>
      </c>
      <c r="M2767">
        <v>60</v>
      </c>
      <c r="N2767" s="1">
        <f t="shared" si="344"/>
        <v>44938</v>
      </c>
      <c r="O2767" s="1">
        <f t="shared" si="345"/>
        <v>43101</v>
      </c>
      <c r="P2767" s="1">
        <f t="shared" si="346"/>
        <v>43983</v>
      </c>
      <c r="Q2767" s="8">
        <f t="shared" si="347"/>
        <v>0</v>
      </c>
      <c r="R2767" s="8">
        <f t="shared" si="348"/>
        <v>30</v>
      </c>
      <c r="S2767" s="8">
        <f t="shared" ca="1" si="349"/>
        <v>27</v>
      </c>
      <c r="T2767">
        <f t="shared" ca="1" si="350"/>
        <v>2.3647991850139656</v>
      </c>
      <c r="U2767" s="8">
        <f t="shared" ca="1" si="351"/>
        <v>1.3413497819955205</v>
      </c>
      <c r="V2767" s="8">
        <f ca="1">RawData[[#This Row],[Z (smoothed demand size)]]/RawData[[#This Row],[X (smoothed interval)]]</f>
        <v>1.7629996416712901</v>
      </c>
    </row>
    <row r="2768" spans="1:22">
      <c r="A2768" t="s">
        <v>57</v>
      </c>
      <c r="B2768" t="s">
        <v>39</v>
      </c>
      <c r="C2768">
        <v>28</v>
      </c>
      <c r="D2768" t="s">
        <v>18</v>
      </c>
      <c r="E2768" t="s">
        <v>16</v>
      </c>
      <c r="F2768" s="1">
        <v>43837</v>
      </c>
      <c r="G2768">
        <v>2</v>
      </c>
      <c r="H2768">
        <v>2</v>
      </c>
      <c r="I2768">
        <v>10</v>
      </c>
      <c r="J2768">
        <v>8</v>
      </c>
      <c r="K2768">
        <v>0</v>
      </c>
      <c r="L2768">
        <v>467</v>
      </c>
      <c r="M2768">
        <v>30</v>
      </c>
      <c r="N2768" s="1">
        <f t="shared" si="344"/>
        <v>44938</v>
      </c>
      <c r="O2768" s="1">
        <f t="shared" si="345"/>
        <v>43101</v>
      </c>
      <c r="P2768" s="1">
        <f t="shared" si="346"/>
        <v>44013</v>
      </c>
      <c r="Q2768" s="8">
        <f t="shared" si="347"/>
        <v>0</v>
      </c>
      <c r="R2768" s="8">
        <f t="shared" si="348"/>
        <v>31</v>
      </c>
      <c r="S2768" s="8">
        <f t="shared" ca="1" si="349"/>
        <v>31</v>
      </c>
      <c r="T2768">
        <f t="shared" ca="1" si="350"/>
        <v>2.2918393480111727</v>
      </c>
      <c r="U2768" s="8">
        <f t="shared" ca="1" si="351"/>
        <v>1.8730798255964165</v>
      </c>
      <c r="V2768" s="8">
        <f ca="1">RawData[[#This Row],[Z (smoothed demand size)]]/RawData[[#This Row],[X (smoothed interval)]]</f>
        <v>1.2235673657322197</v>
      </c>
    </row>
    <row r="2769" spans="1:22">
      <c r="A2769" t="s">
        <v>57</v>
      </c>
      <c r="B2769" t="s">
        <v>39</v>
      </c>
      <c r="C2769">
        <v>28</v>
      </c>
      <c r="D2769" t="s">
        <v>18</v>
      </c>
      <c r="E2769" t="s">
        <v>16</v>
      </c>
      <c r="F2769" s="1">
        <v>43838</v>
      </c>
      <c r="G2769">
        <v>4</v>
      </c>
      <c r="H2769">
        <v>4</v>
      </c>
      <c r="I2769">
        <v>8</v>
      </c>
      <c r="J2769">
        <v>4</v>
      </c>
      <c r="K2769">
        <v>0</v>
      </c>
      <c r="L2769">
        <v>467</v>
      </c>
      <c r="M2769">
        <v>15</v>
      </c>
      <c r="N2769" s="1">
        <f t="shared" si="344"/>
        <v>44938</v>
      </c>
      <c r="O2769" s="1">
        <f t="shared" si="345"/>
        <v>43101</v>
      </c>
      <c r="P2769" s="1">
        <f t="shared" si="346"/>
        <v>44044</v>
      </c>
      <c r="Q2769" s="8">
        <f t="shared" si="347"/>
        <v>0</v>
      </c>
      <c r="R2769" s="8">
        <f t="shared" si="348"/>
        <v>32</v>
      </c>
      <c r="S2769" s="8">
        <f t="shared" ca="1" si="349"/>
        <v>32</v>
      </c>
      <c r="T2769">
        <f t="shared" ca="1" si="350"/>
        <v>2.6334714784089384</v>
      </c>
      <c r="U2769" s="8">
        <f t="shared" ca="1" si="351"/>
        <v>1.6984638604771332</v>
      </c>
      <c r="V2769" s="8">
        <f ca="1">RawData[[#This Row],[Z (smoothed demand size)]]/RawData[[#This Row],[X (smoothed interval)]]</f>
        <v>1.550501920994152</v>
      </c>
    </row>
    <row r="2770" spans="1:22">
      <c r="A2770" t="s">
        <v>57</v>
      </c>
      <c r="B2770" t="s">
        <v>39</v>
      </c>
      <c r="C2770">
        <v>28</v>
      </c>
      <c r="D2770" t="s">
        <v>18</v>
      </c>
      <c r="E2770" t="s">
        <v>16</v>
      </c>
      <c r="F2770" s="1">
        <v>43839</v>
      </c>
      <c r="G2770">
        <v>5</v>
      </c>
      <c r="H2770">
        <v>4</v>
      </c>
      <c r="I2770">
        <v>4</v>
      </c>
      <c r="J2770">
        <v>0</v>
      </c>
      <c r="K2770">
        <v>1</v>
      </c>
      <c r="L2770">
        <v>398</v>
      </c>
      <c r="M2770">
        <v>60</v>
      </c>
      <c r="N2770" s="1">
        <f t="shared" si="344"/>
        <v>44938</v>
      </c>
      <c r="O2770" s="1">
        <f t="shared" si="345"/>
        <v>43101</v>
      </c>
      <c r="P2770" s="1">
        <f t="shared" si="346"/>
        <v>44075</v>
      </c>
      <c r="Q2770" s="8">
        <f t="shared" si="347"/>
        <v>0</v>
      </c>
      <c r="R2770" s="8">
        <f t="shared" si="348"/>
        <v>33</v>
      </c>
      <c r="S2770" s="8">
        <f t="shared" ca="1" si="349"/>
        <v>33</v>
      </c>
      <c r="T2770">
        <f t="shared" ca="1" si="350"/>
        <v>3.1067771827271509</v>
      </c>
      <c r="U2770" s="8">
        <f t="shared" ca="1" si="351"/>
        <v>1.5587710883817065</v>
      </c>
      <c r="V2770" s="8">
        <f ca="1">RawData[[#This Row],[Z (smoothed demand size)]]/RawData[[#This Row],[X (smoothed interval)]]</f>
        <v>1.9930939224389654</v>
      </c>
    </row>
    <row r="2771" spans="1:22">
      <c r="A2771" t="s">
        <v>57</v>
      </c>
      <c r="B2771" t="s">
        <v>39</v>
      </c>
      <c r="C2771">
        <v>28</v>
      </c>
      <c r="D2771" t="s">
        <v>18</v>
      </c>
      <c r="E2771" t="s">
        <v>16</v>
      </c>
      <c r="F2771" s="1">
        <v>43840</v>
      </c>
      <c r="G2771">
        <v>4</v>
      </c>
      <c r="H2771">
        <v>0</v>
      </c>
      <c r="I2771">
        <v>0</v>
      </c>
      <c r="J2771">
        <v>0</v>
      </c>
      <c r="K2771">
        <v>1</v>
      </c>
      <c r="L2771">
        <v>403</v>
      </c>
      <c r="M2771">
        <v>45</v>
      </c>
      <c r="N2771" s="1">
        <f t="shared" si="344"/>
        <v>44938</v>
      </c>
      <c r="O2771" s="1">
        <f t="shared" si="345"/>
        <v>43101</v>
      </c>
      <c r="P2771" s="1">
        <f t="shared" si="346"/>
        <v>44105</v>
      </c>
      <c r="Q2771" s="8">
        <f t="shared" si="347"/>
        <v>0</v>
      </c>
      <c r="R2771" s="8">
        <f t="shared" si="348"/>
        <v>34</v>
      </c>
      <c r="S2771" s="8">
        <f t="shared" ca="1" si="349"/>
        <v>34</v>
      </c>
      <c r="T2771">
        <f t="shared" ca="1" si="350"/>
        <v>3.2854217461817212</v>
      </c>
      <c r="U2771" s="8">
        <f t="shared" ca="1" si="351"/>
        <v>1.4470168707053652</v>
      </c>
      <c r="V2771" s="8">
        <f ca="1">RawData[[#This Row],[Z (smoothed demand size)]]/RawData[[#This Row],[X (smoothed interval)]]</f>
        <v>2.2704792270875211</v>
      </c>
    </row>
    <row r="2772" spans="1:22">
      <c r="A2772" t="s">
        <v>57</v>
      </c>
      <c r="B2772" t="s">
        <v>39</v>
      </c>
      <c r="C2772">
        <v>28</v>
      </c>
      <c r="D2772" t="s">
        <v>18</v>
      </c>
      <c r="E2772" t="s">
        <v>16</v>
      </c>
      <c r="F2772" s="1">
        <v>43841</v>
      </c>
      <c r="G2772">
        <v>2</v>
      </c>
      <c r="H2772">
        <v>2</v>
      </c>
      <c r="I2772">
        <v>7</v>
      </c>
      <c r="J2772">
        <v>5</v>
      </c>
      <c r="K2772">
        <v>0</v>
      </c>
      <c r="L2772">
        <v>403</v>
      </c>
      <c r="M2772">
        <v>15</v>
      </c>
      <c r="N2772" s="1">
        <f t="shared" si="344"/>
        <v>44938</v>
      </c>
      <c r="O2772" s="1">
        <f t="shared" si="345"/>
        <v>43101</v>
      </c>
      <c r="P2772" s="1">
        <f t="shared" si="346"/>
        <v>44136</v>
      </c>
      <c r="Q2772" s="8">
        <f t="shared" si="347"/>
        <v>0</v>
      </c>
      <c r="R2772" s="8">
        <f t="shared" si="348"/>
        <v>35</v>
      </c>
      <c r="S2772" s="8">
        <f t="shared" ca="1" si="349"/>
        <v>35</v>
      </c>
      <c r="T2772">
        <f t="shared" ca="1" si="350"/>
        <v>3.0283373969453771</v>
      </c>
      <c r="U2772" s="8">
        <f t="shared" ca="1" si="351"/>
        <v>1.3576134965642921</v>
      </c>
      <c r="V2772" s="8">
        <f ca="1">RawData[[#This Row],[Z (smoothed demand size)]]/RawData[[#This Row],[X (smoothed interval)]]</f>
        <v>2.2306329486331569</v>
      </c>
    </row>
    <row r="2773" spans="1:22">
      <c r="A2773" t="s">
        <v>57</v>
      </c>
      <c r="B2773" t="s">
        <v>39</v>
      </c>
      <c r="C2773">
        <v>28</v>
      </c>
      <c r="D2773" t="s">
        <v>18</v>
      </c>
      <c r="E2773" t="s">
        <v>16</v>
      </c>
      <c r="F2773" s="1">
        <v>43842</v>
      </c>
      <c r="G2773">
        <v>1</v>
      </c>
      <c r="H2773">
        <v>1</v>
      </c>
      <c r="I2773">
        <v>5</v>
      </c>
      <c r="J2773">
        <v>4</v>
      </c>
      <c r="K2773">
        <v>0</v>
      </c>
      <c r="L2773">
        <v>456</v>
      </c>
      <c r="M2773">
        <v>45</v>
      </c>
      <c r="N2773" s="1">
        <f t="shared" si="344"/>
        <v>44938</v>
      </c>
      <c r="O2773" s="1">
        <f t="shared" si="345"/>
        <v>43101</v>
      </c>
      <c r="P2773" s="1">
        <f t="shared" si="346"/>
        <v>44166</v>
      </c>
      <c r="Q2773" s="8">
        <f t="shared" si="347"/>
        <v>0</v>
      </c>
      <c r="R2773" s="8">
        <f t="shared" si="348"/>
        <v>36</v>
      </c>
      <c r="S2773" s="8">
        <f t="shared" ca="1" si="349"/>
        <v>36</v>
      </c>
      <c r="T2773">
        <f t="shared" ca="1" si="350"/>
        <v>2.6226699175563022</v>
      </c>
      <c r="U2773" s="8">
        <f t="shared" ca="1" si="351"/>
        <v>1.2860907972514337</v>
      </c>
      <c r="V2773" s="8">
        <f ca="1">RawData[[#This Row],[Z (smoothed demand size)]]/RawData[[#This Row],[X (smoothed interval)]]</f>
        <v>2.0392571995393607</v>
      </c>
    </row>
    <row r="2774" spans="1:22">
      <c r="A2774" t="s">
        <v>57</v>
      </c>
      <c r="B2774" t="s">
        <v>39</v>
      </c>
      <c r="C2774">
        <v>28</v>
      </c>
      <c r="D2774" t="s">
        <v>18</v>
      </c>
      <c r="E2774" t="s">
        <v>16</v>
      </c>
      <c r="F2774" s="1">
        <v>44197</v>
      </c>
      <c r="G2774">
        <v>0</v>
      </c>
      <c r="H2774">
        <v>0</v>
      </c>
      <c r="I2774">
        <v>4</v>
      </c>
      <c r="J2774">
        <v>4</v>
      </c>
      <c r="K2774">
        <v>0</v>
      </c>
      <c r="L2774">
        <v>402</v>
      </c>
      <c r="M2774">
        <v>60</v>
      </c>
      <c r="N2774" s="1">
        <f t="shared" si="344"/>
        <v>44938</v>
      </c>
      <c r="O2774" s="1">
        <f t="shared" si="345"/>
        <v>43101</v>
      </c>
      <c r="P2774" s="1">
        <f t="shared" si="346"/>
        <v>44197</v>
      </c>
      <c r="Q2774" s="8">
        <f t="shared" si="347"/>
        <v>0</v>
      </c>
      <c r="R2774" s="8">
        <f t="shared" si="348"/>
        <v>37</v>
      </c>
      <c r="S2774" s="8">
        <f t="shared" ca="1" si="349"/>
        <v>36</v>
      </c>
      <c r="T2774">
        <f t="shared" ca="1" si="350"/>
        <v>2.6226699175563022</v>
      </c>
      <c r="U2774" s="8">
        <f t="shared" ca="1" si="351"/>
        <v>1.2860907972514337</v>
      </c>
      <c r="V2774" s="8">
        <f ca="1">RawData[[#This Row],[Z (smoothed demand size)]]/RawData[[#This Row],[X (smoothed interval)]]</f>
        <v>2.0392571995393607</v>
      </c>
    </row>
    <row r="2775" spans="1:22">
      <c r="A2775" t="s">
        <v>57</v>
      </c>
      <c r="B2775" t="s">
        <v>39</v>
      </c>
      <c r="C2775">
        <v>28</v>
      </c>
      <c r="D2775" t="s">
        <v>18</v>
      </c>
      <c r="E2775" t="s">
        <v>16</v>
      </c>
      <c r="F2775" s="1">
        <v>44198</v>
      </c>
      <c r="G2775">
        <v>0</v>
      </c>
      <c r="H2775">
        <v>0</v>
      </c>
      <c r="I2775">
        <v>4</v>
      </c>
      <c r="J2775">
        <v>4</v>
      </c>
      <c r="K2775">
        <v>0</v>
      </c>
      <c r="L2775">
        <v>396</v>
      </c>
      <c r="M2775">
        <v>45</v>
      </c>
      <c r="N2775" s="1">
        <f t="shared" si="344"/>
        <v>44938</v>
      </c>
      <c r="O2775" s="1">
        <f t="shared" si="345"/>
        <v>43101</v>
      </c>
      <c r="P2775" s="1">
        <f t="shared" si="346"/>
        <v>44228</v>
      </c>
      <c r="Q2775" s="8">
        <f t="shared" si="347"/>
        <v>0</v>
      </c>
      <c r="R2775" s="8">
        <f t="shared" si="348"/>
        <v>38</v>
      </c>
      <c r="S2775" s="8">
        <f t="shared" ca="1" si="349"/>
        <v>36</v>
      </c>
      <c r="T2775">
        <f t="shared" ca="1" si="350"/>
        <v>2.6226699175563022</v>
      </c>
      <c r="U2775" s="8">
        <f t="shared" ca="1" si="351"/>
        <v>1.2860907972514337</v>
      </c>
      <c r="V2775" s="8">
        <f ca="1">RawData[[#This Row],[Z (smoothed demand size)]]/RawData[[#This Row],[X (smoothed interval)]]</f>
        <v>2.0392571995393607</v>
      </c>
    </row>
    <row r="2776" spans="1:22">
      <c r="A2776" t="s">
        <v>57</v>
      </c>
      <c r="B2776" t="s">
        <v>39</v>
      </c>
      <c r="C2776">
        <v>28</v>
      </c>
      <c r="D2776" t="s">
        <v>18</v>
      </c>
      <c r="E2776" t="s">
        <v>16</v>
      </c>
      <c r="F2776" s="1">
        <v>44199</v>
      </c>
      <c r="G2776">
        <v>0</v>
      </c>
      <c r="H2776">
        <v>0</v>
      </c>
      <c r="I2776">
        <v>4</v>
      </c>
      <c r="J2776">
        <v>4</v>
      </c>
      <c r="K2776">
        <v>0</v>
      </c>
      <c r="L2776">
        <v>409</v>
      </c>
      <c r="M2776">
        <v>15</v>
      </c>
      <c r="N2776" s="1">
        <f t="shared" si="344"/>
        <v>44938</v>
      </c>
      <c r="O2776" s="1">
        <f t="shared" si="345"/>
        <v>43101</v>
      </c>
      <c r="P2776" s="1">
        <f t="shared" si="346"/>
        <v>44256</v>
      </c>
      <c r="Q2776" s="8">
        <f t="shared" si="347"/>
        <v>0</v>
      </c>
      <c r="R2776" s="8">
        <f t="shared" si="348"/>
        <v>39</v>
      </c>
      <c r="S2776" s="8">
        <f t="shared" ca="1" si="349"/>
        <v>36</v>
      </c>
      <c r="T2776">
        <f t="shared" ca="1" si="350"/>
        <v>2.6226699175563022</v>
      </c>
      <c r="U2776" s="8">
        <f t="shared" ca="1" si="351"/>
        <v>1.2860907972514337</v>
      </c>
      <c r="V2776" s="8">
        <f ca="1">RawData[[#This Row],[Z (smoothed demand size)]]/RawData[[#This Row],[X (smoothed interval)]]</f>
        <v>2.0392571995393607</v>
      </c>
    </row>
    <row r="2777" spans="1:22">
      <c r="A2777" t="s">
        <v>57</v>
      </c>
      <c r="B2777" t="s">
        <v>39</v>
      </c>
      <c r="C2777">
        <v>28</v>
      </c>
      <c r="D2777" t="s">
        <v>18</v>
      </c>
      <c r="E2777" t="s">
        <v>16</v>
      </c>
      <c r="F2777" s="1">
        <v>44200</v>
      </c>
      <c r="G2777">
        <v>3</v>
      </c>
      <c r="H2777">
        <v>3</v>
      </c>
      <c r="I2777">
        <v>4</v>
      </c>
      <c r="J2777">
        <v>1</v>
      </c>
      <c r="K2777">
        <v>0</v>
      </c>
      <c r="L2777">
        <v>399</v>
      </c>
      <c r="M2777">
        <v>15</v>
      </c>
      <c r="N2777" s="1">
        <f t="shared" si="344"/>
        <v>44938</v>
      </c>
      <c r="O2777" s="1">
        <f t="shared" si="345"/>
        <v>43101</v>
      </c>
      <c r="P2777" s="1">
        <f t="shared" si="346"/>
        <v>44287</v>
      </c>
      <c r="Q2777" s="8">
        <f t="shared" si="347"/>
        <v>0</v>
      </c>
      <c r="R2777" s="8">
        <f t="shared" si="348"/>
        <v>40</v>
      </c>
      <c r="S2777" s="8">
        <f t="shared" ca="1" si="349"/>
        <v>40</v>
      </c>
      <c r="T2777">
        <f t="shared" ca="1" si="350"/>
        <v>2.6981359340450419</v>
      </c>
      <c r="U2777" s="8">
        <f t="shared" ca="1" si="351"/>
        <v>1.8288726378011471</v>
      </c>
      <c r="V2777" s="8">
        <f ca="1">RawData[[#This Row],[Z (smoothed demand size)]]/RawData[[#This Row],[X (smoothed interval)]]</f>
        <v>1.4753000719005833</v>
      </c>
    </row>
    <row r="2778" spans="1:22">
      <c r="A2778" t="s">
        <v>57</v>
      </c>
      <c r="B2778" t="s">
        <v>39</v>
      </c>
      <c r="C2778">
        <v>28</v>
      </c>
      <c r="D2778" t="s">
        <v>18</v>
      </c>
      <c r="E2778" t="s">
        <v>16</v>
      </c>
      <c r="F2778" s="1">
        <v>44201</v>
      </c>
      <c r="G2778">
        <v>7</v>
      </c>
      <c r="H2778">
        <v>7</v>
      </c>
      <c r="I2778">
        <v>9</v>
      </c>
      <c r="J2778">
        <v>2</v>
      </c>
      <c r="K2778">
        <v>0</v>
      </c>
      <c r="L2778">
        <v>401</v>
      </c>
      <c r="M2778">
        <v>30</v>
      </c>
      <c r="N2778" s="1">
        <f t="shared" si="344"/>
        <v>44938</v>
      </c>
      <c r="O2778" s="1">
        <f t="shared" si="345"/>
        <v>43101</v>
      </c>
      <c r="P2778" s="1">
        <f t="shared" si="346"/>
        <v>44317</v>
      </c>
      <c r="Q2778" s="8">
        <f t="shared" si="347"/>
        <v>0</v>
      </c>
      <c r="R2778" s="8">
        <f t="shared" si="348"/>
        <v>41</v>
      </c>
      <c r="S2778" s="8">
        <f t="shared" ca="1" si="349"/>
        <v>41</v>
      </c>
      <c r="T2778">
        <f t="shared" ca="1" si="350"/>
        <v>3.5585087472360337</v>
      </c>
      <c r="U2778" s="8">
        <f t="shared" ca="1" si="351"/>
        <v>1.6630981102409177</v>
      </c>
      <c r="V2778" s="8">
        <f ca="1">RawData[[#This Row],[Z (smoothed demand size)]]/RawData[[#This Row],[X (smoothed interval)]]</f>
        <v>2.1396866037690017</v>
      </c>
    </row>
    <row r="2779" spans="1:22">
      <c r="A2779" t="s">
        <v>57</v>
      </c>
      <c r="B2779" t="s">
        <v>39</v>
      </c>
      <c r="C2779">
        <v>28</v>
      </c>
      <c r="D2779" t="s">
        <v>18</v>
      </c>
      <c r="E2779" t="s">
        <v>16</v>
      </c>
      <c r="F2779" s="1">
        <v>44202</v>
      </c>
      <c r="G2779">
        <v>2</v>
      </c>
      <c r="H2779">
        <v>2</v>
      </c>
      <c r="I2779">
        <v>14</v>
      </c>
      <c r="J2779">
        <v>12</v>
      </c>
      <c r="K2779">
        <v>0</v>
      </c>
      <c r="L2779">
        <v>451</v>
      </c>
      <c r="M2779">
        <v>15</v>
      </c>
      <c r="N2779" s="1">
        <f t="shared" si="344"/>
        <v>44938</v>
      </c>
      <c r="O2779" s="1">
        <f t="shared" si="345"/>
        <v>43101</v>
      </c>
      <c r="P2779" s="1">
        <f t="shared" si="346"/>
        <v>44348</v>
      </c>
      <c r="Q2779" s="8">
        <f t="shared" si="347"/>
        <v>0</v>
      </c>
      <c r="R2779" s="8">
        <f t="shared" si="348"/>
        <v>42</v>
      </c>
      <c r="S2779" s="8">
        <f t="shared" ca="1" si="349"/>
        <v>42</v>
      </c>
      <c r="T2779">
        <f t="shared" ca="1" si="350"/>
        <v>3.246806997788827</v>
      </c>
      <c r="U2779" s="8">
        <f t="shared" ca="1" si="351"/>
        <v>1.5304784881927342</v>
      </c>
      <c r="V2779" s="8">
        <f ca="1">RawData[[#This Row],[Z (smoothed demand size)]]/RawData[[#This Row],[X (smoothed interval)]]</f>
        <v>2.1214326257031026</v>
      </c>
    </row>
    <row r="2780" spans="1:22">
      <c r="A2780" t="s">
        <v>57</v>
      </c>
      <c r="B2780" t="s">
        <v>39</v>
      </c>
      <c r="C2780">
        <v>28</v>
      </c>
      <c r="D2780" t="s">
        <v>18</v>
      </c>
      <c r="E2780" t="s">
        <v>16</v>
      </c>
      <c r="F2780" s="1">
        <v>44203</v>
      </c>
      <c r="G2780">
        <v>4</v>
      </c>
      <c r="H2780">
        <v>4</v>
      </c>
      <c r="I2780">
        <v>12</v>
      </c>
      <c r="J2780">
        <v>8</v>
      </c>
      <c r="K2780">
        <v>0</v>
      </c>
      <c r="L2780">
        <v>460</v>
      </c>
      <c r="M2780">
        <v>45</v>
      </c>
      <c r="N2780" s="1">
        <f t="shared" si="344"/>
        <v>44938</v>
      </c>
      <c r="O2780" s="1">
        <f t="shared" si="345"/>
        <v>43101</v>
      </c>
      <c r="P2780" s="1">
        <f t="shared" si="346"/>
        <v>44378</v>
      </c>
      <c r="Q2780" s="8">
        <f t="shared" si="347"/>
        <v>0</v>
      </c>
      <c r="R2780" s="8">
        <f t="shared" si="348"/>
        <v>43</v>
      </c>
      <c r="S2780" s="8">
        <f t="shared" ca="1" si="349"/>
        <v>43</v>
      </c>
      <c r="T2780">
        <f t="shared" ca="1" si="350"/>
        <v>3.3974455982310614</v>
      </c>
      <c r="U2780" s="8">
        <f t="shared" ca="1" si="351"/>
        <v>1.4243827905541875</v>
      </c>
      <c r="V2780" s="8">
        <f ca="1">RawData[[#This Row],[Z (smoothed demand size)]]/RawData[[#This Row],[X (smoothed interval)]]</f>
        <v>2.3852054523273272</v>
      </c>
    </row>
    <row r="2781" spans="1:22">
      <c r="A2781" t="s">
        <v>57</v>
      </c>
      <c r="B2781" t="s">
        <v>39</v>
      </c>
      <c r="C2781">
        <v>28</v>
      </c>
      <c r="D2781" t="s">
        <v>18</v>
      </c>
      <c r="E2781" t="s">
        <v>16</v>
      </c>
      <c r="F2781" s="1">
        <v>44204</v>
      </c>
      <c r="G2781">
        <v>0</v>
      </c>
      <c r="H2781">
        <v>0</v>
      </c>
      <c r="I2781">
        <v>8</v>
      </c>
      <c r="J2781">
        <v>8</v>
      </c>
      <c r="K2781">
        <v>0</v>
      </c>
      <c r="L2781">
        <v>464</v>
      </c>
      <c r="M2781">
        <v>45</v>
      </c>
      <c r="N2781" s="1">
        <f t="shared" si="344"/>
        <v>44938</v>
      </c>
      <c r="O2781" s="1">
        <f t="shared" si="345"/>
        <v>43101</v>
      </c>
      <c r="P2781" s="1">
        <f t="shared" si="346"/>
        <v>44409</v>
      </c>
      <c r="Q2781" s="8">
        <f t="shared" si="347"/>
        <v>0</v>
      </c>
      <c r="R2781" s="8">
        <f t="shared" si="348"/>
        <v>44</v>
      </c>
      <c r="S2781" s="8">
        <f t="shared" ca="1" si="349"/>
        <v>43</v>
      </c>
      <c r="T2781">
        <f t="shared" ca="1" si="350"/>
        <v>3.3974455982310614</v>
      </c>
      <c r="U2781" s="8">
        <f t="shared" ca="1" si="351"/>
        <v>1.4243827905541875</v>
      </c>
      <c r="V2781" s="8">
        <f ca="1">RawData[[#This Row],[Z (smoothed demand size)]]/RawData[[#This Row],[X (smoothed interval)]]</f>
        <v>2.3852054523273272</v>
      </c>
    </row>
    <row r="2782" spans="1:22">
      <c r="A2782" t="s">
        <v>57</v>
      </c>
      <c r="B2782" t="s">
        <v>39</v>
      </c>
      <c r="C2782">
        <v>28</v>
      </c>
      <c r="D2782" t="s">
        <v>18</v>
      </c>
      <c r="E2782" t="s">
        <v>16</v>
      </c>
      <c r="F2782" s="1">
        <v>44205</v>
      </c>
      <c r="G2782">
        <v>0</v>
      </c>
      <c r="H2782">
        <v>0</v>
      </c>
      <c r="I2782">
        <v>8</v>
      </c>
      <c r="J2782">
        <v>8</v>
      </c>
      <c r="K2782">
        <v>0</v>
      </c>
      <c r="L2782">
        <v>395</v>
      </c>
      <c r="M2782">
        <v>45</v>
      </c>
      <c r="N2782" s="1">
        <f t="shared" si="344"/>
        <v>44938</v>
      </c>
      <c r="O2782" s="1">
        <f t="shared" si="345"/>
        <v>43101</v>
      </c>
      <c r="P2782" s="1">
        <f t="shared" si="346"/>
        <v>44440</v>
      </c>
      <c r="Q2782" s="8">
        <f t="shared" si="347"/>
        <v>0</v>
      </c>
      <c r="R2782" s="8">
        <f t="shared" si="348"/>
        <v>45</v>
      </c>
      <c r="S2782" s="8">
        <f t="shared" ca="1" si="349"/>
        <v>43</v>
      </c>
      <c r="T2782">
        <f t="shared" ca="1" si="350"/>
        <v>3.3974455982310614</v>
      </c>
      <c r="U2782" s="8">
        <f t="shared" ca="1" si="351"/>
        <v>1.4243827905541875</v>
      </c>
      <c r="V2782" s="8">
        <f ca="1">RawData[[#This Row],[Z (smoothed demand size)]]/RawData[[#This Row],[X (smoothed interval)]]</f>
        <v>2.3852054523273272</v>
      </c>
    </row>
    <row r="2783" spans="1:22">
      <c r="A2783" t="s">
        <v>57</v>
      </c>
      <c r="B2783" t="s">
        <v>39</v>
      </c>
      <c r="C2783">
        <v>28</v>
      </c>
      <c r="D2783" t="s">
        <v>18</v>
      </c>
      <c r="E2783" t="s">
        <v>16</v>
      </c>
      <c r="F2783" s="1">
        <v>44206</v>
      </c>
      <c r="G2783">
        <v>2</v>
      </c>
      <c r="H2783">
        <v>2</v>
      </c>
      <c r="I2783">
        <v>8</v>
      </c>
      <c r="J2783">
        <v>6</v>
      </c>
      <c r="K2783">
        <v>0</v>
      </c>
      <c r="L2783">
        <v>396</v>
      </c>
      <c r="M2783">
        <v>60</v>
      </c>
      <c r="N2783" s="1">
        <f t="shared" si="344"/>
        <v>44938</v>
      </c>
      <c r="O2783" s="1">
        <f t="shared" si="345"/>
        <v>43101</v>
      </c>
      <c r="P2783" s="1">
        <f t="shared" si="346"/>
        <v>44470</v>
      </c>
      <c r="Q2783" s="8">
        <f t="shared" si="347"/>
        <v>0</v>
      </c>
      <c r="R2783" s="8">
        <f t="shared" si="348"/>
        <v>46</v>
      </c>
      <c r="S2783" s="8">
        <f t="shared" ca="1" si="349"/>
        <v>46</v>
      </c>
      <c r="T2783">
        <f t="shared" ca="1" si="350"/>
        <v>3.117956478584849</v>
      </c>
      <c r="U2783" s="8">
        <f t="shared" ca="1" si="351"/>
        <v>1.7395062324433501</v>
      </c>
      <c r="V2783" s="8">
        <f ca="1">RawData[[#This Row],[Z (smoothed demand size)]]/RawData[[#This Row],[X (smoothed interval)]]</f>
        <v>1.7924376587057675</v>
      </c>
    </row>
    <row r="2784" spans="1:22">
      <c r="A2784" t="s">
        <v>57</v>
      </c>
      <c r="B2784" t="s">
        <v>39</v>
      </c>
      <c r="C2784">
        <v>28</v>
      </c>
      <c r="D2784" t="s">
        <v>18</v>
      </c>
      <c r="E2784" t="s">
        <v>16</v>
      </c>
      <c r="F2784" s="1">
        <v>44207</v>
      </c>
      <c r="G2784">
        <v>7</v>
      </c>
      <c r="H2784">
        <v>6</v>
      </c>
      <c r="I2784">
        <v>6</v>
      </c>
      <c r="J2784">
        <v>0</v>
      </c>
      <c r="K2784">
        <v>1</v>
      </c>
      <c r="L2784">
        <v>396</v>
      </c>
      <c r="M2784">
        <v>45</v>
      </c>
      <c r="N2784" s="1">
        <f t="shared" si="344"/>
        <v>44938</v>
      </c>
      <c r="O2784" s="1">
        <f t="shared" si="345"/>
        <v>43101</v>
      </c>
      <c r="P2784" s="1">
        <f t="shared" si="346"/>
        <v>44501</v>
      </c>
      <c r="Q2784" s="8">
        <f t="shared" si="347"/>
        <v>0</v>
      </c>
      <c r="R2784" s="8">
        <f t="shared" si="348"/>
        <v>47</v>
      </c>
      <c r="S2784" s="8">
        <f t="shared" ca="1" si="349"/>
        <v>47</v>
      </c>
      <c r="T2784">
        <f t="shared" ca="1" si="350"/>
        <v>3.8943651828678796</v>
      </c>
      <c r="U2784" s="8">
        <f t="shared" ca="1" si="351"/>
        <v>1.5916049859546801</v>
      </c>
      <c r="V2784" s="8">
        <f ca="1">RawData[[#This Row],[Z (smoothed demand size)]]/RawData[[#This Row],[X (smoothed interval)]]</f>
        <v>2.4468164005731312</v>
      </c>
    </row>
    <row r="2785" spans="1:22">
      <c r="A2785" t="s">
        <v>57</v>
      </c>
      <c r="B2785" t="s">
        <v>39</v>
      </c>
      <c r="C2785">
        <v>28</v>
      </c>
      <c r="D2785" t="s">
        <v>18</v>
      </c>
      <c r="E2785" t="s">
        <v>16</v>
      </c>
      <c r="F2785" s="1">
        <v>44208</v>
      </c>
      <c r="G2785">
        <v>3</v>
      </c>
      <c r="H2785">
        <v>0</v>
      </c>
      <c r="I2785">
        <v>0</v>
      </c>
      <c r="J2785">
        <v>0</v>
      </c>
      <c r="K2785">
        <v>1</v>
      </c>
      <c r="L2785">
        <v>453</v>
      </c>
      <c r="M2785">
        <v>60</v>
      </c>
      <c r="N2785" s="1">
        <f t="shared" si="344"/>
        <v>44938</v>
      </c>
      <c r="O2785" s="1">
        <f t="shared" si="345"/>
        <v>43101</v>
      </c>
      <c r="P2785" s="1">
        <f t="shared" si="346"/>
        <v>44531</v>
      </c>
      <c r="Q2785" s="8">
        <f t="shared" si="347"/>
        <v>0</v>
      </c>
      <c r="R2785" s="8">
        <f t="shared" si="348"/>
        <v>48</v>
      </c>
      <c r="S2785" s="8">
        <f t="shared" ca="1" si="349"/>
        <v>48</v>
      </c>
      <c r="T2785">
        <f t="shared" ca="1" si="350"/>
        <v>3.715492146294304</v>
      </c>
      <c r="U2785" s="8">
        <f t="shared" ca="1" si="351"/>
        <v>1.4732839887637441</v>
      </c>
      <c r="V2785" s="8">
        <f ca="1">RawData[[#This Row],[Z (smoothed demand size)]]/RawData[[#This Row],[X (smoothed interval)]]</f>
        <v>2.5219117119517684</v>
      </c>
    </row>
    <row r="2786" spans="1:22">
      <c r="A2786" t="s">
        <v>57</v>
      </c>
      <c r="B2786" t="s">
        <v>39</v>
      </c>
      <c r="C2786">
        <v>28</v>
      </c>
      <c r="D2786" t="s">
        <v>18</v>
      </c>
      <c r="E2786" t="s">
        <v>16</v>
      </c>
      <c r="F2786" s="1">
        <v>44562</v>
      </c>
      <c r="G2786">
        <v>3</v>
      </c>
      <c r="H2786">
        <v>3</v>
      </c>
      <c r="I2786">
        <v>7</v>
      </c>
      <c r="J2786">
        <v>4</v>
      </c>
      <c r="K2786">
        <v>0</v>
      </c>
      <c r="L2786">
        <v>392</v>
      </c>
      <c r="M2786">
        <v>30</v>
      </c>
      <c r="N2786" s="1">
        <f t="shared" si="344"/>
        <v>44938</v>
      </c>
      <c r="O2786" s="1">
        <f t="shared" si="345"/>
        <v>43101</v>
      </c>
      <c r="P2786" s="1">
        <f t="shared" si="346"/>
        <v>44562</v>
      </c>
      <c r="Q2786" s="8">
        <f t="shared" si="347"/>
        <v>0</v>
      </c>
      <c r="R2786" s="8">
        <f t="shared" si="348"/>
        <v>49</v>
      </c>
      <c r="S2786" s="8">
        <f t="shared" ca="1" si="349"/>
        <v>49</v>
      </c>
      <c r="T2786">
        <f t="shared" ca="1" si="350"/>
        <v>3.5723937170354434</v>
      </c>
      <c r="U2786" s="8">
        <f t="shared" ca="1" si="351"/>
        <v>1.3786271910109953</v>
      </c>
      <c r="V2786" s="8">
        <f ca="1">RawData[[#This Row],[Z (smoothed demand size)]]/RawData[[#This Row],[X (smoothed interval)]]</f>
        <v>2.5912688653817155</v>
      </c>
    </row>
    <row r="2787" spans="1:22">
      <c r="A2787" t="s">
        <v>57</v>
      </c>
      <c r="B2787" t="s">
        <v>39</v>
      </c>
      <c r="C2787">
        <v>28</v>
      </c>
      <c r="D2787" t="s">
        <v>18</v>
      </c>
      <c r="E2787" t="s">
        <v>16</v>
      </c>
      <c r="F2787" s="1">
        <v>44563</v>
      </c>
      <c r="G2787">
        <v>2</v>
      </c>
      <c r="H2787">
        <v>2</v>
      </c>
      <c r="I2787">
        <v>4</v>
      </c>
      <c r="J2787">
        <v>2</v>
      </c>
      <c r="K2787">
        <v>0</v>
      </c>
      <c r="L2787">
        <v>401</v>
      </c>
      <c r="M2787">
        <v>30</v>
      </c>
      <c r="N2787" s="1">
        <f t="shared" si="344"/>
        <v>44938</v>
      </c>
      <c r="O2787" s="1">
        <f t="shared" si="345"/>
        <v>43101</v>
      </c>
      <c r="P2787" s="1">
        <f t="shared" si="346"/>
        <v>44593</v>
      </c>
      <c r="Q2787" s="8">
        <f t="shared" si="347"/>
        <v>0</v>
      </c>
      <c r="R2787" s="8">
        <f t="shared" si="348"/>
        <v>50</v>
      </c>
      <c r="S2787" s="8">
        <f t="shared" ca="1" si="349"/>
        <v>50</v>
      </c>
      <c r="T2787">
        <f t="shared" ca="1" si="350"/>
        <v>3.2579149736283548</v>
      </c>
      <c r="U2787" s="8">
        <f t="shared" ca="1" si="351"/>
        <v>1.3029017528087963</v>
      </c>
      <c r="V2787" s="8">
        <f ca="1">RawData[[#This Row],[Z (smoothed demand size)]]/RawData[[#This Row],[X (smoothed interval)]]</f>
        <v>2.5005070156709359</v>
      </c>
    </row>
    <row r="2788" spans="1:22">
      <c r="A2788" t="s">
        <v>57</v>
      </c>
      <c r="B2788" t="s">
        <v>39</v>
      </c>
      <c r="C2788">
        <v>28</v>
      </c>
      <c r="D2788" t="s">
        <v>18</v>
      </c>
      <c r="E2788" t="s">
        <v>16</v>
      </c>
      <c r="F2788" s="1">
        <v>44564</v>
      </c>
      <c r="G2788">
        <v>0</v>
      </c>
      <c r="H2788">
        <v>0</v>
      </c>
      <c r="I2788">
        <v>14</v>
      </c>
      <c r="J2788">
        <v>14</v>
      </c>
      <c r="K2788">
        <v>0</v>
      </c>
      <c r="L2788">
        <v>392</v>
      </c>
      <c r="M2788">
        <v>60</v>
      </c>
      <c r="N2788" s="1">
        <f t="shared" si="344"/>
        <v>44938</v>
      </c>
      <c r="O2788" s="1">
        <f t="shared" si="345"/>
        <v>43101</v>
      </c>
      <c r="P2788" s="1">
        <f t="shared" si="346"/>
        <v>44621</v>
      </c>
      <c r="Q2788" s="8">
        <f t="shared" si="347"/>
        <v>0</v>
      </c>
      <c r="R2788" s="8">
        <f t="shared" si="348"/>
        <v>51</v>
      </c>
      <c r="S2788" s="8">
        <f t="shared" ca="1" si="349"/>
        <v>50</v>
      </c>
      <c r="T2788">
        <f t="shared" ca="1" si="350"/>
        <v>3.2579149736283548</v>
      </c>
      <c r="U2788" s="8">
        <f t="shared" ca="1" si="351"/>
        <v>1.3029017528087963</v>
      </c>
      <c r="V2788" s="8">
        <f ca="1">RawData[[#This Row],[Z (smoothed demand size)]]/RawData[[#This Row],[X (smoothed interval)]]</f>
        <v>2.5005070156709359</v>
      </c>
    </row>
    <row r="2789" spans="1:22">
      <c r="A2789" t="s">
        <v>57</v>
      </c>
      <c r="B2789" t="s">
        <v>39</v>
      </c>
      <c r="C2789">
        <v>28</v>
      </c>
      <c r="D2789" t="s">
        <v>18</v>
      </c>
      <c r="E2789" t="s">
        <v>16</v>
      </c>
      <c r="F2789" s="1">
        <v>44565</v>
      </c>
      <c r="G2789">
        <v>0</v>
      </c>
      <c r="H2789">
        <v>0</v>
      </c>
      <c r="I2789">
        <v>14</v>
      </c>
      <c r="J2789">
        <v>14</v>
      </c>
      <c r="K2789">
        <v>0</v>
      </c>
      <c r="L2789">
        <v>390</v>
      </c>
      <c r="M2789">
        <v>15</v>
      </c>
      <c r="N2789" s="1">
        <f t="shared" si="344"/>
        <v>44938</v>
      </c>
      <c r="O2789" s="1">
        <f t="shared" si="345"/>
        <v>43101</v>
      </c>
      <c r="P2789" s="1">
        <f t="shared" si="346"/>
        <v>44652</v>
      </c>
      <c r="Q2789" s="8">
        <f t="shared" si="347"/>
        <v>0</v>
      </c>
      <c r="R2789" s="8">
        <f t="shared" si="348"/>
        <v>52</v>
      </c>
      <c r="S2789" s="8">
        <f t="shared" ca="1" si="349"/>
        <v>50</v>
      </c>
      <c r="T2789">
        <f t="shared" ca="1" si="350"/>
        <v>3.2579149736283548</v>
      </c>
      <c r="U2789" s="8">
        <f t="shared" ca="1" si="351"/>
        <v>1.3029017528087963</v>
      </c>
      <c r="V2789" s="8">
        <f ca="1">RawData[[#This Row],[Z (smoothed demand size)]]/RawData[[#This Row],[X (smoothed interval)]]</f>
        <v>2.5005070156709359</v>
      </c>
    </row>
    <row r="2790" spans="1:22">
      <c r="A2790" t="s">
        <v>57</v>
      </c>
      <c r="B2790" t="s">
        <v>39</v>
      </c>
      <c r="C2790">
        <v>28</v>
      </c>
      <c r="D2790" t="s">
        <v>18</v>
      </c>
      <c r="E2790" t="s">
        <v>16</v>
      </c>
      <c r="F2790" s="1">
        <v>44566</v>
      </c>
      <c r="G2790">
        <v>4</v>
      </c>
      <c r="H2790">
        <v>4</v>
      </c>
      <c r="I2790">
        <v>14</v>
      </c>
      <c r="J2790">
        <v>10</v>
      </c>
      <c r="K2790">
        <v>0</v>
      </c>
      <c r="L2790">
        <v>395</v>
      </c>
      <c r="M2790">
        <v>30</v>
      </c>
      <c r="N2790" s="1">
        <f t="shared" si="344"/>
        <v>44938</v>
      </c>
      <c r="O2790" s="1">
        <f t="shared" si="345"/>
        <v>43101</v>
      </c>
      <c r="P2790" s="1">
        <f t="shared" si="346"/>
        <v>44682</v>
      </c>
      <c r="Q2790" s="8">
        <f t="shared" si="347"/>
        <v>0</v>
      </c>
      <c r="R2790" s="8">
        <f t="shared" si="348"/>
        <v>53</v>
      </c>
      <c r="S2790" s="8">
        <f t="shared" ca="1" si="349"/>
        <v>53</v>
      </c>
      <c r="T2790">
        <f t="shared" ca="1" si="350"/>
        <v>3.406331978902684</v>
      </c>
      <c r="U2790" s="8">
        <f t="shared" ca="1" si="351"/>
        <v>1.6423214022470372</v>
      </c>
      <c r="V2790" s="8">
        <f ca="1">RawData[[#This Row],[Z (smoothed demand size)]]/RawData[[#This Row],[X (smoothed interval)]]</f>
        <v>2.0740958342515134</v>
      </c>
    </row>
    <row r="2791" spans="1:22">
      <c r="A2791" t="s">
        <v>57</v>
      </c>
      <c r="B2791" t="s">
        <v>39</v>
      </c>
      <c r="C2791">
        <v>28</v>
      </c>
      <c r="D2791" t="s">
        <v>18</v>
      </c>
      <c r="E2791" t="s">
        <v>16</v>
      </c>
      <c r="F2791" s="1">
        <v>44567</v>
      </c>
      <c r="G2791">
        <v>0</v>
      </c>
      <c r="H2791">
        <v>0</v>
      </c>
      <c r="I2791">
        <v>10</v>
      </c>
      <c r="J2791">
        <v>10</v>
      </c>
      <c r="K2791">
        <v>0</v>
      </c>
      <c r="L2791">
        <v>457</v>
      </c>
      <c r="M2791">
        <v>30</v>
      </c>
      <c r="N2791" s="1">
        <f t="shared" si="344"/>
        <v>44938</v>
      </c>
      <c r="O2791" s="1">
        <f t="shared" si="345"/>
        <v>43101</v>
      </c>
      <c r="P2791" s="1">
        <f t="shared" si="346"/>
        <v>44713</v>
      </c>
      <c r="Q2791" s="8">
        <f t="shared" si="347"/>
        <v>0</v>
      </c>
      <c r="R2791" s="8">
        <f t="shared" si="348"/>
        <v>54</v>
      </c>
      <c r="S2791" s="8">
        <f t="shared" ca="1" si="349"/>
        <v>53</v>
      </c>
      <c r="T2791">
        <f t="shared" ca="1" si="350"/>
        <v>3.406331978902684</v>
      </c>
      <c r="U2791" s="8">
        <f t="shared" ca="1" si="351"/>
        <v>1.6423214022470372</v>
      </c>
      <c r="V2791" s="8">
        <f ca="1">RawData[[#This Row],[Z (smoothed demand size)]]/RawData[[#This Row],[X (smoothed interval)]]</f>
        <v>2.0740958342515134</v>
      </c>
    </row>
    <row r="2792" spans="1:22">
      <c r="A2792" t="s">
        <v>57</v>
      </c>
      <c r="B2792" t="s">
        <v>39</v>
      </c>
      <c r="C2792">
        <v>28</v>
      </c>
      <c r="D2792" t="s">
        <v>18</v>
      </c>
      <c r="E2792" t="s">
        <v>16</v>
      </c>
      <c r="F2792" s="1">
        <v>44568</v>
      </c>
      <c r="G2792">
        <v>0</v>
      </c>
      <c r="H2792">
        <v>0</v>
      </c>
      <c r="I2792">
        <v>10</v>
      </c>
      <c r="J2792">
        <v>10</v>
      </c>
      <c r="K2792">
        <v>0</v>
      </c>
      <c r="L2792">
        <v>459</v>
      </c>
      <c r="M2792">
        <v>60</v>
      </c>
      <c r="N2792" s="1">
        <f t="shared" si="344"/>
        <v>44938</v>
      </c>
      <c r="O2792" s="1">
        <f t="shared" si="345"/>
        <v>43101</v>
      </c>
      <c r="P2792" s="1">
        <f t="shared" si="346"/>
        <v>44743</v>
      </c>
      <c r="Q2792" s="8">
        <f t="shared" si="347"/>
        <v>0</v>
      </c>
      <c r="R2792" s="8">
        <f t="shared" si="348"/>
        <v>55</v>
      </c>
      <c r="S2792" s="8">
        <f t="shared" ca="1" si="349"/>
        <v>53</v>
      </c>
      <c r="T2792">
        <f t="shared" ca="1" si="350"/>
        <v>3.406331978902684</v>
      </c>
      <c r="U2792" s="8">
        <f t="shared" ca="1" si="351"/>
        <v>1.6423214022470372</v>
      </c>
      <c r="V2792" s="8">
        <f ca="1">RawData[[#This Row],[Z (smoothed demand size)]]/RawData[[#This Row],[X (smoothed interval)]]</f>
        <v>2.0740958342515134</v>
      </c>
    </row>
    <row r="2793" spans="1:22">
      <c r="A2793" t="s">
        <v>57</v>
      </c>
      <c r="B2793" t="s">
        <v>39</v>
      </c>
      <c r="C2793">
        <v>28</v>
      </c>
      <c r="D2793" t="s">
        <v>18</v>
      </c>
      <c r="E2793" t="s">
        <v>16</v>
      </c>
      <c r="F2793" s="1">
        <v>44569</v>
      </c>
      <c r="G2793">
        <v>3</v>
      </c>
      <c r="H2793">
        <v>3</v>
      </c>
      <c r="I2793">
        <v>10</v>
      </c>
      <c r="J2793">
        <v>7</v>
      </c>
      <c r="K2793">
        <v>0</v>
      </c>
      <c r="L2793">
        <v>453</v>
      </c>
      <c r="M2793">
        <v>15</v>
      </c>
      <c r="N2793" s="1">
        <f t="shared" si="344"/>
        <v>44938</v>
      </c>
      <c r="O2793" s="1">
        <f t="shared" si="345"/>
        <v>43101</v>
      </c>
      <c r="P2793" s="1">
        <f t="shared" si="346"/>
        <v>44774</v>
      </c>
      <c r="Q2793" s="8">
        <f t="shared" si="347"/>
        <v>0</v>
      </c>
      <c r="R2793" s="8">
        <f t="shared" si="348"/>
        <v>56</v>
      </c>
      <c r="S2793" s="8">
        <f t="shared" ca="1" si="349"/>
        <v>56</v>
      </c>
      <c r="T2793">
        <f t="shared" ca="1" si="350"/>
        <v>3.3250655831221474</v>
      </c>
      <c r="U2793" s="8">
        <f t="shared" ca="1" si="351"/>
        <v>1.9138571217976299</v>
      </c>
      <c r="V2793" s="8">
        <f ca="1">RawData[[#This Row],[Z (smoothed demand size)]]/RawData[[#This Row],[X (smoothed interval)]]</f>
        <v>1.7373635394469837</v>
      </c>
    </row>
    <row r="2794" spans="1:22">
      <c r="A2794" t="s">
        <v>57</v>
      </c>
      <c r="B2794" t="s">
        <v>39</v>
      </c>
      <c r="C2794">
        <v>28</v>
      </c>
      <c r="D2794" t="s">
        <v>18</v>
      </c>
      <c r="E2794" t="s">
        <v>16</v>
      </c>
      <c r="F2794" s="1">
        <v>44570</v>
      </c>
      <c r="G2794">
        <v>1</v>
      </c>
      <c r="H2794">
        <v>1</v>
      </c>
      <c r="I2794">
        <v>7</v>
      </c>
      <c r="J2794">
        <v>6</v>
      </c>
      <c r="K2794">
        <v>0</v>
      </c>
      <c r="L2794">
        <v>395</v>
      </c>
      <c r="M2794">
        <v>30</v>
      </c>
      <c r="N2794" s="1">
        <f t="shared" si="344"/>
        <v>44938</v>
      </c>
      <c r="O2794" s="1">
        <f t="shared" si="345"/>
        <v>43101</v>
      </c>
      <c r="P2794" s="1">
        <f t="shared" si="346"/>
        <v>44805</v>
      </c>
      <c r="Q2794" s="8">
        <f t="shared" si="347"/>
        <v>0</v>
      </c>
      <c r="R2794" s="8">
        <f t="shared" si="348"/>
        <v>57</v>
      </c>
      <c r="S2794" s="8">
        <f t="shared" ca="1" si="349"/>
        <v>57</v>
      </c>
      <c r="T2794">
        <f t="shared" ca="1" si="350"/>
        <v>2.8600524664977183</v>
      </c>
      <c r="U2794" s="8">
        <f t="shared" ca="1" si="351"/>
        <v>1.7310856974381039</v>
      </c>
      <c r="V2794" s="8">
        <f ca="1">RawData[[#This Row],[Z (smoothed demand size)]]/RawData[[#This Row],[X (smoothed interval)]]</f>
        <v>1.6521726629307913</v>
      </c>
    </row>
    <row r="2795" spans="1:22">
      <c r="A2795" t="s">
        <v>57</v>
      </c>
      <c r="B2795" t="s">
        <v>39</v>
      </c>
      <c r="C2795">
        <v>28</v>
      </c>
      <c r="D2795" t="s">
        <v>18</v>
      </c>
      <c r="E2795" t="s">
        <v>16</v>
      </c>
      <c r="F2795" s="1">
        <v>44571</v>
      </c>
      <c r="G2795">
        <v>0</v>
      </c>
      <c r="H2795">
        <v>0</v>
      </c>
      <c r="I2795">
        <v>6</v>
      </c>
      <c r="J2795">
        <v>6</v>
      </c>
      <c r="K2795">
        <v>0</v>
      </c>
      <c r="L2795">
        <v>399</v>
      </c>
      <c r="M2795">
        <v>30</v>
      </c>
      <c r="N2795" s="1">
        <f t="shared" si="344"/>
        <v>44938</v>
      </c>
      <c r="O2795" s="1">
        <f t="shared" si="345"/>
        <v>43101</v>
      </c>
      <c r="P2795" s="1">
        <f t="shared" si="346"/>
        <v>44835</v>
      </c>
      <c r="Q2795" s="8">
        <f t="shared" si="347"/>
        <v>0</v>
      </c>
      <c r="R2795" s="8">
        <f t="shared" si="348"/>
        <v>58</v>
      </c>
      <c r="S2795" s="8">
        <f t="shared" ca="1" si="349"/>
        <v>57</v>
      </c>
      <c r="T2795">
        <f t="shared" ca="1" si="350"/>
        <v>2.8600524664977183</v>
      </c>
      <c r="U2795" s="8">
        <f t="shared" ca="1" si="351"/>
        <v>1.7310856974381039</v>
      </c>
      <c r="V2795" s="8">
        <f ca="1">RawData[[#This Row],[Z (smoothed demand size)]]/RawData[[#This Row],[X (smoothed interval)]]</f>
        <v>1.6521726629307913</v>
      </c>
    </row>
    <row r="2796" spans="1:22">
      <c r="A2796" t="s">
        <v>57</v>
      </c>
      <c r="B2796" t="s">
        <v>39</v>
      </c>
      <c r="C2796">
        <v>28</v>
      </c>
      <c r="D2796" t="s">
        <v>18</v>
      </c>
      <c r="E2796" t="s">
        <v>16</v>
      </c>
      <c r="F2796" s="1">
        <v>44572</v>
      </c>
      <c r="G2796">
        <v>0</v>
      </c>
      <c r="H2796">
        <v>0</v>
      </c>
      <c r="I2796">
        <v>6</v>
      </c>
      <c r="J2796">
        <v>6</v>
      </c>
      <c r="K2796">
        <v>0</v>
      </c>
      <c r="L2796">
        <v>401</v>
      </c>
      <c r="M2796">
        <v>15</v>
      </c>
      <c r="N2796" s="1">
        <f t="shared" si="344"/>
        <v>44938</v>
      </c>
      <c r="O2796" s="1">
        <f t="shared" si="345"/>
        <v>43101</v>
      </c>
      <c r="P2796" s="1">
        <f t="shared" si="346"/>
        <v>44866</v>
      </c>
      <c r="Q2796" s="8">
        <f t="shared" si="347"/>
        <v>0</v>
      </c>
      <c r="R2796" s="8">
        <f t="shared" si="348"/>
        <v>59</v>
      </c>
      <c r="S2796" s="8">
        <f t="shared" ca="1" si="349"/>
        <v>57</v>
      </c>
      <c r="T2796">
        <f t="shared" ca="1" si="350"/>
        <v>2.8600524664977183</v>
      </c>
      <c r="U2796" s="8">
        <f t="shared" ca="1" si="351"/>
        <v>1.7310856974381039</v>
      </c>
      <c r="V2796" s="8">
        <f ca="1">RawData[[#This Row],[Z (smoothed demand size)]]/RawData[[#This Row],[X (smoothed interval)]]</f>
        <v>1.6521726629307913</v>
      </c>
    </row>
    <row r="2797" spans="1:22">
      <c r="A2797" t="s">
        <v>57</v>
      </c>
      <c r="B2797" t="s">
        <v>39</v>
      </c>
      <c r="C2797">
        <v>28</v>
      </c>
      <c r="D2797" t="s">
        <v>18</v>
      </c>
      <c r="E2797" t="s">
        <v>16</v>
      </c>
      <c r="F2797" s="1">
        <v>44573</v>
      </c>
      <c r="G2797">
        <v>3</v>
      </c>
      <c r="H2797">
        <v>3</v>
      </c>
      <c r="I2797">
        <v>6</v>
      </c>
      <c r="J2797">
        <v>3</v>
      </c>
      <c r="K2797">
        <v>0</v>
      </c>
      <c r="L2797">
        <v>462</v>
      </c>
      <c r="M2797">
        <v>45</v>
      </c>
      <c r="N2797" s="1">
        <f t="shared" si="344"/>
        <v>44938</v>
      </c>
      <c r="O2797" s="1">
        <f t="shared" si="345"/>
        <v>43101</v>
      </c>
      <c r="P2797" s="1">
        <f t="shared" si="346"/>
        <v>44896</v>
      </c>
      <c r="Q2797" s="8">
        <f t="shared" si="347"/>
        <v>0</v>
      </c>
      <c r="R2797" s="8">
        <f t="shared" si="348"/>
        <v>60</v>
      </c>
      <c r="S2797" s="8">
        <f t="shared" ca="1" si="349"/>
        <v>60</v>
      </c>
      <c r="T2797">
        <f t="shared" ca="1" si="350"/>
        <v>2.8880419731981748</v>
      </c>
      <c r="U2797" s="8">
        <f t="shared" ca="1" si="351"/>
        <v>1.9848685579504832</v>
      </c>
      <c r="V2797" s="8">
        <f ca="1">RawData[[#This Row],[Z (smoothed demand size)]]/RawData[[#This Row],[X (smoothed interval)]]</f>
        <v>1.4550293326124737</v>
      </c>
    </row>
    <row r="2798" spans="1:22">
      <c r="A2798" t="s">
        <v>57</v>
      </c>
      <c r="B2798" t="s">
        <v>39</v>
      </c>
      <c r="C2798">
        <v>28</v>
      </c>
      <c r="D2798" t="s">
        <v>18</v>
      </c>
      <c r="E2798" t="s">
        <v>16</v>
      </c>
      <c r="F2798" s="1">
        <v>44927</v>
      </c>
      <c r="G2798">
        <v>0</v>
      </c>
      <c r="H2798">
        <v>0</v>
      </c>
      <c r="I2798">
        <v>3</v>
      </c>
      <c r="J2798">
        <v>3</v>
      </c>
      <c r="K2798">
        <v>0</v>
      </c>
      <c r="L2798">
        <v>398</v>
      </c>
      <c r="M2798">
        <v>30</v>
      </c>
      <c r="N2798" s="1">
        <f t="shared" si="344"/>
        <v>44938</v>
      </c>
      <c r="O2798" s="1">
        <f t="shared" si="345"/>
        <v>43101</v>
      </c>
      <c r="P2798" s="1">
        <f t="shared" si="346"/>
        <v>44927</v>
      </c>
      <c r="Q2798" s="8">
        <f t="shared" si="347"/>
        <v>0</v>
      </c>
      <c r="R2798" s="8">
        <f t="shared" si="348"/>
        <v>61</v>
      </c>
      <c r="S2798" s="8">
        <f t="shared" ca="1" si="349"/>
        <v>60</v>
      </c>
      <c r="T2798">
        <f t="shared" ca="1" si="350"/>
        <v>2.8880419731981748</v>
      </c>
      <c r="U2798" s="8">
        <f t="shared" ca="1" si="351"/>
        <v>1.9848685579504832</v>
      </c>
      <c r="V2798" s="8">
        <f ca="1">RawData[[#This Row],[Z (smoothed demand size)]]/RawData[[#This Row],[X (smoothed interval)]]</f>
        <v>1.4550293326124737</v>
      </c>
    </row>
    <row r="2799" spans="1:22">
      <c r="A2799" t="s">
        <v>57</v>
      </c>
      <c r="B2799" t="s">
        <v>39</v>
      </c>
      <c r="C2799">
        <v>28</v>
      </c>
      <c r="D2799" t="s">
        <v>18</v>
      </c>
      <c r="E2799" t="s">
        <v>16</v>
      </c>
      <c r="F2799" s="1">
        <v>44928</v>
      </c>
      <c r="G2799">
        <v>4</v>
      </c>
      <c r="H2799">
        <v>4</v>
      </c>
      <c r="I2799">
        <v>11</v>
      </c>
      <c r="J2799">
        <v>7</v>
      </c>
      <c r="K2799">
        <v>0</v>
      </c>
      <c r="L2799">
        <v>389</v>
      </c>
      <c r="M2799">
        <v>60</v>
      </c>
      <c r="N2799" s="1">
        <f t="shared" si="344"/>
        <v>44938</v>
      </c>
      <c r="O2799" s="1">
        <f t="shared" si="345"/>
        <v>43101</v>
      </c>
      <c r="P2799" s="1">
        <f t="shared" si="346"/>
        <v>44958</v>
      </c>
      <c r="Q2799" s="8">
        <f t="shared" si="347"/>
        <v>0</v>
      </c>
      <c r="R2799" s="8">
        <f t="shared" si="348"/>
        <v>62</v>
      </c>
      <c r="S2799" s="8">
        <f t="shared" ca="1" si="349"/>
        <v>62</v>
      </c>
      <c r="T2799">
        <f t="shared" ca="1" si="350"/>
        <v>3.1104335785585402</v>
      </c>
      <c r="U2799" s="8">
        <f t="shared" ca="1" si="351"/>
        <v>1.9878948463603865</v>
      </c>
      <c r="V2799" s="8">
        <f ca="1">RawData[[#This Row],[Z (smoothed demand size)]]/RawData[[#This Row],[X (smoothed interval)]]</f>
        <v>1.5646871786268759</v>
      </c>
    </row>
    <row r="2800" spans="1:22">
      <c r="A2800" t="s">
        <v>57</v>
      </c>
      <c r="B2800" t="s">
        <v>39</v>
      </c>
      <c r="C2800">
        <v>28</v>
      </c>
      <c r="D2800" t="s">
        <v>18</v>
      </c>
      <c r="E2800" t="s">
        <v>16</v>
      </c>
      <c r="F2800" s="1">
        <v>44929</v>
      </c>
      <c r="G2800">
        <v>1</v>
      </c>
      <c r="H2800">
        <v>1</v>
      </c>
      <c r="I2800">
        <v>7</v>
      </c>
      <c r="J2800">
        <v>6</v>
      </c>
      <c r="K2800">
        <v>0</v>
      </c>
      <c r="L2800">
        <v>393</v>
      </c>
      <c r="M2800">
        <v>60</v>
      </c>
      <c r="N2800" s="1">
        <f t="shared" si="344"/>
        <v>44938</v>
      </c>
      <c r="O2800" s="1">
        <f t="shared" si="345"/>
        <v>43101</v>
      </c>
      <c r="P2800" s="1">
        <f t="shared" si="346"/>
        <v>44986</v>
      </c>
      <c r="Q2800" s="8">
        <f t="shared" si="347"/>
        <v>0</v>
      </c>
      <c r="R2800" s="8">
        <f t="shared" si="348"/>
        <v>63</v>
      </c>
      <c r="S2800" s="8">
        <f t="shared" ca="1" si="349"/>
        <v>63</v>
      </c>
      <c r="T2800">
        <f t="shared" ca="1" si="350"/>
        <v>2.6883468628468323</v>
      </c>
      <c r="U2800" s="8">
        <f t="shared" ca="1" si="351"/>
        <v>1.7903158770883092</v>
      </c>
      <c r="V2800" s="8">
        <f ca="1">RawData[[#This Row],[Z (smoothed demand size)]]/RawData[[#This Row],[X (smoothed interval)]]</f>
        <v>1.5016047711195195</v>
      </c>
    </row>
    <row r="2801" spans="1:22">
      <c r="A2801" t="s">
        <v>57</v>
      </c>
      <c r="B2801" t="s">
        <v>39</v>
      </c>
      <c r="C2801">
        <v>28</v>
      </c>
      <c r="D2801" t="s">
        <v>18</v>
      </c>
      <c r="E2801" t="s">
        <v>16</v>
      </c>
      <c r="F2801" s="1">
        <v>44930</v>
      </c>
      <c r="G2801">
        <v>6</v>
      </c>
      <c r="H2801">
        <v>6</v>
      </c>
      <c r="I2801">
        <v>6</v>
      </c>
      <c r="J2801">
        <v>0</v>
      </c>
      <c r="K2801">
        <v>0</v>
      </c>
      <c r="L2801">
        <v>401</v>
      </c>
      <c r="M2801">
        <v>15</v>
      </c>
      <c r="N2801" s="1">
        <f t="shared" si="344"/>
        <v>44938</v>
      </c>
      <c r="O2801" s="1">
        <f t="shared" si="345"/>
        <v>43101</v>
      </c>
      <c r="P2801" s="1">
        <f t="shared" si="346"/>
        <v>45017</v>
      </c>
      <c r="Q2801" s="8">
        <f t="shared" si="347"/>
        <v>0</v>
      </c>
      <c r="R2801" s="8">
        <f t="shared" si="348"/>
        <v>64</v>
      </c>
      <c r="S2801" s="8">
        <f t="shared" ca="1" si="349"/>
        <v>64</v>
      </c>
      <c r="T2801">
        <f t="shared" ca="1" si="350"/>
        <v>3.3506774902774663</v>
      </c>
      <c r="U2801" s="8">
        <f t="shared" ca="1" si="351"/>
        <v>1.6322527016706474</v>
      </c>
      <c r="V2801" s="8">
        <f ca="1">RawData[[#This Row],[Z (smoothed demand size)]]/RawData[[#This Row],[X (smoothed interval)]]</f>
        <v>2.0527933492454769</v>
      </c>
    </row>
    <row r="2802" spans="1:22">
      <c r="A2802" t="s">
        <v>57</v>
      </c>
      <c r="B2802" t="s">
        <v>39</v>
      </c>
      <c r="C2802">
        <v>28</v>
      </c>
      <c r="D2802" t="s">
        <v>18</v>
      </c>
      <c r="E2802" t="s">
        <v>16</v>
      </c>
      <c r="F2802" s="1">
        <v>44931</v>
      </c>
      <c r="G2802">
        <v>0</v>
      </c>
      <c r="H2802">
        <v>0</v>
      </c>
      <c r="I2802">
        <v>9</v>
      </c>
      <c r="J2802">
        <v>9</v>
      </c>
      <c r="K2802">
        <v>0</v>
      </c>
      <c r="L2802">
        <v>403</v>
      </c>
      <c r="M2802">
        <v>15</v>
      </c>
      <c r="N2802" s="1">
        <f t="shared" si="344"/>
        <v>44938</v>
      </c>
      <c r="O2802" s="1">
        <f t="shared" si="345"/>
        <v>43101</v>
      </c>
      <c r="P2802" s="1">
        <f t="shared" si="346"/>
        <v>45047</v>
      </c>
      <c r="Q2802" s="8">
        <f t="shared" si="347"/>
        <v>0</v>
      </c>
      <c r="R2802" s="8">
        <f t="shared" si="348"/>
        <v>65</v>
      </c>
      <c r="S2802" s="8">
        <f t="shared" ca="1" si="349"/>
        <v>64</v>
      </c>
      <c r="T2802">
        <f t="shared" ca="1" si="350"/>
        <v>3.3506774902774663</v>
      </c>
      <c r="U2802" s="8">
        <f t="shared" ca="1" si="351"/>
        <v>1.6322527016706474</v>
      </c>
      <c r="V2802" s="8">
        <f ca="1">RawData[[#This Row],[Z (smoothed demand size)]]/RawData[[#This Row],[X (smoothed interval)]]</f>
        <v>2.0527933492454769</v>
      </c>
    </row>
    <row r="2803" spans="1:22">
      <c r="A2803" t="s">
        <v>57</v>
      </c>
      <c r="B2803" t="s">
        <v>39</v>
      </c>
      <c r="C2803">
        <v>28</v>
      </c>
      <c r="D2803" t="s">
        <v>18</v>
      </c>
      <c r="E2803" t="s">
        <v>16</v>
      </c>
      <c r="F2803" s="1">
        <v>44932</v>
      </c>
      <c r="G2803">
        <v>5</v>
      </c>
      <c r="H2803">
        <v>5</v>
      </c>
      <c r="I2803">
        <v>9</v>
      </c>
      <c r="J2803">
        <v>4</v>
      </c>
      <c r="K2803">
        <v>0</v>
      </c>
      <c r="L2803">
        <v>455</v>
      </c>
      <c r="M2803">
        <v>15</v>
      </c>
      <c r="N2803" s="1">
        <f t="shared" si="344"/>
        <v>44938</v>
      </c>
      <c r="O2803" s="1">
        <f t="shared" si="345"/>
        <v>43101</v>
      </c>
      <c r="P2803" s="1">
        <f t="shared" si="346"/>
        <v>45078</v>
      </c>
      <c r="Q2803" s="8">
        <f t="shared" si="347"/>
        <v>0</v>
      </c>
      <c r="R2803" s="8">
        <f t="shared" si="348"/>
        <v>66</v>
      </c>
      <c r="S2803" s="8">
        <f t="shared" ca="1" si="349"/>
        <v>66</v>
      </c>
      <c r="T2803">
        <f t="shared" ca="1" si="350"/>
        <v>3.6805419922219733</v>
      </c>
      <c r="U2803" s="8">
        <f t="shared" ca="1" si="351"/>
        <v>1.7058021613365182</v>
      </c>
      <c r="V2803" s="8">
        <f ca="1">RawData[[#This Row],[Z (smoothed demand size)]]/RawData[[#This Row],[X (smoothed interval)]]</f>
        <v>2.1576605280756711</v>
      </c>
    </row>
    <row r="2804" spans="1:22">
      <c r="A2804" t="s">
        <v>57</v>
      </c>
      <c r="B2804" t="s">
        <v>39</v>
      </c>
      <c r="C2804">
        <v>28</v>
      </c>
      <c r="D2804" t="s">
        <v>18</v>
      </c>
      <c r="E2804" t="s">
        <v>16</v>
      </c>
      <c r="F2804" s="1">
        <v>44933</v>
      </c>
      <c r="G2804">
        <v>4</v>
      </c>
      <c r="H2804">
        <v>4</v>
      </c>
      <c r="I2804">
        <v>4</v>
      </c>
      <c r="J2804">
        <v>0</v>
      </c>
      <c r="K2804">
        <v>0</v>
      </c>
      <c r="L2804">
        <v>455</v>
      </c>
      <c r="M2804">
        <v>15</v>
      </c>
      <c r="N2804" s="1">
        <f t="shared" si="344"/>
        <v>44938</v>
      </c>
      <c r="O2804" s="1">
        <f t="shared" si="345"/>
        <v>43101</v>
      </c>
      <c r="P2804" s="1">
        <f t="shared" si="346"/>
        <v>45108</v>
      </c>
      <c r="Q2804" s="8">
        <f t="shared" si="347"/>
        <v>0</v>
      </c>
      <c r="R2804" s="8">
        <f t="shared" si="348"/>
        <v>67</v>
      </c>
      <c r="S2804" s="8">
        <f t="shared" ca="1" si="349"/>
        <v>67</v>
      </c>
      <c r="T2804">
        <f t="shared" ca="1" si="350"/>
        <v>3.744433593777579</v>
      </c>
      <c r="U2804" s="8">
        <f t="shared" ca="1" si="351"/>
        <v>1.5646417290692145</v>
      </c>
      <c r="V2804" s="8">
        <f ca="1">RawData[[#This Row],[Z (smoothed demand size)]]/RawData[[#This Row],[X (smoothed interval)]]</f>
        <v>2.3931571836608851</v>
      </c>
    </row>
    <row r="2805" spans="1:22">
      <c r="A2805" t="s">
        <v>57</v>
      </c>
      <c r="B2805" t="s">
        <v>39</v>
      </c>
      <c r="C2805">
        <v>28</v>
      </c>
      <c r="D2805" t="s">
        <v>18</v>
      </c>
      <c r="E2805" t="s">
        <v>16</v>
      </c>
      <c r="F2805" s="1">
        <v>44934</v>
      </c>
      <c r="G2805">
        <v>0</v>
      </c>
      <c r="H2805">
        <v>0</v>
      </c>
      <c r="I2805">
        <v>11</v>
      </c>
      <c r="J2805">
        <v>11</v>
      </c>
      <c r="K2805">
        <v>0</v>
      </c>
      <c r="L2805">
        <v>451</v>
      </c>
      <c r="M2805">
        <v>45</v>
      </c>
      <c r="N2805" s="1">
        <f t="shared" si="344"/>
        <v>44938</v>
      </c>
      <c r="O2805" s="1">
        <f t="shared" si="345"/>
        <v>43101</v>
      </c>
      <c r="P2805" s="1">
        <f t="shared" si="346"/>
        <v>45139</v>
      </c>
      <c r="Q2805" s="8">
        <f t="shared" si="347"/>
        <v>0</v>
      </c>
      <c r="R2805" s="8">
        <f t="shared" si="348"/>
        <v>68</v>
      </c>
      <c r="S2805" s="8">
        <f t="shared" ca="1" si="349"/>
        <v>67</v>
      </c>
      <c r="T2805">
        <f t="shared" ca="1" si="350"/>
        <v>3.744433593777579</v>
      </c>
      <c r="U2805" s="8">
        <f t="shared" ca="1" si="351"/>
        <v>1.5646417290692145</v>
      </c>
      <c r="V2805" s="8">
        <f ca="1">RawData[[#This Row],[Z (smoothed demand size)]]/RawData[[#This Row],[X (smoothed interval)]]</f>
        <v>2.3931571836608851</v>
      </c>
    </row>
    <row r="2806" spans="1:22">
      <c r="A2806" t="s">
        <v>57</v>
      </c>
      <c r="B2806" t="s">
        <v>39</v>
      </c>
      <c r="C2806">
        <v>28</v>
      </c>
      <c r="D2806" t="s">
        <v>18</v>
      </c>
      <c r="E2806" t="s">
        <v>16</v>
      </c>
      <c r="F2806" s="1">
        <v>44935</v>
      </c>
      <c r="G2806">
        <v>0</v>
      </c>
      <c r="H2806">
        <v>0</v>
      </c>
      <c r="I2806">
        <v>11</v>
      </c>
      <c r="J2806">
        <v>11</v>
      </c>
      <c r="K2806">
        <v>0</v>
      </c>
      <c r="L2806">
        <v>402</v>
      </c>
      <c r="M2806">
        <v>15</v>
      </c>
      <c r="N2806" s="1">
        <f t="shared" si="344"/>
        <v>44938</v>
      </c>
      <c r="O2806" s="1">
        <f t="shared" si="345"/>
        <v>43101</v>
      </c>
      <c r="P2806" s="1">
        <f t="shared" si="346"/>
        <v>45170</v>
      </c>
      <c r="Q2806" s="8">
        <f t="shared" si="347"/>
        <v>0</v>
      </c>
      <c r="R2806" s="8">
        <f t="shared" si="348"/>
        <v>69</v>
      </c>
      <c r="S2806" s="8">
        <f t="shared" ca="1" si="349"/>
        <v>67</v>
      </c>
      <c r="T2806">
        <f t="shared" ca="1" si="350"/>
        <v>3.744433593777579</v>
      </c>
      <c r="U2806" s="8">
        <f t="shared" ca="1" si="351"/>
        <v>1.5646417290692145</v>
      </c>
      <c r="V2806" s="8">
        <f ca="1">RawData[[#This Row],[Z (smoothed demand size)]]/RawData[[#This Row],[X (smoothed interval)]]</f>
        <v>2.3931571836608851</v>
      </c>
    </row>
    <row r="2807" spans="1:22">
      <c r="A2807" t="s">
        <v>57</v>
      </c>
      <c r="B2807" t="s">
        <v>39</v>
      </c>
      <c r="C2807">
        <v>28</v>
      </c>
      <c r="D2807" t="s">
        <v>18</v>
      </c>
      <c r="E2807" t="s">
        <v>16</v>
      </c>
      <c r="F2807" s="1">
        <v>44936</v>
      </c>
      <c r="G2807">
        <v>0</v>
      </c>
      <c r="H2807">
        <v>0</v>
      </c>
      <c r="I2807">
        <v>11</v>
      </c>
      <c r="J2807">
        <v>11</v>
      </c>
      <c r="K2807">
        <v>0</v>
      </c>
      <c r="L2807">
        <v>392</v>
      </c>
      <c r="M2807">
        <v>30</v>
      </c>
      <c r="N2807" s="1">
        <f t="shared" si="344"/>
        <v>44938</v>
      </c>
      <c r="O2807" s="1">
        <f t="shared" si="345"/>
        <v>43101</v>
      </c>
      <c r="P2807" s="1">
        <f t="shared" si="346"/>
        <v>45200</v>
      </c>
      <c r="Q2807" s="8">
        <f t="shared" si="347"/>
        <v>0</v>
      </c>
      <c r="R2807" s="8">
        <f t="shared" si="348"/>
        <v>70</v>
      </c>
      <c r="S2807" s="8">
        <f t="shared" ca="1" si="349"/>
        <v>67</v>
      </c>
      <c r="T2807">
        <f t="shared" ca="1" si="350"/>
        <v>3.744433593777579</v>
      </c>
      <c r="U2807" s="8">
        <f t="shared" ca="1" si="351"/>
        <v>1.5646417290692145</v>
      </c>
      <c r="V2807" s="8">
        <f ca="1">RawData[[#This Row],[Z (smoothed demand size)]]/RawData[[#This Row],[X (smoothed interval)]]</f>
        <v>2.3931571836608851</v>
      </c>
    </row>
    <row r="2808" spans="1:22">
      <c r="A2808" t="s">
        <v>57</v>
      </c>
      <c r="B2808" t="s">
        <v>39</v>
      </c>
      <c r="C2808">
        <v>28</v>
      </c>
      <c r="D2808" t="s">
        <v>18</v>
      </c>
      <c r="E2808" t="s">
        <v>16</v>
      </c>
      <c r="F2808" s="1">
        <v>44937</v>
      </c>
      <c r="G2808">
        <v>6</v>
      </c>
      <c r="H2808">
        <v>6</v>
      </c>
      <c r="I2808">
        <v>11</v>
      </c>
      <c r="J2808">
        <v>5</v>
      </c>
      <c r="K2808">
        <v>0</v>
      </c>
      <c r="L2808">
        <v>404</v>
      </c>
      <c r="M2808">
        <v>45</v>
      </c>
      <c r="N2808" s="1">
        <f t="shared" si="344"/>
        <v>44938</v>
      </c>
      <c r="O2808" s="1">
        <f t="shared" si="345"/>
        <v>43101</v>
      </c>
      <c r="P2808" s="1">
        <f t="shared" si="346"/>
        <v>45231</v>
      </c>
      <c r="Q2808" s="8">
        <f t="shared" si="347"/>
        <v>0</v>
      </c>
      <c r="R2808" s="8">
        <f t="shared" si="348"/>
        <v>71</v>
      </c>
      <c r="S2808" s="8">
        <f t="shared" ca="1" si="349"/>
        <v>71</v>
      </c>
      <c r="T2808">
        <f t="shared" ca="1" si="350"/>
        <v>4.1955468750220639</v>
      </c>
      <c r="U2808" s="8">
        <f t="shared" ca="1" si="351"/>
        <v>2.0517133832553718</v>
      </c>
      <c r="V2808" s="8">
        <f ca="1">RawData[[#This Row],[Z (smoothed demand size)]]/RawData[[#This Row],[X (smoothed interval)]]</f>
        <v>2.0448991117683102</v>
      </c>
    </row>
    <row r="2809" spans="1:22">
      <c r="A2809" t="s">
        <v>57</v>
      </c>
      <c r="B2809" t="s">
        <v>39</v>
      </c>
      <c r="C2809">
        <v>28</v>
      </c>
      <c r="D2809" t="s">
        <v>18</v>
      </c>
      <c r="E2809" t="s">
        <v>16</v>
      </c>
      <c r="F2809" s="1">
        <v>44938</v>
      </c>
      <c r="G2809">
        <v>3</v>
      </c>
      <c r="H2809">
        <v>3</v>
      </c>
      <c r="I2809">
        <v>5</v>
      </c>
      <c r="J2809">
        <v>2</v>
      </c>
      <c r="K2809">
        <v>0</v>
      </c>
      <c r="L2809">
        <v>455</v>
      </c>
      <c r="M2809">
        <v>30</v>
      </c>
      <c r="N2809" s="1">
        <f t="shared" si="344"/>
        <v>44938</v>
      </c>
      <c r="O2809" s="1">
        <f t="shared" si="345"/>
        <v>43101</v>
      </c>
      <c r="P2809" s="1">
        <f t="shared" si="346"/>
        <v>45261</v>
      </c>
      <c r="Q2809" s="8">
        <f t="shared" si="347"/>
        <v>0</v>
      </c>
      <c r="R2809" s="8">
        <f t="shared" si="348"/>
        <v>72</v>
      </c>
      <c r="S2809" s="8">
        <f t="shared" ca="1" si="349"/>
        <v>72</v>
      </c>
      <c r="T2809">
        <f t="shared" ca="1" si="350"/>
        <v>3.9564375000176515</v>
      </c>
      <c r="U2809" s="8">
        <f t="shared" ca="1" si="351"/>
        <v>1.8413707066042975</v>
      </c>
      <c r="V2809" s="8">
        <f ca="1">RawData[[#This Row],[Z (smoothed demand size)]]/RawData[[#This Row],[X (smoothed interval)]]</f>
        <v>2.1486371461365237</v>
      </c>
    </row>
    <row r="2810" spans="1:22">
      <c r="A2810" t="s">
        <v>58</v>
      </c>
      <c r="B2810" t="s">
        <v>39</v>
      </c>
      <c r="C2810">
        <v>24</v>
      </c>
      <c r="D2810" t="s">
        <v>15</v>
      </c>
      <c r="E2810" t="s">
        <v>16</v>
      </c>
      <c r="F2810" s="1">
        <v>43101</v>
      </c>
      <c r="G2810">
        <v>1</v>
      </c>
      <c r="H2810">
        <v>1</v>
      </c>
      <c r="I2810">
        <v>21</v>
      </c>
      <c r="J2810">
        <v>20</v>
      </c>
      <c r="K2810">
        <v>0</v>
      </c>
      <c r="L2810">
        <v>431</v>
      </c>
      <c r="M2810">
        <v>45</v>
      </c>
      <c r="N2810" s="1">
        <f t="shared" si="344"/>
        <v>44938</v>
      </c>
      <c r="O2810" s="1">
        <f t="shared" si="345"/>
        <v>43101</v>
      </c>
      <c r="P2810" s="1">
        <f t="shared" si="346"/>
        <v>43101</v>
      </c>
      <c r="Q2810" s="8">
        <f t="shared" si="347"/>
        <v>1</v>
      </c>
      <c r="R2810" s="8">
        <f t="shared" si="348"/>
        <v>1</v>
      </c>
      <c r="S2810" s="8">
        <f t="shared" ca="1" si="349"/>
        <v>1</v>
      </c>
      <c r="T2810">
        <f t="shared" ca="1" si="350"/>
        <v>1</v>
      </c>
      <c r="U2810" s="8">
        <f t="shared" ca="1" si="351"/>
        <v>1</v>
      </c>
      <c r="V2810" s="8">
        <f ca="1">RawData[[#This Row],[Z (smoothed demand size)]]/RawData[[#This Row],[X (smoothed interval)]]</f>
        <v>1</v>
      </c>
    </row>
    <row r="2811" spans="1:22">
      <c r="A2811" t="s">
        <v>58</v>
      </c>
      <c r="B2811" t="s">
        <v>39</v>
      </c>
      <c r="C2811">
        <v>24</v>
      </c>
      <c r="D2811" t="s">
        <v>15</v>
      </c>
      <c r="E2811" t="s">
        <v>16</v>
      </c>
      <c r="F2811" s="1">
        <v>43102</v>
      </c>
      <c r="G2811">
        <v>1</v>
      </c>
      <c r="H2811">
        <v>1</v>
      </c>
      <c r="I2811">
        <v>20</v>
      </c>
      <c r="J2811">
        <v>19</v>
      </c>
      <c r="K2811">
        <v>0</v>
      </c>
      <c r="L2811">
        <v>419</v>
      </c>
      <c r="M2811">
        <v>15</v>
      </c>
      <c r="N2811" s="1">
        <f t="shared" si="344"/>
        <v>44938</v>
      </c>
      <c r="O2811" s="1">
        <f t="shared" si="345"/>
        <v>43101</v>
      </c>
      <c r="P2811" s="1">
        <f t="shared" si="346"/>
        <v>43132</v>
      </c>
      <c r="Q2811" s="8">
        <f t="shared" si="347"/>
        <v>0</v>
      </c>
      <c r="R2811" s="8">
        <f t="shared" si="348"/>
        <v>2</v>
      </c>
      <c r="S2811" s="8">
        <f t="shared" ca="1" si="349"/>
        <v>2</v>
      </c>
      <c r="T2811">
        <f t="shared" ca="1" si="350"/>
        <v>1</v>
      </c>
      <c r="U2811" s="8">
        <f t="shared" ca="1" si="351"/>
        <v>1</v>
      </c>
      <c r="V2811" s="8">
        <f ca="1">RawData[[#This Row],[Z (smoothed demand size)]]/RawData[[#This Row],[X (smoothed interval)]]</f>
        <v>1</v>
      </c>
    </row>
    <row r="2812" spans="1:22">
      <c r="A2812" t="s">
        <v>58</v>
      </c>
      <c r="B2812" t="s">
        <v>39</v>
      </c>
      <c r="C2812">
        <v>24</v>
      </c>
      <c r="D2812" t="s">
        <v>15</v>
      </c>
      <c r="E2812" t="s">
        <v>16</v>
      </c>
      <c r="F2812" s="1">
        <v>43103</v>
      </c>
      <c r="G2812">
        <v>1</v>
      </c>
      <c r="H2812">
        <v>1</v>
      </c>
      <c r="I2812">
        <v>19</v>
      </c>
      <c r="J2812">
        <v>18</v>
      </c>
      <c r="K2812">
        <v>0</v>
      </c>
      <c r="L2812">
        <v>433</v>
      </c>
      <c r="M2812">
        <v>15</v>
      </c>
      <c r="N2812" s="1">
        <f t="shared" si="344"/>
        <v>44938</v>
      </c>
      <c r="O2812" s="1">
        <f t="shared" si="345"/>
        <v>43101</v>
      </c>
      <c r="P2812" s="1">
        <f t="shared" si="346"/>
        <v>43160</v>
      </c>
      <c r="Q2812" s="8">
        <f t="shared" si="347"/>
        <v>0</v>
      </c>
      <c r="R2812" s="8">
        <f t="shared" si="348"/>
        <v>3</v>
      </c>
      <c r="S2812" s="8">
        <f t="shared" ca="1" si="349"/>
        <v>3</v>
      </c>
      <c r="T2812">
        <f t="shared" ca="1" si="350"/>
        <v>1</v>
      </c>
      <c r="U2812" s="8">
        <f t="shared" ca="1" si="351"/>
        <v>1</v>
      </c>
      <c r="V2812" s="8">
        <f ca="1">RawData[[#This Row],[Z (smoothed demand size)]]/RawData[[#This Row],[X (smoothed interval)]]</f>
        <v>1</v>
      </c>
    </row>
    <row r="2813" spans="1:22">
      <c r="A2813" t="s">
        <v>58</v>
      </c>
      <c r="B2813" t="s">
        <v>39</v>
      </c>
      <c r="C2813">
        <v>24</v>
      </c>
      <c r="D2813" t="s">
        <v>15</v>
      </c>
      <c r="E2813" t="s">
        <v>16</v>
      </c>
      <c r="F2813" s="1">
        <v>43104</v>
      </c>
      <c r="G2813">
        <v>0</v>
      </c>
      <c r="H2813">
        <v>0</v>
      </c>
      <c r="I2813">
        <v>18</v>
      </c>
      <c r="J2813">
        <v>18</v>
      </c>
      <c r="K2813">
        <v>0</v>
      </c>
      <c r="L2813">
        <v>431</v>
      </c>
      <c r="M2813">
        <v>15</v>
      </c>
      <c r="N2813" s="1">
        <f t="shared" si="344"/>
        <v>44938</v>
      </c>
      <c r="O2813" s="1">
        <f t="shared" si="345"/>
        <v>43101</v>
      </c>
      <c r="P2813" s="1">
        <f t="shared" si="346"/>
        <v>43191</v>
      </c>
      <c r="Q2813" s="8">
        <f t="shared" si="347"/>
        <v>0</v>
      </c>
      <c r="R2813" s="8">
        <f t="shared" si="348"/>
        <v>4</v>
      </c>
      <c r="S2813" s="8">
        <f t="shared" ca="1" si="349"/>
        <v>3</v>
      </c>
      <c r="T2813">
        <f t="shared" ca="1" si="350"/>
        <v>1</v>
      </c>
      <c r="U2813" s="8">
        <f t="shared" ca="1" si="351"/>
        <v>1</v>
      </c>
      <c r="V2813" s="8">
        <f ca="1">RawData[[#This Row],[Z (smoothed demand size)]]/RawData[[#This Row],[X (smoothed interval)]]</f>
        <v>1</v>
      </c>
    </row>
    <row r="2814" spans="1:22">
      <c r="A2814" t="s">
        <v>58</v>
      </c>
      <c r="B2814" t="s">
        <v>39</v>
      </c>
      <c r="C2814">
        <v>24</v>
      </c>
      <c r="D2814" t="s">
        <v>15</v>
      </c>
      <c r="E2814" t="s">
        <v>16</v>
      </c>
      <c r="F2814" s="1">
        <v>43105</v>
      </c>
      <c r="G2814">
        <v>4</v>
      </c>
      <c r="H2814">
        <v>4</v>
      </c>
      <c r="I2814">
        <v>18</v>
      </c>
      <c r="J2814">
        <v>14</v>
      </c>
      <c r="K2814">
        <v>0</v>
      </c>
      <c r="L2814">
        <v>433</v>
      </c>
      <c r="M2814">
        <v>45</v>
      </c>
      <c r="N2814" s="1">
        <f t="shared" si="344"/>
        <v>44938</v>
      </c>
      <c r="O2814" s="1">
        <f t="shared" si="345"/>
        <v>43101</v>
      </c>
      <c r="P2814" s="1">
        <f t="shared" si="346"/>
        <v>43221</v>
      </c>
      <c r="Q2814" s="8">
        <f t="shared" si="347"/>
        <v>0</v>
      </c>
      <c r="R2814" s="8">
        <f t="shared" si="348"/>
        <v>5</v>
      </c>
      <c r="S2814" s="8">
        <f t="shared" ca="1" si="349"/>
        <v>5</v>
      </c>
      <c r="T2814">
        <f t="shared" ca="1" si="350"/>
        <v>1.6</v>
      </c>
      <c r="U2814" s="8">
        <f t="shared" ca="1" si="351"/>
        <v>1.2000000000000002</v>
      </c>
      <c r="V2814" s="8">
        <f ca="1">RawData[[#This Row],[Z (smoothed demand size)]]/RawData[[#This Row],[X (smoothed interval)]]</f>
        <v>1.3333333333333333</v>
      </c>
    </row>
    <row r="2815" spans="1:22">
      <c r="A2815" t="s">
        <v>58</v>
      </c>
      <c r="B2815" t="s">
        <v>39</v>
      </c>
      <c r="C2815">
        <v>24</v>
      </c>
      <c r="D2815" t="s">
        <v>15</v>
      </c>
      <c r="E2815" t="s">
        <v>16</v>
      </c>
      <c r="F2815" s="1">
        <v>43106</v>
      </c>
      <c r="G2815">
        <v>1</v>
      </c>
      <c r="H2815">
        <v>1</v>
      </c>
      <c r="I2815">
        <v>14</v>
      </c>
      <c r="J2815">
        <v>13</v>
      </c>
      <c r="K2815">
        <v>0</v>
      </c>
      <c r="L2815">
        <v>493</v>
      </c>
      <c r="M2815">
        <v>45</v>
      </c>
      <c r="N2815" s="1">
        <f t="shared" si="344"/>
        <v>44938</v>
      </c>
      <c r="O2815" s="1">
        <f t="shared" si="345"/>
        <v>43101</v>
      </c>
      <c r="P2815" s="1">
        <f t="shared" si="346"/>
        <v>43252</v>
      </c>
      <c r="Q2815" s="8">
        <f t="shared" si="347"/>
        <v>0</v>
      </c>
      <c r="R2815" s="8">
        <f t="shared" si="348"/>
        <v>6</v>
      </c>
      <c r="S2815" s="8">
        <f t="shared" ca="1" si="349"/>
        <v>6</v>
      </c>
      <c r="T2815">
        <f t="shared" ca="1" si="350"/>
        <v>1.4800000000000002</v>
      </c>
      <c r="U2815" s="8">
        <f t="shared" ca="1" si="351"/>
        <v>1.1600000000000001</v>
      </c>
      <c r="V2815" s="8">
        <f ca="1">RawData[[#This Row],[Z (smoothed demand size)]]/RawData[[#This Row],[X (smoothed interval)]]</f>
        <v>1.2758620689655173</v>
      </c>
    </row>
    <row r="2816" spans="1:22">
      <c r="A2816" t="s">
        <v>58</v>
      </c>
      <c r="B2816" t="s">
        <v>39</v>
      </c>
      <c r="C2816">
        <v>24</v>
      </c>
      <c r="D2816" t="s">
        <v>15</v>
      </c>
      <c r="E2816" t="s">
        <v>16</v>
      </c>
      <c r="F2816" s="1">
        <v>43107</v>
      </c>
      <c r="G2816">
        <v>0</v>
      </c>
      <c r="H2816">
        <v>0</v>
      </c>
      <c r="I2816">
        <v>13</v>
      </c>
      <c r="J2816">
        <v>13</v>
      </c>
      <c r="K2816">
        <v>0</v>
      </c>
      <c r="L2816">
        <v>499</v>
      </c>
      <c r="M2816">
        <v>30</v>
      </c>
      <c r="N2816" s="1">
        <f t="shared" si="344"/>
        <v>44938</v>
      </c>
      <c r="O2816" s="1">
        <f t="shared" si="345"/>
        <v>43101</v>
      </c>
      <c r="P2816" s="1">
        <f t="shared" si="346"/>
        <v>43282</v>
      </c>
      <c r="Q2816" s="8">
        <f t="shared" si="347"/>
        <v>0</v>
      </c>
      <c r="R2816" s="8">
        <f t="shared" si="348"/>
        <v>7</v>
      </c>
      <c r="S2816" s="8">
        <f t="shared" ca="1" si="349"/>
        <v>6</v>
      </c>
      <c r="T2816">
        <f t="shared" ca="1" si="350"/>
        <v>1.4800000000000002</v>
      </c>
      <c r="U2816" s="8">
        <f t="shared" ca="1" si="351"/>
        <v>1.1600000000000001</v>
      </c>
      <c r="V2816" s="8">
        <f ca="1">RawData[[#This Row],[Z (smoothed demand size)]]/RawData[[#This Row],[X (smoothed interval)]]</f>
        <v>1.2758620689655173</v>
      </c>
    </row>
    <row r="2817" spans="1:22">
      <c r="A2817" t="s">
        <v>58</v>
      </c>
      <c r="B2817" t="s">
        <v>39</v>
      </c>
      <c r="C2817">
        <v>24</v>
      </c>
      <c r="D2817" t="s">
        <v>15</v>
      </c>
      <c r="E2817" t="s">
        <v>16</v>
      </c>
      <c r="F2817" s="1">
        <v>43108</v>
      </c>
      <c r="G2817">
        <v>2</v>
      </c>
      <c r="H2817">
        <v>2</v>
      </c>
      <c r="I2817">
        <v>13</v>
      </c>
      <c r="J2817">
        <v>11</v>
      </c>
      <c r="K2817">
        <v>0</v>
      </c>
      <c r="L2817">
        <v>484</v>
      </c>
      <c r="M2817">
        <v>60</v>
      </c>
      <c r="N2817" s="1">
        <f t="shared" si="344"/>
        <v>44938</v>
      </c>
      <c r="O2817" s="1">
        <f t="shared" si="345"/>
        <v>43101</v>
      </c>
      <c r="P2817" s="1">
        <f t="shared" si="346"/>
        <v>43313</v>
      </c>
      <c r="Q2817" s="8">
        <f t="shared" si="347"/>
        <v>0</v>
      </c>
      <c r="R2817" s="8">
        <f t="shared" si="348"/>
        <v>8</v>
      </c>
      <c r="S2817" s="8">
        <f t="shared" ca="1" si="349"/>
        <v>8</v>
      </c>
      <c r="T2817">
        <f t="shared" ca="1" si="350"/>
        <v>1.5840000000000001</v>
      </c>
      <c r="U2817" s="8">
        <f t="shared" ca="1" si="351"/>
        <v>1.3280000000000003</v>
      </c>
      <c r="V2817" s="8">
        <f ca="1">RawData[[#This Row],[Z (smoothed demand size)]]/RawData[[#This Row],[X (smoothed interval)]]</f>
        <v>1.1927710843373491</v>
      </c>
    </row>
    <row r="2818" spans="1:22">
      <c r="A2818" t="s">
        <v>58</v>
      </c>
      <c r="B2818" t="s">
        <v>39</v>
      </c>
      <c r="C2818">
        <v>24</v>
      </c>
      <c r="D2818" t="s">
        <v>15</v>
      </c>
      <c r="E2818" t="s">
        <v>16</v>
      </c>
      <c r="F2818" s="1">
        <v>43109</v>
      </c>
      <c r="G2818">
        <v>0</v>
      </c>
      <c r="H2818">
        <v>0</v>
      </c>
      <c r="I2818">
        <v>11</v>
      </c>
      <c r="J2818">
        <v>11</v>
      </c>
      <c r="K2818">
        <v>0</v>
      </c>
      <c r="L2818">
        <v>433</v>
      </c>
      <c r="M2818">
        <v>15</v>
      </c>
      <c r="N2818" s="1">
        <f t="shared" ref="N2818:N2881" si="352">MAX(F:F)</f>
        <v>44938</v>
      </c>
      <c r="O2818" s="1">
        <f t="shared" ref="O2818:O2881" si="353">MIN(F:F)</f>
        <v>43101</v>
      </c>
      <c r="P2818" s="1">
        <f t="shared" ref="P2818:P2881" si="354">DATE(YEAR(F2818), DAY(F2818), 1)</f>
        <v>43344</v>
      </c>
      <c r="Q2818" s="8">
        <f t="shared" ref="Q2818:Q2881" si="355" xml:space="preserve"> IF(A2818&lt;&gt;A2817, 1, 0)</f>
        <v>0</v>
      </c>
      <c r="R2818" s="8">
        <f t="shared" ref="R2818:R2881" si="356">IF(Q2818=1,1,R2817+1)</f>
        <v>9</v>
      </c>
      <c r="S2818" s="8">
        <f t="shared" ref="S2818:S2881" ca="1" si="357" xml:space="preserve"> IF(Q2818=1, IF(G2818&gt;0, R2818, 0), IF(G2818&gt;0, R2818, OFFSET(S2818,-1,0)))</f>
        <v>8</v>
      </c>
      <c r="T2818">
        <f t="shared" ref="T2818:T2881" ca="1" si="358" xml:space="preserve"> IF(Q2818=1, IF(G2818&gt;0, G2818, 0), IF(G2818&gt;0, $X$1*G2818+(1-$X$1)*OFFSET(T2818,-1,0), OFFSET(T2818,-1,0)))</f>
        <v>1.5840000000000001</v>
      </c>
      <c r="U2818" s="8">
        <f t="shared" ref="U2818:U2881" ca="1" si="359" xml:space="preserve"> IF(Q2818=1, 1, IF(G2818&gt;0, $X$1*(R2818-OFFSET(S2818,-1,0))+(1-$X$1)*OFFSET(U2818,-1,0), OFFSET(U2818,-1,0)))</f>
        <v>1.3280000000000003</v>
      </c>
      <c r="V2818" s="8">
        <f ca="1">RawData[[#This Row],[Z (smoothed demand size)]]/RawData[[#This Row],[X (smoothed interval)]]</f>
        <v>1.1927710843373491</v>
      </c>
    </row>
    <row r="2819" spans="1:22">
      <c r="A2819" t="s">
        <v>58</v>
      </c>
      <c r="B2819" t="s">
        <v>39</v>
      </c>
      <c r="C2819">
        <v>24</v>
      </c>
      <c r="D2819" t="s">
        <v>15</v>
      </c>
      <c r="E2819" t="s">
        <v>16</v>
      </c>
      <c r="F2819" s="1">
        <v>43110</v>
      </c>
      <c r="G2819">
        <v>1</v>
      </c>
      <c r="H2819">
        <v>1</v>
      </c>
      <c r="I2819">
        <v>11</v>
      </c>
      <c r="J2819">
        <v>10</v>
      </c>
      <c r="K2819">
        <v>0</v>
      </c>
      <c r="L2819">
        <v>440</v>
      </c>
      <c r="M2819">
        <v>60</v>
      </c>
      <c r="N2819" s="1">
        <f t="shared" si="352"/>
        <v>44938</v>
      </c>
      <c r="O2819" s="1">
        <f t="shared" si="353"/>
        <v>43101</v>
      </c>
      <c r="P2819" s="1">
        <f t="shared" si="354"/>
        <v>43374</v>
      </c>
      <c r="Q2819" s="8">
        <f t="shared" si="355"/>
        <v>0</v>
      </c>
      <c r="R2819" s="8">
        <f t="shared" si="356"/>
        <v>10</v>
      </c>
      <c r="S2819" s="8">
        <f t="shared" ca="1" si="357"/>
        <v>10</v>
      </c>
      <c r="T2819">
        <f t="shared" ca="1" si="358"/>
        <v>1.4672000000000001</v>
      </c>
      <c r="U2819" s="8">
        <f t="shared" ca="1" si="359"/>
        <v>1.4624000000000001</v>
      </c>
      <c r="V2819" s="8">
        <f ca="1">RawData[[#This Row],[Z (smoothed demand size)]]/RawData[[#This Row],[X (smoothed interval)]]</f>
        <v>1.0032822757111597</v>
      </c>
    </row>
    <row r="2820" spans="1:22">
      <c r="A2820" t="s">
        <v>58</v>
      </c>
      <c r="B2820" t="s">
        <v>39</v>
      </c>
      <c r="C2820">
        <v>24</v>
      </c>
      <c r="D2820" t="s">
        <v>15</v>
      </c>
      <c r="E2820" t="s">
        <v>16</v>
      </c>
      <c r="F2820" s="1">
        <v>43111</v>
      </c>
      <c r="G2820">
        <v>0</v>
      </c>
      <c r="H2820">
        <v>0</v>
      </c>
      <c r="I2820">
        <v>10</v>
      </c>
      <c r="J2820">
        <v>10</v>
      </c>
      <c r="K2820">
        <v>0</v>
      </c>
      <c r="L2820">
        <v>426</v>
      </c>
      <c r="M2820">
        <v>60</v>
      </c>
      <c r="N2820" s="1">
        <f t="shared" si="352"/>
        <v>44938</v>
      </c>
      <c r="O2820" s="1">
        <f t="shared" si="353"/>
        <v>43101</v>
      </c>
      <c r="P2820" s="1">
        <f t="shared" si="354"/>
        <v>43405</v>
      </c>
      <c r="Q2820" s="8">
        <f t="shared" si="355"/>
        <v>0</v>
      </c>
      <c r="R2820" s="8">
        <f t="shared" si="356"/>
        <v>11</v>
      </c>
      <c r="S2820" s="8">
        <f t="shared" ca="1" si="357"/>
        <v>10</v>
      </c>
      <c r="T2820">
        <f t="shared" ca="1" si="358"/>
        <v>1.4672000000000001</v>
      </c>
      <c r="U2820" s="8">
        <f t="shared" ca="1" si="359"/>
        <v>1.4624000000000001</v>
      </c>
      <c r="V2820" s="8">
        <f ca="1">RawData[[#This Row],[Z (smoothed demand size)]]/RawData[[#This Row],[X (smoothed interval)]]</f>
        <v>1.0032822757111597</v>
      </c>
    </row>
    <row r="2821" spans="1:22">
      <c r="A2821" t="s">
        <v>58</v>
      </c>
      <c r="B2821" t="s">
        <v>39</v>
      </c>
      <c r="C2821">
        <v>24</v>
      </c>
      <c r="D2821" t="s">
        <v>15</v>
      </c>
      <c r="E2821" t="s">
        <v>16</v>
      </c>
      <c r="F2821" s="1">
        <v>43112</v>
      </c>
      <c r="G2821">
        <v>4</v>
      </c>
      <c r="H2821">
        <v>4</v>
      </c>
      <c r="I2821">
        <v>10</v>
      </c>
      <c r="J2821">
        <v>6</v>
      </c>
      <c r="K2821">
        <v>0</v>
      </c>
      <c r="L2821">
        <v>491</v>
      </c>
      <c r="M2821">
        <v>15</v>
      </c>
      <c r="N2821" s="1">
        <f t="shared" si="352"/>
        <v>44938</v>
      </c>
      <c r="O2821" s="1">
        <f t="shared" si="353"/>
        <v>43101</v>
      </c>
      <c r="P2821" s="1">
        <f t="shared" si="354"/>
        <v>43435</v>
      </c>
      <c r="Q2821" s="8">
        <f t="shared" si="355"/>
        <v>0</v>
      </c>
      <c r="R2821" s="8">
        <f t="shared" si="356"/>
        <v>12</v>
      </c>
      <c r="S2821" s="8">
        <f t="shared" ca="1" si="357"/>
        <v>12</v>
      </c>
      <c r="T2821">
        <f t="shared" ca="1" si="358"/>
        <v>1.9737600000000002</v>
      </c>
      <c r="U2821" s="8">
        <f t="shared" ca="1" si="359"/>
        <v>1.5699200000000002</v>
      </c>
      <c r="V2821" s="8">
        <f ca="1">RawData[[#This Row],[Z (smoothed demand size)]]/RawData[[#This Row],[X (smoothed interval)]]</f>
        <v>1.2572360375050957</v>
      </c>
    </row>
    <row r="2822" spans="1:22">
      <c r="A2822" t="s">
        <v>58</v>
      </c>
      <c r="B2822" t="s">
        <v>39</v>
      </c>
      <c r="C2822">
        <v>24</v>
      </c>
      <c r="D2822" t="s">
        <v>15</v>
      </c>
      <c r="E2822" t="s">
        <v>16</v>
      </c>
      <c r="F2822" s="1">
        <v>43466</v>
      </c>
      <c r="G2822">
        <v>0</v>
      </c>
      <c r="H2822">
        <v>0</v>
      </c>
      <c r="I2822">
        <v>6</v>
      </c>
      <c r="J2822">
        <v>6</v>
      </c>
      <c r="K2822">
        <v>0</v>
      </c>
      <c r="L2822">
        <v>422</v>
      </c>
      <c r="M2822">
        <v>30</v>
      </c>
      <c r="N2822" s="1">
        <f t="shared" si="352"/>
        <v>44938</v>
      </c>
      <c r="O2822" s="1">
        <f t="shared" si="353"/>
        <v>43101</v>
      </c>
      <c r="P2822" s="1">
        <f t="shared" si="354"/>
        <v>43466</v>
      </c>
      <c r="Q2822" s="8">
        <f t="shared" si="355"/>
        <v>0</v>
      </c>
      <c r="R2822" s="8">
        <f t="shared" si="356"/>
        <v>13</v>
      </c>
      <c r="S2822" s="8">
        <f t="shared" ca="1" si="357"/>
        <v>12</v>
      </c>
      <c r="T2822">
        <f t="shared" ca="1" si="358"/>
        <v>1.9737600000000002</v>
      </c>
      <c r="U2822" s="8">
        <f t="shared" ca="1" si="359"/>
        <v>1.5699200000000002</v>
      </c>
      <c r="V2822" s="8">
        <f ca="1">RawData[[#This Row],[Z (smoothed demand size)]]/RawData[[#This Row],[X (smoothed interval)]]</f>
        <v>1.2572360375050957</v>
      </c>
    </row>
    <row r="2823" spans="1:22">
      <c r="A2823" t="s">
        <v>58</v>
      </c>
      <c r="B2823" t="s">
        <v>39</v>
      </c>
      <c r="C2823">
        <v>24</v>
      </c>
      <c r="D2823" t="s">
        <v>15</v>
      </c>
      <c r="E2823" t="s">
        <v>16</v>
      </c>
      <c r="F2823" s="1">
        <v>43467</v>
      </c>
      <c r="G2823">
        <v>0</v>
      </c>
      <c r="H2823">
        <v>0</v>
      </c>
      <c r="I2823">
        <v>6</v>
      </c>
      <c r="J2823">
        <v>6</v>
      </c>
      <c r="K2823">
        <v>0</v>
      </c>
      <c r="L2823">
        <v>426</v>
      </c>
      <c r="M2823">
        <v>45</v>
      </c>
      <c r="N2823" s="1">
        <f t="shared" si="352"/>
        <v>44938</v>
      </c>
      <c r="O2823" s="1">
        <f t="shared" si="353"/>
        <v>43101</v>
      </c>
      <c r="P2823" s="1">
        <f t="shared" si="354"/>
        <v>43497</v>
      </c>
      <c r="Q2823" s="8">
        <f t="shared" si="355"/>
        <v>0</v>
      </c>
      <c r="R2823" s="8">
        <f t="shared" si="356"/>
        <v>14</v>
      </c>
      <c r="S2823" s="8">
        <f t="shared" ca="1" si="357"/>
        <v>12</v>
      </c>
      <c r="T2823">
        <f t="shared" ca="1" si="358"/>
        <v>1.9737600000000002</v>
      </c>
      <c r="U2823" s="8">
        <f t="shared" ca="1" si="359"/>
        <v>1.5699200000000002</v>
      </c>
      <c r="V2823" s="8">
        <f ca="1">RawData[[#This Row],[Z (smoothed demand size)]]/RawData[[#This Row],[X (smoothed interval)]]</f>
        <v>1.2572360375050957</v>
      </c>
    </row>
    <row r="2824" spans="1:22">
      <c r="A2824" t="s">
        <v>58</v>
      </c>
      <c r="B2824" t="s">
        <v>39</v>
      </c>
      <c r="C2824">
        <v>24</v>
      </c>
      <c r="D2824" t="s">
        <v>15</v>
      </c>
      <c r="E2824" t="s">
        <v>16</v>
      </c>
      <c r="F2824" s="1">
        <v>43468</v>
      </c>
      <c r="G2824">
        <v>0</v>
      </c>
      <c r="H2824">
        <v>0</v>
      </c>
      <c r="I2824">
        <v>6</v>
      </c>
      <c r="J2824">
        <v>6</v>
      </c>
      <c r="K2824">
        <v>0</v>
      </c>
      <c r="L2824">
        <v>427</v>
      </c>
      <c r="M2824">
        <v>45</v>
      </c>
      <c r="N2824" s="1">
        <f t="shared" si="352"/>
        <v>44938</v>
      </c>
      <c r="O2824" s="1">
        <f t="shared" si="353"/>
        <v>43101</v>
      </c>
      <c r="P2824" s="1">
        <f t="shared" si="354"/>
        <v>43525</v>
      </c>
      <c r="Q2824" s="8">
        <f t="shared" si="355"/>
        <v>0</v>
      </c>
      <c r="R2824" s="8">
        <f t="shared" si="356"/>
        <v>15</v>
      </c>
      <c r="S2824" s="8">
        <f t="shared" ca="1" si="357"/>
        <v>12</v>
      </c>
      <c r="T2824">
        <f t="shared" ca="1" si="358"/>
        <v>1.9737600000000002</v>
      </c>
      <c r="U2824" s="8">
        <f t="shared" ca="1" si="359"/>
        <v>1.5699200000000002</v>
      </c>
      <c r="V2824" s="8">
        <f ca="1">RawData[[#This Row],[Z (smoothed demand size)]]/RawData[[#This Row],[X (smoothed interval)]]</f>
        <v>1.2572360375050957</v>
      </c>
    </row>
    <row r="2825" spans="1:22">
      <c r="A2825" t="s">
        <v>58</v>
      </c>
      <c r="B2825" t="s">
        <v>39</v>
      </c>
      <c r="C2825">
        <v>24</v>
      </c>
      <c r="D2825" t="s">
        <v>15</v>
      </c>
      <c r="E2825" t="s">
        <v>16</v>
      </c>
      <c r="F2825" s="1">
        <v>43469</v>
      </c>
      <c r="G2825">
        <v>4</v>
      </c>
      <c r="H2825">
        <v>4</v>
      </c>
      <c r="I2825">
        <v>6</v>
      </c>
      <c r="J2825">
        <v>2</v>
      </c>
      <c r="K2825">
        <v>0</v>
      </c>
      <c r="L2825">
        <v>416</v>
      </c>
      <c r="M2825">
        <v>30</v>
      </c>
      <c r="N2825" s="1">
        <f t="shared" si="352"/>
        <v>44938</v>
      </c>
      <c r="O2825" s="1">
        <f t="shared" si="353"/>
        <v>43101</v>
      </c>
      <c r="P2825" s="1">
        <f t="shared" si="354"/>
        <v>43556</v>
      </c>
      <c r="Q2825" s="8">
        <f t="shared" si="355"/>
        <v>0</v>
      </c>
      <c r="R2825" s="8">
        <f t="shared" si="356"/>
        <v>16</v>
      </c>
      <c r="S2825" s="8">
        <f t="shared" ca="1" si="357"/>
        <v>16</v>
      </c>
      <c r="T2825">
        <f t="shared" ca="1" si="358"/>
        <v>2.3790080000000002</v>
      </c>
      <c r="U2825" s="8">
        <f t="shared" ca="1" si="359"/>
        <v>2.055936</v>
      </c>
      <c r="V2825" s="8">
        <f ca="1">RawData[[#This Row],[Z (smoothed demand size)]]/RawData[[#This Row],[X (smoothed interval)]]</f>
        <v>1.1571410783215044</v>
      </c>
    </row>
    <row r="2826" spans="1:22">
      <c r="A2826" t="s">
        <v>58</v>
      </c>
      <c r="B2826" t="s">
        <v>39</v>
      </c>
      <c r="C2826">
        <v>24</v>
      </c>
      <c r="D2826" t="s">
        <v>15</v>
      </c>
      <c r="E2826" t="s">
        <v>16</v>
      </c>
      <c r="F2826" s="1">
        <v>43470</v>
      </c>
      <c r="G2826">
        <v>2</v>
      </c>
      <c r="H2826">
        <v>2</v>
      </c>
      <c r="I2826">
        <v>10</v>
      </c>
      <c r="J2826">
        <v>8</v>
      </c>
      <c r="K2826">
        <v>0</v>
      </c>
      <c r="L2826">
        <v>428</v>
      </c>
      <c r="M2826">
        <v>30</v>
      </c>
      <c r="N2826" s="1">
        <f t="shared" si="352"/>
        <v>44938</v>
      </c>
      <c r="O2826" s="1">
        <f t="shared" si="353"/>
        <v>43101</v>
      </c>
      <c r="P2826" s="1">
        <f t="shared" si="354"/>
        <v>43586</v>
      </c>
      <c r="Q2826" s="8">
        <f t="shared" si="355"/>
        <v>0</v>
      </c>
      <c r="R2826" s="8">
        <f t="shared" si="356"/>
        <v>17</v>
      </c>
      <c r="S2826" s="8">
        <f t="shared" ca="1" si="357"/>
        <v>17</v>
      </c>
      <c r="T2826">
        <f t="shared" ca="1" si="358"/>
        <v>2.3032064000000001</v>
      </c>
      <c r="U2826" s="8">
        <f t="shared" ca="1" si="359"/>
        <v>1.8447488000000001</v>
      </c>
      <c r="V2826" s="8">
        <f ca="1">RawData[[#This Row],[Z (smoothed demand size)]]/RawData[[#This Row],[X (smoothed interval)]]</f>
        <v>1.2485203405471792</v>
      </c>
    </row>
    <row r="2827" spans="1:22">
      <c r="A2827" t="s">
        <v>58</v>
      </c>
      <c r="B2827" t="s">
        <v>39</v>
      </c>
      <c r="C2827">
        <v>24</v>
      </c>
      <c r="D2827" t="s">
        <v>15</v>
      </c>
      <c r="E2827" t="s">
        <v>16</v>
      </c>
      <c r="F2827" s="1">
        <v>43471</v>
      </c>
      <c r="G2827">
        <v>0</v>
      </c>
      <c r="H2827">
        <v>0</v>
      </c>
      <c r="I2827">
        <v>8</v>
      </c>
      <c r="J2827">
        <v>8</v>
      </c>
      <c r="K2827">
        <v>0</v>
      </c>
      <c r="L2827">
        <v>495</v>
      </c>
      <c r="M2827">
        <v>45</v>
      </c>
      <c r="N2827" s="1">
        <f t="shared" si="352"/>
        <v>44938</v>
      </c>
      <c r="O2827" s="1">
        <f t="shared" si="353"/>
        <v>43101</v>
      </c>
      <c r="P2827" s="1">
        <f t="shared" si="354"/>
        <v>43617</v>
      </c>
      <c r="Q2827" s="8">
        <f t="shared" si="355"/>
        <v>0</v>
      </c>
      <c r="R2827" s="8">
        <f t="shared" si="356"/>
        <v>18</v>
      </c>
      <c r="S2827" s="8">
        <f t="shared" ca="1" si="357"/>
        <v>17</v>
      </c>
      <c r="T2827">
        <f t="shared" ca="1" si="358"/>
        <v>2.3032064000000001</v>
      </c>
      <c r="U2827" s="8">
        <f t="shared" ca="1" si="359"/>
        <v>1.8447488000000001</v>
      </c>
      <c r="V2827" s="8">
        <f ca="1">RawData[[#This Row],[Z (smoothed demand size)]]/RawData[[#This Row],[X (smoothed interval)]]</f>
        <v>1.2485203405471792</v>
      </c>
    </row>
    <row r="2828" spans="1:22">
      <c r="A2828" t="s">
        <v>58</v>
      </c>
      <c r="B2828" t="s">
        <v>39</v>
      </c>
      <c r="C2828">
        <v>24</v>
      </c>
      <c r="D2828" t="s">
        <v>15</v>
      </c>
      <c r="E2828" t="s">
        <v>16</v>
      </c>
      <c r="F2828" s="1">
        <v>43472</v>
      </c>
      <c r="G2828">
        <v>3</v>
      </c>
      <c r="H2828">
        <v>3</v>
      </c>
      <c r="I2828">
        <v>8</v>
      </c>
      <c r="J2828">
        <v>5</v>
      </c>
      <c r="K2828">
        <v>0</v>
      </c>
      <c r="L2828">
        <v>485</v>
      </c>
      <c r="M2828">
        <v>45</v>
      </c>
      <c r="N2828" s="1">
        <f t="shared" si="352"/>
        <v>44938</v>
      </c>
      <c r="O2828" s="1">
        <f t="shared" si="353"/>
        <v>43101</v>
      </c>
      <c r="P2828" s="1">
        <f t="shared" si="354"/>
        <v>43647</v>
      </c>
      <c r="Q2828" s="8">
        <f t="shared" si="355"/>
        <v>0</v>
      </c>
      <c r="R2828" s="8">
        <f t="shared" si="356"/>
        <v>19</v>
      </c>
      <c r="S2828" s="8">
        <f t="shared" ca="1" si="357"/>
        <v>19</v>
      </c>
      <c r="T2828">
        <f t="shared" ca="1" si="358"/>
        <v>2.4425651200000003</v>
      </c>
      <c r="U2828" s="8">
        <f t="shared" ca="1" si="359"/>
        <v>1.87579904</v>
      </c>
      <c r="V2828" s="8">
        <f ca="1">RawData[[#This Row],[Z (smoothed demand size)]]/RawData[[#This Row],[X (smoothed interval)]]</f>
        <v>1.3021464815335444</v>
      </c>
    </row>
    <row r="2829" spans="1:22">
      <c r="A2829" t="s">
        <v>58</v>
      </c>
      <c r="B2829" t="s">
        <v>39</v>
      </c>
      <c r="C2829">
        <v>24</v>
      </c>
      <c r="D2829" t="s">
        <v>15</v>
      </c>
      <c r="E2829" t="s">
        <v>16</v>
      </c>
      <c r="F2829" s="1">
        <v>43473</v>
      </c>
      <c r="G2829">
        <v>5</v>
      </c>
      <c r="H2829">
        <v>5</v>
      </c>
      <c r="I2829">
        <v>5</v>
      </c>
      <c r="J2829">
        <v>0</v>
      </c>
      <c r="K2829">
        <v>0</v>
      </c>
      <c r="L2829">
        <v>487</v>
      </c>
      <c r="M2829">
        <v>30</v>
      </c>
      <c r="N2829" s="1">
        <f t="shared" si="352"/>
        <v>44938</v>
      </c>
      <c r="O2829" s="1">
        <f t="shared" si="353"/>
        <v>43101</v>
      </c>
      <c r="P2829" s="1">
        <f t="shared" si="354"/>
        <v>43678</v>
      </c>
      <c r="Q2829" s="8">
        <f t="shared" si="355"/>
        <v>0</v>
      </c>
      <c r="R2829" s="8">
        <f t="shared" si="356"/>
        <v>20</v>
      </c>
      <c r="S2829" s="8">
        <f t="shared" ca="1" si="357"/>
        <v>20</v>
      </c>
      <c r="T2829">
        <f t="shared" ca="1" si="358"/>
        <v>2.9540520960000003</v>
      </c>
      <c r="U2829" s="8">
        <f t="shared" ca="1" si="359"/>
        <v>1.7006392320000001</v>
      </c>
      <c r="V2829" s="8">
        <f ca="1">RawData[[#This Row],[Z (smoothed demand size)]]/RawData[[#This Row],[X (smoothed interval)]]</f>
        <v>1.7370245496018288</v>
      </c>
    </row>
    <row r="2830" spans="1:22">
      <c r="A2830" t="s">
        <v>58</v>
      </c>
      <c r="B2830" t="s">
        <v>39</v>
      </c>
      <c r="C2830">
        <v>24</v>
      </c>
      <c r="D2830" t="s">
        <v>15</v>
      </c>
      <c r="E2830" t="s">
        <v>16</v>
      </c>
      <c r="F2830" s="1">
        <v>43474</v>
      </c>
      <c r="G2830">
        <v>2</v>
      </c>
      <c r="H2830">
        <v>2</v>
      </c>
      <c r="I2830">
        <v>8</v>
      </c>
      <c r="J2830">
        <v>6</v>
      </c>
      <c r="K2830">
        <v>0</v>
      </c>
      <c r="L2830">
        <v>429</v>
      </c>
      <c r="M2830">
        <v>45</v>
      </c>
      <c r="N2830" s="1">
        <f t="shared" si="352"/>
        <v>44938</v>
      </c>
      <c r="O2830" s="1">
        <f t="shared" si="353"/>
        <v>43101</v>
      </c>
      <c r="P2830" s="1">
        <f t="shared" si="354"/>
        <v>43709</v>
      </c>
      <c r="Q2830" s="8">
        <f t="shared" si="355"/>
        <v>0</v>
      </c>
      <c r="R2830" s="8">
        <f t="shared" si="356"/>
        <v>21</v>
      </c>
      <c r="S2830" s="8">
        <f t="shared" ca="1" si="357"/>
        <v>21</v>
      </c>
      <c r="T2830">
        <f t="shared" ca="1" si="358"/>
        <v>2.7632416768000003</v>
      </c>
      <c r="U2830" s="8">
        <f t="shared" ca="1" si="359"/>
        <v>1.5605113856000001</v>
      </c>
      <c r="V2830" s="8">
        <f ca="1">RawData[[#This Row],[Z (smoothed demand size)]]/RawData[[#This Row],[X (smoothed interval)]]</f>
        <v>1.7707283024644918</v>
      </c>
    </row>
    <row r="2831" spans="1:22">
      <c r="A2831" t="s">
        <v>58</v>
      </c>
      <c r="B2831" t="s">
        <v>39</v>
      </c>
      <c r="C2831">
        <v>24</v>
      </c>
      <c r="D2831" t="s">
        <v>15</v>
      </c>
      <c r="E2831" t="s">
        <v>16</v>
      </c>
      <c r="F2831" s="1">
        <v>43475</v>
      </c>
      <c r="G2831">
        <v>1</v>
      </c>
      <c r="H2831">
        <v>1</v>
      </c>
      <c r="I2831">
        <v>6</v>
      </c>
      <c r="J2831">
        <v>5</v>
      </c>
      <c r="K2831">
        <v>0</v>
      </c>
      <c r="L2831">
        <v>422</v>
      </c>
      <c r="M2831">
        <v>15</v>
      </c>
      <c r="N2831" s="1">
        <f t="shared" si="352"/>
        <v>44938</v>
      </c>
      <c r="O2831" s="1">
        <f t="shared" si="353"/>
        <v>43101</v>
      </c>
      <c r="P2831" s="1">
        <f t="shared" si="354"/>
        <v>43739</v>
      </c>
      <c r="Q2831" s="8">
        <f t="shared" si="355"/>
        <v>0</v>
      </c>
      <c r="R2831" s="8">
        <f t="shared" si="356"/>
        <v>22</v>
      </c>
      <c r="S2831" s="8">
        <f t="shared" ca="1" si="357"/>
        <v>22</v>
      </c>
      <c r="T2831">
        <f t="shared" ca="1" si="358"/>
        <v>2.4105933414400007</v>
      </c>
      <c r="U2831" s="8">
        <f t="shared" ca="1" si="359"/>
        <v>1.4484091084800002</v>
      </c>
      <c r="V2831" s="8">
        <f ca="1">RawData[[#This Row],[Z (smoothed demand size)]]/RawData[[#This Row],[X (smoothed interval)]]</f>
        <v>1.6643041854174356</v>
      </c>
    </row>
    <row r="2832" spans="1:22">
      <c r="A2832" t="s">
        <v>58</v>
      </c>
      <c r="B2832" t="s">
        <v>39</v>
      </c>
      <c r="C2832">
        <v>24</v>
      </c>
      <c r="D2832" t="s">
        <v>15</v>
      </c>
      <c r="E2832" t="s">
        <v>16</v>
      </c>
      <c r="F2832" s="1">
        <v>43476</v>
      </c>
      <c r="G2832">
        <v>2</v>
      </c>
      <c r="H2832">
        <v>2</v>
      </c>
      <c r="I2832">
        <v>5</v>
      </c>
      <c r="J2832">
        <v>3</v>
      </c>
      <c r="K2832">
        <v>0</v>
      </c>
      <c r="L2832">
        <v>429</v>
      </c>
      <c r="M2832">
        <v>30</v>
      </c>
      <c r="N2832" s="1">
        <f t="shared" si="352"/>
        <v>44938</v>
      </c>
      <c r="O2832" s="1">
        <f t="shared" si="353"/>
        <v>43101</v>
      </c>
      <c r="P2832" s="1">
        <f t="shared" si="354"/>
        <v>43770</v>
      </c>
      <c r="Q2832" s="8">
        <f t="shared" si="355"/>
        <v>0</v>
      </c>
      <c r="R2832" s="8">
        <f t="shared" si="356"/>
        <v>23</v>
      </c>
      <c r="S2832" s="8">
        <f t="shared" ca="1" si="357"/>
        <v>23</v>
      </c>
      <c r="T2832">
        <f t="shared" ca="1" si="358"/>
        <v>2.3284746731520007</v>
      </c>
      <c r="U2832" s="8">
        <f t="shared" ca="1" si="359"/>
        <v>1.3587272867840001</v>
      </c>
      <c r="V2832" s="8">
        <f ca="1">RawData[[#This Row],[Z (smoothed demand size)]]/RawData[[#This Row],[X (smoothed interval)]]</f>
        <v>1.7137174588311359</v>
      </c>
    </row>
    <row r="2833" spans="1:22">
      <c r="A2833" t="s">
        <v>58</v>
      </c>
      <c r="B2833" t="s">
        <v>39</v>
      </c>
      <c r="C2833">
        <v>24</v>
      </c>
      <c r="D2833" t="s">
        <v>15</v>
      </c>
      <c r="E2833" t="s">
        <v>16</v>
      </c>
      <c r="F2833" s="1">
        <v>43477</v>
      </c>
      <c r="G2833">
        <v>3</v>
      </c>
      <c r="H2833">
        <v>3</v>
      </c>
      <c r="I2833">
        <v>15</v>
      </c>
      <c r="J2833">
        <v>12</v>
      </c>
      <c r="K2833">
        <v>0</v>
      </c>
      <c r="L2833">
        <v>491</v>
      </c>
      <c r="M2833">
        <v>45</v>
      </c>
      <c r="N2833" s="1">
        <f t="shared" si="352"/>
        <v>44938</v>
      </c>
      <c r="O2833" s="1">
        <f t="shared" si="353"/>
        <v>43101</v>
      </c>
      <c r="P2833" s="1">
        <f t="shared" si="354"/>
        <v>43800</v>
      </c>
      <c r="Q2833" s="8">
        <f t="shared" si="355"/>
        <v>0</v>
      </c>
      <c r="R2833" s="8">
        <f t="shared" si="356"/>
        <v>24</v>
      </c>
      <c r="S2833" s="8">
        <f t="shared" ca="1" si="357"/>
        <v>24</v>
      </c>
      <c r="T2833">
        <f t="shared" ca="1" si="358"/>
        <v>2.4627797385216006</v>
      </c>
      <c r="U2833" s="8">
        <f t="shared" ca="1" si="359"/>
        <v>1.2869818294272002</v>
      </c>
      <c r="V2833" s="8">
        <f ca="1">RawData[[#This Row],[Z (smoothed demand size)]]/RawData[[#This Row],[X (smoothed interval)]]</f>
        <v>1.9136087877928434</v>
      </c>
    </row>
    <row r="2834" spans="1:22">
      <c r="A2834" t="s">
        <v>58</v>
      </c>
      <c r="B2834" t="s">
        <v>39</v>
      </c>
      <c r="C2834">
        <v>24</v>
      </c>
      <c r="D2834" t="s">
        <v>15</v>
      </c>
      <c r="E2834" t="s">
        <v>16</v>
      </c>
      <c r="F2834" s="1">
        <v>43831</v>
      </c>
      <c r="G2834">
        <v>2</v>
      </c>
      <c r="H2834">
        <v>2</v>
      </c>
      <c r="I2834">
        <v>12</v>
      </c>
      <c r="J2834">
        <v>10</v>
      </c>
      <c r="K2834">
        <v>0</v>
      </c>
      <c r="L2834">
        <v>434</v>
      </c>
      <c r="M2834">
        <v>45</v>
      </c>
      <c r="N2834" s="1">
        <f t="shared" si="352"/>
        <v>44938</v>
      </c>
      <c r="O2834" s="1">
        <f t="shared" si="353"/>
        <v>43101</v>
      </c>
      <c r="P2834" s="1">
        <f t="shared" si="354"/>
        <v>43831</v>
      </c>
      <c r="Q2834" s="8">
        <f t="shared" si="355"/>
        <v>0</v>
      </c>
      <c r="R2834" s="8">
        <f t="shared" si="356"/>
        <v>25</v>
      </c>
      <c r="S2834" s="8">
        <f t="shared" ca="1" si="357"/>
        <v>25</v>
      </c>
      <c r="T2834">
        <f t="shared" ca="1" si="358"/>
        <v>2.3702237908172807</v>
      </c>
      <c r="U2834" s="8">
        <f t="shared" ca="1" si="359"/>
        <v>1.2295854635417602</v>
      </c>
      <c r="V2834" s="8">
        <f ca="1">RawData[[#This Row],[Z (smoothed demand size)]]/RawData[[#This Row],[X (smoothed interval)]]</f>
        <v>1.9276608752269795</v>
      </c>
    </row>
    <row r="2835" spans="1:22">
      <c r="A2835" t="s">
        <v>58</v>
      </c>
      <c r="B2835" t="s">
        <v>39</v>
      </c>
      <c r="C2835">
        <v>24</v>
      </c>
      <c r="D2835" t="s">
        <v>15</v>
      </c>
      <c r="E2835" t="s">
        <v>16</v>
      </c>
      <c r="F2835" s="1">
        <v>43832</v>
      </c>
      <c r="G2835">
        <v>2</v>
      </c>
      <c r="H2835">
        <v>2</v>
      </c>
      <c r="I2835">
        <v>10</v>
      </c>
      <c r="J2835">
        <v>8</v>
      </c>
      <c r="K2835">
        <v>0</v>
      </c>
      <c r="L2835">
        <v>424</v>
      </c>
      <c r="M2835">
        <v>15</v>
      </c>
      <c r="N2835" s="1">
        <f t="shared" si="352"/>
        <v>44938</v>
      </c>
      <c r="O2835" s="1">
        <f t="shared" si="353"/>
        <v>43101</v>
      </c>
      <c r="P2835" s="1">
        <f t="shared" si="354"/>
        <v>43862</v>
      </c>
      <c r="Q2835" s="8">
        <f t="shared" si="355"/>
        <v>0</v>
      </c>
      <c r="R2835" s="8">
        <f t="shared" si="356"/>
        <v>26</v>
      </c>
      <c r="S2835" s="8">
        <f t="shared" ca="1" si="357"/>
        <v>26</v>
      </c>
      <c r="T2835">
        <f t="shared" ca="1" si="358"/>
        <v>2.2961790326538245</v>
      </c>
      <c r="U2835" s="8">
        <f t="shared" ca="1" si="359"/>
        <v>1.1836683708334081</v>
      </c>
      <c r="V2835" s="8">
        <f ca="1">RawData[[#This Row],[Z (smoothed demand size)]]/RawData[[#This Row],[X (smoothed interval)]]</f>
        <v>1.9398837455098252</v>
      </c>
    </row>
    <row r="2836" spans="1:22">
      <c r="A2836" t="s">
        <v>58</v>
      </c>
      <c r="B2836" t="s">
        <v>39</v>
      </c>
      <c r="C2836">
        <v>24</v>
      </c>
      <c r="D2836" t="s">
        <v>15</v>
      </c>
      <c r="E2836" t="s">
        <v>16</v>
      </c>
      <c r="F2836" s="1">
        <v>43833</v>
      </c>
      <c r="G2836">
        <v>0</v>
      </c>
      <c r="H2836">
        <v>0</v>
      </c>
      <c r="I2836">
        <v>8</v>
      </c>
      <c r="J2836">
        <v>8</v>
      </c>
      <c r="K2836">
        <v>0</v>
      </c>
      <c r="L2836">
        <v>422</v>
      </c>
      <c r="M2836">
        <v>60</v>
      </c>
      <c r="N2836" s="1">
        <f t="shared" si="352"/>
        <v>44938</v>
      </c>
      <c r="O2836" s="1">
        <f t="shared" si="353"/>
        <v>43101</v>
      </c>
      <c r="P2836" s="1">
        <f t="shared" si="354"/>
        <v>43891</v>
      </c>
      <c r="Q2836" s="8">
        <f t="shared" si="355"/>
        <v>0</v>
      </c>
      <c r="R2836" s="8">
        <f t="shared" si="356"/>
        <v>27</v>
      </c>
      <c r="S2836" s="8">
        <f t="shared" ca="1" si="357"/>
        <v>26</v>
      </c>
      <c r="T2836">
        <f t="shared" ca="1" si="358"/>
        <v>2.2961790326538245</v>
      </c>
      <c r="U2836" s="8">
        <f t="shared" ca="1" si="359"/>
        <v>1.1836683708334081</v>
      </c>
      <c r="V2836" s="8">
        <f ca="1">RawData[[#This Row],[Z (smoothed demand size)]]/RawData[[#This Row],[X (smoothed interval)]]</f>
        <v>1.9398837455098252</v>
      </c>
    </row>
    <row r="2837" spans="1:22">
      <c r="A2837" t="s">
        <v>58</v>
      </c>
      <c r="B2837" t="s">
        <v>39</v>
      </c>
      <c r="C2837">
        <v>24</v>
      </c>
      <c r="D2837" t="s">
        <v>15</v>
      </c>
      <c r="E2837" t="s">
        <v>16</v>
      </c>
      <c r="F2837" s="1">
        <v>43834</v>
      </c>
      <c r="G2837">
        <v>0</v>
      </c>
      <c r="H2837">
        <v>0</v>
      </c>
      <c r="I2837">
        <v>8</v>
      </c>
      <c r="J2837">
        <v>8</v>
      </c>
      <c r="K2837">
        <v>0</v>
      </c>
      <c r="L2837">
        <v>425</v>
      </c>
      <c r="M2837">
        <v>45</v>
      </c>
      <c r="N2837" s="1">
        <f t="shared" si="352"/>
        <v>44938</v>
      </c>
      <c r="O2837" s="1">
        <f t="shared" si="353"/>
        <v>43101</v>
      </c>
      <c r="P2837" s="1">
        <f t="shared" si="354"/>
        <v>43922</v>
      </c>
      <c r="Q2837" s="8">
        <f t="shared" si="355"/>
        <v>0</v>
      </c>
      <c r="R2837" s="8">
        <f t="shared" si="356"/>
        <v>28</v>
      </c>
      <c r="S2837" s="8">
        <f t="shared" ca="1" si="357"/>
        <v>26</v>
      </c>
      <c r="T2837">
        <f t="shared" ca="1" si="358"/>
        <v>2.2961790326538245</v>
      </c>
      <c r="U2837" s="8">
        <f t="shared" ca="1" si="359"/>
        <v>1.1836683708334081</v>
      </c>
      <c r="V2837" s="8">
        <f ca="1">RawData[[#This Row],[Z (smoothed demand size)]]/RawData[[#This Row],[X (smoothed interval)]]</f>
        <v>1.9398837455098252</v>
      </c>
    </row>
    <row r="2838" spans="1:22">
      <c r="A2838" t="s">
        <v>58</v>
      </c>
      <c r="B2838" t="s">
        <v>39</v>
      </c>
      <c r="C2838">
        <v>24</v>
      </c>
      <c r="D2838" t="s">
        <v>15</v>
      </c>
      <c r="E2838" t="s">
        <v>16</v>
      </c>
      <c r="F2838" s="1">
        <v>43835</v>
      </c>
      <c r="G2838">
        <v>0</v>
      </c>
      <c r="H2838">
        <v>0</v>
      </c>
      <c r="I2838">
        <v>8</v>
      </c>
      <c r="J2838">
        <v>8</v>
      </c>
      <c r="K2838">
        <v>0</v>
      </c>
      <c r="L2838">
        <v>425</v>
      </c>
      <c r="M2838">
        <v>45</v>
      </c>
      <c r="N2838" s="1">
        <f t="shared" si="352"/>
        <v>44938</v>
      </c>
      <c r="O2838" s="1">
        <f t="shared" si="353"/>
        <v>43101</v>
      </c>
      <c r="P2838" s="1">
        <f t="shared" si="354"/>
        <v>43952</v>
      </c>
      <c r="Q2838" s="8">
        <f t="shared" si="355"/>
        <v>0</v>
      </c>
      <c r="R2838" s="8">
        <f t="shared" si="356"/>
        <v>29</v>
      </c>
      <c r="S2838" s="8">
        <f t="shared" ca="1" si="357"/>
        <v>26</v>
      </c>
      <c r="T2838">
        <f t="shared" ca="1" si="358"/>
        <v>2.2961790326538245</v>
      </c>
      <c r="U2838" s="8">
        <f t="shared" ca="1" si="359"/>
        <v>1.1836683708334081</v>
      </c>
      <c r="V2838" s="8">
        <f ca="1">RawData[[#This Row],[Z (smoothed demand size)]]/RawData[[#This Row],[X (smoothed interval)]]</f>
        <v>1.9398837455098252</v>
      </c>
    </row>
    <row r="2839" spans="1:22">
      <c r="A2839" t="s">
        <v>58</v>
      </c>
      <c r="B2839" t="s">
        <v>39</v>
      </c>
      <c r="C2839">
        <v>24</v>
      </c>
      <c r="D2839" t="s">
        <v>15</v>
      </c>
      <c r="E2839" t="s">
        <v>16</v>
      </c>
      <c r="F2839" s="1">
        <v>43836</v>
      </c>
      <c r="G2839">
        <v>2</v>
      </c>
      <c r="H2839">
        <v>2</v>
      </c>
      <c r="I2839">
        <v>8</v>
      </c>
      <c r="J2839">
        <v>6</v>
      </c>
      <c r="K2839">
        <v>0</v>
      </c>
      <c r="L2839">
        <v>496</v>
      </c>
      <c r="M2839">
        <v>30</v>
      </c>
      <c r="N2839" s="1">
        <f t="shared" si="352"/>
        <v>44938</v>
      </c>
      <c r="O2839" s="1">
        <f t="shared" si="353"/>
        <v>43101</v>
      </c>
      <c r="P2839" s="1">
        <f t="shared" si="354"/>
        <v>43983</v>
      </c>
      <c r="Q2839" s="8">
        <f t="shared" si="355"/>
        <v>0</v>
      </c>
      <c r="R2839" s="8">
        <f t="shared" si="356"/>
        <v>30</v>
      </c>
      <c r="S2839" s="8">
        <f t="shared" ca="1" si="357"/>
        <v>30</v>
      </c>
      <c r="T2839">
        <f t="shared" ca="1" si="358"/>
        <v>2.2369432261230595</v>
      </c>
      <c r="U2839" s="8">
        <f t="shared" ca="1" si="359"/>
        <v>1.7469346966667265</v>
      </c>
      <c r="V2839" s="8">
        <f ca="1">RawData[[#This Row],[Z (smoothed demand size)]]/RawData[[#This Row],[X (smoothed interval)]]</f>
        <v>1.2804961916385904</v>
      </c>
    </row>
    <row r="2840" spans="1:22">
      <c r="A2840" t="s">
        <v>58</v>
      </c>
      <c r="B2840" t="s">
        <v>39</v>
      </c>
      <c r="C2840">
        <v>24</v>
      </c>
      <c r="D2840" t="s">
        <v>15</v>
      </c>
      <c r="E2840" t="s">
        <v>16</v>
      </c>
      <c r="F2840" s="1">
        <v>43837</v>
      </c>
      <c r="G2840">
        <v>0</v>
      </c>
      <c r="H2840">
        <v>0</v>
      </c>
      <c r="I2840">
        <v>6</v>
      </c>
      <c r="J2840">
        <v>6</v>
      </c>
      <c r="K2840">
        <v>0</v>
      </c>
      <c r="L2840">
        <v>496</v>
      </c>
      <c r="M2840">
        <v>30</v>
      </c>
      <c r="N2840" s="1">
        <f t="shared" si="352"/>
        <v>44938</v>
      </c>
      <c r="O2840" s="1">
        <f t="shared" si="353"/>
        <v>43101</v>
      </c>
      <c r="P2840" s="1">
        <f t="shared" si="354"/>
        <v>44013</v>
      </c>
      <c r="Q2840" s="8">
        <f t="shared" si="355"/>
        <v>0</v>
      </c>
      <c r="R2840" s="8">
        <f t="shared" si="356"/>
        <v>31</v>
      </c>
      <c r="S2840" s="8">
        <f t="shared" ca="1" si="357"/>
        <v>30</v>
      </c>
      <c r="T2840">
        <f t="shared" ca="1" si="358"/>
        <v>2.2369432261230595</v>
      </c>
      <c r="U2840" s="8">
        <f t="shared" ca="1" si="359"/>
        <v>1.7469346966667265</v>
      </c>
      <c r="V2840" s="8">
        <f ca="1">RawData[[#This Row],[Z (smoothed demand size)]]/RawData[[#This Row],[X (smoothed interval)]]</f>
        <v>1.2804961916385904</v>
      </c>
    </row>
    <row r="2841" spans="1:22">
      <c r="A2841" t="s">
        <v>58</v>
      </c>
      <c r="B2841" t="s">
        <v>39</v>
      </c>
      <c r="C2841">
        <v>24</v>
      </c>
      <c r="D2841" t="s">
        <v>15</v>
      </c>
      <c r="E2841" t="s">
        <v>16</v>
      </c>
      <c r="F2841" s="1">
        <v>43838</v>
      </c>
      <c r="G2841">
        <v>1</v>
      </c>
      <c r="H2841">
        <v>1</v>
      </c>
      <c r="I2841">
        <v>6</v>
      </c>
      <c r="J2841">
        <v>5</v>
      </c>
      <c r="K2841">
        <v>0</v>
      </c>
      <c r="L2841">
        <v>485</v>
      </c>
      <c r="M2841">
        <v>30</v>
      </c>
      <c r="N2841" s="1">
        <f t="shared" si="352"/>
        <v>44938</v>
      </c>
      <c r="O2841" s="1">
        <f t="shared" si="353"/>
        <v>43101</v>
      </c>
      <c r="P2841" s="1">
        <f t="shared" si="354"/>
        <v>44044</v>
      </c>
      <c r="Q2841" s="8">
        <f t="shared" si="355"/>
        <v>0</v>
      </c>
      <c r="R2841" s="8">
        <f t="shared" si="356"/>
        <v>32</v>
      </c>
      <c r="S2841" s="8">
        <f t="shared" ca="1" si="357"/>
        <v>32</v>
      </c>
      <c r="T2841">
        <f t="shared" ca="1" si="358"/>
        <v>1.9895545808984476</v>
      </c>
      <c r="U2841" s="8">
        <f t="shared" ca="1" si="359"/>
        <v>1.7975477573333811</v>
      </c>
      <c r="V2841" s="8">
        <f ca="1">RawData[[#This Row],[Z (smoothed demand size)]]/RawData[[#This Row],[X (smoothed interval)]]</f>
        <v>1.1068159790368541</v>
      </c>
    </row>
    <row r="2842" spans="1:22">
      <c r="A2842" t="s">
        <v>58</v>
      </c>
      <c r="B2842" t="s">
        <v>39</v>
      </c>
      <c r="C2842">
        <v>24</v>
      </c>
      <c r="D2842" t="s">
        <v>15</v>
      </c>
      <c r="E2842" t="s">
        <v>16</v>
      </c>
      <c r="F2842" s="1">
        <v>43839</v>
      </c>
      <c r="G2842">
        <v>3</v>
      </c>
      <c r="H2842">
        <v>3</v>
      </c>
      <c r="I2842">
        <v>5</v>
      </c>
      <c r="J2842">
        <v>2</v>
      </c>
      <c r="K2842">
        <v>0</v>
      </c>
      <c r="L2842">
        <v>424</v>
      </c>
      <c r="M2842">
        <v>30</v>
      </c>
      <c r="N2842" s="1">
        <f t="shared" si="352"/>
        <v>44938</v>
      </c>
      <c r="O2842" s="1">
        <f t="shared" si="353"/>
        <v>43101</v>
      </c>
      <c r="P2842" s="1">
        <f t="shared" si="354"/>
        <v>44075</v>
      </c>
      <c r="Q2842" s="8">
        <f t="shared" si="355"/>
        <v>0</v>
      </c>
      <c r="R2842" s="8">
        <f t="shared" si="356"/>
        <v>33</v>
      </c>
      <c r="S2842" s="8">
        <f t="shared" ca="1" si="357"/>
        <v>33</v>
      </c>
      <c r="T2842">
        <f t="shared" ca="1" si="358"/>
        <v>2.1916436647187583</v>
      </c>
      <c r="U2842" s="8">
        <f t="shared" ca="1" si="359"/>
        <v>1.6380382058667049</v>
      </c>
      <c r="V2842" s="8">
        <f ca="1">RawData[[#This Row],[Z (smoothed demand size)]]/RawData[[#This Row],[X (smoothed interval)]]</f>
        <v>1.337968587588062</v>
      </c>
    </row>
    <row r="2843" spans="1:22">
      <c r="A2843" t="s">
        <v>58</v>
      </c>
      <c r="B2843" t="s">
        <v>39</v>
      </c>
      <c r="C2843">
        <v>24</v>
      </c>
      <c r="D2843" t="s">
        <v>15</v>
      </c>
      <c r="E2843" t="s">
        <v>16</v>
      </c>
      <c r="F2843" s="1">
        <v>43840</v>
      </c>
      <c r="G2843">
        <v>3</v>
      </c>
      <c r="H2843">
        <v>3</v>
      </c>
      <c r="I2843">
        <v>13</v>
      </c>
      <c r="J2843">
        <v>10</v>
      </c>
      <c r="K2843">
        <v>0</v>
      </c>
      <c r="L2843">
        <v>421</v>
      </c>
      <c r="M2843">
        <v>15</v>
      </c>
      <c r="N2843" s="1">
        <f t="shared" si="352"/>
        <v>44938</v>
      </c>
      <c r="O2843" s="1">
        <f t="shared" si="353"/>
        <v>43101</v>
      </c>
      <c r="P2843" s="1">
        <f t="shared" si="354"/>
        <v>44105</v>
      </c>
      <c r="Q2843" s="8">
        <f t="shared" si="355"/>
        <v>0</v>
      </c>
      <c r="R2843" s="8">
        <f t="shared" si="356"/>
        <v>34</v>
      </c>
      <c r="S2843" s="8">
        <f t="shared" ca="1" si="357"/>
        <v>34</v>
      </c>
      <c r="T2843">
        <f t="shared" ca="1" si="358"/>
        <v>2.3533149317750066</v>
      </c>
      <c r="U2843" s="8">
        <f t="shared" ca="1" si="359"/>
        <v>1.510430564693364</v>
      </c>
      <c r="V2843" s="8">
        <f ca="1">RawData[[#This Row],[Z (smoothed demand size)]]/RawData[[#This Row],[X (smoothed interval)]]</f>
        <v>1.5580424461635272</v>
      </c>
    </row>
    <row r="2844" spans="1:22">
      <c r="A2844" t="s">
        <v>58</v>
      </c>
      <c r="B2844" t="s">
        <v>39</v>
      </c>
      <c r="C2844">
        <v>24</v>
      </c>
      <c r="D2844" t="s">
        <v>15</v>
      </c>
      <c r="E2844" t="s">
        <v>16</v>
      </c>
      <c r="F2844" s="1">
        <v>43841</v>
      </c>
      <c r="G2844">
        <v>0</v>
      </c>
      <c r="H2844">
        <v>0</v>
      </c>
      <c r="I2844">
        <v>10</v>
      </c>
      <c r="J2844">
        <v>10</v>
      </c>
      <c r="K2844">
        <v>0</v>
      </c>
      <c r="L2844">
        <v>421</v>
      </c>
      <c r="M2844">
        <v>45</v>
      </c>
      <c r="N2844" s="1">
        <f t="shared" si="352"/>
        <v>44938</v>
      </c>
      <c r="O2844" s="1">
        <f t="shared" si="353"/>
        <v>43101</v>
      </c>
      <c r="P2844" s="1">
        <f t="shared" si="354"/>
        <v>44136</v>
      </c>
      <c r="Q2844" s="8">
        <f t="shared" si="355"/>
        <v>0</v>
      </c>
      <c r="R2844" s="8">
        <f t="shared" si="356"/>
        <v>35</v>
      </c>
      <c r="S2844" s="8">
        <f t="shared" ca="1" si="357"/>
        <v>34</v>
      </c>
      <c r="T2844">
        <f t="shared" ca="1" si="358"/>
        <v>2.3533149317750066</v>
      </c>
      <c r="U2844" s="8">
        <f t="shared" ca="1" si="359"/>
        <v>1.510430564693364</v>
      </c>
      <c r="V2844" s="8">
        <f ca="1">RawData[[#This Row],[Z (smoothed demand size)]]/RawData[[#This Row],[X (smoothed interval)]]</f>
        <v>1.5580424461635272</v>
      </c>
    </row>
    <row r="2845" spans="1:22">
      <c r="A2845" t="s">
        <v>58</v>
      </c>
      <c r="B2845" t="s">
        <v>39</v>
      </c>
      <c r="C2845">
        <v>24</v>
      </c>
      <c r="D2845" t="s">
        <v>15</v>
      </c>
      <c r="E2845" t="s">
        <v>16</v>
      </c>
      <c r="F2845" s="1">
        <v>43842</v>
      </c>
      <c r="G2845">
        <v>5</v>
      </c>
      <c r="H2845">
        <v>5</v>
      </c>
      <c r="I2845">
        <v>10</v>
      </c>
      <c r="J2845">
        <v>5</v>
      </c>
      <c r="K2845">
        <v>0</v>
      </c>
      <c r="L2845">
        <v>472</v>
      </c>
      <c r="M2845">
        <v>60</v>
      </c>
      <c r="N2845" s="1">
        <f t="shared" si="352"/>
        <v>44938</v>
      </c>
      <c r="O2845" s="1">
        <f t="shared" si="353"/>
        <v>43101</v>
      </c>
      <c r="P2845" s="1">
        <f t="shared" si="354"/>
        <v>44166</v>
      </c>
      <c r="Q2845" s="8">
        <f t="shared" si="355"/>
        <v>0</v>
      </c>
      <c r="R2845" s="8">
        <f t="shared" si="356"/>
        <v>36</v>
      </c>
      <c r="S2845" s="8">
        <f t="shared" ca="1" si="357"/>
        <v>36</v>
      </c>
      <c r="T2845">
        <f t="shared" ca="1" si="358"/>
        <v>2.8826519454200055</v>
      </c>
      <c r="U2845" s="8">
        <f t="shared" ca="1" si="359"/>
        <v>1.6083444517546912</v>
      </c>
      <c r="V2845" s="8">
        <f ca="1">RawData[[#This Row],[Z (smoothed demand size)]]/RawData[[#This Row],[X (smoothed interval)]]</f>
        <v>1.7923100628569053</v>
      </c>
    </row>
    <row r="2846" spans="1:22">
      <c r="A2846" t="s">
        <v>58</v>
      </c>
      <c r="B2846" t="s">
        <v>39</v>
      </c>
      <c r="C2846">
        <v>24</v>
      </c>
      <c r="D2846" t="s">
        <v>15</v>
      </c>
      <c r="E2846" t="s">
        <v>16</v>
      </c>
      <c r="F2846" s="1">
        <v>44197</v>
      </c>
      <c r="G2846">
        <v>0</v>
      </c>
      <c r="H2846">
        <v>0</v>
      </c>
      <c r="I2846">
        <v>5</v>
      </c>
      <c r="J2846">
        <v>5</v>
      </c>
      <c r="K2846">
        <v>0</v>
      </c>
      <c r="L2846">
        <v>430</v>
      </c>
      <c r="M2846">
        <v>15</v>
      </c>
      <c r="N2846" s="1">
        <f t="shared" si="352"/>
        <v>44938</v>
      </c>
      <c r="O2846" s="1">
        <f t="shared" si="353"/>
        <v>43101</v>
      </c>
      <c r="P2846" s="1">
        <f t="shared" si="354"/>
        <v>44197</v>
      </c>
      <c r="Q2846" s="8">
        <f t="shared" si="355"/>
        <v>0</v>
      </c>
      <c r="R2846" s="8">
        <f t="shared" si="356"/>
        <v>37</v>
      </c>
      <c r="S2846" s="8">
        <f t="shared" ca="1" si="357"/>
        <v>36</v>
      </c>
      <c r="T2846">
        <f t="shared" ca="1" si="358"/>
        <v>2.8826519454200055</v>
      </c>
      <c r="U2846" s="8">
        <f t="shared" ca="1" si="359"/>
        <v>1.6083444517546912</v>
      </c>
      <c r="V2846" s="8">
        <f ca="1">RawData[[#This Row],[Z (smoothed demand size)]]/RawData[[#This Row],[X (smoothed interval)]]</f>
        <v>1.7923100628569053</v>
      </c>
    </row>
    <row r="2847" spans="1:22">
      <c r="A2847" t="s">
        <v>58</v>
      </c>
      <c r="B2847" t="s">
        <v>39</v>
      </c>
      <c r="C2847">
        <v>24</v>
      </c>
      <c r="D2847" t="s">
        <v>15</v>
      </c>
      <c r="E2847" t="s">
        <v>16</v>
      </c>
      <c r="F2847" s="1">
        <v>44198</v>
      </c>
      <c r="G2847">
        <v>3</v>
      </c>
      <c r="H2847">
        <v>3</v>
      </c>
      <c r="I2847">
        <v>5</v>
      </c>
      <c r="J2847">
        <v>2</v>
      </c>
      <c r="K2847">
        <v>0</v>
      </c>
      <c r="L2847">
        <v>420</v>
      </c>
      <c r="M2847">
        <v>45</v>
      </c>
      <c r="N2847" s="1">
        <f t="shared" si="352"/>
        <v>44938</v>
      </c>
      <c r="O2847" s="1">
        <f t="shared" si="353"/>
        <v>43101</v>
      </c>
      <c r="P2847" s="1">
        <f t="shared" si="354"/>
        <v>44228</v>
      </c>
      <c r="Q2847" s="8">
        <f t="shared" si="355"/>
        <v>0</v>
      </c>
      <c r="R2847" s="8">
        <f t="shared" si="356"/>
        <v>38</v>
      </c>
      <c r="S2847" s="8">
        <f t="shared" ca="1" si="357"/>
        <v>38</v>
      </c>
      <c r="T2847">
        <f t="shared" ca="1" si="358"/>
        <v>2.9061215563360046</v>
      </c>
      <c r="U2847" s="8">
        <f t="shared" ca="1" si="359"/>
        <v>1.686675561403753</v>
      </c>
      <c r="V2847" s="8">
        <f ca="1">RawData[[#This Row],[Z (smoothed demand size)]]/RawData[[#This Row],[X (smoothed interval)]]</f>
        <v>1.7229878838804988</v>
      </c>
    </row>
    <row r="2848" spans="1:22">
      <c r="A2848" t="s">
        <v>58</v>
      </c>
      <c r="B2848" t="s">
        <v>39</v>
      </c>
      <c r="C2848">
        <v>24</v>
      </c>
      <c r="D2848" t="s">
        <v>15</v>
      </c>
      <c r="E2848" t="s">
        <v>16</v>
      </c>
      <c r="F2848" s="1">
        <v>44199</v>
      </c>
      <c r="G2848">
        <v>0</v>
      </c>
      <c r="H2848">
        <v>0</v>
      </c>
      <c r="I2848">
        <v>2</v>
      </c>
      <c r="J2848">
        <v>2</v>
      </c>
      <c r="K2848">
        <v>0</v>
      </c>
      <c r="L2848">
        <v>421</v>
      </c>
      <c r="M2848">
        <v>45</v>
      </c>
      <c r="N2848" s="1">
        <f t="shared" si="352"/>
        <v>44938</v>
      </c>
      <c r="O2848" s="1">
        <f t="shared" si="353"/>
        <v>43101</v>
      </c>
      <c r="P2848" s="1">
        <f t="shared" si="354"/>
        <v>44256</v>
      </c>
      <c r="Q2848" s="8">
        <f t="shared" si="355"/>
        <v>0</v>
      </c>
      <c r="R2848" s="8">
        <f t="shared" si="356"/>
        <v>39</v>
      </c>
      <c r="S2848" s="8">
        <f t="shared" ca="1" si="357"/>
        <v>38</v>
      </c>
      <c r="T2848">
        <f t="shared" ca="1" si="358"/>
        <v>2.9061215563360046</v>
      </c>
      <c r="U2848" s="8">
        <f t="shared" ca="1" si="359"/>
        <v>1.686675561403753</v>
      </c>
      <c r="V2848" s="8">
        <f ca="1">RawData[[#This Row],[Z (smoothed demand size)]]/RawData[[#This Row],[X (smoothed interval)]]</f>
        <v>1.7229878838804988</v>
      </c>
    </row>
    <row r="2849" spans="1:22">
      <c r="A2849" t="s">
        <v>58</v>
      </c>
      <c r="B2849" t="s">
        <v>39</v>
      </c>
      <c r="C2849">
        <v>24</v>
      </c>
      <c r="D2849" t="s">
        <v>15</v>
      </c>
      <c r="E2849" t="s">
        <v>16</v>
      </c>
      <c r="F2849" s="1">
        <v>44200</v>
      </c>
      <c r="G2849">
        <v>4</v>
      </c>
      <c r="H2849">
        <v>4</v>
      </c>
      <c r="I2849">
        <v>9</v>
      </c>
      <c r="J2849">
        <v>5</v>
      </c>
      <c r="K2849">
        <v>0</v>
      </c>
      <c r="L2849">
        <v>435</v>
      </c>
      <c r="M2849">
        <v>30</v>
      </c>
      <c r="N2849" s="1">
        <f t="shared" si="352"/>
        <v>44938</v>
      </c>
      <c r="O2849" s="1">
        <f t="shared" si="353"/>
        <v>43101</v>
      </c>
      <c r="P2849" s="1">
        <f t="shared" si="354"/>
        <v>44287</v>
      </c>
      <c r="Q2849" s="8">
        <f t="shared" si="355"/>
        <v>0</v>
      </c>
      <c r="R2849" s="8">
        <f t="shared" si="356"/>
        <v>40</v>
      </c>
      <c r="S2849" s="8">
        <f t="shared" ca="1" si="357"/>
        <v>40</v>
      </c>
      <c r="T2849">
        <f t="shared" ca="1" si="358"/>
        <v>3.1248972450688042</v>
      </c>
      <c r="U2849" s="8">
        <f t="shared" ca="1" si="359"/>
        <v>1.7493404491230025</v>
      </c>
      <c r="V2849" s="8">
        <f ca="1">RawData[[#This Row],[Z (smoothed demand size)]]/RawData[[#This Row],[X (smoothed interval)]]</f>
        <v>1.7863288113159506</v>
      </c>
    </row>
    <row r="2850" spans="1:22">
      <c r="A2850" t="s">
        <v>58</v>
      </c>
      <c r="B2850" t="s">
        <v>39</v>
      </c>
      <c r="C2850">
        <v>24</v>
      </c>
      <c r="D2850" t="s">
        <v>15</v>
      </c>
      <c r="E2850" t="s">
        <v>16</v>
      </c>
      <c r="F2850" s="1">
        <v>44201</v>
      </c>
      <c r="G2850">
        <v>5</v>
      </c>
      <c r="H2850">
        <v>5</v>
      </c>
      <c r="I2850">
        <v>5</v>
      </c>
      <c r="J2850">
        <v>0</v>
      </c>
      <c r="K2850">
        <v>0</v>
      </c>
      <c r="L2850">
        <v>420</v>
      </c>
      <c r="M2850">
        <v>45</v>
      </c>
      <c r="N2850" s="1">
        <f t="shared" si="352"/>
        <v>44938</v>
      </c>
      <c r="O2850" s="1">
        <f t="shared" si="353"/>
        <v>43101</v>
      </c>
      <c r="P2850" s="1">
        <f t="shared" si="354"/>
        <v>44317</v>
      </c>
      <c r="Q2850" s="8">
        <f t="shared" si="355"/>
        <v>0</v>
      </c>
      <c r="R2850" s="8">
        <f t="shared" si="356"/>
        <v>41</v>
      </c>
      <c r="S2850" s="8">
        <f t="shared" ca="1" si="357"/>
        <v>41</v>
      </c>
      <c r="T2850">
        <f t="shared" ca="1" si="358"/>
        <v>3.4999177960550436</v>
      </c>
      <c r="U2850" s="8">
        <f t="shared" ca="1" si="359"/>
        <v>1.5994723592984019</v>
      </c>
      <c r="V2850" s="8">
        <f ca="1">RawData[[#This Row],[Z (smoothed demand size)]]/RawData[[#This Row],[X (smoothed interval)]]</f>
        <v>2.1881702273306303</v>
      </c>
    </row>
    <row r="2851" spans="1:22">
      <c r="A2851" t="s">
        <v>58</v>
      </c>
      <c r="B2851" t="s">
        <v>39</v>
      </c>
      <c r="C2851">
        <v>24</v>
      </c>
      <c r="D2851" t="s">
        <v>15</v>
      </c>
      <c r="E2851" t="s">
        <v>16</v>
      </c>
      <c r="F2851" s="1">
        <v>44202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486</v>
      </c>
      <c r="M2851">
        <v>60</v>
      </c>
      <c r="N2851" s="1">
        <f t="shared" si="352"/>
        <v>44938</v>
      </c>
      <c r="O2851" s="1">
        <f t="shared" si="353"/>
        <v>43101</v>
      </c>
      <c r="P2851" s="1">
        <f t="shared" si="354"/>
        <v>44348</v>
      </c>
      <c r="Q2851" s="8">
        <f t="shared" si="355"/>
        <v>0</v>
      </c>
      <c r="R2851" s="8">
        <f t="shared" si="356"/>
        <v>42</v>
      </c>
      <c r="S2851" s="8">
        <f t="shared" ca="1" si="357"/>
        <v>41</v>
      </c>
      <c r="T2851">
        <f t="shared" ca="1" si="358"/>
        <v>3.4999177960550436</v>
      </c>
      <c r="U2851" s="8">
        <f t="shared" ca="1" si="359"/>
        <v>1.5994723592984019</v>
      </c>
      <c r="V2851" s="8">
        <f ca="1">RawData[[#This Row],[Z (smoothed demand size)]]/RawData[[#This Row],[X (smoothed interval)]]</f>
        <v>2.1881702273306303</v>
      </c>
    </row>
    <row r="2852" spans="1:22">
      <c r="A2852" t="s">
        <v>58</v>
      </c>
      <c r="B2852" t="s">
        <v>39</v>
      </c>
      <c r="C2852">
        <v>24</v>
      </c>
      <c r="D2852" t="s">
        <v>15</v>
      </c>
      <c r="E2852" t="s">
        <v>16</v>
      </c>
      <c r="F2852" s="1">
        <v>44203</v>
      </c>
      <c r="G2852">
        <v>4</v>
      </c>
      <c r="H2852">
        <v>4</v>
      </c>
      <c r="I2852">
        <v>11</v>
      </c>
      <c r="J2852">
        <v>7</v>
      </c>
      <c r="K2852">
        <v>0</v>
      </c>
      <c r="L2852">
        <v>488</v>
      </c>
      <c r="M2852">
        <v>15</v>
      </c>
      <c r="N2852" s="1">
        <f t="shared" si="352"/>
        <v>44938</v>
      </c>
      <c r="O2852" s="1">
        <f t="shared" si="353"/>
        <v>43101</v>
      </c>
      <c r="P2852" s="1">
        <f t="shared" si="354"/>
        <v>44378</v>
      </c>
      <c r="Q2852" s="8">
        <f t="shared" si="355"/>
        <v>0</v>
      </c>
      <c r="R2852" s="8">
        <f t="shared" si="356"/>
        <v>43</v>
      </c>
      <c r="S2852" s="8">
        <f t="shared" ca="1" si="357"/>
        <v>43</v>
      </c>
      <c r="T2852">
        <f t="shared" ca="1" si="358"/>
        <v>3.5999342368440352</v>
      </c>
      <c r="U2852" s="8">
        <f t="shared" ca="1" si="359"/>
        <v>1.6795778874387217</v>
      </c>
      <c r="V2852" s="8">
        <f ca="1">RawData[[#This Row],[Z (smoothed demand size)]]/RawData[[#This Row],[X (smoothed interval)]]</f>
        <v>2.1433565324760067</v>
      </c>
    </row>
    <row r="2853" spans="1:22">
      <c r="A2853" t="s">
        <v>58</v>
      </c>
      <c r="B2853" t="s">
        <v>39</v>
      </c>
      <c r="C2853">
        <v>24</v>
      </c>
      <c r="D2853" t="s">
        <v>15</v>
      </c>
      <c r="E2853" t="s">
        <v>16</v>
      </c>
      <c r="F2853" s="1">
        <v>44204</v>
      </c>
      <c r="G2853">
        <v>3</v>
      </c>
      <c r="H2853">
        <v>3</v>
      </c>
      <c r="I2853">
        <v>7</v>
      </c>
      <c r="J2853">
        <v>4</v>
      </c>
      <c r="K2853">
        <v>0</v>
      </c>
      <c r="L2853">
        <v>488</v>
      </c>
      <c r="M2853">
        <v>30</v>
      </c>
      <c r="N2853" s="1">
        <f t="shared" si="352"/>
        <v>44938</v>
      </c>
      <c r="O2853" s="1">
        <f t="shared" si="353"/>
        <v>43101</v>
      </c>
      <c r="P2853" s="1">
        <f t="shared" si="354"/>
        <v>44409</v>
      </c>
      <c r="Q2853" s="8">
        <f t="shared" si="355"/>
        <v>0</v>
      </c>
      <c r="R2853" s="8">
        <f t="shared" si="356"/>
        <v>44</v>
      </c>
      <c r="S2853" s="8">
        <f t="shared" ca="1" si="357"/>
        <v>44</v>
      </c>
      <c r="T2853">
        <f t="shared" ca="1" si="358"/>
        <v>3.4799473894752286</v>
      </c>
      <c r="U2853" s="8">
        <f t="shared" ca="1" si="359"/>
        <v>1.5436623099509774</v>
      </c>
      <c r="V2853" s="8">
        <f ca="1">RawData[[#This Row],[Z (smoothed demand size)]]/RawData[[#This Row],[X (smoothed interval)]]</f>
        <v>2.2543449866219398</v>
      </c>
    </row>
    <row r="2854" spans="1:22">
      <c r="A2854" t="s">
        <v>58</v>
      </c>
      <c r="B2854" t="s">
        <v>39</v>
      </c>
      <c r="C2854">
        <v>24</v>
      </c>
      <c r="D2854" t="s">
        <v>15</v>
      </c>
      <c r="E2854" t="s">
        <v>16</v>
      </c>
      <c r="F2854" s="1">
        <v>44205</v>
      </c>
      <c r="G2854">
        <v>0</v>
      </c>
      <c r="H2854">
        <v>0</v>
      </c>
      <c r="I2854">
        <v>4</v>
      </c>
      <c r="J2854">
        <v>4</v>
      </c>
      <c r="K2854">
        <v>0</v>
      </c>
      <c r="L2854">
        <v>421</v>
      </c>
      <c r="M2854">
        <v>45</v>
      </c>
      <c r="N2854" s="1">
        <f t="shared" si="352"/>
        <v>44938</v>
      </c>
      <c r="O2854" s="1">
        <f t="shared" si="353"/>
        <v>43101</v>
      </c>
      <c r="P2854" s="1">
        <f t="shared" si="354"/>
        <v>44440</v>
      </c>
      <c r="Q2854" s="8">
        <f t="shared" si="355"/>
        <v>0</v>
      </c>
      <c r="R2854" s="8">
        <f t="shared" si="356"/>
        <v>45</v>
      </c>
      <c r="S2854" s="8">
        <f t="shared" ca="1" si="357"/>
        <v>44</v>
      </c>
      <c r="T2854">
        <f t="shared" ca="1" si="358"/>
        <v>3.4799473894752286</v>
      </c>
      <c r="U2854" s="8">
        <f t="shared" ca="1" si="359"/>
        <v>1.5436623099509774</v>
      </c>
      <c r="V2854" s="8">
        <f ca="1">RawData[[#This Row],[Z (smoothed demand size)]]/RawData[[#This Row],[X (smoothed interval)]]</f>
        <v>2.2543449866219398</v>
      </c>
    </row>
    <row r="2855" spans="1:22">
      <c r="A2855" t="s">
        <v>58</v>
      </c>
      <c r="B2855" t="s">
        <v>39</v>
      </c>
      <c r="C2855">
        <v>24</v>
      </c>
      <c r="D2855" t="s">
        <v>15</v>
      </c>
      <c r="E2855" t="s">
        <v>16</v>
      </c>
      <c r="F2855" s="1">
        <v>44206</v>
      </c>
      <c r="G2855">
        <v>3</v>
      </c>
      <c r="H2855">
        <v>3</v>
      </c>
      <c r="I2855">
        <v>4</v>
      </c>
      <c r="J2855">
        <v>1</v>
      </c>
      <c r="K2855">
        <v>0</v>
      </c>
      <c r="L2855">
        <v>428</v>
      </c>
      <c r="M2855">
        <v>60</v>
      </c>
      <c r="N2855" s="1">
        <f t="shared" si="352"/>
        <v>44938</v>
      </c>
      <c r="O2855" s="1">
        <f t="shared" si="353"/>
        <v>43101</v>
      </c>
      <c r="P2855" s="1">
        <f t="shared" si="354"/>
        <v>44470</v>
      </c>
      <c r="Q2855" s="8">
        <f t="shared" si="355"/>
        <v>0</v>
      </c>
      <c r="R2855" s="8">
        <f t="shared" si="356"/>
        <v>46</v>
      </c>
      <c r="S2855" s="8">
        <f t="shared" ca="1" si="357"/>
        <v>46</v>
      </c>
      <c r="T2855">
        <f t="shared" ca="1" si="358"/>
        <v>3.383957911580183</v>
      </c>
      <c r="U2855" s="8">
        <f t="shared" ca="1" si="359"/>
        <v>1.6349298479607821</v>
      </c>
      <c r="V2855" s="8">
        <f ca="1">RawData[[#This Row],[Z (smoothed demand size)]]/RawData[[#This Row],[X (smoothed interval)]]</f>
        <v>2.0697878357294237</v>
      </c>
    </row>
    <row r="2856" spans="1:22">
      <c r="A2856" t="s">
        <v>58</v>
      </c>
      <c r="B2856" t="s">
        <v>39</v>
      </c>
      <c r="C2856">
        <v>24</v>
      </c>
      <c r="D2856" t="s">
        <v>15</v>
      </c>
      <c r="E2856" t="s">
        <v>16</v>
      </c>
      <c r="F2856" s="1">
        <v>44207</v>
      </c>
      <c r="G2856">
        <v>0</v>
      </c>
      <c r="H2856">
        <v>0</v>
      </c>
      <c r="I2856">
        <v>1</v>
      </c>
      <c r="J2856">
        <v>1</v>
      </c>
      <c r="K2856">
        <v>0</v>
      </c>
      <c r="L2856">
        <v>424</v>
      </c>
      <c r="M2856">
        <v>15</v>
      </c>
      <c r="N2856" s="1">
        <f t="shared" si="352"/>
        <v>44938</v>
      </c>
      <c r="O2856" s="1">
        <f t="shared" si="353"/>
        <v>43101</v>
      </c>
      <c r="P2856" s="1">
        <f t="shared" si="354"/>
        <v>44501</v>
      </c>
      <c r="Q2856" s="8">
        <f t="shared" si="355"/>
        <v>0</v>
      </c>
      <c r="R2856" s="8">
        <f t="shared" si="356"/>
        <v>47</v>
      </c>
      <c r="S2856" s="8">
        <f t="shared" ca="1" si="357"/>
        <v>46</v>
      </c>
      <c r="T2856">
        <f t="shared" ca="1" si="358"/>
        <v>3.383957911580183</v>
      </c>
      <c r="U2856" s="8">
        <f t="shared" ca="1" si="359"/>
        <v>1.6349298479607821</v>
      </c>
      <c r="V2856" s="8">
        <f ca="1">RawData[[#This Row],[Z (smoothed demand size)]]/RawData[[#This Row],[X (smoothed interval)]]</f>
        <v>2.0697878357294237</v>
      </c>
    </row>
    <row r="2857" spans="1:22">
      <c r="A2857" t="s">
        <v>58</v>
      </c>
      <c r="B2857" t="s">
        <v>39</v>
      </c>
      <c r="C2857">
        <v>24</v>
      </c>
      <c r="D2857" t="s">
        <v>15</v>
      </c>
      <c r="E2857" t="s">
        <v>16</v>
      </c>
      <c r="F2857" s="1">
        <v>44208</v>
      </c>
      <c r="G2857">
        <v>5</v>
      </c>
      <c r="H2857">
        <v>5</v>
      </c>
      <c r="I2857">
        <v>10</v>
      </c>
      <c r="J2857">
        <v>5</v>
      </c>
      <c r="K2857">
        <v>0</v>
      </c>
      <c r="L2857">
        <v>487</v>
      </c>
      <c r="M2857">
        <v>15</v>
      </c>
      <c r="N2857" s="1">
        <f t="shared" si="352"/>
        <v>44938</v>
      </c>
      <c r="O2857" s="1">
        <f t="shared" si="353"/>
        <v>43101</v>
      </c>
      <c r="P2857" s="1">
        <f t="shared" si="354"/>
        <v>44531</v>
      </c>
      <c r="Q2857" s="8">
        <f t="shared" si="355"/>
        <v>0</v>
      </c>
      <c r="R2857" s="8">
        <f t="shared" si="356"/>
        <v>48</v>
      </c>
      <c r="S2857" s="8">
        <f t="shared" ca="1" si="357"/>
        <v>48</v>
      </c>
      <c r="T2857">
        <f t="shared" ca="1" si="358"/>
        <v>3.7071663292641466</v>
      </c>
      <c r="U2857" s="8">
        <f t="shared" ca="1" si="359"/>
        <v>1.7079438783686256</v>
      </c>
      <c r="V2857" s="8">
        <f ca="1">RawData[[#This Row],[Z (smoothed demand size)]]/RawData[[#This Row],[X (smoothed interval)]]</f>
        <v>2.1705434096611627</v>
      </c>
    </row>
    <row r="2858" spans="1:22">
      <c r="A2858" t="s">
        <v>58</v>
      </c>
      <c r="B2858" t="s">
        <v>39</v>
      </c>
      <c r="C2858">
        <v>24</v>
      </c>
      <c r="D2858" t="s">
        <v>15</v>
      </c>
      <c r="E2858" t="s">
        <v>16</v>
      </c>
      <c r="F2858" s="1">
        <v>44562</v>
      </c>
      <c r="G2858">
        <v>2</v>
      </c>
      <c r="H2858">
        <v>2</v>
      </c>
      <c r="I2858">
        <v>5</v>
      </c>
      <c r="J2858">
        <v>3</v>
      </c>
      <c r="K2858">
        <v>0</v>
      </c>
      <c r="L2858">
        <v>419</v>
      </c>
      <c r="M2858">
        <v>15</v>
      </c>
      <c r="N2858" s="1">
        <f t="shared" si="352"/>
        <v>44938</v>
      </c>
      <c r="O2858" s="1">
        <f t="shared" si="353"/>
        <v>43101</v>
      </c>
      <c r="P2858" s="1">
        <f t="shared" si="354"/>
        <v>44562</v>
      </c>
      <c r="Q2858" s="8">
        <f t="shared" si="355"/>
        <v>0</v>
      </c>
      <c r="R2858" s="8">
        <f t="shared" si="356"/>
        <v>49</v>
      </c>
      <c r="S2858" s="8">
        <f t="shared" ca="1" si="357"/>
        <v>49</v>
      </c>
      <c r="T2858">
        <f t="shared" ca="1" si="358"/>
        <v>3.3657330634113172</v>
      </c>
      <c r="U2858" s="8">
        <f t="shared" ca="1" si="359"/>
        <v>1.5663551026949005</v>
      </c>
      <c r="V2858" s="8">
        <f ca="1">RawData[[#This Row],[Z (smoothed demand size)]]/RawData[[#This Row],[X (smoothed interval)]]</f>
        <v>2.148767579982727</v>
      </c>
    </row>
    <row r="2859" spans="1:22">
      <c r="A2859" t="s">
        <v>58</v>
      </c>
      <c r="B2859" t="s">
        <v>39</v>
      </c>
      <c r="C2859">
        <v>24</v>
      </c>
      <c r="D2859" t="s">
        <v>15</v>
      </c>
      <c r="E2859" t="s">
        <v>16</v>
      </c>
      <c r="F2859" s="1">
        <v>44563</v>
      </c>
      <c r="G2859">
        <v>4</v>
      </c>
      <c r="H2859">
        <v>4</v>
      </c>
      <c r="I2859">
        <v>10</v>
      </c>
      <c r="J2859">
        <v>6</v>
      </c>
      <c r="K2859">
        <v>0</v>
      </c>
      <c r="L2859">
        <v>421</v>
      </c>
      <c r="M2859">
        <v>60</v>
      </c>
      <c r="N2859" s="1">
        <f t="shared" si="352"/>
        <v>44938</v>
      </c>
      <c r="O2859" s="1">
        <f t="shared" si="353"/>
        <v>43101</v>
      </c>
      <c r="P2859" s="1">
        <f t="shared" si="354"/>
        <v>44593</v>
      </c>
      <c r="Q2859" s="8">
        <f t="shared" si="355"/>
        <v>0</v>
      </c>
      <c r="R2859" s="8">
        <f t="shared" si="356"/>
        <v>50</v>
      </c>
      <c r="S2859" s="8">
        <f t="shared" ca="1" si="357"/>
        <v>50</v>
      </c>
      <c r="T2859">
        <f t="shared" ca="1" si="358"/>
        <v>3.4925864507290543</v>
      </c>
      <c r="U2859" s="8">
        <f t="shared" ca="1" si="359"/>
        <v>1.4530840821559206</v>
      </c>
      <c r="V2859" s="8">
        <f ca="1">RawData[[#This Row],[Z (smoothed demand size)]]/RawData[[#This Row],[X (smoothed interval)]]</f>
        <v>2.403568034099687</v>
      </c>
    </row>
    <row r="2860" spans="1:22">
      <c r="A2860" t="s">
        <v>58</v>
      </c>
      <c r="B2860" t="s">
        <v>39</v>
      </c>
      <c r="C2860">
        <v>24</v>
      </c>
      <c r="D2860" t="s">
        <v>15</v>
      </c>
      <c r="E2860" t="s">
        <v>16</v>
      </c>
      <c r="F2860" s="1">
        <v>44564</v>
      </c>
      <c r="G2860">
        <v>5</v>
      </c>
      <c r="H2860">
        <v>5</v>
      </c>
      <c r="I2860">
        <v>6</v>
      </c>
      <c r="J2860">
        <v>1</v>
      </c>
      <c r="K2860">
        <v>0</v>
      </c>
      <c r="L2860">
        <v>426</v>
      </c>
      <c r="M2860">
        <v>60</v>
      </c>
      <c r="N2860" s="1">
        <f t="shared" si="352"/>
        <v>44938</v>
      </c>
      <c r="O2860" s="1">
        <f t="shared" si="353"/>
        <v>43101</v>
      </c>
      <c r="P2860" s="1">
        <f t="shared" si="354"/>
        <v>44621</v>
      </c>
      <c r="Q2860" s="8">
        <f t="shared" si="355"/>
        <v>0</v>
      </c>
      <c r="R2860" s="8">
        <f t="shared" si="356"/>
        <v>51</v>
      </c>
      <c r="S2860" s="8">
        <f t="shared" ca="1" si="357"/>
        <v>51</v>
      </c>
      <c r="T2860">
        <f t="shared" ca="1" si="358"/>
        <v>3.7940691605832435</v>
      </c>
      <c r="U2860" s="8">
        <f t="shared" ca="1" si="359"/>
        <v>1.3624672657247365</v>
      </c>
      <c r="V2860" s="8">
        <f ca="1">RawData[[#This Row],[Z (smoothed demand size)]]/RawData[[#This Row],[X (smoothed interval)]]</f>
        <v>2.7847048189925254</v>
      </c>
    </row>
    <row r="2861" spans="1:22">
      <c r="A2861" t="s">
        <v>58</v>
      </c>
      <c r="B2861" t="s">
        <v>39</v>
      </c>
      <c r="C2861">
        <v>24</v>
      </c>
      <c r="D2861" t="s">
        <v>15</v>
      </c>
      <c r="E2861" t="s">
        <v>16</v>
      </c>
      <c r="F2861" s="1">
        <v>44565</v>
      </c>
      <c r="G2861">
        <v>3</v>
      </c>
      <c r="H2861">
        <v>1</v>
      </c>
      <c r="I2861">
        <v>1</v>
      </c>
      <c r="J2861">
        <v>0</v>
      </c>
      <c r="K2861">
        <v>1</v>
      </c>
      <c r="L2861">
        <v>426</v>
      </c>
      <c r="M2861">
        <v>60</v>
      </c>
      <c r="N2861" s="1">
        <f t="shared" si="352"/>
        <v>44938</v>
      </c>
      <c r="O2861" s="1">
        <f t="shared" si="353"/>
        <v>43101</v>
      </c>
      <c r="P2861" s="1">
        <f t="shared" si="354"/>
        <v>44652</v>
      </c>
      <c r="Q2861" s="8">
        <f t="shared" si="355"/>
        <v>0</v>
      </c>
      <c r="R2861" s="8">
        <f t="shared" si="356"/>
        <v>52</v>
      </c>
      <c r="S2861" s="8">
        <f t="shared" ca="1" si="357"/>
        <v>52</v>
      </c>
      <c r="T2861">
        <f t="shared" ca="1" si="358"/>
        <v>3.6352553284665952</v>
      </c>
      <c r="U2861" s="8">
        <f t="shared" ca="1" si="359"/>
        <v>1.2899738125797893</v>
      </c>
      <c r="V2861" s="8">
        <f ca="1">RawData[[#This Row],[Z (smoothed demand size)]]/RawData[[#This Row],[X (smoothed interval)]]</f>
        <v>2.8180845944434569</v>
      </c>
    </row>
    <row r="2862" spans="1:22">
      <c r="A2862" t="s">
        <v>58</v>
      </c>
      <c r="B2862" t="s">
        <v>39</v>
      </c>
      <c r="C2862">
        <v>24</v>
      </c>
      <c r="D2862" t="s">
        <v>15</v>
      </c>
      <c r="E2862" t="s">
        <v>16</v>
      </c>
      <c r="F2862" s="1">
        <v>44566</v>
      </c>
      <c r="G2862">
        <v>0</v>
      </c>
      <c r="H2862">
        <v>0</v>
      </c>
      <c r="I2862">
        <v>7</v>
      </c>
      <c r="J2862">
        <v>7</v>
      </c>
      <c r="K2862">
        <v>0</v>
      </c>
      <c r="L2862">
        <v>420</v>
      </c>
      <c r="M2862">
        <v>45</v>
      </c>
      <c r="N2862" s="1">
        <f t="shared" si="352"/>
        <v>44938</v>
      </c>
      <c r="O2862" s="1">
        <f t="shared" si="353"/>
        <v>43101</v>
      </c>
      <c r="P2862" s="1">
        <f t="shared" si="354"/>
        <v>44682</v>
      </c>
      <c r="Q2862" s="8">
        <f t="shared" si="355"/>
        <v>0</v>
      </c>
      <c r="R2862" s="8">
        <f t="shared" si="356"/>
        <v>53</v>
      </c>
      <c r="S2862" s="8">
        <f t="shared" ca="1" si="357"/>
        <v>52</v>
      </c>
      <c r="T2862">
        <f t="shared" ca="1" si="358"/>
        <v>3.6352553284665952</v>
      </c>
      <c r="U2862" s="8">
        <f t="shared" ca="1" si="359"/>
        <v>1.2899738125797893</v>
      </c>
      <c r="V2862" s="8">
        <f ca="1">RawData[[#This Row],[Z (smoothed demand size)]]/RawData[[#This Row],[X (smoothed interval)]]</f>
        <v>2.8180845944434569</v>
      </c>
    </row>
    <row r="2863" spans="1:22">
      <c r="A2863" t="s">
        <v>58</v>
      </c>
      <c r="B2863" t="s">
        <v>39</v>
      </c>
      <c r="C2863">
        <v>24</v>
      </c>
      <c r="D2863" t="s">
        <v>15</v>
      </c>
      <c r="E2863" t="s">
        <v>16</v>
      </c>
      <c r="F2863" s="1">
        <v>44567</v>
      </c>
      <c r="G2863">
        <v>0</v>
      </c>
      <c r="H2863">
        <v>0</v>
      </c>
      <c r="I2863">
        <v>7</v>
      </c>
      <c r="J2863">
        <v>7</v>
      </c>
      <c r="K2863">
        <v>0</v>
      </c>
      <c r="L2863">
        <v>481</v>
      </c>
      <c r="M2863">
        <v>45</v>
      </c>
      <c r="N2863" s="1">
        <f t="shared" si="352"/>
        <v>44938</v>
      </c>
      <c r="O2863" s="1">
        <f t="shared" si="353"/>
        <v>43101</v>
      </c>
      <c r="P2863" s="1">
        <f t="shared" si="354"/>
        <v>44713</v>
      </c>
      <c r="Q2863" s="8">
        <f t="shared" si="355"/>
        <v>0</v>
      </c>
      <c r="R2863" s="8">
        <f t="shared" si="356"/>
        <v>54</v>
      </c>
      <c r="S2863" s="8">
        <f t="shared" ca="1" si="357"/>
        <v>52</v>
      </c>
      <c r="T2863">
        <f t="shared" ca="1" si="358"/>
        <v>3.6352553284665952</v>
      </c>
      <c r="U2863" s="8">
        <f t="shared" ca="1" si="359"/>
        <v>1.2899738125797893</v>
      </c>
      <c r="V2863" s="8">
        <f ca="1">RawData[[#This Row],[Z (smoothed demand size)]]/RawData[[#This Row],[X (smoothed interval)]]</f>
        <v>2.8180845944434569</v>
      </c>
    </row>
    <row r="2864" spans="1:22">
      <c r="A2864" t="s">
        <v>58</v>
      </c>
      <c r="B2864" t="s">
        <v>39</v>
      </c>
      <c r="C2864">
        <v>24</v>
      </c>
      <c r="D2864" t="s">
        <v>15</v>
      </c>
      <c r="E2864" t="s">
        <v>16</v>
      </c>
      <c r="F2864" s="1">
        <v>44568</v>
      </c>
      <c r="G2864">
        <v>0</v>
      </c>
      <c r="H2864">
        <v>0</v>
      </c>
      <c r="I2864">
        <v>7</v>
      </c>
      <c r="J2864">
        <v>7</v>
      </c>
      <c r="K2864">
        <v>0</v>
      </c>
      <c r="L2864">
        <v>489</v>
      </c>
      <c r="M2864">
        <v>30</v>
      </c>
      <c r="N2864" s="1">
        <f t="shared" si="352"/>
        <v>44938</v>
      </c>
      <c r="O2864" s="1">
        <f t="shared" si="353"/>
        <v>43101</v>
      </c>
      <c r="P2864" s="1">
        <f t="shared" si="354"/>
        <v>44743</v>
      </c>
      <c r="Q2864" s="8">
        <f t="shared" si="355"/>
        <v>0</v>
      </c>
      <c r="R2864" s="8">
        <f t="shared" si="356"/>
        <v>55</v>
      </c>
      <c r="S2864" s="8">
        <f t="shared" ca="1" si="357"/>
        <v>52</v>
      </c>
      <c r="T2864">
        <f t="shared" ca="1" si="358"/>
        <v>3.6352553284665952</v>
      </c>
      <c r="U2864" s="8">
        <f t="shared" ca="1" si="359"/>
        <v>1.2899738125797893</v>
      </c>
      <c r="V2864" s="8">
        <f ca="1">RawData[[#This Row],[Z (smoothed demand size)]]/RawData[[#This Row],[X (smoothed interval)]]</f>
        <v>2.8180845944434569</v>
      </c>
    </row>
    <row r="2865" spans="1:22">
      <c r="A2865" t="s">
        <v>58</v>
      </c>
      <c r="B2865" t="s">
        <v>39</v>
      </c>
      <c r="C2865">
        <v>24</v>
      </c>
      <c r="D2865" t="s">
        <v>15</v>
      </c>
      <c r="E2865" t="s">
        <v>16</v>
      </c>
      <c r="F2865" s="1">
        <v>44569</v>
      </c>
      <c r="G2865">
        <v>0</v>
      </c>
      <c r="H2865">
        <v>0</v>
      </c>
      <c r="I2865">
        <v>7</v>
      </c>
      <c r="J2865">
        <v>7</v>
      </c>
      <c r="K2865">
        <v>0</v>
      </c>
      <c r="L2865">
        <v>487</v>
      </c>
      <c r="M2865">
        <v>30</v>
      </c>
      <c r="N2865" s="1">
        <f t="shared" si="352"/>
        <v>44938</v>
      </c>
      <c r="O2865" s="1">
        <f t="shared" si="353"/>
        <v>43101</v>
      </c>
      <c r="P2865" s="1">
        <f t="shared" si="354"/>
        <v>44774</v>
      </c>
      <c r="Q2865" s="8">
        <f t="shared" si="355"/>
        <v>0</v>
      </c>
      <c r="R2865" s="8">
        <f t="shared" si="356"/>
        <v>56</v>
      </c>
      <c r="S2865" s="8">
        <f t="shared" ca="1" si="357"/>
        <v>52</v>
      </c>
      <c r="T2865">
        <f t="shared" ca="1" si="358"/>
        <v>3.6352553284665952</v>
      </c>
      <c r="U2865" s="8">
        <f t="shared" ca="1" si="359"/>
        <v>1.2899738125797893</v>
      </c>
      <c r="V2865" s="8">
        <f ca="1">RawData[[#This Row],[Z (smoothed demand size)]]/RawData[[#This Row],[X (smoothed interval)]]</f>
        <v>2.8180845944434569</v>
      </c>
    </row>
    <row r="2866" spans="1:22">
      <c r="A2866" t="s">
        <v>58</v>
      </c>
      <c r="B2866" t="s">
        <v>39</v>
      </c>
      <c r="C2866">
        <v>24</v>
      </c>
      <c r="D2866" t="s">
        <v>15</v>
      </c>
      <c r="E2866" t="s">
        <v>16</v>
      </c>
      <c r="F2866" s="1">
        <v>44570</v>
      </c>
      <c r="G2866">
        <v>4</v>
      </c>
      <c r="H2866">
        <v>4</v>
      </c>
      <c r="I2866">
        <v>7</v>
      </c>
      <c r="J2866">
        <v>3</v>
      </c>
      <c r="K2866">
        <v>0</v>
      </c>
      <c r="L2866">
        <v>426</v>
      </c>
      <c r="M2866">
        <v>30</v>
      </c>
      <c r="N2866" s="1">
        <f t="shared" si="352"/>
        <v>44938</v>
      </c>
      <c r="O2866" s="1">
        <f t="shared" si="353"/>
        <v>43101</v>
      </c>
      <c r="P2866" s="1">
        <f t="shared" si="354"/>
        <v>44805</v>
      </c>
      <c r="Q2866" s="8">
        <f t="shared" si="355"/>
        <v>0</v>
      </c>
      <c r="R2866" s="8">
        <f t="shared" si="356"/>
        <v>57</v>
      </c>
      <c r="S2866" s="8">
        <f t="shared" ca="1" si="357"/>
        <v>57</v>
      </c>
      <c r="T2866">
        <f t="shared" ca="1" si="358"/>
        <v>3.7082042627732763</v>
      </c>
      <c r="U2866" s="8">
        <f t="shared" ca="1" si="359"/>
        <v>2.0319790500638315</v>
      </c>
      <c r="V2866" s="8">
        <f ca="1">RawData[[#This Row],[Z (smoothed demand size)]]/RawData[[#This Row],[X (smoothed interval)]]</f>
        <v>1.8249224875900116</v>
      </c>
    </row>
    <row r="2867" spans="1:22">
      <c r="A2867" t="s">
        <v>58</v>
      </c>
      <c r="B2867" t="s">
        <v>39</v>
      </c>
      <c r="C2867">
        <v>24</v>
      </c>
      <c r="D2867" t="s">
        <v>15</v>
      </c>
      <c r="E2867" t="s">
        <v>16</v>
      </c>
      <c r="F2867" s="1">
        <v>44571</v>
      </c>
      <c r="G2867">
        <v>0</v>
      </c>
      <c r="H2867">
        <v>0</v>
      </c>
      <c r="I2867">
        <v>15</v>
      </c>
      <c r="J2867">
        <v>15</v>
      </c>
      <c r="K2867">
        <v>0</v>
      </c>
      <c r="L2867">
        <v>418</v>
      </c>
      <c r="M2867">
        <v>60</v>
      </c>
      <c r="N2867" s="1">
        <f t="shared" si="352"/>
        <v>44938</v>
      </c>
      <c r="O2867" s="1">
        <f t="shared" si="353"/>
        <v>43101</v>
      </c>
      <c r="P2867" s="1">
        <f t="shared" si="354"/>
        <v>44835</v>
      </c>
      <c r="Q2867" s="8">
        <f t="shared" si="355"/>
        <v>0</v>
      </c>
      <c r="R2867" s="8">
        <f t="shared" si="356"/>
        <v>58</v>
      </c>
      <c r="S2867" s="8">
        <f t="shared" ca="1" si="357"/>
        <v>57</v>
      </c>
      <c r="T2867">
        <f t="shared" ca="1" si="358"/>
        <v>3.7082042627732763</v>
      </c>
      <c r="U2867" s="8">
        <f t="shared" ca="1" si="359"/>
        <v>2.0319790500638315</v>
      </c>
      <c r="V2867" s="8">
        <f ca="1">RawData[[#This Row],[Z (smoothed demand size)]]/RawData[[#This Row],[X (smoothed interval)]]</f>
        <v>1.8249224875900116</v>
      </c>
    </row>
    <row r="2868" spans="1:22">
      <c r="A2868" t="s">
        <v>58</v>
      </c>
      <c r="B2868" t="s">
        <v>39</v>
      </c>
      <c r="C2868">
        <v>24</v>
      </c>
      <c r="D2868" t="s">
        <v>15</v>
      </c>
      <c r="E2868" t="s">
        <v>16</v>
      </c>
      <c r="F2868" s="1">
        <v>44572</v>
      </c>
      <c r="G2868">
        <v>5</v>
      </c>
      <c r="H2868">
        <v>5</v>
      </c>
      <c r="I2868">
        <v>15</v>
      </c>
      <c r="J2868">
        <v>10</v>
      </c>
      <c r="K2868">
        <v>0</v>
      </c>
      <c r="L2868">
        <v>422</v>
      </c>
      <c r="M2868">
        <v>45</v>
      </c>
      <c r="N2868" s="1">
        <f t="shared" si="352"/>
        <v>44938</v>
      </c>
      <c r="O2868" s="1">
        <f t="shared" si="353"/>
        <v>43101</v>
      </c>
      <c r="P2868" s="1">
        <f t="shared" si="354"/>
        <v>44866</v>
      </c>
      <c r="Q2868" s="8">
        <f t="shared" si="355"/>
        <v>0</v>
      </c>
      <c r="R2868" s="8">
        <f t="shared" si="356"/>
        <v>59</v>
      </c>
      <c r="S2868" s="8">
        <f t="shared" ca="1" si="357"/>
        <v>59</v>
      </c>
      <c r="T2868">
        <f t="shared" ca="1" si="358"/>
        <v>3.9665634102186211</v>
      </c>
      <c r="U2868" s="8">
        <f t="shared" ca="1" si="359"/>
        <v>2.0255832400510654</v>
      </c>
      <c r="V2868" s="8">
        <f ca="1">RawData[[#This Row],[Z (smoothed demand size)]]/RawData[[#This Row],[X (smoothed interval)]]</f>
        <v>1.958232736028475</v>
      </c>
    </row>
    <row r="2869" spans="1:22">
      <c r="A2869" t="s">
        <v>58</v>
      </c>
      <c r="B2869" t="s">
        <v>39</v>
      </c>
      <c r="C2869">
        <v>24</v>
      </c>
      <c r="D2869" t="s">
        <v>15</v>
      </c>
      <c r="E2869" t="s">
        <v>16</v>
      </c>
      <c r="F2869" s="1">
        <v>44573</v>
      </c>
      <c r="G2869">
        <v>1</v>
      </c>
      <c r="H2869">
        <v>1</v>
      </c>
      <c r="I2869">
        <v>10</v>
      </c>
      <c r="J2869">
        <v>9</v>
      </c>
      <c r="K2869">
        <v>0</v>
      </c>
      <c r="L2869">
        <v>489</v>
      </c>
      <c r="M2869">
        <v>30</v>
      </c>
      <c r="N2869" s="1">
        <f t="shared" si="352"/>
        <v>44938</v>
      </c>
      <c r="O2869" s="1">
        <f t="shared" si="353"/>
        <v>43101</v>
      </c>
      <c r="P2869" s="1">
        <f t="shared" si="354"/>
        <v>44896</v>
      </c>
      <c r="Q2869" s="8">
        <f t="shared" si="355"/>
        <v>0</v>
      </c>
      <c r="R2869" s="8">
        <f t="shared" si="356"/>
        <v>60</v>
      </c>
      <c r="S2869" s="8">
        <f t="shared" ca="1" si="357"/>
        <v>60</v>
      </c>
      <c r="T2869">
        <f t="shared" ca="1" si="358"/>
        <v>3.3732507281748974</v>
      </c>
      <c r="U2869" s="8">
        <f t="shared" ca="1" si="359"/>
        <v>1.8204665920408523</v>
      </c>
      <c r="V2869" s="8">
        <f ca="1">RawData[[#This Row],[Z (smoothed demand size)]]/RawData[[#This Row],[X (smoothed interval)]]</f>
        <v>1.852959424206341</v>
      </c>
    </row>
    <row r="2870" spans="1:22">
      <c r="A2870" t="s">
        <v>58</v>
      </c>
      <c r="B2870" t="s">
        <v>39</v>
      </c>
      <c r="C2870">
        <v>24</v>
      </c>
      <c r="D2870" t="s">
        <v>15</v>
      </c>
      <c r="E2870" t="s">
        <v>16</v>
      </c>
      <c r="F2870" s="1">
        <v>44927</v>
      </c>
      <c r="G2870">
        <v>4</v>
      </c>
      <c r="H2870">
        <v>4</v>
      </c>
      <c r="I2870">
        <v>9</v>
      </c>
      <c r="J2870">
        <v>5</v>
      </c>
      <c r="K2870">
        <v>0</v>
      </c>
      <c r="L2870">
        <v>418</v>
      </c>
      <c r="M2870">
        <v>30</v>
      </c>
      <c r="N2870" s="1">
        <f t="shared" si="352"/>
        <v>44938</v>
      </c>
      <c r="O2870" s="1">
        <f t="shared" si="353"/>
        <v>43101</v>
      </c>
      <c r="P2870" s="1">
        <f t="shared" si="354"/>
        <v>44927</v>
      </c>
      <c r="Q2870" s="8">
        <f t="shared" si="355"/>
        <v>0</v>
      </c>
      <c r="R2870" s="8">
        <f t="shared" si="356"/>
        <v>61</v>
      </c>
      <c r="S2870" s="8">
        <f t="shared" ca="1" si="357"/>
        <v>61</v>
      </c>
      <c r="T2870">
        <f t="shared" ca="1" si="358"/>
        <v>3.4986005825399182</v>
      </c>
      <c r="U2870" s="8">
        <f t="shared" ca="1" si="359"/>
        <v>1.6563732736326819</v>
      </c>
      <c r="V2870" s="8">
        <f ca="1">RawData[[#This Row],[Z (smoothed demand size)]]/RawData[[#This Row],[X (smoothed interval)]]</f>
        <v>2.1122054057700095</v>
      </c>
    </row>
    <row r="2871" spans="1:22">
      <c r="A2871" t="s">
        <v>58</v>
      </c>
      <c r="B2871" t="s">
        <v>39</v>
      </c>
      <c r="C2871">
        <v>24</v>
      </c>
      <c r="D2871" t="s">
        <v>15</v>
      </c>
      <c r="E2871" t="s">
        <v>16</v>
      </c>
      <c r="F2871" s="1">
        <v>44928</v>
      </c>
      <c r="G2871">
        <v>1</v>
      </c>
      <c r="H2871">
        <v>1</v>
      </c>
      <c r="I2871">
        <v>5</v>
      </c>
      <c r="J2871">
        <v>4</v>
      </c>
      <c r="K2871">
        <v>0</v>
      </c>
      <c r="L2871">
        <v>429</v>
      </c>
      <c r="M2871">
        <v>15</v>
      </c>
      <c r="N2871" s="1">
        <f t="shared" si="352"/>
        <v>44938</v>
      </c>
      <c r="O2871" s="1">
        <f t="shared" si="353"/>
        <v>43101</v>
      </c>
      <c r="P2871" s="1">
        <f t="shared" si="354"/>
        <v>44958</v>
      </c>
      <c r="Q2871" s="8">
        <f t="shared" si="355"/>
        <v>0</v>
      </c>
      <c r="R2871" s="8">
        <f t="shared" si="356"/>
        <v>62</v>
      </c>
      <c r="S2871" s="8">
        <f t="shared" ca="1" si="357"/>
        <v>62</v>
      </c>
      <c r="T2871">
        <f t="shared" ca="1" si="358"/>
        <v>2.998880466031935</v>
      </c>
      <c r="U2871" s="8">
        <f t="shared" ca="1" si="359"/>
        <v>1.5250986189061455</v>
      </c>
      <c r="V2871" s="8">
        <f ca="1">RawData[[#This Row],[Z (smoothed demand size)]]/RawData[[#This Row],[X (smoothed interval)]]</f>
        <v>1.9663518338131063</v>
      </c>
    </row>
    <row r="2872" spans="1:22">
      <c r="A2872" t="s">
        <v>58</v>
      </c>
      <c r="B2872" t="s">
        <v>39</v>
      </c>
      <c r="C2872">
        <v>24</v>
      </c>
      <c r="D2872" t="s">
        <v>15</v>
      </c>
      <c r="E2872" t="s">
        <v>16</v>
      </c>
      <c r="F2872" s="1">
        <v>44929</v>
      </c>
      <c r="G2872">
        <v>0</v>
      </c>
      <c r="H2872">
        <v>0</v>
      </c>
      <c r="I2872">
        <v>4</v>
      </c>
      <c r="J2872">
        <v>4</v>
      </c>
      <c r="K2872">
        <v>0</v>
      </c>
      <c r="L2872">
        <v>427</v>
      </c>
      <c r="M2872">
        <v>30</v>
      </c>
      <c r="N2872" s="1">
        <f t="shared" si="352"/>
        <v>44938</v>
      </c>
      <c r="O2872" s="1">
        <f t="shared" si="353"/>
        <v>43101</v>
      </c>
      <c r="P2872" s="1">
        <f t="shared" si="354"/>
        <v>44986</v>
      </c>
      <c r="Q2872" s="8">
        <f t="shared" si="355"/>
        <v>0</v>
      </c>
      <c r="R2872" s="8">
        <f t="shared" si="356"/>
        <v>63</v>
      </c>
      <c r="S2872" s="8">
        <f t="shared" ca="1" si="357"/>
        <v>62</v>
      </c>
      <c r="T2872">
        <f t="shared" ca="1" si="358"/>
        <v>2.998880466031935</v>
      </c>
      <c r="U2872" s="8">
        <f t="shared" ca="1" si="359"/>
        <v>1.5250986189061455</v>
      </c>
      <c r="V2872" s="8">
        <f ca="1">RawData[[#This Row],[Z (smoothed demand size)]]/RawData[[#This Row],[X (smoothed interval)]]</f>
        <v>1.9663518338131063</v>
      </c>
    </row>
    <row r="2873" spans="1:22">
      <c r="A2873" t="s">
        <v>58</v>
      </c>
      <c r="B2873" t="s">
        <v>39</v>
      </c>
      <c r="C2873">
        <v>24</v>
      </c>
      <c r="D2873" t="s">
        <v>15</v>
      </c>
      <c r="E2873" t="s">
        <v>16</v>
      </c>
      <c r="F2873" s="1">
        <v>44930</v>
      </c>
      <c r="G2873">
        <v>0</v>
      </c>
      <c r="H2873">
        <v>0</v>
      </c>
      <c r="I2873">
        <v>4</v>
      </c>
      <c r="J2873">
        <v>4</v>
      </c>
      <c r="K2873">
        <v>0</v>
      </c>
      <c r="L2873">
        <v>420</v>
      </c>
      <c r="M2873">
        <v>15</v>
      </c>
      <c r="N2873" s="1">
        <f t="shared" si="352"/>
        <v>44938</v>
      </c>
      <c r="O2873" s="1">
        <f t="shared" si="353"/>
        <v>43101</v>
      </c>
      <c r="P2873" s="1">
        <f t="shared" si="354"/>
        <v>45017</v>
      </c>
      <c r="Q2873" s="8">
        <f t="shared" si="355"/>
        <v>0</v>
      </c>
      <c r="R2873" s="8">
        <f t="shared" si="356"/>
        <v>64</v>
      </c>
      <c r="S2873" s="8">
        <f t="shared" ca="1" si="357"/>
        <v>62</v>
      </c>
      <c r="T2873">
        <f t="shared" ca="1" si="358"/>
        <v>2.998880466031935</v>
      </c>
      <c r="U2873" s="8">
        <f t="shared" ca="1" si="359"/>
        <v>1.5250986189061455</v>
      </c>
      <c r="V2873" s="8">
        <f ca="1">RawData[[#This Row],[Z (smoothed demand size)]]/RawData[[#This Row],[X (smoothed interval)]]</f>
        <v>1.9663518338131063</v>
      </c>
    </row>
    <row r="2874" spans="1:22">
      <c r="A2874" t="s">
        <v>58</v>
      </c>
      <c r="B2874" t="s">
        <v>39</v>
      </c>
      <c r="C2874">
        <v>24</v>
      </c>
      <c r="D2874" t="s">
        <v>15</v>
      </c>
      <c r="E2874" t="s">
        <v>16</v>
      </c>
      <c r="F2874" s="1">
        <v>44931</v>
      </c>
      <c r="G2874">
        <v>6</v>
      </c>
      <c r="H2874">
        <v>4</v>
      </c>
      <c r="I2874">
        <v>4</v>
      </c>
      <c r="J2874">
        <v>0</v>
      </c>
      <c r="K2874">
        <v>1</v>
      </c>
      <c r="L2874">
        <v>420</v>
      </c>
      <c r="M2874">
        <v>60</v>
      </c>
      <c r="N2874" s="1">
        <f t="shared" si="352"/>
        <v>44938</v>
      </c>
      <c r="O2874" s="1">
        <f t="shared" si="353"/>
        <v>43101</v>
      </c>
      <c r="P2874" s="1">
        <f t="shared" si="354"/>
        <v>45047</v>
      </c>
      <c r="Q2874" s="8">
        <f t="shared" si="355"/>
        <v>0</v>
      </c>
      <c r="R2874" s="8">
        <f t="shared" si="356"/>
        <v>65</v>
      </c>
      <c r="S2874" s="8">
        <f t="shared" ca="1" si="357"/>
        <v>65</v>
      </c>
      <c r="T2874">
        <f t="shared" ca="1" si="358"/>
        <v>3.5991043728255483</v>
      </c>
      <c r="U2874" s="8">
        <f t="shared" ca="1" si="359"/>
        <v>1.8200788951249165</v>
      </c>
      <c r="V2874" s="8">
        <f ca="1">RawData[[#This Row],[Z (smoothed demand size)]]/RawData[[#This Row],[X (smoothed interval)]]</f>
        <v>1.9774441550120456</v>
      </c>
    </row>
    <row r="2875" spans="1:22">
      <c r="A2875" t="s">
        <v>58</v>
      </c>
      <c r="B2875" t="s">
        <v>39</v>
      </c>
      <c r="C2875">
        <v>24</v>
      </c>
      <c r="D2875" t="s">
        <v>15</v>
      </c>
      <c r="E2875" t="s">
        <v>16</v>
      </c>
      <c r="F2875" s="1">
        <v>44932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485</v>
      </c>
      <c r="M2875">
        <v>45</v>
      </c>
      <c r="N2875" s="1">
        <f t="shared" si="352"/>
        <v>44938</v>
      </c>
      <c r="O2875" s="1">
        <f t="shared" si="353"/>
        <v>43101</v>
      </c>
      <c r="P2875" s="1">
        <f t="shared" si="354"/>
        <v>45078</v>
      </c>
      <c r="Q2875" s="8">
        <f t="shared" si="355"/>
        <v>0</v>
      </c>
      <c r="R2875" s="8">
        <f t="shared" si="356"/>
        <v>66</v>
      </c>
      <c r="S2875" s="8">
        <f t="shared" ca="1" si="357"/>
        <v>65</v>
      </c>
      <c r="T2875">
        <f t="shared" ca="1" si="358"/>
        <v>3.5991043728255483</v>
      </c>
      <c r="U2875" s="8">
        <f t="shared" ca="1" si="359"/>
        <v>1.8200788951249165</v>
      </c>
      <c r="V2875" s="8">
        <f ca="1">RawData[[#This Row],[Z (smoothed demand size)]]/RawData[[#This Row],[X (smoothed interval)]]</f>
        <v>1.9774441550120456</v>
      </c>
    </row>
    <row r="2876" spans="1:22">
      <c r="A2876" t="s">
        <v>58</v>
      </c>
      <c r="B2876" t="s">
        <v>39</v>
      </c>
      <c r="C2876">
        <v>24</v>
      </c>
      <c r="D2876" t="s">
        <v>15</v>
      </c>
      <c r="E2876" t="s">
        <v>16</v>
      </c>
      <c r="F2876" s="1">
        <v>44933</v>
      </c>
      <c r="G2876">
        <v>0</v>
      </c>
      <c r="H2876">
        <v>0</v>
      </c>
      <c r="I2876">
        <v>12</v>
      </c>
      <c r="J2876">
        <v>12</v>
      </c>
      <c r="K2876">
        <v>0</v>
      </c>
      <c r="L2876">
        <v>485</v>
      </c>
      <c r="M2876">
        <v>60</v>
      </c>
      <c r="N2876" s="1">
        <f t="shared" si="352"/>
        <v>44938</v>
      </c>
      <c r="O2876" s="1">
        <f t="shared" si="353"/>
        <v>43101</v>
      </c>
      <c r="P2876" s="1">
        <f t="shared" si="354"/>
        <v>45108</v>
      </c>
      <c r="Q2876" s="8">
        <f t="shared" si="355"/>
        <v>0</v>
      </c>
      <c r="R2876" s="8">
        <f t="shared" si="356"/>
        <v>67</v>
      </c>
      <c r="S2876" s="8">
        <f t="shared" ca="1" si="357"/>
        <v>65</v>
      </c>
      <c r="T2876">
        <f t="shared" ca="1" si="358"/>
        <v>3.5991043728255483</v>
      </c>
      <c r="U2876" s="8">
        <f t="shared" ca="1" si="359"/>
        <v>1.8200788951249165</v>
      </c>
      <c r="V2876" s="8">
        <f ca="1">RawData[[#This Row],[Z (smoothed demand size)]]/RawData[[#This Row],[X (smoothed interval)]]</f>
        <v>1.9774441550120456</v>
      </c>
    </row>
    <row r="2877" spans="1:22">
      <c r="A2877" t="s">
        <v>58</v>
      </c>
      <c r="B2877" t="s">
        <v>39</v>
      </c>
      <c r="C2877">
        <v>24</v>
      </c>
      <c r="D2877" t="s">
        <v>15</v>
      </c>
      <c r="E2877" t="s">
        <v>16</v>
      </c>
      <c r="F2877" s="1">
        <v>44934</v>
      </c>
      <c r="G2877">
        <v>0</v>
      </c>
      <c r="H2877">
        <v>0</v>
      </c>
      <c r="I2877">
        <v>12</v>
      </c>
      <c r="J2877">
        <v>12</v>
      </c>
      <c r="K2877">
        <v>0</v>
      </c>
      <c r="L2877">
        <v>490</v>
      </c>
      <c r="M2877">
        <v>45</v>
      </c>
      <c r="N2877" s="1">
        <f t="shared" si="352"/>
        <v>44938</v>
      </c>
      <c r="O2877" s="1">
        <f t="shared" si="353"/>
        <v>43101</v>
      </c>
      <c r="P2877" s="1">
        <f t="shared" si="354"/>
        <v>45139</v>
      </c>
      <c r="Q2877" s="8">
        <f t="shared" si="355"/>
        <v>0</v>
      </c>
      <c r="R2877" s="8">
        <f t="shared" si="356"/>
        <v>68</v>
      </c>
      <c r="S2877" s="8">
        <f t="shared" ca="1" si="357"/>
        <v>65</v>
      </c>
      <c r="T2877">
        <f t="shared" ca="1" si="358"/>
        <v>3.5991043728255483</v>
      </c>
      <c r="U2877" s="8">
        <f t="shared" ca="1" si="359"/>
        <v>1.8200788951249165</v>
      </c>
      <c r="V2877" s="8">
        <f ca="1">RawData[[#This Row],[Z (smoothed demand size)]]/RawData[[#This Row],[X (smoothed interval)]]</f>
        <v>1.9774441550120456</v>
      </c>
    </row>
    <row r="2878" spans="1:22">
      <c r="A2878" t="s">
        <v>58</v>
      </c>
      <c r="B2878" t="s">
        <v>39</v>
      </c>
      <c r="C2878">
        <v>24</v>
      </c>
      <c r="D2878" t="s">
        <v>15</v>
      </c>
      <c r="E2878" t="s">
        <v>16</v>
      </c>
      <c r="F2878" s="1">
        <v>44935</v>
      </c>
      <c r="G2878">
        <v>3</v>
      </c>
      <c r="H2878">
        <v>3</v>
      </c>
      <c r="I2878">
        <v>12</v>
      </c>
      <c r="J2878">
        <v>9</v>
      </c>
      <c r="K2878">
        <v>0</v>
      </c>
      <c r="L2878">
        <v>417</v>
      </c>
      <c r="M2878">
        <v>30</v>
      </c>
      <c r="N2878" s="1">
        <f t="shared" si="352"/>
        <v>44938</v>
      </c>
      <c r="O2878" s="1">
        <f t="shared" si="353"/>
        <v>43101</v>
      </c>
      <c r="P2878" s="1">
        <f t="shared" si="354"/>
        <v>45170</v>
      </c>
      <c r="Q2878" s="8">
        <f t="shared" si="355"/>
        <v>0</v>
      </c>
      <c r="R2878" s="8">
        <f t="shared" si="356"/>
        <v>69</v>
      </c>
      <c r="S2878" s="8">
        <f t="shared" ca="1" si="357"/>
        <v>69</v>
      </c>
      <c r="T2878">
        <f t="shared" ca="1" si="358"/>
        <v>3.4792834982604388</v>
      </c>
      <c r="U2878" s="8">
        <f t="shared" ca="1" si="359"/>
        <v>2.2560631160999334</v>
      </c>
      <c r="V2878" s="8">
        <f ca="1">RawData[[#This Row],[Z (smoothed demand size)]]/RawData[[#This Row],[X (smoothed interval)]]</f>
        <v>1.5421924472907</v>
      </c>
    </row>
    <row r="2879" spans="1:22">
      <c r="A2879" t="s">
        <v>58</v>
      </c>
      <c r="B2879" t="s">
        <v>39</v>
      </c>
      <c r="C2879">
        <v>24</v>
      </c>
      <c r="D2879" t="s">
        <v>15</v>
      </c>
      <c r="E2879" t="s">
        <v>16</v>
      </c>
      <c r="F2879" s="1">
        <v>44936</v>
      </c>
      <c r="G2879">
        <v>0</v>
      </c>
      <c r="H2879">
        <v>0</v>
      </c>
      <c r="I2879">
        <v>9</v>
      </c>
      <c r="J2879">
        <v>9</v>
      </c>
      <c r="K2879">
        <v>0</v>
      </c>
      <c r="L2879">
        <v>417</v>
      </c>
      <c r="M2879">
        <v>45</v>
      </c>
      <c r="N2879" s="1">
        <f t="shared" si="352"/>
        <v>44938</v>
      </c>
      <c r="O2879" s="1">
        <f t="shared" si="353"/>
        <v>43101</v>
      </c>
      <c r="P2879" s="1">
        <f t="shared" si="354"/>
        <v>45200</v>
      </c>
      <c r="Q2879" s="8">
        <f t="shared" si="355"/>
        <v>0</v>
      </c>
      <c r="R2879" s="8">
        <f t="shared" si="356"/>
        <v>70</v>
      </c>
      <c r="S2879" s="8">
        <f t="shared" ca="1" si="357"/>
        <v>69</v>
      </c>
      <c r="T2879">
        <f t="shared" ca="1" si="358"/>
        <v>3.4792834982604388</v>
      </c>
      <c r="U2879" s="8">
        <f t="shared" ca="1" si="359"/>
        <v>2.2560631160999334</v>
      </c>
      <c r="V2879" s="8">
        <f ca="1">RawData[[#This Row],[Z (smoothed demand size)]]/RawData[[#This Row],[X (smoothed interval)]]</f>
        <v>1.5421924472907</v>
      </c>
    </row>
    <row r="2880" spans="1:22">
      <c r="A2880" t="s">
        <v>58</v>
      </c>
      <c r="B2880" t="s">
        <v>39</v>
      </c>
      <c r="C2880">
        <v>24</v>
      </c>
      <c r="D2880" t="s">
        <v>15</v>
      </c>
      <c r="E2880" t="s">
        <v>16</v>
      </c>
      <c r="F2880" s="1">
        <v>44937</v>
      </c>
      <c r="G2880">
        <v>1</v>
      </c>
      <c r="H2880">
        <v>1</v>
      </c>
      <c r="I2880">
        <v>9</v>
      </c>
      <c r="J2880">
        <v>8</v>
      </c>
      <c r="K2880">
        <v>0</v>
      </c>
      <c r="L2880">
        <v>422</v>
      </c>
      <c r="M2880">
        <v>45</v>
      </c>
      <c r="N2880" s="1">
        <f t="shared" si="352"/>
        <v>44938</v>
      </c>
      <c r="O2880" s="1">
        <f t="shared" si="353"/>
        <v>43101</v>
      </c>
      <c r="P2880" s="1">
        <f t="shared" si="354"/>
        <v>45231</v>
      </c>
      <c r="Q2880" s="8">
        <f t="shared" si="355"/>
        <v>0</v>
      </c>
      <c r="R2880" s="8">
        <f t="shared" si="356"/>
        <v>71</v>
      </c>
      <c r="S2880" s="8">
        <f t="shared" ca="1" si="357"/>
        <v>71</v>
      </c>
      <c r="T2880">
        <f t="shared" ca="1" si="358"/>
        <v>2.9834267986083516</v>
      </c>
      <c r="U2880" s="8">
        <f t="shared" ca="1" si="359"/>
        <v>2.2048504928799466</v>
      </c>
      <c r="V2880" s="8">
        <f ca="1">RawData[[#This Row],[Z (smoothed demand size)]]/RawData[[#This Row],[X (smoothed interval)]]</f>
        <v>1.3531197730833164</v>
      </c>
    </row>
    <row r="2881" spans="1:22">
      <c r="A2881" t="s">
        <v>58</v>
      </c>
      <c r="B2881" t="s">
        <v>39</v>
      </c>
      <c r="C2881">
        <v>24</v>
      </c>
      <c r="D2881" t="s">
        <v>15</v>
      </c>
      <c r="E2881" t="s">
        <v>16</v>
      </c>
      <c r="F2881" s="1">
        <v>44938</v>
      </c>
      <c r="G2881">
        <v>1</v>
      </c>
      <c r="H2881">
        <v>1</v>
      </c>
      <c r="I2881">
        <v>8</v>
      </c>
      <c r="J2881">
        <v>7</v>
      </c>
      <c r="K2881">
        <v>0</v>
      </c>
      <c r="L2881">
        <v>486</v>
      </c>
      <c r="M2881">
        <v>30</v>
      </c>
      <c r="N2881" s="1">
        <f t="shared" si="352"/>
        <v>44938</v>
      </c>
      <c r="O2881" s="1">
        <f t="shared" si="353"/>
        <v>43101</v>
      </c>
      <c r="P2881" s="1">
        <f t="shared" si="354"/>
        <v>45261</v>
      </c>
      <c r="Q2881" s="8">
        <f t="shared" si="355"/>
        <v>0</v>
      </c>
      <c r="R2881" s="8">
        <f t="shared" si="356"/>
        <v>72</v>
      </c>
      <c r="S2881" s="8">
        <f t="shared" ca="1" si="357"/>
        <v>72</v>
      </c>
      <c r="T2881">
        <f t="shared" ca="1" si="358"/>
        <v>2.5867414388866816</v>
      </c>
      <c r="U2881" s="8">
        <f t="shared" ca="1" si="359"/>
        <v>1.9638803943039573</v>
      </c>
      <c r="V2881" s="8">
        <f ca="1">RawData[[#This Row],[Z (smoothed demand size)]]/RawData[[#This Row],[X (smoothed interval)]]</f>
        <v>1.3171583393720268</v>
      </c>
    </row>
    <row r="2882" spans="1:22">
      <c r="A2882" t="s">
        <v>59</v>
      </c>
      <c r="B2882" t="s">
        <v>60</v>
      </c>
      <c r="C2882">
        <v>32</v>
      </c>
      <c r="D2882" t="s">
        <v>18</v>
      </c>
      <c r="E2882" t="s">
        <v>16</v>
      </c>
      <c r="F2882" s="1">
        <v>43101</v>
      </c>
      <c r="G2882">
        <v>0</v>
      </c>
      <c r="H2882">
        <v>0</v>
      </c>
      <c r="I2882">
        <v>18</v>
      </c>
      <c r="J2882">
        <v>18</v>
      </c>
      <c r="K2882">
        <v>0</v>
      </c>
      <c r="L2882">
        <v>611</v>
      </c>
      <c r="M2882">
        <v>45</v>
      </c>
      <c r="N2882" s="1">
        <f t="shared" ref="N2882:N2945" si="360">MAX(F:F)</f>
        <v>44938</v>
      </c>
      <c r="O2882" s="1">
        <f t="shared" ref="O2882:O2945" si="361">MIN(F:F)</f>
        <v>43101</v>
      </c>
      <c r="P2882" s="1">
        <f t="shared" ref="P2882:P2945" si="362">DATE(YEAR(F2882), DAY(F2882), 1)</f>
        <v>43101</v>
      </c>
      <c r="Q2882" s="8">
        <f t="shared" ref="Q2882:Q2945" si="363" xml:space="preserve"> IF(A2882&lt;&gt;A2881, 1, 0)</f>
        <v>1</v>
      </c>
      <c r="R2882" s="8">
        <f t="shared" ref="R2882:R2945" si="364">IF(Q2882=1,1,R2881+1)</f>
        <v>1</v>
      </c>
      <c r="S2882" s="8">
        <f t="shared" ref="S2882:S2945" ca="1" si="365" xml:space="preserve"> IF(Q2882=1, IF(G2882&gt;0, R2882, 0), IF(G2882&gt;0, R2882, OFFSET(S2882,-1,0)))</f>
        <v>0</v>
      </c>
      <c r="T2882">
        <f t="shared" ref="T2882:T2945" ca="1" si="366" xml:space="preserve"> IF(Q2882=1, IF(G2882&gt;0, G2882, 0), IF(G2882&gt;0, $X$1*G2882+(1-$X$1)*OFFSET(T2882,-1,0), OFFSET(T2882,-1,0)))</f>
        <v>0</v>
      </c>
      <c r="U2882" s="8">
        <f t="shared" ref="U2882:U2945" ca="1" si="367" xml:space="preserve"> IF(Q2882=1, 1, IF(G2882&gt;0, $X$1*(R2882-OFFSET(S2882,-1,0))+(1-$X$1)*OFFSET(U2882,-1,0), OFFSET(U2882,-1,0)))</f>
        <v>1</v>
      </c>
      <c r="V2882" s="9">
        <f ca="1">RawData[[#This Row],[Z (smoothed demand size)]]/RawData[[#This Row],[X (smoothed interval)]]</f>
        <v>0</v>
      </c>
    </row>
    <row r="2883" spans="1:22">
      <c r="A2883" t="s">
        <v>59</v>
      </c>
      <c r="B2883" t="s">
        <v>60</v>
      </c>
      <c r="C2883">
        <v>32</v>
      </c>
      <c r="D2883" t="s">
        <v>18</v>
      </c>
      <c r="E2883" t="s">
        <v>16</v>
      </c>
      <c r="F2883" s="1">
        <v>43102</v>
      </c>
      <c r="G2883">
        <v>0</v>
      </c>
      <c r="H2883">
        <v>0</v>
      </c>
      <c r="I2883">
        <v>18</v>
      </c>
      <c r="J2883">
        <v>18</v>
      </c>
      <c r="K2883">
        <v>0</v>
      </c>
      <c r="L2883">
        <v>619</v>
      </c>
      <c r="M2883">
        <v>30</v>
      </c>
      <c r="N2883" s="1">
        <f t="shared" si="360"/>
        <v>44938</v>
      </c>
      <c r="O2883" s="1">
        <f t="shared" si="361"/>
        <v>43101</v>
      </c>
      <c r="P2883" s="1">
        <f t="shared" si="362"/>
        <v>43132</v>
      </c>
      <c r="Q2883" s="8">
        <f t="shared" si="363"/>
        <v>0</v>
      </c>
      <c r="R2883" s="8">
        <f t="shared" si="364"/>
        <v>2</v>
      </c>
      <c r="S2883" s="8">
        <f t="shared" ca="1" si="365"/>
        <v>0</v>
      </c>
      <c r="T2883">
        <f t="shared" ca="1" si="366"/>
        <v>0</v>
      </c>
      <c r="U2883" s="8">
        <f t="shared" ca="1" si="367"/>
        <v>1</v>
      </c>
      <c r="V2883" s="9">
        <f ca="1">RawData[[#This Row],[Z (smoothed demand size)]]/RawData[[#This Row],[X (smoothed interval)]]</f>
        <v>0</v>
      </c>
    </row>
    <row r="2884" spans="1:22">
      <c r="A2884" t="s">
        <v>59</v>
      </c>
      <c r="B2884" t="s">
        <v>60</v>
      </c>
      <c r="C2884">
        <v>32</v>
      </c>
      <c r="D2884" t="s">
        <v>18</v>
      </c>
      <c r="E2884" t="s">
        <v>16</v>
      </c>
      <c r="F2884" s="1">
        <v>43103</v>
      </c>
      <c r="G2884">
        <v>0</v>
      </c>
      <c r="H2884">
        <v>0</v>
      </c>
      <c r="I2884">
        <v>18</v>
      </c>
      <c r="J2884">
        <v>18</v>
      </c>
      <c r="K2884">
        <v>0</v>
      </c>
      <c r="L2884">
        <v>590</v>
      </c>
      <c r="M2884">
        <v>45</v>
      </c>
      <c r="N2884" s="1">
        <f t="shared" si="360"/>
        <v>44938</v>
      </c>
      <c r="O2884" s="1">
        <f t="shared" si="361"/>
        <v>43101</v>
      </c>
      <c r="P2884" s="1">
        <f t="shared" si="362"/>
        <v>43160</v>
      </c>
      <c r="Q2884" s="8">
        <f t="shared" si="363"/>
        <v>0</v>
      </c>
      <c r="R2884" s="8">
        <f t="shared" si="364"/>
        <v>3</v>
      </c>
      <c r="S2884" s="8">
        <f t="shared" ca="1" si="365"/>
        <v>0</v>
      </c>
      <c r="T2884">
        <f t="shared" ca="1" si="366"/>
        <v>0</v>
      </c>
      <c r="U2884" s="8">
        <f t="shared" ca="1" si="367"/>
        <v>1</v>
      </c>
      <c r="V2884" s="9">
        <f ca="1">RawData[[#This Row],[Z (smoothed demand size)]]/RawData[[#This Row],[X (smoothed interval)]]</f>
        <v>0</v>
      </c>
    </row>
    <row r="2885" spans="1:22">
      <c r="A2885" t="s">
        <v>59</v>
      </c>
      <c r="B2885" t="s">
        <v>60</v>
      </c>
      <c r="C2885">
        <v>32</v>
      </c>
      <c r="D2885" t="s">
        <v>18</v>
      </c>
      <c r="E2885" t="s">
        <v>16</v>
      </c>
      <c r="F2885" s="1">
        <v>43104</v>
      </c>
      <c r="G2885">
        <v>2</v>
      </c>
      <c r="H2885">
        <v>2</v>
      </c>
      <c r="I2885">
        <v>18</v>
      </c>
      <c r="J2885">
        <v>16</v>
      </c>
      <c r="K2885">
        <v>0</v>
      </c>
      <c r="L2885">
        <v>609</v>
      </c>
      <c r="M2885">
        <v>15</v>
      </c>
      <c r="N2885" s="1">
        <f t="shared" si="360"/>
        <v>44938</v>
      </c>
      <c r="O2885" s="1">
        <f t="shared" si="361"/>
        <v>43101</v>
      </c>
      <c r="P2885" s="1">
        <f t="shared" si="362"/>
        <v>43191</v>
      </c>
      <c r="Q2885" s="8">
        <f t="shared" si="363"/>
        <v>0</v>
      </c>
      <c r="R2885" s="8">
        <f t="shared" si="364"/>
        <v>4</v>
      </c>
      <c r="S2885" s="8">
        <f t="shared" ca="1" si="365"/>
        <v>4</v>
      </c>
      <c r="T2885">
        <f t="shared" ca="1" si="366"/>
        <v>0.4</v>
      </c>
      <c r="U2885" s="8">
        <f t="shared" ca="1" si="367"/>
        <v>1.6</v>
      </c>
      <c r="V2885" s="9">
        <f ca="1">RawData[[#This Row],[Z (smoothed demand size)]]/RawData[[#This Row],[X (smoothed interval)]]</f>
        <v>0.25</v>
      </c>
    </row>
    <row r="2886" spans="1:22">
      <c r="A2886" t="s">
        <v>59</v>
      </c>
      <c r="B2886" t="s">
        <v>60</v>
      </c>
      <c r="C2886">
        <v>32</v>
      </c>
      <c r="D2886" t="s">
        <v>18</v>
      </c>
      <c r="E2886" t="s">
        <v>16</v>
      </c>
      <c r="F2886" s="1">
        <v>43105</v>
      </c>
      <c r="G2886">
        <v>0</v>
      </c>
      <c r="H2886">
        <v>0</v>
      </c>
      <c r="I2886">
        <v>16</v>
      </c>
      <c r="J2886">
        <v>16</v>
      </c>
      <c r="K2886">
        <v>0</v>
      </c>
      <c r="L2886">
        <v>591</v>
      </c>
      <c r="M2886">
        <v>45</v>
      </c>
      <c r="N2886" s="1">
        <f t="shared" si="360"/>
        <v>44938</v>
      </c>
      <c r="O2886" s="1">
        <f t="shared" si="361"/>
        <v>43101</v>
      </c>
      <c r="P2886" s="1">
        <f t="shared" si="362"/>
        <v>43221</v>
      </c>
      <c r="Q2886" s="8">
        <f t="shared" si="363"/>
        <v>0</v>
      </c>
      <c r="R2886" s="8">
        <f t="shared" si="364"/>
        <v>5</v>
      </c>
      <c r="S2886" s="8">
        <f t="shared" ca="1" si="365"/>
        <v>4</v>
      </c>
      <c r="T2886">
        <f t="shared" ca="1" si="366"/>
        <v>0.4</v>
      </c>
      <c r="U2886" s="8">
        <f t="shared" ca="1" si="367"/>
        <v>1.6</v>
      </c>
      <c r="V2886" s="9">
        <f ca="1">RawData[[#This Row],[Z (smoothed demand size)]]/RawData[[#This Row],[X (smoothed interval)]]</f>
        <v>0.25</v>
      </c>
    </row>
    <row r="2887" spans="1:22">
      <c r="A2887" t="s">
        <v>59</v>
      </c>
      <c r="B2887" t="s">
        <v>60</v>
      </c>
      <c r="C2887">
        <v>32</v>
      </c>
      <c r="D2887" t="s">
        <v>18</v>
      </c>
      <c r="E2887" t="s">
        <v>16</v>
      </c>
      <c r="F2887" s="1">
        <v>43106</v>
      </c>
      <c r="G2887">
        <v>0</v>
      </c>
      <c r="H2887">
        <v>0</v>
      </c>
      <c r="I2887">
        <v>16</v>
      </c>
      <c r="J2887">
        <v>16</v>
      </c>
      <c r="K2887">
        <v>0</v>
      </c>
      <c r="L2887">
        <v>696</v>
      </c>
      <c r="M2887">
        <v>45</v>
      </c>
      <c r="N2887" s="1">
        <f t="shared" si="360"/>
        <v>44938</v>
      </c>
      <c r="O2887" s="1">
        <f t="shared" si="361"/>
        <v>43101</v>
      </c>
      <c r="P2887" s="1">
        <f t="shared" si="362"/>
        <v>43252</v>
      </c>
      <c r="Q2887" s="8">
        <f t="shared" si="363"/>
        <v>0</v>
      </c>
      <c r="R2887" s="8">
        <f t="shared" si="364"/>
        <v>6</v>
      </c>
      <c r="S2887" s="8">
        <f t="shared" ca="1" si="365"/>
        <v>4</v>
      </c>
      <c r="T2887">
        <f t="shared" ca="1" si="366"/>
        <v>0.4</v>
      </c>
      <c r="U2887" s="8">
        <f t="shared" ca="1" si="367"/>
        <v>1.6</v>
      </c>
      <c r="V2887" s="9">
        <f ca="1">RawData[[#This Row],[Z (smoothed demand size)]]/RawData[[#This Row],[X (smoothed interval)]]</f>
        <v>0.25</v>
      </c>
    </row>
    <row r="2888" spans="1:22">
      <c r="A2888" t="s">
        <v>59</v>
      </c>
      <c r="B2888" t="s">
        <v>60</v>
      </c>
      <c r="C2888">
        <v>32</v>
      </c>
      <c r="D2888" t="s">
        <v>18</v>
      </c>
      <c r="E2888" t="s">
        <v>16</v>
      </c>
      <c r="F2888" s="1">
        <v>43107</v>
      </c>
      <c r="G2888">
        <v>0</v>
      </c>
      <c r="H2888">
        <v>0</v>
      </c>
      <c r="I2888">
        <v>16</v>
      </c>
      <c r="J2888">
        <v>16</v>
      </c>
      <c r="K2888">
        <v>0</v>
      </c>
      <c r="L2888">
        <v>695</v>
      </c>
      <c r="M2888">
        <v>45</v>
      </c>
      <c r="N2888" s="1">
        <f t="shared" si="360"/>
        <v>44938</v>
      </c>
      <c r="O2888" s="1">
        <f t="shared" si="361"/>
        <v>43101</v>
      </c>
      <c r="P2888" s="1">
        <f t="shared" si="362"/>
        <v>43282</v>
      </c>
      <c r="Q2888" s="8">
        <f t="shared" si="363"/>
        <v>0</v>
      </c>
      <c r="R2888" s="8">
        <f t="shared" si="364"/>
        <v>7</v>
      </c>
      <c r="S2888" s="8">
        <f t="shared" ca="1" si="365"/>
        <v>4</v>
      </c>
      <c r="T2888">
        <f t="shared" ca="1" si="366"/>
        <v>0.4</v>
      </c>
      <c r="U2888" s="8">
        <f t="shared" ca="1" si="367"/>
        <v>1.6</v>
      </c>
      <c r="V2888" s="9">
        <f ca="1">RawData[[#This Row],[Z (smoothed demand size)]]/RawData[[#This Row],[X (smoothed interval)]]</f>
        <v>0.25</v>
      </c>
    </row>
    <row r="2889" spans="1:22">
      <c r="A2889" t="s">
        <v>59</v>
      </c>
      <c r="B2889" t="s">
        <v>60</v>
      </c>
      <c r="C2889">
        <v>32</v>
      </c>
      <c r="D2889" t="s">
        <v>18</v>
      </c>
      <c r="E2889" t="s">
        <v>16</v>
      </c>
      <c r="F2889" s="1">
        <v>43108</v>
      </c>
      <c r="G2889">
        <v>0</v>
      </c>
      <c r="H2889">
        <v>0</v>
      </c>
      <c r="I2889">
        <v>16</v>
      </c>
      <c r="J2889">
        <v>16</v>
      </c>
      <c r="K2889">
        <v>0</v>
      </c>
      <c r="L2889">
        <v>688</v>
      </c>
      <c r="M2889">
        <v>15</v>
      </c>
      <c r="N2889" s="1">
        <f t="shared" si="360"/>
        <v>44938</v>
      </c>
      <c r="O2889" s="1">
        <f t="shared" si="361"/>
        <v>43101</v>
      </c>
      <c r="P2889" s="1">
        <f t="shared" si="362"/>
        <v>43313</v>
      </c>
      <c r="Q2889" s="8">
        <f t="shared" si="363"/>
        <v>0</v>
      </c>
      <c r="R2889" s="8">
        <f t="shared" si="364"/>
        <v>8</v>
      </c>
      <c r="S2889" s="8">
        <f t="shared" ca="1" si="365"/>
        <v>4</v>
      </c>
      <c r="T2889">
        <f t="shared" ca="1" si="366"/>
        <v>0.4</v>
      </c>
      <c r="U2889" s="8">
        <f t="shared" ca="1" si="367"/>
        <v>1.6</v>
      </c>
      <c r="V2889" s="9">
        <f ca="1">RawData[[#This Row],[Z (smoothed demand size)]]/RawData[[#This Row],[X (smoothed interval)]]</f>
        <v>0.25</v>
      </c>
    </row>
    <row r="2890" spans="1:22">
      <c r="A2890" t="s">
        <v>59</v>
      </c>
      <c r="B2890" t="s">
        <v>60</v>
      </c>
      <c r="C2890">
        <v>32</v>
      </c>
      <c r="D2890" t="s">
        <v>18</v>
      </c>
      <c r="E2890" t="s">
        <v>16</v>
      </c>
      <c r="F2890" s="1">
        <v>43109</v>
      </c>
      <c r="G2890">
        <v>0</v>
      </c>
      <c r="H2890">
        <v>0</v>
      </c>
      <c r="I2890">
        <v>16</v>
      </c>
      <c r="J2890">
        <v>16</v>
      </c>
      <c r="K2890">
        <v>0</v>
      </c>
      <c r="L2890">
        <v>602</v>
      </c>
      <c r="M2890">
        <v>60</v>
      </c>
      <c r="N2890" s="1">
        <f t="shared" si="360"/>
        <v>44938</v>
      </c>
      <c r="O2890" s="1">
        <f t="shared" si="361"/>
        <v>43101</v>
      </c>
      <c r="P2890" s="1">
        <f t="shared" si="362"/>
        <v>43344</v>
      </c>
      <c r="Q2890" s="8">
        <f t="shared" si="363"/>
        <v>0</v>
      </c>
      <c r="R2890" s="8">
        <f t="shared" si="364"/>
        <v>9</v>
      </c>
      <c r="S2890" s="8">
        <f t="shared" ca="1" si="365"/>
        <v>4</v>
      </c>
      <c r="T2890">
        <f t="shared" ca="1" si="366"/>
        <v>0.4</v>
      </c>
      <c r="U2890" s="8">
        <f t="shared" ca="1" si="367"/>
        <v>1.6</v>
      </c>
      <c r="V2890" s="9">
        <f ca="1">RawData[[#This Row],[Z (smoothed demand size)]]/RawData[[#This Row],[X (smoothed interval)]]</f>
        <v>0.25</v>
      </c>
    </row>
    <row r="2891" spans="1:22">
      <c r="A2891" t="s">
        <v>59</v>
      </c>
      <c r="B2891" t="s">
        <v>60</v>
      </c>
      <c r="C2891">
        <v>32</v>
      </c>
      <c r="D2891" t="s">
        <v>18</v>
      </c>
      <c r="E2891" t="s">
        <v>16</v>
      </c>
      <c r="F2891" s="1">
        <v>43110</v>
      </c>
      <c r="G2891">
        <v>0</v>
      </c>
      <c r="H2891">
        <v>0</v>
      </c>
      <c r="I2891">
        <v>16</v>
      </c>
      <c r="J2891">
        <v>16</v>
      </c>
      <c r="K2891">
        <v>0</v>
      </c>
      <c r="L2891">
        <v>604</v>
      </c>
      <c r="M2891">
        <v>15</v>
      </c>
      <c r="N2891" s="1">
        <f t="shared" si="360"/>
        <v>44938</v>
      </c>
      <c r="O2891" s="1">
        <f t="shared" si="361"/>
        <v>43101</v>
      </c>
      <c r="P2891" s="1">
        <f t="shared" si="362"/>
        <v>43374</v>
      </c>
      <c r="Q2891" s="8">
        <f t="shared" si="363"/>
        <v>0</v>
      </c>
      <c r="R2891" s="8">
        <f t="shared" si="364"/>
        <v>10</v>
      </c>
      <c r="S2891" s="8">
        <f t="shared" ca="1" si="365"/>
        <v>4</v>
      </c>
      <c r="T2891">
        <f t="shared" ca="1" si="366"/>
        <v>0.4</v>
      </c>
      <c r="U2891" s="8">
        <f t="shared" ca="1" si="367"/>
        <v>1.6</v>
      </c>
      <c r="V2891" s="9">
        <f ca="1">RawData[[#This Row],[Z (smoothed demand size)]]/RawData[[#This Row],[X (smoothed interval)]]</f>
        <v>0.25</v>
      </c>
    </row>
    <row r="2892" spans="1:22">
      <c r="A2892" t="s">
        <v>59</v>
      </c>
      <c r="B2892" t="s">
        <v>60</v>
      </c>
      <c r="C2892">
        <v>32</v>
      </c>
      <c r="D2892" t="s">
        <v>18</v>
      </c>
      <c r="E2892" t="s">
        <v>16</v>
      </c>
      <c r="F2892" s="1">
        <v>43111</v>
      </c>
      <c r="G2892">
        <v>0</v>
      </c>
      <c r="H2892">
        <v>0</v>
      </c>
      <c r="I2892">
        <v>16</v>
      </c>
      <c r="J2892">
        <v>16</v>
      </c>
      <c r="K2892">
        <v>0</v>
      </c>
      <c r="L2892">
        <v>608</v>
      </c>
      <c r="M2892">
        <v>15</v>
      </c>
      <c r="N2892" s="1">
        <f t="shared" si="360"/>
        <v>44938</v>
      </c>
      <c r="O2892" s="1">
        <f t="shared" si="361"/>
        <v>43101</v>
      </c>
      <c r="P2892" s="1">
        <f t="shared" si="362"/>
        <v>43405</v>
      </c>
      <c r="Q2892" s="8">
        <f t="shared" si="363"/>
        <v>0</v>
      </c>
      <c r="R2892" s="8">
        <f t="shared" si="364"/>
        <v>11</v>
      </c>
      <c r="S2892" s="8">
        <f t="shared" ca="1" si="365"/>
        <v>4</v>
      </c>
      <c r="T2892">
        <f t="shared" ca="1" si="366"/>
        <v>0.4</v>
      </c>
      <c r="U2892" s="8">
        <f t="shared" ca="1" si="367"/>
        <v>1.6</v>
      </c>
      <c r="V2892" s="9">
        <f ca="1">RawData[[#This Row],[Z (smoothed demand size)]]/RawData[[#This Row],[X (smoothed interval)]]</f>
        <v>0.25</v>
      </c>
    </row>
    <row r="2893" spans="1:22">
      <c r="A2893" t="s">
        <v>59</v>
      </c>
      <c r="B2893" t="s">
        <v>60</v>
      </c>
      <c r="C2893">
        <v>32</v>
      </c>
      <c r="D2893" t="s">
        <v>18</v>
      </c>
      <c r="E2893" t="s">
        <v>16</v>
      </c>
      <c r="F2893" s="1">
        <v>43112</v>
      </c>
      <c r="G2893">
        <v>0</v>
      </c>
      <c r="H2893">
        <v>0</v>
      </c>
      <c r="I2893">
        <v>16</v>
      </c>
      <c r="J2893">
        <v>16</v>
      </c>
      <c r="K2893">
        <v>0</v>
      </c>
      <c r="L2893">
        <v>688</v>
      </c>
      <c r="M2893">
        <v>15</v>
      </c>
      <c r="N2893" s="1">
        <f t="shared" si="360"/>
        <v>44938</v>
      </c>
      <c r="O2893" s="1">
        <f t="shared" si="361"/>
        <v>43101</v>
      </c>
      <c r="P2893" s="1">
        <f t="shared" si="362"/>
        <v>43435</v>
      </c>
      <c r="Q2893" s="8">
        <f t="shared" si="363"/>
        <v>0</v>
      </c>
      <c r="R2893" s="8">
        <f t="shared" si="364"/>
        <v>12</v>
      </c>
      <c r="S2893" s="8">
        <f t="shared" ca="1" si="365"/>
        <v>4</v>
      </c>
      <c r="T2893">
        <f t="shared" ca="1" si="366"/>
        <v>0.4</v>
      </c>
      <c r="U2893" s="8">
        <f t="shared" ca="1" si="367"/>
        <v>1.6</v>
      </c>
      <c r="V2893" s="9">
        <f ca="1">RawData[[#This Row],[Z (smoothed demand size)]]/RawData[[#This Row],[X (smoothed interval)]]</f>
        <v>0.25</v>
      </c>
    </row>
    <row r="2894" spans="1:22">
      <c r="A2894" t="s">
        <v>59</v>
      </c>
      <c r="B2894" t="s">
        <v>60</v>
      </c>
      <c r="C2894">
        <v>32</v>
      </c>
      <c r="D2894" t="s">
        <v>18</v>
      </c>
      <c r="E2894" t="s">
        <v>16</v>
      </c>
      <c r="F2894" s="1">
        <v>43466</v>
      </c>
      <c r="G2894">
        <v>0</v>
      </c>
      <c r="H2894">
        <v>0</v>
      </c>
      <c r="I2894">
        <v>16</v>
      </c>
      <c r="J2894">
        <v>16</v>
      </c>
      <c r="K2894">
        <v>0</v>
      </c>
      <c r="L2894">
        <v>599</v>
      </c>
      <c r="M2894">
        <v>45</v>
      </c>
      <c r="N2894" s="1">
        <f t="shared" si="360"/>
        <v>44938</v>
      </c>
      <c r="O2894" s="1">
        <f t="shared" si="361"/>
        <v>43101</v>
      </c>
      <c r="P2894" s="1">
        <f t="shared" si="362"/>
        <v>43466</v>
      </c>
      <c r="Q2894" s="8">
        <f t="shared" si="363"/>
        <v>0</v>
      </c>
      <c r="R2894" s="8">
        <f t="shared" si="364"/>
        <v>13</v>
      </c>
      <c r="S2894" s="8">
        <f t="shared" ca="1" si="365"/>
        <v>4</v>
      </c>
      <c r="T2894">
        <f t="shared" ca="1" si="366"/>
        <v>0.4</v>
      </c>
      <c r="U2894" s="8">
        <f t="shared" ca="1" si="367"/>
        <v>1.6</v>
      </c>
      <c r="V2894" s="9">
        <f ca="1">RawData[[#This Row],[Z (smoothed demand size)]]/RawData[[#This Row],[X (smoothed interval)]]</f>
        <v>0.25</v>
      </c>
    </row>
    <row r="2895" spans="1:22">
      <c r="A2895" t="s">
        <v>59</v>
      </c>
      <c r="B2895" t="s">
        <v>60</v>
      </c>
      <c r="C2895">
        <v>32</v>
      </c>
      <c r="D2895" t="s">
        <v>18</v>
      </c>
      <c r="E2895" t="s">
        <v>16</v>
      </c>
      <c r="F2895" s="1">
        <v>43467</v>
      </c>
      <c r="G2895">
        <v>0</v>
      </c>
      <c r="H2895">
        <v>0</v>
      </c>
      <c r="I2895">
        <v>16</v>
      </c>
      <c r="J2895">
        <v>16</v>
      </c>
      <c r="K2895">
        <v>0</v>
      </c>
      <c r="L2895">
        <v>607</v>
      </c>
      <c r="M2895">
        <v>15</v>
      </c>
      <c r="N2895" s="1">
        <f t="shared" si="360"/>
        <v>44938</v>
      </c>
      <c r="O2895" s="1">
        <f t="shared" si="361"/>
        <v>43101</v>
      </c>
      <c r="P2895" s="1">
        <f t="shared" si="362"/>
        <v>43497</v>
      </c>
      <c r="Q2895" s="8">
        <f t="shared" si="363"/>
        <v>0</v>
      </c>
      <c r="R2895" s="8">
        <f t="shared" si="364"/>
        <v>14</v>
      </c>
      <c r="S2895" s="8">
        <f t="shared" ca="1" si="365"/>
        <v>4</v>
      </c>
      <c r="T2895">
        <f t="shared" ca="1" si="366"/>
        <v>0.4</v>
      </c>
      <c r="U2895" s="8">
        <f t="shared" ca="1" si="367"/>
        <v>1.6</v>
      </c>
      <c r="V2895" s="9">
        <f ca="1">RawData[[#This Row],[Z (smoothed demand size)]]/RawData[[#This Row],[X (smoothed interval)]]</f>
        <v>0.25</v>
      </c>
    </row>
    <row r="2896" spans="1:22">
      <c r="A2896" t="s">
        <v>59</v>
      </c>
      <c r="B2896" t="s">
        <v>60</v>
      </c>
      <c r="C2896">
        <v>32</v>
      </c>
      <c r="D2896" t="s">
        <v>18</v>
      </c>
      <c r="E2896" t="s">
        <v>16</v>
      </c>
      <c r="F2896" s="1">
        <v>43468</v>
      </c>
      <c r="G2896">
        <v>0</v>
      </c>
      <c r="H2896">
        <v>0</v>
      </c>
      <c r="I2896">
        <v>16</v>
      </c>
      <c r="J2896">
        <v>16</v>
      </c>
      <c r="K2896">
        <v>0</v>
      </c>
      <c r="L2896">
        <v>608</v>
      </c>
      <c r="M2896">
        <v>60</v>
      </c>
      <c r="N2896" s="1">
        <f t="shared" si="360"/>
        <v>44938</v>
      </c>
      <c r="O2896" s="1">
        <f t="shared" si="361"/>
        <v>43101</v>
      </c>
      <c r="P2896" s="1">
        <f t="shared" si="362"/>
        <v>43525</v>
      </c>
      <c r="Q2896" s="8">
        <f t="shared" si="363"/>
        <v>0</v>
      </c>
      <c r="R2896" s="8">
        <f t="shared" si="364"/>
        <v>15</v>
      </c>
      <c r="S2896" s="8">
        <f t="shared" ca="1" si="365"/>
        <v>4</v>
      </c>
      <c r="T2896">
        <f t="shared" ca="1" si="366"/>
        <v>0.4</v>
      </c>
      <c r="U2896" s="8">
        <f t="shared" ca="1" si="367"/>
        <v>1.6</v>
      </c>
      <c r="V2896" s="9">
        <f ca="1">RawData[[#This Row],[Z (smoothed demand size)]]/RawData[[#This Row],[X (smoothed interval)]]</f>
        <v>0.25</v>
      </c>
    </row>
    <row r="2897" spans="1:22">
      <c r="A2897" t="s">
        <v>59</v>
      </c>
      <c r="B2897" t="s">
        <v>60</v>
      </c>
      <c r="C2897">
        <v>32</v>
      </c>
      <c r="D2897" t="s">
        <v>18</v>
      </c>
      <c r="E2897" t="s">
        <v>16</v>
      </c>
      <c r="F2897" s="1">
        <v>43469</v>
      </c>
      <c r="G2897">
        <v>0</v>
      </c>
      <c r="H2897">
        <v>0</v>
      </c>
      <c r="I2897">
        <v>16</v>
      </c>
      <c r="J2897">
        <v>16</v>
      </c>
      <c r="K2897">
        <v>0</v>
      </c>
      <c r="L2897">
        <v>619</v>
      </c>
      <c r="M2897">
        <v>45</v>
      </c>
      <c r="N2897" s="1">
        <f t="shared" si="360"/>
        <v>44938</v>
      </c>
      <c r="O2897" s="1">
        <f t="shared" si="361"/>
        <v>43101</v>
      </c>
      <c r="P2897" s="1">
        <f t="shared" si="362"/>
        <v>43556</v>
      </c>
      <c r="Q2897" s="8">
        <f t="shared" si="363"/>
        <v>0</v>
      </c>
      <c r="R2897" s="8">
        <f t="shared" si="364"/>
        <v>16</v>
      </c>
      <c r="S2897" s="8">
        <f t="shared" ca="1" si="365"/>
        <v>4</v>
      </c>
      <c r="T2897">
        <f t="shared" ca="1" si="366"/>
        <v>0.4</v>
      </c>
      <c r="U2897" s="8">
        <f t="shared" ca="1" si="367"/>
        <v>1.6</v>
      </c>
      <c r="V2897" s="9">
        <f ca="1">RawData[[#This Row],[Z (smoothed demand size)]]/RawData[[#This Row],[X (smoothed interval)]]</f>
        <v>0.25</v>
      </c>
    </row>
    <row r="2898" spans="1:22">
      <c r="A2898" t="s">
        <v>59</v>
      </c>
      <c r="B2898" t="s">
        <v>60</v>
      </c>
      <c r="C2898">
        <v>32</v>
      </c>
      <c r="D2898" t="s">
        <v>18</v>
      </c>
      <c r="E2898" t="s">
        <v>16</v>
      </c>
      <c r="F2898" s="1">
        <v>43470</v>
      </c>
      <c r="G2898">
        <v>0</v>
      </c>
      <c r="H2898">
        <v>0</v>
      </c>
      <c r="I2898">
        <v>16</v>
      </c>
      <c r="J2898">
        <v>16</v>
      </c>
      <c r="K2898">
        <v>0</v>
      </c>
      <c r="L2898">
        <v>605</v>
      </c>
      <c r="M2898">
        <v>30</v>
      </c>
      <c r="N2898" s="1">
        <f t="shared" si="360"/>
        <v>44938</v>
      </c>
      <c r="O2898" s="1">
        <f t="shared" si="361"/>
        <v>43101</v>
      </c>
      <c r="P2898" s="1">
        <f t="shared" si="362"/>
        <v>43586</v>
      </c>
      <c r="Q2898" s="8">
        <f t="shared" si="363"/>
        <v>0</v>
      </c>
      <c r="R2898" s="8">
        <f t="shared" si="364"/>
        <v>17</v>
      </c>
      <c r="S2898" s="8">
        <f t="shared" ca="1" si="365"/>
        <v>4</v>
      </c>
      <c r="T2898">
        <f t="shared" ca="1" si="366"/>
        <v>0.4</v>
      </c>
      <c r="U2898" s="8">
        <f t="shared" ca="1" si="367"/>
        <v>1.6</v>
      </c>
      <c r="V2898" s="9">
        <f ca="1">RawData[[#This Row],[Z (smoothed demand size)]]/RawData[[#This Row],[X (smoothed interval)]]</f>
        <v>0.25</v>
      </c>
    </row>
    <row r="2899" spans="1:22">
      <c r="A2899" t="s">
        <v>59</v>
      </c>
      <c r="B2899" t="s">
        <v>60</v>
      </c>
      <c r="C2899">
        <v>32</v>
      </c>
      <c r="D2899" t="s">
        <v>18</v>
      </c>
      <c r="E2899" t="s">
        <v>16</v>
      </c>
      <c r="F2899" s="1">
        <v>43471</v>
      </c>
      <c r="G2899">
        <v>0</v>
      </c>
      <c r="H2899">
        <v>0</v>
      </c>
      <c r="I2899">
        <v>16</v>
      </c>
      <c r="J2899">
        <v>16</v>
      </c>
      <c r="K2899">
        <v>0</v>
      </c>
      <c r="L2899">
        <v>699</v>
      </c>
      <c r="M2899">
        <v>15</v>
      </c>
      <c r="N2899" s="1">
        <f t="shared" si="360"/>
        <v>44938</v>
      </c>
      <c r="O2899" s="1">
        <f t="shared" si="361"/>
        <v>43101</v>
      </c>
      <c r="P2899" s="1">
        <f t="shared" si="362"/>
        <v>43617</v>
      </c>
      <c r="Q2899" s="8">
        <f t="shared" si="363"/>
        <v>0</v>
      </c>
      <c r="R2899" s="8">
        <f t="shared" si="364"/>
        <v>18</v>
      </c>
      <c r="S2899" s="8">
        <f t="shared" ca="1" si="365"/>
        <v>4</v>
      </c>
      <c r="T2899">
        <f t="shared" ca="1" si="366"/>
        <v>0.4</v>
      </c>
      <c r="U2899" s="8">
        <f t="shared" ca="1" si="367"/>
        <v>1.6</v>
      </c>
      <c r="V2899" s="9">
        <f ca="1">RawData[[#This Row],[Z (smoothed demand size)]]/RawData[[#This Row],[X (smoothed interval)]]</f>
        <v>0.25</v>
      </c>
    </row>
    <row r="2900" spans="1:22">
      <c r="A2900" t="s">
        <v>59</v>
      </c>
      <c r="B2900" t="s">
        <v>60</v>
      </c>
      <c r="C2900">
        <v>32</v>
      </c>
      <c r="D2900" t="s">
        <v>18</v>
      </c>
      <c r="E2900" t="s">
        <v>16</v>
      </c>
      <c r="F2900" s="1">
        <v>43472</v>
      </c>
      <c r="G2900">
        <v>1</v>
      </c>
      <c r="H2900">
        <v>1</v>
      </c>
      <c r="I2900">
        <v>16</v>
      </c>
      <c r="J2900">
        <v>15</v>
      </c>
      <c r="K2900">
        <v>0</v>
      </c>
      <c r="L2900">
        <v>693</v>
      </c>
      <c r="M2900">
        <v>15</v>
      </c>
      <c r="N2900" s="1">
        <f t="shared" si="360"/>
        <v>44938</v>
      </c>
      <c r="O2900" s="1">
        <f t="shared" si="361"/>
        <v>43101</v>
      </c>
      <c r="P2900" s="1">
        <f t="shared" si="362"/>
        <v>43647</v>
      </c>
      <c r="Q2900" s="8">
        <f t="shared" si="363"/>
        <v>0</v>
      </c>
      <c r="R2900" s="8">
        <f t="shared" si="364"/>
        <v>19</v>
      </c>
      <c r="S2900" s="8">
        <f t="shared" ca="1" si="365"/>
        <v>19</v>
      </c>
      <c r="T2900">
        <f t="shared" ca="1" si="366"/>
        <v>0.52</v>
      </c>
      <c r="U2900" s="8">
        <f t="shared" ca="1" si="367"/>
        <v>4.28</v>
      </c>
      <c r="V2900" s="9">
        <f ca="1">RawData[[#This Row],[Z (smoothed demand size)]]/RawData[[#This Row],[X (smoothed interval)]]</f>
        <v>0.12149532710280374</v>
      </c>
    </row>
    <row r="2901" spans="1:22">
      <c r="A2901" t="s">
        <v>59</v>
      </c>
      <c r="B2901" t="s">
        <v>60</v>
      </c>
      <c r="C2901">
        <v>32</v>
      </c>
      <c r="D2901" t="s">
        <v>18</v>
      </c>
      <c r="E2901" t="s">
        <v>16</v>
      </c>
      <c r="F2901" s="1">
        <v>43473</v>
      </c>
      <c r="G2901">
        <v>0</v>
      </c>
      <c r="H2901">
        <v>0</v>
      </c>
      <c r="I2901">
        <v>15</v>
      </c>
      <c r="J2901">
        <v>15</v>
      </c>
      <c r="K2901">
        <v>0</v>
      </c>
      <c r="L2901">
        <v>704</v>
      </c>
      <c r="M2901">
        <v>45</v>
      </c>
      <c r="N2901" s="1">
        <f t="shared" si="360"/>
        <v>44938</v>
      </c>
      <c r="O2901" s="1">
        <f t="shared" si="361"/>
        <v>43101</v>
      </c>
      <c r="P2901" s="1">
        <f t="shared" si="362"/>
        <v>43678</v>
      </c>
      <c r="Q2901" s="8">
        <f t="shared" si="363"/>
        <v>0</v>
      </c>
      <c r="R2901" s="8">
        <f t="shared" si="364"/>
        <v>20</v>
      </c>
      <c r="S2901" s="8">
        <f t="shared" ca="1" si="365"/>
        <v>19</v>
      </c>
      <c r="T2901">
        <f t="shared" ca="1" si="366"/>
        <v>0.52</v>
      </c>
      <c r="U2901" s="8">
        <f t="shared" ca="1" si="367"/>
        <v>4.28</v>
      </c>
      <c r="V2901" s="9">
        <f ca="1">RawData[[#This Row],[Z (smoothed demand size)]]/RawData[[#This Row],[X (smoothed interval)]]</f>
        <v>0.12149532710280374</v>
      </c>
    </row>
    <row r="2902" spans="1:22">
      <c r="A2902" t="s">
        <v>59</v>
      </c>
      <c r="B2902" t="s">
        <v>60</v>
      </c>
      <c r="C2902">
        <v>32</v>
      </c>
      <c r="D2902" t="s">
        <v>18</v>
      </c>
      <c r="E2902" t="s">
        <v>16</v>
      </c>
      <c r="F2902" s="1">
        <v>43474</v>
      </c>
      <c r="G2902">
        <v>0</v>
      </c>
      <c r="H2902">
        <v>0</v>
      </c>
      <c r="I2902">
        <v>15</v>
      </c>
      <c r="J2902">
        <v>15</v>
      </c>
      <c r="K2902">
        <v>0</v>
      </c>
      <c r="L2902">
        <v>598</v>
      </c>
      <c r="M2902">
        <v>30</v>
      </c>
      <c r="N2902" s="1">
        <f t="shared" si="360"/>
        <v>44938</v>
      </c>
      <c r="O2902" s="1">
        <f t="shared" si="361"/>
        <v>43101</v>
      </c>
      <c r="P2902" s="1">
        <f t="shared" si="362"/>
        <v>43709</v>
      </c>
      <c r="Q2902" s="8">
        <f t="shared" si="363"/>
        <v>0</v>
      </c>
      <c r="R2902" s="8">
        <f t="shared" si="364"/>
        <v>21</v>
      </c>
      <c r="S2902" s="8">
        <f t="shared" ca="1" si="365"/>
        <v>19</v>
      </c>
      <c r="T2902">
        <f t="shared" ca="1" si="366"/>
        <v>0.52</v>
      </c>
      <c r="U2902" s="8">
        <f t="shared" ca="1" si="367"/>
        <v>4.28</v>
      </c>
      <c r="V2902" s="9">
        <f ca="1">RawData[[#This Row],[Z (smoothed demand size)]]/RawData[[#This Row],[X (smoothed interval)]]</f>
        <v>0.12149532710280374</v>
      </c>
    </row>
    <row r="2903" spans="1:22">
      <c r="A2903" t="s">
        <v>59</v>
      </c>
      <c r="B2903" t="s">
        <v>60</v>
      </c>
      <c r="C2903">
        <v>32</v>
      </c>
      <c r="D2903" t="s">
        <v>18</v>
      </c>
      <c r="E2903" t="s">
        <v>16</v>
      </c>
      <c r="F2903" s="1">
        <v>43475</v>
      </c>
      <c r="G2903">
        <v>0</v>
      </c>
      <c r="H2903">
        <v>0</v>
      </c>
      <c r="I2903">
        <v>15</v>
      </c>
      <c r="J2903">
        <v>15</v>
      </c>
      <c r="K2903">
        <v>0</v>
      </c>
      <c r="L2903">
        <v>603</v>
      </c>
      <c r="M2903">
        <v>45</v>
      </c>
      <c r="N2903" s="1">
        <f t="shared" si="360"/>
        <v>44938</v>
      </c>
      <c r="O2903" s="1">
        <f t="shared" si="361"/>
        <v>43101</v>
      </c>
      <c r="P2903" s="1">
        <f t="shared" si="362"/>
        <v>43739</v>
      </c>
      <c r="Q2903" s="8">
        <f t="shared" si="363"/>
        <v>0</v>
      </c>
      <c r="R2903" s="8">
        <f t="shared" si="364"/>
        <v>22</v>
      </c>
      <c r="S2903" s="8">
        <f t="shared" ca="1" si="365"/>
        <v>19</v>
      </c>
      <c r="T2903">
        <f t="shared" ca="1" si="366"/>
        <v>0.52</v>
      </c>
      <c r="U2903" s="8">
        <f t="shared" ca="1" si="367"/>
        <v>4.28</v>
      </c>
      <c r="V2903" s="9">
        <f ca="1">RawData[[#This Row],[Z (smoothed demand size)]]/RawData[[#This Row],[X (smoothed interval)]]</f>
        <v>0.12149532710280374</v>
      </c>
    </row>
    <row r="2904" spans="1:22">
      <c r="A2904" t="s">
        <v>59</v>
      </c>
      <c r="B2904" t="s">
        <v>60</v>
      </c>
      <c r="C2904">
        <v>32</v>
      </c>
      <c r="D2904" t="s">
        <v>18</v>
      </c>
      <c r="E2904" t="s">
        <v>16</v>
      </c>
      <c r="F2904" s="1">
        <v>43476</v>
      </c>
      <c r="G2904">
        <v>0</v>
      </c>
      <c r="H2904">
        <v>0</v>
      </c>
      <c r="I2904">
        <v>15</v>
      </c>
      <c r="J2904">
        <v>15</v>
      </c>
      <c r="K2904">
        <v>0</v>
      </c>
      <c r="L2904">
        <v>605</v>
      </c>
      <c r="M2904">
        <v>30</v>
      </c>
      <c r="N2904" s="1">
        <f t="shared" si="360"/>
        <v>44938</v>
      </c>
      <c r="O2904" s="1">
        <f t="shared" si="361"/>
        <v>43101</v>
      </c>
      <c r="P2904" s="1">
        <f t="shared" si="362"/>
        <v>43770</v>
      </c>
      <c r="Q2904" s="8">
        <f t="shared" si="363"/>
        <v>0</v>
      </c>
      <c r="R2904" s="8">
        <f t="shared" si="364"/>
        <v>23</v>
      </c>
      <c r="S2904" s="8">
        <f t="shared" ca="1" si="365"/>
        <v>19</v>
      </c>
      <c r="T2904">
        <f t="shared" ca="1" si="366"/>
        <v>0.52</v>
      </c>
      <c r="U2904" s="8">
        <f t="shared" ca="1" si="367"/>
        <v>4.28</v>
      </c>
      <c r="V2904" s="9">
        <f ca="1">RawData[[#This Row],[Z (smoothed demand size)]]/RawData[[#This Row],[X (smoothed interval)]]</f>
        <v>0.12149532710280374</v>
      </c>
    </row>
    <row r="2905" spans="1:22">
      <c r="A2905" t="s">
        <v>59</v>
      </c>
      <c r="B2905" t="s">
        <v>60</v>
      </c>
      <c r="C2905">
        <v>32</v>
      </c>
      <c r="D2905" t="s">
        <v>18</v>
      </c>
      <c r="E2905" t="s">
        <v>16</v>
      </c>
      <c r="F2905" s="1">
        <v>43477</v>
      </c>
      <c r="G2905">
        <v>0</v>
      </c>
      <c r="H2905">
        <v>0</v>
      </c>
      <c r="I2905">
        <v>15</v>
      </c>
      <c r="J2905">
        <v>15</v>
      </c>
      <c r="K2905">
        <v>0</v>
      </c>
      <c r="L2905">
        <v>698</v>
      </c>
      <c r="M2905">
        <v>15</v>
      </c>
      <c r="N2905" s="1">
        <f t="shared" si="360"/>
        <v>44938</v>
      </c>
      <c r="O2905" s="1">
        <f t="shared" si="361"/>
        <v>43101</v>
      </c>
      <c r="P2905" s="1">
        <f t="shared" si="362"/>
        <v>43800</v>
      </c>
      <c r="Q2905" s="8">
        <f t="shared" si="363"/>
        <v>0</v>
      </c>
      <c r="R2905" s="8">
        <f t="shared" si="364"/>
        <v>24</v>
      </c>
      <c r="S2905" s="8">
        <f t="shared" ca="1" si="365"/>
        <v>19</v>
      </c>
      <c r="T2905">
        <f t="shared" ca="1" si="366"/>
        <v>0.52</v>
      </c>
      <c r="U2905" s="8">
        <f t="shared" ca="1" si="367"/>
        <v>4.28</v>
      </c>
      <c r="V2905" s="9">
        <f ca="1">RawData[[#This Row],[Z (smoothed demand size)]]/RawData[[#This Row],[X (smoothed interval)]]</f>
        <v>0.12149532710280374</v>
      </c>
    </row>
    <row r="2906" spans="1:22">
      <c r="A2906" t="s">
        <v>59</v>
      </c>
      <c r="B2906" t="s">
        <v>60</v>
      </c>
      <c r="C2906">
        <v>32</v>
      </c>
      <c r="D2906" t="s">
        <v>18</v>
      </c>
      <c r="E2906" t="s">
        <v>16</v>
      </c>
      <c r="F2906" s="1">
        <v>43831</v>
      </c>
      <c r="G2906">
        <v>1</v>
      </c>
      <c r="H2906">
        <v>1</v>
      </c>
      <c r="I2906">
        <v>15</v>
      </c>
      <c r="J2906">
        <v>14</v>
      </c>
      <c r="K2906">
        <v>0</v>
      </c>
      <c r="L2906">
        <v>607</v>
      </c>
      <c r="M2906">
        <v>60</v>
      </c>
      <c r="N2906" s="1">
        <f t="shared" si="360"/>
        <v>44938</v>
      </c>
      <c r="O2906" s="1">
        <f t="shared" si="361"/>
        <v>43101</v>
      </c>
      <c r="P2906" s="1">
        <f t="shared" si="362"/>
        <v>43831</v>
      </c>
      <c r="Q2906" s="8">
        <f t="shared" si="363"/>
        <v>0</v>
      </c>
      <c r="R2906" s="8">
        <f t="shared" si="364"/>
        <v>25</v>
      </c>
      <c r="S2906" s="8">
        <f t="shared" ca="1" si="365"/>
        <v>25</v>
      </c>
      <c r="T2906">
        <f t="shared" ca="1" si="366"/>
        <v>0.6160000000000001</v>
      </c>
      <c r="U2906" s="8">
        <f t="shared" ca="1" si="367"/>
        <v>4.6240000000000006</v>
      </c>
      <c r="V2906" s="9">
        <f ca="1">RawData[[#This Row],[Z (smoothed demand size)]]/RawData[[#This Row],[X (smoothed interval)]]</f>
        <v>0.13321799307958479</v>
      </c>
    </row>
    <row r="2907" spans="1:22">
      <c r="A2907" t="s">
        <v>59</v>
      </c>
      <c r="B2907" t="s">
        <v>60</v>
      </c>
      <c r="C2907">
        <v>32</v>
      </c>
      <c r="D2907" t="s">
        <v>18</v>
      </c>
      <c r="E2907" t="s">
        <v>16</v>
      </c>
      <c r="F2907" s="1">
        <v>43832</v>
      </c>
      <c r="G2907">
        <v>1</v>
      </c>
      <c r="H2907">
        <v>1</v>
      </c>
      <c r="I2907">
        <v>14</v>
      </c>
      <c r="J2907">
        <v>13</v>
      </c>
      <c r="K2907">
        <v>0</v>
      </c>
      <c r="L2907">
        <v>601</v>
      </c>
      <c r="M2907">
        <v>30</v>
      </c>
      <c r="N2907" s="1">
        <f t="shared" si="360"/>
        <v>44938</v>
      </c>
      <c r="O2907" s="1">
        <f t="shared" si="361"/>
        <v>43101</v>
      </c>
      <c r="P2907" s="1">
        <f t="shared" si="362"/>
        <v>43862</v>
      </c>
      <c r="Q2907" s="8">
        <f t="shared" si="363"/>
        <v>0</v>
      </c>
      <c r="R2907" s="8">
        <f t="shared" si="364"/>
        <v>26</v>
      </c>
      <c r="S2907" s="8">
        <f t="shared" ca="1" si="365"/>
        <v>26</v>
      </c>
      <c r="T2907">
        <f t="shared" ca="1" si="366"/>
        <v>0.69280000000000008</v>
      </c>
      <c r="U2907" s="8">
        <f t="shared" ca="1" si="367"/>
        <v>3.8992000000000009</v>
      </c>
      <c r="V2907" s="9">
        <f ca="1">RawData[[#This Row],[Z (smoothed demand size)]]/RawData[[#This Row],[X (smoothed interval)]]</f>
        <v>0.17767747230201064</v>
      </c>
    </row>
    <row r="2908" spans="1:22">
      <c r="A2908" t="s">
        <v>59</v>
      </c>
      <c r="B2908" t="s">
        <v>60</v>
      </c>
      <c r="C2908">
        <v>32</v>
      </c>
      <c r="D2908" t="s">
        <v>18</v>
      </c>
      <c r="E2908" t="s">
        <v>16</v>
      </c>
      <c r="F2908" s="1">
        <v>43833</v>
      </c>
      <c r="G2908">
        <v>0</v>
      </c>
      <c r="H2908">
        <v>0</v>
      </c>
      <c r="I2908">
        <v>13</v>
      </c>
      <c r="J2908">
        <v>13</v>
      </c>
      <c r="K2908">
        <v>0</v>
      </c>
      <c r="L2908">
        <v>607</v>
      </c>
      <c r="M2908">
        <v>60</v>
      </c>
      <c r="N2908" s="1">
        <f t="shared" si="360"/>
        <v>44938</v>
      </c>
      <c r="O2908" s="1">
        <f t="shared" si="361"/>
        <v>43101</v>
      </c>
      <c r="P2908" s="1">
        <f t="shared" si="362"/>
        <v>43891</v>
      </c>
      <c r="Q2908" s="8">
        <f t="shared" si="363"/>
        <v>0</v>
      </c>
      <c r="R2908" s="8">
        <f t="shared" si="364"/>
        <v>27</v>
      </c>
      <c r="S2908" s="8">
        <f t="shared" ca="1" si="365"/>
        <v>26</v>
      </c>
      <c r="T2908">
        <f t="shared" ca="1" si="366"/>
        <v>0.69280000000000008</v>
      </c>
      <c r="U2908" s="8">
        <f t="shared" ca="1" si="367"/>
        <v>3.8992000000000009</v>
      </c>
      <c r="V2908" s="9">
        <f ca="1">RawData[[#This Row],[Z (smoothed demand size)]]/RawData[[#This Row],[X (smoothed interval)]]</f>
        <v>0.17767747230201064</v>
      </c>
    </row>
    <row r="2909" spans="1:22">
      <c r="A2909" t="s">
        <v>59</v>
      </c>
      <c r="B2909" t="s">
        <v>60</v>
      </c>
      <c r="C2909">
        <v>32</v>
      </c>
      <c r="D2909" t="s">
        <v>18</v>
      </c>
      <c r="E2909" t="s">
        <v>16</v>
      </c>
      <c r="F2909" s="1">
        <v>43834</v>
      </c>
      <c r="G2909">
        <v>0</v>
      </c>
      <c r="H2909">
        <v>0</v>
      </c>
      <c r="I2909">
        <v>13</v>
      </c>
      <c r="J2909">
        <v>13</v>
      </c>
      <c r="K2909">
        <v>0</v>
      </c>
      <c r="L2909">
        <v>593</v>
      </c>
      <c r="M2909">
        <v>15</v>
      </c>
      <c r="N2909" s="1">
        <f t="shared" si="360"/>
        <v>44938</v>
      </c>
      <c r="O2909" s="1">
        <f t="shared" si="361"/>
        <v>43101</v>
      </c>
      <c r="P2909" s="1">
        <f t="shared" si="362"/>
        <v>43922</v>
      </c>
      <c r="Q2909" s="8">
        <f t="shared" si="363"/>
        <v>0</v>
      </c>
      <c r="R2909" s="8">
        <f t="shared" si="364"/>
        <v>28</v>
      </c>
      <c r="S2909" s="8">
        <f t="shared" ca="1" si="365"/>
        <v>26</v>
      </c>
      <c r="T2909">
        <f t="shared" ca="1" si="366"/>
        <v>0.69280000000000008</v>
      </c>
      <c r="U2909" s="8">
        <f t="shared" ca="1" si="367"/>
        <v>3.8992000000000009</v>
      </c>
      <c r="V2909" s="9">
        <f ca="1">RawData[[#This Row],[Z (smoothed demand size)]]/RawData[[#This Row],[X (smoothed interval)]]</f>
        <v>0.17767747230201064</v>
      </c>
    </row>
    <row r="2910" spans="1:22">
      <c r="A2910" t="s">
        <v>59</v>
      </c>
      <c r="B2910" t="s">
        <v>60</v>
      </c>
      <c r="C2910">
        <v>32</v>
      </c>
      <c r="D2910" t="s">
        <v>18</v>
      </c>
      <c r="E2910" t="s">
        <v>16</v>
      </c>
      <c r="F2910" s="1">
        <v>43835</v>
      </c>
      <c r="G2910">
        <v>0</v>
      </c>
      <c r="H2910">
        <v>0</v>
      </c>
      <c r="I2910">
        <v>13</v>
      </c>
      <c r="J2910">
        <v>13</v>
      </c>
      <c r="K2910">
        <v>0</v>
      </c>
      <c r="L2910">
        <v>603</v>
      </c>
      <c r="M2910">
        <v>45</v>
      </c>
      <c r="N2910" s="1">
        <f t="shared" si="360"/>
        <v>44938</v>
      </c>
      <c r="O2910" s="1">
        <f t="shared" si="361"/>
        <v>43101</v>
      </c>
      <c r="P2910" s="1">
        <f t="shared" si="362"/>
        <v>43952</v>
      </c>
      <c r="Q2910" s="8">
        <f t="shared" si="363"/>
        <v>0</v>
      </c>
      <c r="R2910" s="8">
        <f t="shared" si="364"/>
        <v>29</v>
      </c>
      <c r="S2910" s="8">
        <f t="shared" ca="1" si="365"/>
        <v>26</v>
      </c>
      <c r="T2910">
        <f t="shared" ca="1" si="366"/>
        <v>0.69280000000000008</v>
      </c>
      <c r="U2910" s="8">
        <f t="shared" ca="1" si="367"/>
        <v>3.8992000000000009</v>
      </c>
      <c r="V2910" s="9">
        <f ca="1">RawData[[#This Row],[Z (smoothed demand size)]]/RawData[[#This Row],[X (smoothed interval)]]</f>
        <v>0.17767747230201064</v>
      </c>
    </row>
    <row r="2911" spans="1:22">
      <c r="A2911" t="s">
        <v>59</v>
      </c>
      <c r="B2911" t="s">
        <v>60</v>
      </c>
      <c r="C2911">
        <v>32</v>
      </c>
      <c r="D2911" t="s">
        <v>18</v>
      </c>
      <c r="E2911" t="s">
        <v>16</v>
      </c>
      <c r="F2911" s="1">
        <v>43836</v>
      </c>
      <c r="G2911">
        <v>0</v>
      </c>
      <c r="H2911">
        <v>0</v>
      </c>
      <c r="I2911">
        <v>13</v>
      </c>
      <c r="J2911">
        <v>13</v>
      </c>
      <c r="K2911">
        <v>0</v>
      </c>
      <c r="L2911">
        <v>679</v>
      </c>
      <c r="M2911">
        <v>30</v>
      </c>
      <c r="N2911" s="1">
        <f t="shared" si="360"/>
        <v>44938</v>
      </c>
      <c r="O2911" s="1">
        <f t="shared" si="361"/>
        <v>43101</v>
      </c>
      <c r="P2911" s="1">
        <f t="shared" si="362"/>
        <v>43983</v>
      </c>
      <c r="Q2911" s="8">
        <f t="shared" si="363"/>
        <v>0</v>
      </c>
      <c r="R2911" s="8">
        <f t="shared" si="364"/>
        <v>30</v>
      </c>
      <c r="S2911" s="8">
        <f t="shared" ca="1" si="365"/>
        <v>26</v>
      </c>
      <c r="T2911">
        <f t="shared" ca="1" si="366"/>
        <v>0.69280000000000008</v>
      </c>
      <c r="U2911" s="8">
        <f t="shared" ca="1" si="367"/>
        <v>3.8992000000000009</v>
      </c>
      <c r="V2911" s="9">
        <f ca="1">RawData[[#This Row],[Z (smoothed demand size)]]/RawData[[#This Row],[X (smoothed interval)]]</f>
        <v>0.17767747230201064</v>
      </c>
    </row>
    <row r="2912" spans="1:22">
      <c r="A2912" t="s">
        <v>59</v>
      </c>
      <c r="B2912" t="s">
        <v>60</v>
      </c>
      <c r="C2912">
        <v>32</v>
      </c>
      <c r="D2912" t="s">
        <v>18</v>
      </c>
      <c r="E2912" t="s">
        <v>16</v>
      </c>
      <c r="F2912" s="1">
        <v>43837</v>
      </c>
      <c r="G2912">
        <v>0</v>
      </c>
      <c r="H2912">
        <v>0</v>
      </c>
      <c r="I2912">
        <v>13</v>
      </c>
      <c r="J2912">
        <v>13</v>
      </c>
      <c r="K2912">
        <v>0</v>
      </c>
      <c r="L2912">
        <v>690</v>
      </c>
      <c r="M2912">
        <v>30</v>
      </c>
      <c r="N2912" s="1">
        <f t="shared" si="360"/>
        <v>44938</v>
      </c>
      <c r="O2912" s="1">
        <f t="shared" si="361"/>
        <v>43101</v>
      </c>
      <c r="P2912" s="1">
        <f t="shared" si="362"/>
        <v>44013</v>
      </c>
      <c r="Q2912" s="8">
        <f t="shared" si="363"/>
        <v>0</v>
      </c>
      <c r="R2912" s="8">
        <f t="shared" si="364"/>
        <v>31</v>
      </c>
      <c r="S2912" s="8">
        <f t="shared" ca="1" si="365"/>
        <v>26</v>
      </c>
      <c r="T2912">
        <f t="shared" ca="1" si="366"/>
        <v>0.69280000000000008</v>
      </c>
      <c r="U2912" s="8">
        <f t="shared" ca="1" si="367"/>
        <v>3.8992000000000009</v>
      </c>
      <c r="V2912" s="9">
        <f ca="1">RawData[[#This Row],[Z (smoothed demand size)]]/RawData[[#This Row],[X (smoothed interval)]]</f>
        <v>0.17767747230201064</v>
      </c>
    </row>
    <row r="2913" spans="1:22">
      <c r="A2913" t="s">
        <v>59</v>
      </c>
      <c r="B2913" t="s">
        <v>60</v>
      </c>
      <c r="C2913">
        <v>32</v>
      </c>
      <c r="D2913" t="s">
        <v>18</v>
      </c>
      <c r="E2913" t="s">
        <v>16</v>
      </c>
      <c r="F2913" s="1">
        <v>43838</v>
      </c>
      <c r="G2913">
        <v>0</v>
      </c>
      <c r="H2913">
        <v>0</v>
      </c>
      <c r="I2913">
        <v>13</v>
      </c>
      <c r="J2913">
        <v>13</v>
      </c>
      <c r="K2913">
        <v>0</v>
      </c>
      <c r="L2913">
        <v>709</v>
      </c>
      <c r="M2913">
        <v>60</v>
      </c>
      <c r="N2913" s="1">
        <f t="shared" si="360"/>
        <v>44938</v>
      </c>
      <c r="O2913" s="1">
        <f t="shared" si="361"/>
        <v>43101</v>
      </c>
      <c r="P2913" s="1">
        <f t="shared" si="362"/>
        <v>44044</v>
      </c>
      <c r="Q2913" s="8">
        <f t="shared" si="363"/>
        <v>0</v>
      </c>
      <c r="R2913" s="8">
        <f t="shared" si="364"/>
        <v>32</v>
      </c>
      <c r="S2913" s="8">
        <f t="shared" ca="1" si="365"/>
        <v>26</v>
      </c>
      <c r="T2913">
        <f t="shared" ca="1" si="366"/>
        <v>0.69280000000000008</v>
      </c>
      <c r="U2913" s="8">
        <f t="shared" ca="1" si="367"/>
        <v>3.8992000000000009</v>
      </c>
      <c r="V2913" s="9">
        <f ca="1">RawData[[#This Row],[Z (smoothed demand size)]]/RawData[[#This Row],[X (smoothed interval)]]</f>
        <v>0.17767747230201064</v>
      </c>
    </row>
    <row r="2914" spans="1:22">
      <c r="A2914" t="s">
        <v>59</v>
      </c>
      <c r="B2914" t="s">
        <v>60</v>
      </c>
      <c r="C2914">
        <v>32</v>
      </c>
      <c r="D2914" t="s">
        <v>18</v>
      </c>
      <c r="E2914" t="s">
        <v>16</v>
      </c>
      <c r="F2914" s="1">
        <v>43839</v>
      </c>
      <c r="G2914">
        <v>0</v>
      </c>
      <c r="H2914">
        <v>0</v>
      </c>
      <c r="I2914">
        <v>13</v>
      </c>
      <c r="J2914">
        <v>13</v>
      </c>
      <c r="K2914">
        <v>0</v>
      </c>
      <c r="L2914">
        <v>603</v>
      </c>
      <c r="M2914">
        <v>15</v>
      </c>
      <c r="N2914" s="1">
        <f t="shared" si="360"/>
        <v>44938</v>
      </c>
      <c r="O2914" s="1">
        <f t="shared" si="361"/>
        <v>43101</v>
      </c>
      <c r="P2914" s="1">
        <f t="shared" si="362"/>
        <v>44075</v>
      </c>
      <c r="Q2914" s="8">
        <f t="shared" si="363"/>
        <v>0</v>
      </c>
      <c r="R2914" s="8">
        <f t="shared" si="364"/>
        <v>33</v>
      </c>
      <c r="S2914" s="8">
        <f t="shared" ca="1" si="365"/>
        <v>26</v>
      </c>
      <c r="T2914">
        <f t="shared" ca="1" si="366"/>
        <v>0.69280000000000008</v>
      </c>
      <c r="U2914" s="8">
        <f t="shared" ca="1" si="367"/>
        <v>3.8992000000000009</v>
      </c>
      <c r="V2914" s="9">
        <f ca="1">RawData[[#This Row],[Z (smoothed demand size)]]/RawData[[#This Row],[X (smoothed interval)]]</f>
        <v>0.17767747230201064</v>
      </c>
    </row>
    <row r="2915" spans="1:22">
      <c r="A2915" t="s">
        <v>59</v>
      </c>
      <c r="B2915" t="s">
        <v>60</v>
      </c>
      <c r="C2915">
        <v>32</v>
      </c>
      <c r="D2915" t="s">
        <v>18</v>
      </c>
      <c r="E2915" t="s">
        <v>16</v>
      </c>
      <c r="F2915" s="1">
        <v>43840</v>
      </c>
      <c r="G2915">
        <v>0</v>
      </c>
      <c r="H2915">
        <v>0</v>
      </c>
      <c r="I2915">
        <v>13</v>
      </c>
      <c r="J2915">
        <v>13</v>
      </c>
      <c r="K2915">
        <v>0</v>
      </c>
      <c r="L2915">
        <v>599</v>
      </c>
      <c r="M2915">
        <v>45</v>
      </c>
      <c r="N2915" s="1">
        <f t="shared" si="360"/>
        <v>44938</v>
      </c>
      <c r="O2915" s="1">
        <f t="shared" si="361"/>
        <v>43101</v>
      </c>
      <c r="P2915" s="1">
        <f t="shared" si="362"/>
        <v>44105</v>
      </c>
      <c r="Q2915" s="8">
        <f t="shared" si="363"/>
        <v>0</v>
      </c>
      <c r="R2915" s="8">
        <f t="shared" si="364"/>
        <v>34</v>
      </c>
      <c r="S2915" s="8">
        <f t="shared" ca="1" si="365"/>
        <v>26</v>
      </c>
      <c r="T2915">
        <f t="shared" ca="1" si="366"/>
        <v>0.69280000000000008</v>
      </c>
      <c r="U2915" s="8">
        <f t="shared" ca="1" si="367"/>
        <v>3.8992000000000009</v>
      </c>
      <c r="V2915" s="9">
        <f ca="1">RawData[[#This Row],[Z (smoothed demand size)]]/RawData[[#This Row],[X (smoothed interval)]]</f>
        <v>0.17767747230201064</v>
      </c>
    </row>
    <row r="2916" spans="1:22">
      <c r="A2916" t="s">
        <v>59</v>
      </c>
      <c r="B2916" t="s">
        <v>60</v>
      </c>
      <c r="C2916">
        <v>32</v>
      </c>
      <c r="D2916" t="s">
        <v>18</v>
      </c>
      <c r="E2916" t="s">
        <v>16</v>
      </c>
      <c r="F2916" s="1">
        <v>43841</v>
      </c>
      <c r="G2916">
        <v>1</v>
      </c>
      <c r="H2916">
        <v>1</v>
      </c>
      <c r="I2916">
        <v>13</v>
      </c>
      <c r="J2916">
        <v>12</v>
      </c>
      <c r="K2916">
        <v>0</v>
      </c>
      <c r="L2916">
        <v>605</v>
      </c>
      <c r="M2916">
        <v>30</v>
      </c>
      <c r="N2916" s="1">
        <f t="shared" si="360"/>
        <v>44938</v>
      </c>
      <c r="O2916" s="1">
        <f t="shared" si="361"/>
        <v>43101</v>
      </c>
      <c r="P2916" s="1">
        <f t="shared" si="362"/>
        <v>44136</v>
      </c>
      <c r="Q2916" s="8">
        <f t="shared" si="363"/>
        <v>0</v>
      </c>
      <c r="R2916" s="8">
        <f t="shared" si="364"/>
        <v>35</v>
      </c>
      <c r="S2916" s="8">
        <f t="shared" ca="1" si="365"/>
        <v>35</v>
      </c>
      <c r="T2916">
        <f t="shared" ca="1" si="366"/>
        <v>0.75424000000000002</v>
      </c>
      <c r="U2916" s="8">
        <f t="shared" ca="1" si="367"/>
        <v>4.9193600000000011</v>
      </c>
      <c r="V2916" s="9">
        <f ca="1">RawData[[#This Row],[Z (smoothed demand size)]]/RawData[[#This Row],[X (smoothed interval)]]</f>
        <v>0.15332075717166457</v>
      </c>
    </row>
    <row r="2917" spans="1:22">
      <c r="A2917" t="s">
        <v>59</v>
      </c>
      <c r="B2917" t="s">
        <v>60</v>
      </c>
      <c r="C2917">
        <v>32</v>
      </c>
      <c r="D2917" t="s">
        <v>18</v>
      </c>
      <c r="E2917" t="s">
        <v>16</v>
      </c>
      <c r="F2917" s="1">
        <v>43842</v>
      </c>
      <c r="G2917">
        <v>0</v>
      </c>
      <c r="H2917">
        <v>0</v>
      </c>
      <c r="I2917">
        <v>12</v>
      </c>
      <c r="J2917">
        <v>12</v>
      </c>
      <c r="K2917">
        <v>0</v>
      </c>
      <c r="L2917">
        <v>692</v>
      </c>
      <c r="M2917">
        <v>60</v>
      </c>
      <c r="N2917" s="1">
        <f t="shared" si="360"/>
        <v>44938</v>
      </c>
      <c r="O2917" s="1">
        <f t="shared" si="361"/>
        <v>43101</v>
      </c>
      <c r="P2917" s="1">
        <f t="shared" si="362"/>
        <v>44166</v>
      </c>
      <c r="Q2917" s="8">
        <f t="shared" si="363"/>
        <v>0</v>
      </c>
      <c r="R2917" s="8">
        <f t="shared" si="364"/>
        <v>36</v>
      </c>
      <c r="S2917" s="8">
        <f t="shared" ca="1" si="365"/>
        <v>35</v>
      </c>
      <c r="T2917">
        <f t="shared" ca="1" si="366"/>
        <v>0.75424000000000002</v>
      </c>
      <c r="U2917" s="8">
        <f t="shared" ca="1" si="367"/>
        <v>4.9193600000000011</v>
      </c>
      <c r="V2917" s="9">
        <f ca="1">RawData[[#This Row],[Z (smoothed demand size)]]/RawData[[#This Row],[X (smoothed interval)]]</f>
        <v>0.15332075717166457</v>
      </c>
    </row>
    <row r="2918" spans="1:22">
      <c r="A2918" t="s">
        <v>59</v>
      </c>
      <c r="B2918" t="s">
        <v>60</v>
      </c>
      <c r="C2918">
        <v>32</v>
      </c>
      <c r="D2918" t="s">
        <v>18</v>
      </c>
      <c r="E2918" t="s">
        <v>16</v>
      </c>
      <c r="F2918" s="1">
        <v>44197</v>
      </c>
      <c r="G2918">
        <v>0</v>
      </c>
      <c r="H2918">
        <v>0</v>
      </c>
      <c r="I2918">
        <v>12</v>
      </c>
      <c r="J2918">
        <v>12</v>
      </c>
      <c r="K2918">
        <v>0</v>
      </c>
      <c r="L2918">
        <v>593</v>
      </c>
      <c r="M2918">
        <v>15</v>
      </c>
      <c r="N2918" s="1">
        <f t="shared" si="360"/>
        <v>44938</v>
      </c>
      <c r="O2918" s="1">
        <f t="shared" si="361"/>
        <v>43101</v>
      </c>
      <c r="P2918" s="1">
        <f t="shared" si="362"/>
        <v>44197</v>
      </c>
      <c r="Q2918" s="8">
        <f t="shared" si="363"/>
        <v>0</v>
      </c>
      <c r="R2918" s="8">
        <f t="shared" si="364"/>
        <v>37</v>
      </c>
      <c r="S2918" s="8">
        <f t="shared" ca="1" si="365"/>
        <v>35</v>
      </c>
      <c r="T2918">
        <f t="shared" ca="1" si="366"/>
        <v>0.75424000000000002</v>
      </c>
      <c r="U2918" s="8">
        <f t="shared" ca="1" si="367"/>
        <v>4.9193600000000011</v>
      </c>
      <c r="V2918" s="9">
        <f ca="1">RawData[[#This Row],[Z (smoothed demand size)]]/RawData[[#This Row],[X (smoothed interval)]]</f>
        <v>0.15332075717166457</v>
      </c>
    </row>
    <row r="2919" spans="1:22">
      <c r="A2919" t="s">
        <v>59</v>
      </c>
      <c r="B2919" t="s">
        <v>60</v>
      </c>
      <c r="C2919">
        <v>32</v>
      </c>
      <c r="D2919" t="s">
        <v>18</v>
      </c>
      <c r="E2919" t="s">
        <v>16</v>
      </c>
      <c r="F2919" s="1">
        <v>44198</v>
      </c>
      <c r="G2919">
        <v>0</v>
      </c>
      <c r="H2919">
        <v>0</v>
      </c>
      <c r="I2919">
        <v>12</v>
      </c>
      <c r="J2919">
        <v>12</v>
      </c>
      <c r="K2919">
        <v>0</v>
      </c>
      <c r="L2919">
        <v>589</v>
      </c>
      <c r="M2919">
        <v>60</v>
      </c>
      <c r="N2919" s="1">
        <f t="shared" si="360"/>
        <v>44938</v>
      </c>
      <c r="O2919" s="1">
        <f t="shared" si="361"/>
        <v>43101</v>
      </c>
      <c r="P2919" s="1">
        <f t="shared" si="362"/>
        <v>44228</v>
      </c>
      <c r="Q2919" s="8">
        <f t="shared" si="363"/>
        <v>0</v>
      </c>
      <c r="R2919" s="8">
        <f t="shared" si="364"/>
        <v>38</v>
      </c>
      <c r="S2919" s="8">
        <f t="shared" ca="1" si="365"/>
        <v>35</v>
      </c>
      <c r="T2919">
        <f t="shared" ca="1" si="366"/>
        <v>0.75424000000000002</v>
      </c>
      <c r="U2919" s="8">
        <f t="shared" ca="1" si="367"/>
        <v>4.9193600000000011</v>
      </c>
      <c r="V2919" s="9">
        <f ca="1">RawData[[#This Row],[Z (smoothed demand size)]]/RawData[[#This Row],[X (smoothed interval)]]</f>
        <v>0.15332075717166457</v>
      </c>
    </row>
    <row r="2920" spans="1:22">
      <c r="A2920" t="s">
        <v>59</v>
      </c>
      <c r="B2920" t="s">
        <v>60</v>
      </c>
      <c r="C2920">
        <v>32</v>
      </c>
      <c r="D2920" t="s">
        <v>18</v>
      </c>
      <c r="E2920" t="s">
        <v>16</v>
      </c>
      <c r="F2920" s="1">
        <v>44199</v>
      </c>
      <c r="G2920">
        <v>0</v>
      </c>
      <c r="H2920">
        <v>0</v>
      </c>
      <c r="I2920">
        <v>12</v>
      </c>
      <c r="J2920">
        <v>12</v>
      </c>
      <c r="K2920">
        <v>0</v>
      </c>
      <c r="L2920">
        <v>600</v>
      </c>
      <c r="M2920">
        <v>60</v>
      </c>
      <c r="N2920" s="1">
        <f t="shared" si="360"/>
        <v>44938</v>
      </c>
      <c r="O2920" s="1">
        <f t="shared" si="361"/>
        <v>43101</v>
      </c>
      <c r="P2920" s="1">
        <f t="shared" si="362"/>
        <v>44256</v>
      </c>
      <c r="Q2920" s="8">
        <f t="shared" si="363"/>
        <v>0</v>
      </c>
      <c r="R2920" s="8">
        <f t="shared" si="364"/>
        <v>39</v>
      </c>
      <c r="S2920" s="8">
        <f t="shared" ca="1" si="365"/>
        <v>35</v>
      </c>
      <c r="T2920">
        <f t="shared" ca="1" si="366"/>
        <v>0.75424000000000002</v>
      </c>
      <c r="U2920" s="8">
        <f t="shared" ca="1" si="367"/>
        <v>4.9193600000000011</v>
      </c>
      <c r="V2920" s="9">
        <f ca="1">RawData[[#This Row],[Z (smoothed demand size)]]/RawData[[#This Row],[X (smoothed interval)]]</f>
        <v>0.15332075717166457</v>
      </c>
    </row>
    <row r="2921" spans="1:22">
      <c r="A2921" t="s">
        <v>59</v>
      </c>
      <c r="B2921" t="s">
        <v>60</v>
      </c>
      <c r="C2921">
        <v>32</v>
      </c>
      <c r="D2921" t="s">
        <v>18</v>
      </c>
      <c r="E2921" t="s">
        <v>16</v>
      </c>
      <c r="F2921" s="1">
        <v>44200</v>
      </c>
      <c r="G2921">
        <v>0</v>
      </c>
      <c r="H2921">
        <v>0</v>
      </c>
      <c r="I2921">
        <v>12</v>
      </c>
      <c r="J2921">
        <v>12</v>
      </c>
      <c r="K2921">
        <v>0</v>
      </c>
      <c r="L2921">
        <v>599</v>
      </c>
      <c r="M2921">
        <v>15</v>
      </c>
      <c r="N2921" s="1">
        <f t="shared" si="360"/>
        <v>44938</v>
      </c>
      <c r="O2921" s="1">
        <f t="shared" si="361"/>
        <v>43101</v>
      </c>
      <c r="P2921" s="1">
        <f t="shared" si="362"/>
        <v>44287</v>
      </c>
      <c r="Q2921" s="8">
        <f t="shared" si="363"/>
        <v>0</v>
      </c>
      <c r="R2921" s="8">
        <f t="shared" si="364"/>
        <v>40</v>
      </c>
      <c r="S2921" s="8">
        <f t="shared" ca="1" si="365"/>
        <v>35</v>
      </c>
      <c r="T2921">
        <f t="shared" ca="1" si="366"/>
        <v>0.75424000000000002</v>
      </c>
      <c r="U2921" s="8">
        <f t="shared" ca="1" si="367"/>
        <v>4.9193600000000011</v>
      </c>
      <c r="V2921" s="9">
        <f ca="1">RawData[[#This Row],[Z (smoothed demand size)]]/RawData[[#This Row],[X (smoothed interval)]]</f>
        <v>0.15332075717166457</v>
      </c>
    </row>
    <row r="2922" spans="1:22">
      <c r="A2922" t="s">
        <v>59</v>
      </c>
      <c r="B2922" t="s">
        <v>60</v>
      </c>
      <c r="C2922">
        <v>32</v>
      </c>
      <c r="D2922" t="s">
        <v>18</v>
      </c>
      <c r="E2922" t="s">
        <v>16</v>
      </c>
      <c r="F2922" s="1">
        <v>44201</v>
      </c>
      <c r="G2922">
        <v>0</v>
      </c>
      <c r="H2922">
        <v>0</v>
      </c>
      <c r="I2922">
        <v>12</v>
      </c>
      <c r="J2922">
        <v>12</v>
      </c>
      <c r="K2922">
        <v>0</v>
      </c>
      <c r="L2922">
        <v>598</v>
      </c>
      <c r="M2922">
        <v>45</v>
      </c>
      <c r="N2922" s="1">
        <f t="shared" si="360"/>
        <v>44938</v>
      </c>
      <c r="O2922" s="1">
        <f t="shared" si="361"/>
        <v>43101</v>
      </c>
      <c r="P2922" s="1">
        <f t="shared" si="362"/>
        <v>44317</v>
      </c>
      <c r="Q2922" s="8">
        <f t="shared" si="363"/>
        <v>0</v>
      </c>
      <c r="R2922" s="8">
        <f t="shared" si="364"/>
        <v>41</v>
      </c>
      <c r="S2922" s="8">
        <f t="shared" ca="1" si="365"/>
        <v>35</v>
      </c>
      <c r="T2922">
        <f t="shared" ca="1" si="366"/>
        <v>0.75424000000000002</v>
      </c>
      <c r="U2922" s="8">
        <f t="shared" ca="1" si="367"/>
        <v>4.9193600000000011</v>
      </c>
      <c r="V2922" s="9">
        <f ca="1">RawData[[#This Row],[Z (smoothed demand size)]]/RawData[[#This Row],[X (smoothed interval)]]</f>
        <v>0.15332075717166457</v>
      </c>
    </row>
    <row r="2923" spans="1:22">
      <c r="A2923" t="s">
        <v>59</v>
      </c>
      <c r="B2923" t="s">
        <v>60</v>
      </c>
      <c r="C2923">
        <v>32</v>
      </c>
      <c r="D2923" t="s">
        <v>18</v>
      </c>
      <c r="E2923" t="s">
        <v>16</v>
      </c>
      <c r="F2923" s="1">
        <v>44202</v>
      </c>
      <c r="G2923">
        <v>0</v>
      </c>
      <c r="H2923">
        <v>0</v>
      </c>
      <c r="I2923">
        <v>12</v>
      </c>
      <c r="J2923">
        <v>12</v>
      </c>
      <c r="K2923">
        <v>0</v>
      </c>
      <c r="L2923">
        <v>696</v>
      </c>
      <c r="M2923">
        <v>60</v>
      </c>
      <c r="N2923" s="1">
        <f t="shared" si="360"/>
        <v>44938</v>
      </c>
      <c r="O2923" s="1">
        <f t="shared" si="361"/>
        <v>43101</v>
      </c>
      <c r="P2923" s="1">
        <f t="shared" si="362"/>
        <v>44348</v>
      </c>
      <c r="Q2923" s="8">
        <f t="shared" si="363"/>
        <v>0</v>
      </c>
      <c r="R2923" s="8">
        <f t="shared" si="364"/>
        <v>42</v>
      </c>
      <c r="S2923" s="8">
        <f t="shared" ca="1" si="365"/>
        <v>35</v>
      </c>
      <c r="T2923">
        <f t="shared" ca="1" si="366"/>
        <v>0.75424000000000002</v>
      </c>
      <c r="U2923" s="8">
        <f t="shared" ca="1" si="367"/>
        <v>4.9193600000000011</v>
      </c>
      <c r="V2923" s="9">
        <f ca="1">RawData[[#This Row],[Z (smoothed demand size)]]/RawData[[#This Row],[X (smoothed interval)]]</f>
        <v>0.15332075717166457</v>
      </c>
    </row>
    <row r="2924" spans="1:22">
      <c r="A2924" t="s">
        <v>59</v>
      </c>
      <c r="B2924" t="s">
        <v>60</v>
      </c>
      <c r="C2924">
        <v>32</v>
      </c>
      <c r="D2924" t="s">
        <v>18</v>
      </c>
      <c r="E2924" t="s">
        <v>16</v>
      </c>
      <c r="F2924" s="1">
        <v>44203</v>
      </c>
      <c r="G2924">
        <v>0</v>
      </c>
      <c r="H2924">
        <v>0</v>
      </c>
      <c r="I2924">
        <v>12</v>
      </c>
      <c r="J2924">
        <v>12</v>
      </c>
      <c r="K2924">
        <v>0</v>
      </c>
      <c r="L2924">
        <v>700</v>
      </c>
      <c r="M2924">
        <v>60</v>
      </c>
      <c r="N2924" s="1">
        <f t="shared" si="360"/>
        <v>44938</v>
      </c>
      <c r="O2924" s="1">
        <f t="shared" si="361"/>
        <v>43101</v>
      </c>
      <c r="P2924" s="1">
        <f t="shared" si="362"/>
        <v>44378</v>
      </c>
      <c r="Q2924" s="8">
        <f t="shared" si="363"/>
        <v>0</v>
      </c>
      <c r="R2924" s="8">
        <f t="shared" si="364"/>
        <v>43</v>
      </c>
      <c r="S2924" s="8">
        <f t="shared" ca="1" si="365"/>
        <v>35</v>
      </c>
      <c r="T2924">
        <f t="shared" ca="1" si="366"/>
        <v>0.75424000000000002</v>
      </c>
      <c r="U2924" s="8">
        <f t="shared" ca="1" si="367"/>
        <v>4.9193600000000011</v>
      </c>
      <c r="V2924" s="9">
        <f ca="1">RawData[[#This Row],[Z (smoothed demand size)]]/RawData[[#This Row],[X (smoothed interval)]]</f>
        <v>0.15332075717166457</v>
      </c>
    </row>
    <row r="2925" spans="1:22">
      <c r="A2925" t="s">
        <v>59</v>
      </c>
      <c r="B2925" t="s">
        <v>60</v>
      </c>
      <c r="C2925">
        <v>32</v>
      </c>
      <c r="D2925" t="s">
        <v>18</v>
      </c>
      <c r="E2925" t="s">
        <v>16</v>
      </c>
      <c r="F2925" s="1">
        <v>44204</v>
      </c>
      <c r="G2925">
        <v>2</v>
      </c>
      <c r="H2925">
        <v>2</v>
      </c>
      <c r="I2925">
        <v>12</v>
      </c>
      <c r="J2925">
        <v>10</v>
      </c>
      <c r="K2925">
        <v>0</v>
      </c>
      <c r="L2925">
        <v>695</v>
      </c>
      <c r="M2925">
        <v>30</v>
      </c>
      <c r="N2925" s="1">
        <f t="shared" si="360"/>
        <v>44938</v>
      </c>
      <c r="O2925" s="1">
        <f t="shared" si="361"/>
        <v>43101</v>
      </c>
      <c r="P2925" s="1">
        <f t="shared" si="362"/>
        <v>44409</v>
      </c>
      <c r="Q2925" s="8">
        <f t="shared" si="363"/>
        <v>0</v>
      </c>
      <c r="R2925" s="8">
        <f t="shared" si="364"/>
        <v>44</v>
      </c>
      <c r="S2925" s="8">
        <f t="shared" ca="1" si="365"/>
        <v>44</v>
      </c>
      <c r="T2925">
        <f t="shared" ca="1" si="366"/>
        <v>1.0033920000000001</v>
      </c>
      <c r="U2925" s="8">
        <f t="shared" ca="1" si="367"/>
        <v>5.735488000000001</v>
      </c>
      <c r="V2925" s="9">
        <f ca="1">RawData[[#This Row],[Z (smoothed demand size)]]/RawData[[#This Row],[X (smoothed interval)]]</f>
        <v>0.17494448597922266</v>
      </c>
    </row>
    <row r="2926" spans="1:22">
      <c r="A2926" t="s">
        <v>59</v>
      </c>
      <c r="B2926" t="s">
        <v>60</v>
      </c>
      <c r="C2926">
        <v>32</v>
      </c>
      <c r="D2926" t="s">
        <v>18</v>
      </c>
      <c r="E2926" t="s">
        <v>16</v>
      </c>
      <c r="F2926" s="1">
        <v>44205</v>
      </c>
      <c r="G2926">
        <v>0</v>
      </c>
      <c r="H2926">
        <v>0</v>
      </c>
      <c r="I2926">
        <v>10</v>
      </c>
      <c r="J2926">
        <v>10</v>
      </c>
      <c r="K2926">
        <v>0</v>
      </c>
      <c r="L2926">
        <v>598</v>
      </c>
      <c r="M2926">
        <v>30</v>
      </c>
      <c r="N2926" s="1">
        <f t="shared" si="360"/>
        <v>44938</v>
      </c>
      <c r="O2926" s="1">
        <f t="shared" si="361"/>
        <v>43101</v>
      </c>
      <c r="P2926" s="1">
        <f t="shared" si="362"/>
        <v>44440</v>
      </c>
      <c r="Q2926" s="8">
        <f t="shared" si="363"/>
        <v>0</v>
      </c>
      <c r="R2926" s="8">
        <f t="shared" si="364"/>
        <v>45</v>
      </c>
      <c r="S2926" s="8">
        <f t="shared" ca="1" si="365"/>
        <v>44</v>
      </c>
      <c r="T2926">
        <f t="shared" ca="1" si="366"/>
        <v>1.0033920000000001</v>
      </c>
      <c r="U2926" s="8">
        <f t="shared" ca="1" si="367"/>
        <v>5.735488000000001</v>
      </c>
      <c r="V2926" s="9">
        <f ca="1">RawData[[#This Row],[Z (smoothed demand size)]]/RawData[[#This Row],[X (smoothed interval)]]</f>
        <v>0.17494448597922266</v>
      </c>
    </row>
    <row r="2927" spans="1:22">
      <c r="A2927" t="s">
        <v>59</v>
      </c>
      <c r="B2927" t="s">
        <v>60</v>
      </c>
      <c r="C2927">
        <v>32</v>
      </c>
      <c r="D2927" t="s">
        <v>18</v>
      </c>
      <c r="E2927" t="s">
        <v>16</v>
      </c>
      <c r="F2927" s="1">
        <v>44206</v>
      </c>
      <c r="G2927">
        <v>0</v>
      </c>
      <c r="H2927">
        <v>0</v>
      </c>
      <c r="I2927">
        <v>10</v>
      </c>
      <c r="J2927">
        <v>10</v>
      </c>
      <c r="K2927">
        <v>0</v>
      </c>
      <c r="L2927">
        <v>601</v>
      </c>
      <c r="M2927">
        <v>30</v>
      </c>
      <c r="N2927" s="1">
        <f t="shared" si="360"/>
        <v>44938</v>
      </c>
      <c r="O2927" s="1">
        <f t="shared" si="361"/>
        <v>43101</v>
      </c>
      <c r="P2927" s="1">
        <f t="shared" si="362"/>
        <v>44470</v>
      </c>
      <c r="Q2927" s="8">
        <f t="shared" si="363"/>
        <v>0</v>
      </c>
      <c r="R2927" s="8">
        <f t="shared" si="364"/>
        <v>46</v>
      </c>
      <c r="S2927" s="8">
        <f t="shared" ca="1" si="365"/>
        <v>44</v>
      </c>
      <c r="T2927">
        <f t="shared" ca="1" si="366"/>
        <v>1.0033920000000001</v>
      </c>
      <c r="U2927" s="8">
        <f t="shared" ca="1" si="367"/>
        <v>5.735488000000001</v>
      </c>
      <c r="V2927" s="9">
        <f ca="1">RawData[[#This Row],[Z (smoothed demand size)]]/RawData[[#This Row],[X (smoothed interval)]]</f>
        <v>0.17494448597922266</v>
      </c>
    </row>
    <row r="2928" spans="1:22">
      <c r="A2928" t="s">
        <v>59</v>
      </c>
      <c r="B2928" t="s">
        <v>60</v>
      </c>
      <c r="C2928">
        <v>32</v>
      </c>
      <c r="D2928" t="s">
        <v>18</v>
      </c>
      <c r="E2928" t="s">
        <v>16</v>
      </c>
      <c r="F2928" s="1">
        <v>44207</v>
      </c>
      <c r="G2928">
        <v>0</v>
      </c>
      <c r="H2928">
        <v>0</v>
      </c>
      <c r="I2928">
        <v>10</v>
      </c>
      <c r="J2928">
        <v>10</v>
      </c>
      <c r="K2928">
        <v>0</v>
      </c>
      <c r="L2928">
        <v>607</v>
      </c>
      <c r="M2928">
        <v>30</v>
      </c>
      <c r="N2928" s="1">
        <f t="shared" si="360"/>
        <v>44938</v>
      </c>
      <c r="O2928" s="1">
        <f t="shared" si="361"/>
        <v>43101</v>
      </c>
      <c r="P2928" s="1">
        <f t="shared" si="362"/>
        <v>44501</v>
      </c>
      <c r="Q2928" s="8">
        <f t="shared" si="363"/>
        <v>0</v>
      </c>
      <c r="R2928" s="8">
        <f t="shared" si="364"/>
        <v>47</v>
      </c>
      <c r="S2928" s="8">
        <f t="shared" ca="1" si="365"/>
        <v>44</v>
      </c>
      <c r="T2928">
        <f t="shared" ca="1" si="366"/>
        <v>1.0033920000000001</v>
      </c>
      <c r="U2928" s="8">
        <f t="shared" ca="1" si="367"/>
        <v>5.735488000000001</v>
      </c>
      <c r="V2928" s="9">
        <f ca="1">RawData[[#This Row],[Z (smoothed demand size)]]/RawData[[#This Row],[X (smoothed interval)]]</f>
        <v>0.17494448597922266</v>
      </c>
    </row>
    <row r="2929" spans="1:22">
      <c r="A2929" t="s">
        <v>59</v>
      </c>
      <c r="B2929" t="s">
        <v>60</v>
      </c>
      <c r="C2929">
        <v>32</v>
      </c>
      <c r="D2929" t="s">
        <v>18</v>
      </c>
      <c r="E2929" t="s">
        <v>16</v>
      </c>
      <c r="F2929" s="1">
        <v>44208</v>
      </c>
      <c r="G2929">
        <v>0</v>
      </c>
      <c r="H2929">
        <v>0</v>
      </c>
      <c r="I2929">
        <v>10</v>
      </c>
      <c r="J2929">
        <v>10</v>
      </c>
      <c r="K2929">
        <v>0</v>
      </c>
      <c r="L2929">
        <v>696</v>
      </c>
      <c r="M2929">
        <v>45</v>
      </c>
      <c r="N2929" s="1">
        <f t="shared" si="360"/>
        <v>44938</v>
      </c>
      <c r="O2929" s="1">
        <f t="shared" si="361"/>
        <v>43101</v>
      </c>
      <c r="P2929" s="1">
        <f t="shared" si="362"/>
        <v>44531</v>
      </c>
      <c r="Q2929" s="8">
        <f t="shared" si="363"/>
        <v>0</v>
      </c>
      <c r="R2929" s="8">
        <f t="shared" si="364"/>
        <v>48</v>
      </c>
      <c r="S2929" s="8">
        <f t="shared" ca="1" si="365"/>
        <v>44</v>
      </c>
      <c r="T2929">
        <f t="shared" ca="1" si="366"/>
        <v>1.0033920000000001</v>
      </c>
      <c r="U2929" s="8">
        <f t="shared" ca="1" si="367"/>
        <v>5.735488000000001</v>
      </c>
      <c r="V2929" s="9">
        <f ca="1">RawData[[#This Row],[Z (smoothed demand size)]]/RawData[[#This Row],[X (smoothed interval)]]</f>
        <v>0.17494448597922266</v>
      </c>
    </row>
    <row r="2930" spans="1:22">
      <c r="A2930" t="s">
        <v>59</v>
      </c>
      <c r="B2930" t="s">
        <v>60</v>
      </c>
      <c r="C2930">
        <v>32</v>
      </c>
      <c r="D2930" t="s">
        <v>18</v>
      </c>
      <c r="E2930" t="s">
        <v>16</v>
      </c>
      <c r="F2930" s="1">
        <v>44562</v>
      </c>
      <c r="G2930">
        <v>0</v>
      </c>
      <c r="H2930">
        <v>0</v>
      </c>
      <c r="I2930">
        <v>10</v>
      </c>
      <c r="J2930">
        <v>10</v>
      </c>
      <c r="K2930">
        <v>0</v>
      </c>
      <c r="L2930">
        <v>602</v>
      </c>
      <c r="M2930">
        <v>60</v>
      </c>
      <c r="N2930" s="1">
        <f t="shared" si="360"/>
        <v>44938</v>
      </c>
      <c r="O2930" s="1">
        <f t="shared" si="361"/>
        <v>43101</v>
      </c>
      <c r="P2930" s="1">
        <f t="shared" si="362"/>
        <v>44562</v>
      </c>
      <c r="Q2930" s="8">
        <f t="shared" si="363"/>
        <v>0</v>
      </c>
      <c r="R2930" s="8">
        <f t="shared" si="364"/>
        <v>49</v>
      </c>
      <c r="S2930" s="8">
        <f t="shared" ca="1" si="365"/>
        <v>44</v>
      </c>
      <c r="T2930">
        <f t="shared" ca="1" si="366"/>
        <v>1.0033920000000001</v>
      </c>
      <c r="U2930" s="8">
        <f t="shared" ca="1" si="367"/>
        <v>5.735488000000001</v>
      </c>
      <c r="V2930" s="9">
        <f ca="1">RawData[[#This Row],[Z (smoothed demand size)]]/RawData[[#This Row],[X (smoothed interval)]]</f>
        <v>0.17494448597922266</v>
      </c>
    </row>
    <row r="2931" spans="1:22">
      <c r="A2931" t="s">
        <v>59</v>
      </c>
      <c r="B2931" t="s">
        <v>60</v>
      </c>
      <c r="C2931">
        <v>32</v>
      </c>
      <c r="D2931" t="s">
        <v>18</v>
      </c>
      <c r="E2931" t="s">
        <v>16</v>
      </c>
      <c r="F2931" s="1">
        <v>44563</v>
      </c>
      <c r="G2931">
        <v>0</v>
      </c>
      <c r="H2931">
        <v>0</v>
      </c>
      <c r="I2931">
        <v>10</v>
      </c>
      <c r="J2931">
        <v>10</v>
      </c>
      <c r="K2931">
        <v>0</v>
      </c>
      <c r="L2931">
        <v>595</v>
      </c>
      <c r="M2931">
        <v>45</v>
      </c>
      <c r="N2931" s="1">
        <f t="shared" si="360"/>
        <v>44938</v>
      </c>
      <c r="O2931" s="1">
        <f t="shared" si="361"/>
        <v>43101</v>
      </c>
      <c r="P2931" s="1">
        <f t="shared" si="362"/>
        <v>44593</v>
      </c>
      <c r="Q2931" s="8">
        <f t="shared" si="363"/>
        <v>0</v>
      </c>
      <c r="R2931" s="8">
        <f t="shared" si="364"/>
        <v>50</v>
      </c>
      <c r="S2931" s="8">
        <f t="shared" ca="1" si="365"/>
        <v>44</v>
      </c>
      <c r="T2931">
        <f t="shared" ca="1" si="366"/>
        <v>1.0033920000000001</v>
      </c>
      <c r="U2931" s="8">
        <f t="shared" ca="1" si="367"/>
        <v>5.735488000000001</v>
      </c>
      <c r="V2931" s="9">
        <f ca="1">RawData[[#This Row],[Z (smoothed demand size)]]/RawData[[#This Row],[X (smoothed interval)]]</f>
        <v>0.17494448597922266</v>
      </c>
    </row>
    <row r="2932" spans="1:22">
      <c r="A2932" t="s">
        <v>59</v>
      </c>
      <c r="B2932" t="s">
        <v>60</v>
      </c>
      <c r="C2932">
        <v>32</v>
      </c>
      <c r="D2932" t="s">
        <v>18</v>
      </c>
      <c r="E2932" t="s">
        <v>16</v>
      </c>
      <c r="F2932" s="1">
        <v>44564</v>
      </c>
      <c r="G2932">
        <v>0</v>
      </c>
      <c r="H2932">
        <v>0</v>
      </c>
      <c r="I2932">
        <v>10</v>
      </c>
      <c r="J2932">
        <v>10</v>
      </c>
      <c r="K2932">
        <v>0</v>
      </c>
      <c r="L2932">
        <v>605</v>
      </c>
      <c r="M2932">
        <v>60</v>
      </c>
      <c r="N2932" s="1">
        <f t="shared" si="360"/>
        <v>44938</v>
      </c>
      <c r="O2932" s="1">
        <f t="shared" si="361"/>
        <v>43101</v>
      </c>
      <c r="P2932" s="1">
        <f t="shared" si="362"/>
        <v>44621</v>
      </c>
      <c r="Q2932" s="8">
        <f t="shared" si="363"/>
        <v>0</v>
      </c>
      <c r="R2932" s="8">
        <f t="shared" si="364"/>
        <v>51</v>
      </c>
      <c r="S2932" s="8">
        <f t="shared" ca="1" si="365"/>
        <v>44</v>
      </c>
      <c r="T2932">
        <f t="shared" ca="1" si="366"/>
        <v>1.0033920000000001</v>
      </c>
      <c r="U2932" s="8">
        <f t="shared" ca="1" si="367"/>
        <v>5.735488000000001</v>
      </c>
      <c r="V2932" s="9">
        <f ca="1">RawData[[#This Row],[Z (smoothed demand size)]]/RawData[[#This Row],[X (smoothed interval)]]</f>
        <v>0.17494448597922266</v>
      </c>
    </row>
    <row r="2933" spans="1:22">
      <c r="A2933" t="s">
        <v>59</v>
      </c>
      <c r="B2933" t="s">
        <v>60</v>
      </c>
      <c r="C2933">
        <v>32</v>
      </c>
      <c r="D2933" t="s">
        <v>18</v>
      </c>
      <c r="E2933" t="s">
        <v>16</v>
      </c>
      <c r="F2933" s="1">
        <v>44565</v>
      </c>
      <c r="G2933">
        <v>2</v>
      </c>
      <c r="H2933">
        <v>2</v>
      </c>
      <c r="I2933">
        <v>10</v>
      </c>
      <c r="J2933">
        <v>8</v>
      </c>
      <c r="K2933">
        <v>0</v>
      </c>
      <c r="L2933">
        <v>607</v>
      </c>
      <c r="M2933">
        <v>60</v>
      </c>
      <c r="N2933" s="1">
        <f t="shared" si="360"/>
        <v>44938</v>
      </c>
      <c r="O2933" s="1">
        <f t="shared" si="361"/>
        <v>43101</v>
      </c>
      <c r="P2933" s="1">
        <f t="shared" si="362"/>
        <v>44652</v>
      </c>
      <c r="Q2933" s="8">
        <f t="shared" si="363"/>
        <v>0</v>
      </c>
      <c r="R2933" s="8">
        <f t="shared" si="364"/>
        <v>52</v>
      </c>
      <c r="S2933" s="8">
        <f t="shared" ca="1" si="365"/>
        <v>52</v>
      </c>
      <c r="T2933">
        <f t="shared" ca="1" si="366"/>
        <v>1.2027136</v>
      </c>
      <c r="U2933" s="8">
        <f t="shared" ca="1" si="367"/>
        <v>6.1883904000000012</v>
      </c>
      <c r="V2933" s="9">
        <f ca="1">RawData[[#This Row],[Z (smoothed demand size)]]/RawData[[#This Row],[X (smoothed interval)]]</f>
        <v>0.19434998800334249</v>
      </c>
    </row>
    <row r="2934" spans="1:22">
      <c r="A2934" t="s">
        <v>59</v>
      </c>
      <c r="B2934" t="s">
        <v>60</v>
      </c>
      <c r="C2934">
        <v>32</v>
      </c>
      <c r="D2934" t="s">
        <v>18</v>
      </c>
      <c r="E2934" t="s">
        <v>16</v>
      </c>
      <c r="F2934" s="1">
        <v>44566</v>
      </c>
      <c r="G2934">
        <v>0</v>
      </c>
      <c r="H2934">
        <v>0</v>
      </c>
      <c r="I2934">
        <v>8</v>
      </c>
      <c r="J2934">
        <v>8</v>
      </c>
      <c r="K2934">
        <v>0</v>
      </c>
      <c r="L2934">
        <v>604</v>
      </c>
      <c r="M2934">
        <v>60</v>
      </c>
      <c r="N2934" s="1">
        <f t="shared" si="360"/>
        <v>44938</v>
      </c>
      <c r="O2934" s="1">
        <f t="shared" si="361"/>
        <v>43101</v>
      </c>
      <c r="P2934" s="1">
        <f t="shared" si="362"/>
        <v>44682</v>
      </c>
      <c r="Q2934" s="8">
        <f t="shared" si="363"/>
        <v>0</v>
      </c>
      <c r="R2934" s="8">
        <f t="shared" si="364"/>
        <v>53</v>
      </c>
      <c r="S2934" s="8">
        <f t="shared" ca="1" si="365"/>
        <v>52</v>
      </c>
      <c r="T2934">
        <f t="shared" ca="1" si="366"/>
        <v>1.2027136</v>
      </c>
      <c r="U2934" s="8">
        <f t="shared" ca="1" si="367"/>
        <v>6.1883904000000012</v>
      </c>
      <c r="V2934" s="9">
        <f ca="1">RawData[[#This Row],[Z (smoothed demand size)]]/RawData[[#This Row],[X (smoothed interval)]]</f>
        <v>0.19434998800334249</v>
      </c>
    </row>
    <row r="2935" spans="1:22">
      <c r="A2935" t="s">
        <v>59</v>
      </c>
      <c r="B2935" t="s">
        <v>60</v>
      </c>
      <c r="C2935">
        <v>32</v>
      </c>
      <c r="D2935" t="s">
        <v>18</v>
      </c>
      <c r="E2935" t="s">
        <v>16</v>
      </c>
      <c r="F2935" s="1">
        <v>44567</v>
      </c>
      <c r="G2935">
        <v>0</v>
      </c>
      <c r="H2935">
        <v>0</v>
      </c>
      <c r="I2935">
        <v>8</v>
      </c>
      <c r="J2935">
        <v>8</v>
      </c>
      <c r="K2935">
        <v>0</v>
      </c>
      <c r="L2935">
        <v>709</v>
      </c>
      <c r="M2935">
        <v>60</v>
      </c>
      <c r="N2935" s="1">
        <f t="shared" si="360"/>
        <v>44938</v>
      </c>
      <c r="O2935" s="1">
        <f t="shared" si="361"/>
        <v>43101</v>
      </c>
      <c r="P2935" s="1">
        <f t="shared" si="362"/>
        <v>44713</v>
      </c>
      <c r="Q2935" s="8">
        <f t="shared" si="363"/>
        <v>0</v>
      </c>
      <c r="R2935" s="8">
        <f t="shared" si="364"/>
        <v>54</v>
      </c>
      <c r="S2935" s="8">
        <f t="shared" ca="1" si="365"/>
        <v>52</v>
      </c>
      <c r="T2935">
        <f t="shared" ca="1" si="366"/>
        <v>1.2027136</v>
      </c>
      <c r="U2935" s="8">
        <f t="shared" ca="1" si="367"/>
        <v>6.1883904000000012</v>
      </c>
      <c r="V2935" s="9">
        <f ca="1">RawData[[#This Row],[Z (smoothed demand size)]]/RawData[[#This Row],[X (smoothed interval)]]</f>
        <v>0.19434998800334249</v>
      </c>
    </row>
    <row r="2936" spans="1:22">
      <c r="A2936" t="s">
        <v>59</v>
      </c>
      <c r="B2936" t="s">
        <v>60</v>
      </c>
      <c r="C2936">
        <v>32</v>
      </c>
      <c r="D2936" t="s">
        <v>18</v>
      </c>
      <c r="E2936" t="s">
        <v>16</v>
      </c>
      <c r="F2936" s="1">
        <v>44568</v>
      </c>
      <c r="G2936">
        <v>0</v>
      </c>
      <c r="H2936">
        <v>0</v>
      </c>
      <c r="I2936">
        <v>8</v>
      </c>
      <c r="J2936">
        <v>8</v>
      </c>
      <c r="K2936">
        <v>0</v>
      </c>
      <c r="L2936">
        <v>694</v>
      </c>
      <c r="M2936">
        <v>30</v>
      </c>
      <c r="N2936" s="1">
        <f t="shared" si="360"/>
        <v>44938</v>
      </c>
      <c r="O2936" s="1">
        <f t="shared" si="361"/>
        <v>43101</v>
      </c>
      <c r="P2936" s="1">
        <f t="shared" si="362"/>
        <v>44743</v>
      </c>
      <c r="Q2936" s="8">
        <f t="shared" si="363"/>
        <v>0</v>
      </c>
      <c r="R2936" s="8">
        <f t="shared" si="364"/>
        <v>55</v>
      </c>
      <c r="S2936" s="8">
        <f t="shared" ca="1" si="365"/>
        <v>52</v>
      </c>
      <c r="T2936">
        <f t="shared" ca="1" si="366"/>
        <v>1.2027136</v>
      </c>
      <c r="U2936" s="8">
        <f t="shared" ca="1" si="367"/>
        <v>6.1883904000000012</v>
      </c>
      <c r="V2936" s="9">
        <f ca="1">RawData[[#This Row],[Z (smoothed demand size)]]/RawData[[#This Row],[X (smoothed interval)]]</f>
        <v>0.19434998800334249</v>
      </c>
    </row>
    <row r="2937" spans="1:22">
      <c r="A2937" t="s">
        <v>59</v>
      </c>
      <c r="B2937" t="s">
        <v>60</v>
      </c>
      <c r="C2937">
        <v>32</v>
      </c>
      <c r="D2937" t="s">
        <v>18</v>
      </c>
      <c r="E2937" t="s">
        <v>16</v>
      </c>
      <c r="F2937" s="1">
        <v>44569</v>
      </c>
      <c r="G2937">
        <v>0</v>
      </c>
      <c r="H2937">
        <v>0</v>
      </c>
      <c r="I2937">
        <v>8</v>
      </c>
      <c r="J2937">
        <v>8</v>
      </c>
      <c r="K2937">
        <v>0</v>
      </c>
      <c r="L2937">
        <v>696</v>
      </c>
      <c r="M2937">
        <v>30</v>
      </c>
      <c r="N2937" s="1">
        <f t="shared" si="360"/>
        <v>44938</v>
      </c>
      <c r="O2937" s="1">
        <f t="shared" si="361"/>
        <v>43101</v>
      </c>
      <c r="P2937" s="1">
        <f t="shared" si="362"/>
        <v>44774</v>
      </c>
      <c r="Q2937" s="8">
        <f t="shared" si="363"/>
        <v>0</v>
      </c>
      <c r="R2937" s="8">
        <f t="shared" si="364"/>
        <v>56</v>
      </c>
      <c r="S2937" s="8">
        <f t="shared" ca="1" si="365"/>
        <v>52</v>
      </c>
      <c r="T2937">
        <f t="shared" ca="1" si="366"/>
        <v>1.2027136</v>
      </c>
      <c r="U2937" s="8">
        <f t="shared" ca="1" si="367"/>
        <v>6.1883904000000012</v>
      </c>
      <c r="V2937" s="9">
        <f ca="1">RawData[[#This Row],[Z (smoothed demand size)]]/RawData[[#This Row],[X (smoothed interval)]]</f>
        <v>0.19434998800334249</v>
      </c>
    </row>
    <row r="2938" spans="1:22">
      <c r="A2938" t="s">
        <v>59</v>
      </c>
      <c r="B2938" t="s">
        <v>60</v>
      </c>
      <c r="C2938">
        <v>32</v>
      </c>
      <c r="D2938" t="s">
        <v>18</v>
      </c>
      <c r="E2938" t="s">
        <v>16</v>
      </c>
      <c r="F2938" s="1">
        <v>44570</v>
      </c>
      <c r="G2938">
        <v>2</v>
      </c>
      <c r="H2938">
        <v>2</v>
      </c>
      <c r="I2938">
        <v>8</v>
      </c>
      <c r="J2938">
        <v>6</v>
      </c>
      <c r="K2938">
        <v>0</v>
      </c>
      <c r="L2938">
        <v>603</v>
      </c>
      <c r="M2938">
        <v>30</v>
      </c>
      <c r="N2938" s="1">
        <f t="shared" si="360"/>
        <v>44938</v>
      </c>
      <c r="O2938" s="1">
        <f t="shared" si="361"/>
        <v>43101</v>
      </c>
      <c r="P2938" s="1">
        <f t="shared" si="362"/>
        <v>44805</v>
      </c>
      <c r="Q2938" s="8">
        <f t="shared" si="363"/>
        <v>0</v>
      </c>
      <c r="R2938" s="8">
        <f t="shared" si="364"/>
        <v>57</v>
      </c>
      <c r="S2938" s="8">
        <f t="shared" ca="1" si="365"/>
        <v>57</v>
      </c>
      <c r="T2938">
        <f t="shared" ca="1" si="366"/>
        <v>1.3621708800000001</v>
      </c>
      <c r="U2938" s="8">
        <f t="shared" ca="1" si="367"/>
        <v>5.9507123200000009</v>
      </c>
      <c r="V2938" s="9">
        <f ca="1">RawData[[#This Row],[Z (smoothed demand size)]]/RawData[[#This Row],[X (smoothed interval)]]</f>
        <v>0.22890887792068562</v>
      </c>
    </row>
    <row r="2939" spans="1:22">
      <c r="A2939" t="s">
        <v>59</v>
      </c>
      <c r="B2939" t="s">
        <v>60</v>
      </c>
      <c r="C2939">
        <v>32</v>
      </c>
      <c r="D2939" t="s">
        <v>18</v>
      </c>
      <c r="E2939" t="s">
        <v>16</v>
      </c>
      <c r="F2939" s="1">
        <v>44571</v>
      </c>
      <c r="G2939">
        <v>0</v>
      </c>
      <c r="H2939">
        <v>0</v>
      </c>
      <c r="I2939">
        <v>6</v>
      </c>
      <c r="J2939">
        <v>6</v>
      </c>
      <c r="K2939">
        <v>0</v>
      </c>
      <c r="L2939">
        <v>598</v>
      </c>
      <c r="M2939">
        <v>60</v>
      </c>
      <c r="N2939" s="1">
        <f t="shared" si="360"/>
        <v>44938</v>
      </c>
      <c r="O2939" s="1">
        <f t="shared" si="361"/>
        <v>43101</v>
      </c>
      <c r="P2939" s="1">
        <f t="shared" si="362"/>
        <v>44835</v>
      </c>
      <c r="Q2939" s="8">
        <f t="shared" si="363"/>
        <v>0</v>
      </c>
      <c r="R2939" s="8">
        <f t="shared" si="364"/>
        <v>58</v>
      </c>
      <c r="S2939" s="8">
        <f t="shared" ca="1" si="365"/>
        <v>57</v>
      </c>
      <c r="T2939">
        <f t="shared" ca="1" si="366"/>
        <v>1.3621708800000001</v>
      </c>
      <c r="U2939" s="8">
        <f t="shared" ca="1" si="367"/>
        <v>5.9507123200000009</v>
      </c>
      <c r="V2939" s="9">
        <f ca="1">RawData[[#This Row],[Z (smoothed demand size)]]/RawData[[#This Row],[X (smoothed interval)]]</f>
        <v>0.22890887792068562</v>
      </c>
    </row>
    <row r="2940" spans="1:22">
      <c r="A2940" t="s">
        <v>59</v>
      </c>
      <c r="B2940" t="s">
        <v>60</v>
      </c>
      <c r="C2940">
        <v>32</v>
      </c>
      <c r="D2940" t="s">
        <v>18</v>
      </c>
      <c r="E2940" t="s">
        <v>16</v>
      </c>
      <c r="F2940" s="1">
        <v>44572</v>
      </c>
      <c r="G2940">
        <v>0</v>
      </c>
      <c r="H2940">
        <v>0</v>
      </c>
      <c r="I2940">
        <v>6</v>
      </c>
      <c r="J2940">
        <v>6</v>
      </c>
      <c r="K2940">
        <v>0</v>
      </c>
      <c r="L2940">
        <v>592</v>
      </c>
      <c r="M2940">
        <v>45</v>
      </c>
      <c r="N2940" s="1">
        <f t="shared" si="360"/>
        <v>44938</v>
      </c>
      <c r="O2940" s="1">
        <f t="shared" si="361"/>
        <v>43101</v>
      </c>
      <c r="P2940" s="1">
        <f t="shared" si="362"/>
        <v>44866</v>
      </c>
      <c r="Q2940" s="8">
        <f t="shared" si="363"/>
        <v>0</v>
      </c>
      <c r="R2940" s="8">
        <f t="shared" si="364"/>
        <v>59</v>
      </c>
      <c r="S2940" s="8">
        <f t="shared" ca="1" si="365"/>
        <v>57</v>
      </c>
      <c r="T2940">
        <f t="shared" ca="1" si="366"/>
        <v>1.3621708800000001</v>
      </c>
      <c r="U2940" s="8">
        <f t="shared" ca="1" si="367"/>
        <v>5.9507123200000009</v>
      </c>
      <c r="V2940" s="9">
        <f ca="1">RawData[[#This Row],[Z (smoothed demand size)]]/RawData[[#This Row],[X (smoothed interval)]]</f>
        <v>0.22890887792068562</v>
      </c>
    </row>
    <row r="2941" spans="1:22">
      <c r="A2941" t="s">
        <v>59</v>
      </c>
      <c r="B2941" t="s">
        <v>60</v>
      </c>
      <c r="C2941">
        <v>32</v>
      </c>
      <c r="D2941" t="s">
        <v>18</v>
      </c>
      <c r="E2941" t="s">
        <v>16</v>
      </c>
      <c r="F2941" s="1">
        <v>44573</v>
      </c>
      <c r="G2941">
        <v>0</v>
      </c>
      <c r="H2941">
        <v>0</v>
      </c>
      <c r="I2941">
        <v>6</v>
      </c>
      <c r="J2941">
        <v>6</v>
      </c>
      <c r="K2941">
        <v>0</v>
      </c>
      <c r="L2941">
        <v>683</v>
      </c>
      <c r="M2941">
        <v>60</v>
      </c>
      <c r="N2941" s="1">
        <f t="shared" si="360"/>
        <v>44938</v>
      </c>
      <c r="O2941" s="1">
        <f t="shared" si="361"/>
        <v>43101</v>
      </c>
      <c r="P2941" s="1">
        <f t="shared" si="362"/>
        <v>44896</v>
      </c>
      <c r="Q2941" s="8">
        <f t="shared" si="363"/>
        <v>0</v>
      </c>
      <c r="R2941" s="8">
        <f t="shared" si="364"/>
        <v>60</v>
      </c>
      <c r="S2941" s="8">
        <f t="shared" ca="1" si="365"/>
        <v>57</v>
      </c>
      <c r="T2941">
        <f t="shared" ca="1" si="366"/>
        <v>1.3621708800000001</v>
      </c>
      <c r="U2941" s="8">
        <f t="shared" ca="1" si="367"/>
        <v>5.9507123200000009</v>
      </c>
      <c r="V2941" s="9">
        <f ca="1">RawData[[#This Row],[Z (smoothed demand size)]]/RawData[[#This Row],[X (smoothed interval)]]</f>
        <v>0.22890887792068562</v>
      </c>
    </row>
    <row r="2942" spans="1:22">
      <c r="A2942" t="s">
        <v>59</v>
      </c>
      <c r="B2942" t="s">
        <v>60</v>
      </c>
      <c r="C2942">
        <v>32</v>
      </c>
      <c r="D2942" t="s">
        <v>18</v>
      </c>
      <c r="E2942" t="s">
        <v>16</v>
      </c>
      <c r="F2942" s="1">
        <v>44927</v>
      </c>
      <c r="G2942">
        <v>1</v>
      </c>
      <c r="H2942">
        <v>1</v>
      </c>
      <c r="I2942">
        <v>6</v>
      </c>
      <c r="J2942">
        <v>5</v>
      </c>
      <c r="K2942">
        <v>0</v>
      </c>
      <c r="L2942">
        <v>592</v>
      </c>
      <c r="M2942">
        <v>60</v>
      </c>
      <c r="N2942" s="1">
        <f t="shared" si="360"/>
        <v>44938</v>
      </c>
      <c r="O2942" s="1">
        <f t="shared" si="361"/>
        <v>43101</v>
      </c>
      <c r="P2942" s="1">
        <f t="shared" si="362"/>
        <v>44927</v>
      </c>
      <c r="Q2942" s="8">
        <f t="shared" si="363"/>
        <v>0</v>
      </c>
      <c r="R2942" s="8">
        <f t="shared" si="364"/>
        <v>61</v>
      </c>
      <c r="S2942" s="8">
        <f t="shared" ca="1" si="365"/>
        <v>61</v>
      </c>
      <c r="T2942">
        <f t="shared" ca="1" si="366"/>
        <v>1.2897367040000001</v>
      </c>
      <c r="U2942" s="8">
        <f t="shared" ca="1" si="367"/>
        <v>5.5605698560000008</v>
      </c>
      <c r="V2942" s="9">
        <f ca="1">RawData[[#This Row],[Z (smoothed demand size)]]/RawData[[#This Row],[X (smoothed interval)]]</f>
        <v>0.23194326074482102</v>
      </c>
    </row>
    <row r="2943" spans="1:22">
      <c r="A2943" t="s">
        <v>59</v>
      </c>
      <c r="B2943" t="s">
        <v>60</v>
      </c>
      <c r="C2943">
        <v>32</v>
      </c>
      <c r="D2943" t="s">
        <v>18</v>
      </c>
      <c r="E2943" t="s">
        <v>16</v>
      </c>
      <c r="F2943" s="1">
        <v>44928</v>
      </c>
      <c r="G2943">
        <v>1</v>
      </c>
      <c r="H2943">
        <v>1</v>
      </c>
      <c r="I2943">
        <v>5</v>
      </c>
      <c r="J2943">
        <v>4</v>
      </c>
      <c r="K2943">
        <v>0</v>
      </c>
      <c r="L2943">
        <v>590</v>
      </c>
      <c r="M2943">
        <v>45</v>
      </c>
      <c r="N2943" s="1">
        <f t="shared" si="360"/>
        <v>44938</v>
      </c>
      <c r="O2943" s="1">
        <f t="shared" si="361"/>
        <v>43101</v>
      </c>
      <c r="P2943" s="1">
        <f t="shared" si="362"/>
        <v>44958</v>
      </c>
      <c r="Q2943" s="8">
        <f t="shared" si="363"/>
        <v>0</v>
      </c>
      <c r="R2943" s="8">
        <f t="shared" si="364"/>
        <v>62</v>
      </c>
      <c r="S2943" s="8">
        <f t="shared" ca="1" si="365"/>
        <v>62</v>
      </c>
      <c r="T2943">
        <f t="shared" ca="1" si="366"/>
        <v>1.2317893632000001</v>
      </c>
      <c r="U2943" s="8">
        <f t="shared" ca="1" si="367"/>
        <v>4.6484558848000006</v>
      </c>
      <c r="V2943" s="9">
        <f ca="1">RawData[[#This Row],[Z (smoothed demand size)]]/RawData[[#This Row],[X (smoothed interval)]]</f>
        <v>0.26498893261046785</v>
      </c>
    </row>
    <row r="2944" spans="1:22">
      <c r="A2944" t="s">
        <v>59</v>
      </c>
      <c r="B2944" t="s">
        <v>60</v>
      </c>
      <c r="C2944">
        <v>32</v>
      </c>
      <c r="D2944" t="s">
        <v>18</v>
      </c>
      <c r="E2944" t="s">
        <v>16</v>
      </c>
      <c r="F2944" s="1">
        <v>44929</v>
      </c>
      <c r="G2944">
        <v>0</v>
      </c>
      <c r="H2944">
        <v>0</v>
      </c>
      <c r="I2944">
        <v>4</v>
      </c>
      <c r="J2944">
        <v>4</v>
      </c>
      <c r="K2944">
        <v>0</v>
      </c>
      <c r="L2944">
        <v>595</v>
      </c>
      <c r="M2944">
        <v>45</v>
      </c>
      <c r="N2944" s="1">
        <f t="shared" si="360"/>
        <v>44938</v>
      </c>
      <c r="O2944" s="1">
        <f t="shared" si="361"/>
        <v>43101</v>
      </c>
      <c r="P2944" s="1">
        <f t="shared" si="362"/>
        <v>44986</v>
      </c>
      <c r="Q2944" s="8">
        <f t="shared" si="363"/>
        <v>0</v>
      </c>
      <c r="R2944" s="8">
        <f t="shared" si="364"/>
        <v>63</v>
      </c>
      <c r="S2944" s="8">
        <f t="shared" ca="1" si="365"/>
        <v>62</v>
      </c>
      <c r="T2944">
        <f t="shared" ca="1" si="366"/>
        <v>1.2317893632000001</v>
      </c>
      <c r="U2944" s="8">
        <f t="shared" ca="1" si="367"/>
        <v>4.6484558848000006</v>
      </c>
      <c r="V2944" s="9">
        <f ca="1">RawData[[#This Row],[Z (smoothed demand size)]]/RawData[[#This Row],[X (smoothed interval)]]</f>
        <v>0.26498893261046785</v>
      </c>
    </row>
    <row r="2945" spans="1:22">
      <c r="A2945" t="s">
        <v>59</v>
      </c>
      <c r="B2945" t="s">
        <v>60</v>
      </c>
      <c r="C2945">
        <v>32</v>
      </c>
      <c r="D2945" t="s">
        <v>18</v>
      </c>
      <c r="E2945" t="s">
        <v>16</v>
      </c>
      <c r="F2945" s="1">
        <v>44930</v>
      </c>
      <c r="G2945">
        <v>0</v>
      </c>
      <c r="H2945">
        <v>0</v>
      </c>
      <c r="I2945">
        <v>29</v>
      </c>
      <c r="J2945">
        <v>29</v>
      </c>
      <c r="K2945">
        <v>0</v>
      </c>
      <c r="L2945">
        <v>597</v>
      </c>
      <c r="M2945">
        <v>15</v>
      </c>
      <c r="N2945" s="1">
        <f t="shared" si="360"/>
        <v>44938</v>
      </c>
      <c r="O2945" s="1">
        <f t="shared" si="361"/>
        <v>43101</v>
      </c>
      <c r="P2945" s="1">
        <f t="shared" si="362"/>
        <v>45017</v>
      </c>
      <c r="Q2945" s="8">
        <f t="shared" si="363"/>
        <v>0</v>
      </c>
      <c r="R2945" s="8">
        <f t="shared" si="364"/>
        <v>64</v>
      </c>
      <c r="S2945" s="8">
        <f t="shared" ca="1" si="365"/>
        <v>62</v>
      </c>
      <c r="T2945">
        <f t="shared" ca="1" si="366"/>
        <v>1.2317893632000001</v>
      </c>
      <c r="U2945" s="8">
        <f t="shared" ca="1" si="367"/>
        <v>4.6484558848000006</v>
      </c>
      <c r="V2945" s="9">
        <f ca="1">RawData[[#This Row],[Z (smoothed demand size)]]/RawData[[#This Row],[X (smoothed interval)]]</f>
        <v>0.26498893261046785</v>
      </c>
    </row>
    <row r="2946" spans="1:22">
      <c r="A2946" t="s">
        <v>59</v>
      </c>
      <c r="B2946" t="s">
        <v>60</v>
      </c>
      <c r="C2946">
        <v>32</v>
      </c>
      <c r="D2946" t="s">
        <v>18</v>
      </c>
      <c r="E2946" t="s">
        <v>16</v>
      </c>
      <c r="F2946" s="1">
        <v>44931</v>
      </c>
      <c r="G2946">
        <v>3</v>
      </c>
      <c r="H2946">
        <v>3</v>
      </c>
      <c r="I2946">
        <v>29</v>
      </c>
      <c r="J2946">
        <v>26</v>
      </c>
      <c r="K2946">
        <v>0</v>
      </c>
      <c r="L2946">
        <v>604</v>
      </c>
      <c r="M2946">
        <v>45</v>
      </c>
      <c r="N2946" s="1">
        <f t="shared" ref="N2946:N3009" si="368">MAX(F:F)</f>
        <v>44938</v>
      </c>
      <c r="O2946" s="1">
        <f t="shared" ref="O2946:O3009" si="369">MIN(F:F)</f>
        <v>43101</v>
      </c>
      <c r="P2946" s="1">
        <f t="shared" ref="P2946:P3009" si="370">DATE(YEAR(F2946), DAY(F2946), 1)</f>
        <v>45047</v>
      </c>
      <c r="Q2946" s="8">
        <f t="shared" ref="Q2946:Q3009" si="371" xml:space="preserve"> IF(A2946&lt;&gt;A2945, 1, 0)</f>
        <v>0</v>
      </c>
      <c r="R2946" s="8">
        <f t="shared" ref="R2946:R3009" si="372">IF(Q2946=1,1,R2945+1)</f>
        <v>65</v>
      </c>
      <c r="S2946" s="8">
        <f t="shared" ref="S2946:S3009" ca="1" si="373" xml:space="preserve"> IF(Q2946=1, IF(G2946&gt;0, R2946, 0), IF(G2946&gt;0, R2946, OFFSET(S2946,-1,0)))</f>
        <v>65</v>
      </c>
      <c r="T2946">
        <f t="shared" ref="T2946:T3009" ca="1" si="374" xml:space="preserve"> IF(Q2946=1, IF(G2946&gt;0, G2946, 0), IF(G2946&gt;0, $X$1*G2946+(1-$X$1)*OFFSET(T2946,-1,0), OFFSET(T2946,-1,0)))</f>
        <v>1.5854314905600002</v>
      </c>
      <c r="U2946" s="8">
        <f t="shared" ref="U2946:U3009" ca="1" si="375" xml:space="preserve"> IF(Q2946=1, 1, IF(G2946&gt;0, $X$1*(R2946-OFFSET(S2946,-1,0))+(1-$X$1)*OFFSET(U2946,-1,0), OFFSET(U2946,-1,0)))</f>
        <v>4.3187647078400007</v>
      </c>
      <c r="V2946" s="9">
        <f ca="1">RawData[[#This Row],[Z (smoothed demand size)]]/RawData[[#This Row],[X (smoothed interval)]]</f>
        <v>0.36710300231960136</v>
      </c>
    </row>
    <row r="2947" spans="1:22">
      <c r="A2947" t="s">
        <v>59</v>
      </c>
      <c r="B2947" t="s">
        <v>60</v>
      </c>
      <c r="C2947">
        <v>32</v>
      </c>
      <c r="D2947" t="s">
        <v>18</v>
      </c>
      <c r="E2947" t="s">
        <v>16</v>
      </c>
      <c r="F2947" s="1">
        <v>44932</v>
      </c>
      <c r="G2947">
        <v>0</v>
      </c>
      <c r="H2947">
        <v>0</v>
      </c>
      <c r="I2947">
        <v>26</v>
      </c>
      <c r="J2947">
        <v>26</v>
      </c>
      <c r="K2947">
        <v>0</v>
      </c>
      <c r="L2947">
        <v>678</v>
      </c>
      <c r="M2947">
        <v>45</v>
      </c>
      <c r="N2947" s="1">
        <f t="shared" si="368"/>
        <v>44938</v>
      </c>
      <c r="O2947" s="1">
        <f t="shared" si="369"/>
        <v>43101</v>
      </c>
      <c r="P2947" s="1">
        <f t="shared" si="370"/>
        <v>45078</v>
      </c>
      <c r="Q2947" s="8">
        <f t="shared" si="371"/>
        <v>0</v>
      </c>
      <c r="R2947" s="8">
        <f t="shared" si="372"/>
        <v>66</v>
      </c>
      <c r="S2947" s="8">
        <f t="shared" ca="1" si="373"/>
        <v>65</v>
      </c>
      <c r="T2947">
        <f t="shared" ca="1" si="374"/>
        <v>1.5854314905600002</v>
      </c>
      <c r="U2947" s="8">
        <f t="shared" ca="1" si="375"/>
        <v>4.3187647078400007</v>
      </c>
      <c r="V2947" s="9">
        <f ca="1">RawData[[#This Row],[Z (smoothed demand size)]]/RawData[[#This Row],[X (smoothed interval)]]</f>
        <v>0.36710300231960136</v>
      </c>
    </row>
    <row r="2948" spans="1:22">
      <c r="A2948" t="s">
        <v>59</v>
      </c>
      <c r="B2948" t="s">
        <v>60</v>
      </c>
      <c r="C2948">
        <v>32</v>
      </c>
      <c r="D2948" t="s">
        <v>18</v>
      </c>
      <c r="E2948" t="s">
        <v>16</v>
      </c>
      <c r="F2948" s="1">
        <v>44933</v>
      </c>
      <c r="G2948">
        <v>0</v>
      </c>
      <c r="H2948">
        <v>0</v>
      </c>
      <c r="I2948">
        <v>26</v>
      </c>
      <c r="J2948">
        <v>26</v>
      </c>
      <c r="K2948">
        <v>0</v>
      </c>
      <c r="L2948">
        <v>693</v>
      </c>
      <c r="M2948">
        <v>45</v>
      </c>
      <c r="N2948" s="1">
        <f t="shared" si="368"/>
        <v>44938</v>
      </c>
      <c r="O2948" s="1">
        <f t="shared" si="369"/>
        <v>43101</v>
      </c>
      <c r="P2948" s="1">
        <f t="shared" si="370"/>
        <v>45108</v>
      </c>
      <c r="Q2948" s="8">
        <f t="shared" si="371"/>
        <v>0</v>
      </c>
      <c r="R2948" s="8">
        <f t="shared" si="372"/>
        <v>67</v>
      </c>
      <c r="S2948" s="8">
        <f t="shared" ca="1" si="373"/>
        <v>65</v>
      </c>
      <c r="T2948">
        <f t="shared" ca="1" si="374"/>
        <v>1.5854314905600002</v>
      </c>
      <c r="U2948" s="8">
        <f t="shared" ca="1" si="375"/>
        <v>4.3187647078400007</v>
      </c>
      <c r="V2948" s="9">
        <f ca="1">RawData[[#This Row],[Z (smoothed demand size)]]/RawData[[#This Row],[X (smoothed interval)]]</f>
        <v>0.36710300231960136</v>
      </c>
    </row>
    <row r="2949" spans="1:22">
      <c r="A2949" t="s">
        <v>59</v>
      </c>
      <c r="B2949" t="s">
        <v>60</v>
      </c>
      <c r="C2949">
        <v>32</v>
      </c>
      <c r="D2949" t="s">
        <v>18</v>
      </c>
      <c r="E2949" t="s">
        <v>16</v>
      </c>
      <c r="F2949" s="1">
        <v>44934</v>
      </c>
      <c r="G2949">
        <v>2</v>
      </c>
      <c r="H2949">
        <v>2</v>
      </c>
      <c r="I2949">
        <v>26</v>
      </c>
      <c r="J2949">
        <v>24</v>
      </c>
      <c r="K2949">
        <v>0</v>
      </c>
      <c r="L2949">
        <v>688</v>
      </c>
      <c r="M2949">
        <v>30</v>
      </c>
      <c r="N2949" s="1">
        <f t="shared" si="368"/>
        <v>44938</v>
      </c>
      <c r="O2949" s="1">
        <f t="shared" si="369"/>
        <v>43101</v>
      </c>
      <c r="P2949" s="1">
        <f t="shared" si="370"/>
        <v>45139</v>
      </c>
      <c r="Q2949" s="8">
        <f t="shared" si="371"/>
        <v>0</v>
      </c>
      <c r="R2949" s="8">
        <f t="shared" si="372"/>
        <v>68</v>
      </c>
      <c r="S2949" s="8">
        <f t="shared" ca="1" si="373"/>
        <v>68</v>
      </c>
      <c r="T2949">
        <f t="shared" ca="1" si="374"/>
        <v>1.6683451924480002</v>
      </c>
      <c r="U2949" s="8">
        <f t="shared" ca="1" si="375"/>
        <v>4.0550117662720009</v>
      </c>
      <c r="V2949" s="9">
        <f ca="1">RawData[[#This Row],[Z (smoothed demand size)]]/RawData[[#This Row],[X (smoothed interval)]]</f>
        <v>0.41142795350796313</v>
      </c>
    </row>
    <row r="2950" spans="1:22">
      <c r="A2950" t="s">
        <v>59</v>
      </c>
      <c r="B2950" t="s">
        <v>60</v>
      </c>
      <c r="C2950">
        <v>32</v>
      </c>
      <c r="D2950" t="s">
        <v>18</v>
      </c>
      <c r="E2950" t="s">
        <v>16</v>
      </c>
      <c r="F2950" s="1">
        <v>44935</v>
      </c>
      <c r="G2950">
        <v>2</v>
      </c>
      <c r="H2950">
        <v>2</v>
      </c>
      <c r="I2950">
        <v>24</v>
      </c>
      <c r="J2950">
        <v>22</v>
      </c>
      <c r="K2950">
        <v>0</v>
      </c>
      <c r="L2950">
        <v>599</v>
      </c>
      <c r="M2950">
        <v>15</v>
      </c>
      <c r="N2950" s="1">
        <f t="shared" si="368"/>
        <v>44938</v>
      </c>
      <c r="O2950" s="1">
        <f t="shared" si="369"/>
        <v>43101</v>
      </c>
      <c r="P2950" s="1">
        <f t="shared" si="370"/>
        <v>45170</v>
      </c>
      <c r="Q2950" s="8">
        <f t="shared" si="371"/>
        <v>0</v>
      </c>
      <c r="R2950" s="8">
        <f t="shared" si="372"/>
        <v>69</v>
      </c>
      <c r="S2950" s="8">
        <f t="shared" ca="1" si="373"/>
        <v>69</v>
      </c>
      <c r="T2950">
        <f t="shared" ca="1" si="374"/>
        <v>1.7346761539584001</v>
      </c>
      <c r="U2950" s="8">
        <f t="shared" ca="1" si="375"/>
        <v>3.4440094130176009</v>
      </c>
      <c r="V2950" s="9">
        <f ca="1">RawData[[#This Row],[Z (smoothed demand size)]]/RawData[[#This Row],[X (smoothed interval)]]</f>
        <v>0.50367927201409624</v>
      </c>
    </row>
    <row r="2951" spans="1:22">
      <c r="A2951" t="s">
        <v>59</v>
      </c>
      <c r="B2951" t="s">
        <v>60</v>
      </c>
      <c r="C2951">
        <v>32</v>
      </c>
      <c r="D2951" t="s">
        <v>18</v>
      </c>
      <c r="E2951" t="s">
        <v>16</v>
      </c>
      <c r="F2951" s="1">
        <v>44936</v>
      </c>
      <c r="G2951">
        <v>0</v>
      </c>
      <c r="H2951">
        <v>0</v>
      </c>
      <c r="I2951">
        <v>22</v>
      </c>
      <c r="J2951">
        <v>22</v>
      </c>
      <c r="K2951">
        <v>0</v>
      </c>
      <c r="L2951">
        <v>596</v>
      </c>
      <c r="M2951">
        <v>30</v>
      </c>
      <c r="N2951" s="1">
        <f t="shared" si="368"/>
        <v>44938</v>
      </c>
      <c r="O2951" s="1">
        <f t="shared" si="369"/>
        <v>43101</v>
      </c>
      <c r="P2951" s="1">
        <f t="shared" si="370"/>
        <v>45200</v>
      </c>
      <c r="Q2951" s="8">
        <f t="shared" si="371"/>
        <v>0</v>
      </c>
      <c r="R2951" s="8">
        <f t="shared" si="372"/>
        <v>70</v>
      </c>
      <c r="S2951" s="8">
        <f t="shared" ca="1" si="373"/>
        <v>69</v>
      </c>
      <c r="T2951">
        <f t="shared" ca="1" si="374"/>
        <v>1.7346761539584001</v>
      </c>
      <c r="U2951" s="8">
        <f t="shared" ca="1" si="375"/>
        <v>3.4440094130176009</v>
      </c>
      <c r="V2951" s="9">
        <f ca="1">RawData[[#This Row],[Z (smoothed demand size)]]/RawData[[#This Row],[X (smoothed interval)]]</f>
        <v>0.50367927201409624</v>
      </c>
    </row>
    <row r="2952" spans="1:22">
      <c r="A2952" t="s">
        <v>59</v>
      </c>
      <c r="B2952" t="s">
        <v>60</v>
      </c>
      <c r="C2952">
        <v>32</v>
      </c>
      <c r="D2952" t="s">
        <v>18</v>
      </c>
      <c r="E2952" t="s">
        <v>16</v>
      </c>
      <c r="F2952" s="1">
        <v>44937</v>
      </c>
      <c r="G2952">
        <v>0</v>
      </c>
      <c r="H2952">
        <v>0</v>
      </c>
      <c r="I2952">
        <v>22</v>
      </c>
      <c r="J2952">
        <v>22</v>
      </c>
      <c r="K2952">
        <v>0</v>
      </c>
      <c r="L2952">
        <v>609</v>
      </c>
      <c r="M2952">
        <v>15</v>
      </c>
      <c r="N2952" s="1">
        <f t="shared" si="368"/>
        <v>44938</v>
      </c>
      <c r="O2952" s="1">
        <f t="shared" si="369"/>
        <v>43101</v>
      </c>
      <c r="P2952" s="1">
        <f t="shared" si="370"/>
        <v>45231</v>
      </c>
      <c r="Q2952" s="8">
        <f t="shared" si="371"/>
        <v>0</v>
      </c>
      <c r="R2952" s="8">
        <f t="shared" si="372"/>
        <v>71</v>
      </c>
      <c r="S2952" s="8">
        <f t="shared" ca="1" si="373"/>
        <v>69</v>
      </c>
      <c r="T2952">
        <f t="shared" ca="1" si="374"/>
        <v>1.7346761539584001</v>
      </c>
      <c r="U2952" s="8">
        <f t="shared" ca="1" si="375"/>
        <v>3.4440094130176009</v>
      </c>
      <c r="V2952" s="9">
        <f ca="1">RawData[[#This Row],[Z (smoothed demand size)]]/RawData[[#This Row],[X (smoothed interval)]]</f>
        <v>0.50367927201409624</v>
      </c>
    </row>
    <row r="2953" spans="1:22">
      <c r="A2953" t="s">
        <v>59</v>
      </c>
      <c r="B2953" t="s">
        <v>60</v>
      </c>
      <c r="C2953">
        <v>32</v>
      </c>
      <c r="D2953" t="s">
        <v>18</v>
      </c>
      <c r="E2953" t="s">
        <v>16</v>
      </c>
      <c r="F2953" s="1">
        <v>44938</v>
      </c>
      <c r="G2953">
        <v>0</v>
      </c>
      <c r="H2953">
        <v>0</v>
      </c>
      <c r="I2953">
        <v>22</v>
      </c>
      <c r="J2953">
        <v>22</v>
      </c>
      <c r="K2953">
        <v>0</v>
      </c>
      <c r="L2953">
        <v>681</v>
      </c>
      <c r="M2953">
        <v>60</v>
      </c>
      <c r="N2953" s="1">
        <f t="shared" si="368"/>
        <v>44938</v>
      </c>
      <c r="O2953" s="1">
        <f t="shared" si="369"/>
        <v>43101</v>
      </c>
      <c r="P2953" s="1">
        <f t="shared" si="370"/>
        <v>45261</v>
      </c>
      <c r="Q2953" s="8">
        <f t="shared" si="371"/>
        <v>0</v>
      </c>
      <c r="R2953" s="8">
        <f t="shared" si="372"/>
        <v>72</v>
      </c>
      <c r="S2953" s="8">
        <f t="shared" ca="1" si="373"/>
        <v>69</v>
      </c>
      <c r="T2953">
        <f t="shared" ca="1" si="374"/>
        <v>1.7346761539584001</v>
      </c>
      <c r="U2953" s="8">
        <f t="shared" ca="1" si="375"/>
        <v>3.4440094130176009</v>
      </c>
      <c r="V2953" s="9">
        <f ca="1">RawData[[#This Row],[Z (smoothed demand size)]]/RawData[[#This Row],[X (smoothed interval)]]</f>
        <v>0.50367927201409624</v>
      </c>
    </row>
    <row r="2954" spans="1:22">
      <c r="A2954" t="s">
        <v>61</v>
      </c>
      <c r="B2954" t="s">
        <v>60</v>
      </c>
      <c r="C2954">
        <v>49</v>
      </c>
      <c r="D2954" t="s">
        <v>18</v>
      </c>
      <c r="E2954" t="s">
        <v>16</v>
      </c>
      <c r="F2954" s="1">
        <v>43101</v>
      </c>
      <c r="G2954">
        <v>0</v>
      </c>
      <c r="H2954">
        <v>0</v>
      </c>
      <c r="I2954">
        <v>15</v>
      </c>
      <c r="J2954">
        <v>15</v>
      </c>
      <c r="K2954">
        <v>0</v>
      </c>
      <c r="L2954">
        <v>582</v>
      </c>
      <c r="M2954">
        <v>15</v>
      </c>
      <c r="N2954" s="1">
        <f t="shared" si="368"/>
        <v>44938</v>
      </c>
      <c r="O2954" s="1">
        <f t="shared" si="369"/>
        <v>43101</v>
      </c>
      <c r="P2954" s="1">
        <f t="shared" si="370"/>
        <v>43101</v>
      </c>
      <c r="Q2954" s="8">
        <f t="shared" si="371"/>
        <v>1</v>
      </c>
      <c r="R2954" s="8">
        <f t="shared" si="372"/>
        <v>1</v>
      </c>
      <c r="S2954" s="8">
        <f t="shared" ca="1" si="373"/>
        <v>0</v>
      </c>
      <c r="T2954">
        <f t="shared" ca="1" si="374"/>
        <v>0</v>
      </c>
      <c r="U2954" s="8">
        <f t="shared" ca="1" si="375"/>
        <v>1</v>
      </c>
      <c r="V2954" s="9">
        <f ca="1">RawData[[#This Row],[Z (smoothed demand size)]]/RawData[[#This Row],[X (smoothed interval)]]</f>
        <v>0</v>
      </c>
    </row>
    <row r="2955" spans="1:22">
      <c r="A2955" t="s">
        <v>61</v>
      </c>
      <c r="B2955" t="s">
        <v>60</v>
      </c>
      <c r="C2955">
        <v>49</v>
      </c>
      <c r="D2955" t="s">
        <v>18</v>
      </c>
      <c r="E2955" t="s">
        <v>16</v>
      </c>
      <c r="F2955" s="1">
        <v>43102</v>
      </c>
      <c r="G2955">
        <v>0</v>
      </c>
      <c r="H2955">
        <v>0</v>
      </c>
      <c r="I2955">
        <v>15</v>
      </c>
      <c r="J2955">
        <v>15</v>
      </c>
      <c r="K2955">
        <v>0</v>
      </c>
      <c r="L2955">
        <v>580</v>
      </c>
      <c r="M2955">
        <v>45</v>
      </c>
      <c r="N2955" s="1">
        <f t="shared" si="368"/>
        <v>44938</v>
      </c>
      <c r="O2955" s="1">
        <f t="shared" si="369"/>
        <v>43101</v>
      </c>
      <c r="P2955" s="1">
        <f t="shared" si="370"/>
        <v>43132</v>
      </c>
      <c r="Q2955" s="8">
        <f t="shared" si="371"/>
        <v>0</v>
      </c>
      <c r="R2955" s="8">
        <f t="shared" si="372"/>
        <v>2</v>
      </c>
      <c r="S2955" s="8">
        <f t="shared" ca="1" si="373"/>
        <v>0</v>
      </c>
      <c r="T2955">
        <f t="shared" ca="1" si="374"/>
        <v>0</v>
      </c>
      <c r="U2955" s="8">
        <f t="shared" ca="1" si="375"/>
        <v>1</v>
      </c>
      <c r="V2955" s="9">
        <f ca="1">RawData[[#This Row],[Z (smoothed demand size)]]/RawData[[#This Row],[X (smoothed interval)]]</f>
        <v>0</v>
      </c>
    </row>
    <row r="2956" spans="1:22">
      <c r="A2956" t="s">
        <v>61</v>
      </c>
      <c r="B2956" t="s">
        <v>60</v>
      </c>
      <c r="C2956">
        <v>49</v>
      </c>
      <c r="D2956" t="s">
        <v>18</v>
      </c>
      <c r="E2956" t="s">
        <v>16</v>
      </c>
      <c r="F2956" s="1">
        <v>43103</v>
      </c>
      <c r="G2956">
        <v>0</v>
      </c>
      <c r="H2956">
        <v>0</v>
      </c>
      <c r="I2956">
        <v>15</v>
      </c>
      <c r="J2956">
        <v>15</v>
      </c>
      <c r="K2956">
        <v>0</v>
      </c>
      <c r="L2956">
        <v>577</v>
      </c>
      <c r="M2956">
        <v>30</v>
      </c>
      <c r="N2956" s="1">
        <f t="shared" si="368"/>
        <v>44938</v>
      </c>
      <c r="O2956" s="1">
        <f t="shared" si="369"/>
        <v>43101</v>
      </c>
      <c r="P2956" s="1">
        <f t="shared" si="370"/>
        <v>43160</v>
      </c>
      <c r="Q2956" s="8">
        <f t="shared" si="371"/>
        <v>0</v>
      </c>
      <c r="R2956" s="8">
        <f t="shared" si="372"/>
        <v>3</v>
      </c>
      <c r="S2956" s="8">
        <f t="shared" ca="1" si="373"/>
        <v>0</v>
      </c>
      <c r="T2956">
        <f t="shared" ca="1" si="374"/>
        <v>0</v>
      </c>
      <c r="U2956" s="8">
        <f t="shared" ca="1" si="375"/>
        <v>1</v>
      </c>
      <c r="V2956" s="9">
        <f ca="1">RawData[[#This Row],[Z (smoothed demand size)]]/RawData[[#This Row],[X (smoothed interval)]]</f>
        <v>0</v>
      </c>
    </row>
    <row r="2957" spans="1:22">
      <c r="A2957" t="s">
        <v>61</v>
      </c>
      <c r="B2957" t="s">
        <v>60</v>
      </c>
      <c r="C2957">
        <v>49</v>
      </c>
      <c r="D2957" t="s">
        <v>18</v>
      </c>
      <c r="E2957" t="s">
        <v>16</v>
      </c>
      <c r="F2957" s="1">
        <v>43104</v>
      </c>
      <c r="G2957">
        <v>0</v>
      </c>
      <c r="H2957">
        <v>0</v>
      </c>
      <c r="I2957">
        <v>15</v>
      </c>
      <c r="J2957">
        <v>15</v>
      </c>
      <c r="K2957">
        <v>0</v>
      </c>
      <c r="L2957">
        <v>584</v>
      </c>
      <c r="M2957">
        <v>15</v>
      </c>
      <c r="N2957" s="1">
        <f t="shared" si="368"/>
        <v>44938</v>
      </c>
      <c r="O2957" s="1">
        <f t="shared" si="369"/>
        <v>43101</v>
      </c>
      <c r="P2957" s="1">
        <f t="shared" si="370"/>
        <v>43191</v>
      </c>
      <c r="Q2957" s="8">
        <f t="shared" si="371"/>
        <v>0</v>
      </c>
      <c r="R2957" s="8">
        <f t="shared" si="372"/>
        <v>4</v>
      </c>
      <c r="S2957" s="8">
        <f t="shared" ca="1" si="373"/>
        <v>0</v>
      </c>
      <c r="T2957">
        <f t="shared" ca="1" si="374"/>
        <v>0</v>
      </c>
      <c r="U2957" s="8">
        <f t="shared" ca="1" si="375"/>
        <v>1</v>
      </c>
      <c r="V2957" s="9">
        <f ca="1">RawData[[#This Row],[Z (smoothed demand size)]]/RawData[[#This Row],[X (smoothed interval)]]</f>
        <v>0</v>
      </c>
    </row>
    <row r="2958" spans="1:22">
      <c r="A2958" t="s">
        <v>61</v>
      </c>
      <c r="B2958" t="s">
        <v>60</v>
      </c>
      <c r="C2958">
        <v>49</v>
      </c>
      <c r="D2958" t="s">
        <v>18</v>
      </c>
      <c r="E2958" t="s">
        <v>16</v>
      </c>
      <c r="F2958" s="1">
        <v>43105</v>
      </c>
      <c r="G2958">
        <v>0</v>
      </c>
      <c r="H2958">
        <v>0</v>
      </c>
      <c r="I2958">
        <v>15</v>
      </c>
      <c r="J2958">
        <v>15</v>
      </c>
      <c r="K2958">
        <v>0</v>
      </c>
      <c r="L2958">
        <v>572</v>
      </c>
      <c r="M2958">
        <v>45</v>
      </c>
      <c r="N2958" s="1">
        <f t="shared" si="368"/>
        <v>44938</v>
      </c>
      <c r="O2958" s="1">
        <f t="shared" si="369"/>
        <v>43101</v>
      </c>
      <c r="P2958" s="1">
        <f t="shared" si="370"/>
        <v>43221</v>
      </c>
      <c r="Q2958" s="8">
        <f t="shared" si="371"/>
        <v>0</v>
      </c>
      <c r="R2958" s="8">
        <f t="shared" si="372"/>
        <v>5</v>
      </c>
      <c r="S2958" s="8">
        <f t="shared" ca="1" si="373"/>
        <v>0</v>
      </c>
      <c r="T2958">
        <f t="shared" ca="1" si="374"/>
        <v>0</v>
      </c>
      <c r="U2958" s="8">
        <f t="shared" ca="1" si="375"/>
        <v>1</v>
      </c>
      <c r="V2958" s="9">
        <f ca="1">RawData[[#This Row],[Z (smoothed demand size)]]/RawData[[#This Row],[X (smoothed interval)]]</f>
        <v>0</v>
      </c>
    </row>
    <row r="2959" spans="1:22">
      <c r="A2959" t="s">
        <v>61</v>
      </c>
      <c r="B2959" t="s">
        <v>60</v>
      </c>
      <c r="C2959">
        <v>49</v>
      </c>
      <c r="D2959" t="s">
        <v>18</v>
      </c>
      <c r="E2959" t="s">
        <v>16</v>
      </c>
      <c r="F2959" s="1">
        <v>43106</v>
      </c>
      <c r="G2959">
        <v>0</v>
      </c>
      <c r="H2959">
        <v>0</v>
      </c>
      <c r="I2959">
        <v>15</v>
      </c>
      <c r="J2959">
        <v>15</v>
      </c>
      <c r="K2959">
        <v>0</v>
      </c>
      <c r="L2959">
        <v>669</v>
      </c>
      <c r="M2959">
        <v>60</v>
      </c>
      <c r="N2959" s="1">
        <f t="shared" si="368"/>
        <v>44938</v>
      </c>
      <c r="O2959" s="1">
        <f t="shared" si="369"/>
        <v>43101</v>
      </c>
      <c r="P2959" s="1">
        <f t="shared" si="370"/>
        <v>43252</v>
      </c>
      <c r="Q2959" s="8">
        <f t="shared" si="371"/>
        <v>0</v>
      </c>
      <c r="R2959" s="8">
        <f t="shared" si="372"/>
        <v>6</v>
      </c>
      <c r="S2959" s="8">
        <f t="shared" ca="1" si="373"/>
        <v>0</v>
      </c>
      <c r="T2959">
        <f t="shared" ca="1" si="374"/>
        <v>0</v>
      </c>
      <c r="U2959" s="8">
        <f t="shared" ca="1" si="375"/>
        <v>1</v>
      </c>
      <c r="V2959" s="9">
        <f ca="1">RawData[[#This Row],[Z (smoothed demand size)]]/RawData[[#This Row],[X (smoothed interval)]]</f>
        <v>0</v>
      </c>
    </row>
    <row r="2960" spans="1:22">
      <c r="A2960" t="s">
        <v>61</v>
      </c>
      <c r="B2960" t="s">
        <v>60</v>
      </c>
      <c r="C2960">
        <v>49</v>
      </c>
      <c r="D2960" t="s">
        <v>18</v>
      </c>
      <c r="E2960" t="s">
        <v>16</v>
      </c>
      <c r="F2960" s="1">
        <v>43107</v>
      </c>
      <c r="G2960">
        <v>0</v>
      </c>
      <c r="H2960">
        <v>0</v>
      </c>
      <c r="I2960">
        <v>15</v>
      </c>
      <c r="J2960">
        <v>15</v>
      </c>
      <c r="K2960">
        <v>0</v>
      </c>
      <c r="L2960">
        <v>661</v>
      </c>
      <c r="M2960">
        <v>45</v>
      </c>
      <c r="N2960" s="1">
        <f t="shared" si="368"/>
        <v>44938</v>
      </c>
      <c r="O2960" s="1">
        <f t="shared" si="369"/>
        <v>43101</v>
      </c>
      <c r="P2960" s="1">
        <f t="shared" si="370"/>
        <v>43282</v>
      </c>
      <c r="Q2960" s="8">
        <f t="shared" si="371"/>
        <v>0</v>
      </c>
      <c r="R2960" s="8">
        <f t="shared" si="372"/>
        <v>7</v>
      </c>
      <c r="S2960" s="8">
        <f t="shared" ca="1" si="373"/>
        <v>0</v>
      </c>
      <c r="T2960">
        <f t="shared" ca="1" si="374"/>
        <v>0</v>
      </c>
      <c r="U2960" s="8">
        <f t="shared" ca="1" si="375"/>
        <v>1</v>
      </c>
      <c r="V2960" s="9">
        <f ca="1">RawData[[#This Row],[Z (smoothed demand size)]]/RawData[[#This Row],[X (smoothed interval)]]</f>
        <v>0</v>
      </c>
    </row>
    <row r="2961" spans="1:22">
      <c r="A2961" t="s">
        <v>61</v>
      </c>
      <c r="B2961" t="s">
        <v>60</v>
      </c>
      <c r="C2961">
        <v>49</v>
      </c>
      <c r="D2961" t="s">
        <v>18</v>
      </c>
      <c r="E2961" t="s">
        <v>16</v>
      </c>
      <c r="F2961" s="1">
        <v>43108</v>
      </c>
      <c r="G2961">
        <v>0</v>
      </c>
      <c r="H2961">
        <v>0</v>
      </c>
      <c r="I2961">
        <v>15</v>
      </c>
      <c r="J2961">
        <v>15</v>
      </c>
      <c r="K2961">
        <v>0</v>
      </c>
      <c r="L2961">
        <v>652</v>
      </c>
      <c r="M2961">
        <v>30</v>
      </c>
      <c r="N2961" s="1">
        <f t="shared" si="368"/>
        <v>44938</v>
      </c>
      <c r="O2961" s="1">
        <f t="shared" si="369"/>
        <v>43101</v>
      </c>
      <c r="P2961" s="1">
        <f t="shared" si="370"/>
        <v>43313</v>
      </c>
      <c r="Q2961" s="8">
        <f t="shared" si="371"/>
        <v>0</v>
      </c>
      <c r="R2961" s="8">
        <f t="shared" si="372"/>
        <v>8</v>
      </c>
      <c r="S2961" s="8">
        <f t="shared" ca="1" si="373"/>
        <v>0</v>
      </c>
      <c r="T2961">
        <f t="shared" ca="1" si="374"/>
        <v>0</v>
      </c>
      <c r="U2961" s="8">
        <f t="shared" ca="1" si="375"/>
        <v>1</v>
      </c>
      <c r="V2961" s="9">
        <f ca="1">RawData[[#This Row],[Z (smoothed demand size)]]/RawData[[#This Row],[X (smoothed interval)]]</f>
        <v>0</v>
      </c>
    </row>
    <row r="2962" spans="1:22">
      <c r="A2962" t="s">
        <v>61</v>
      </c>
      <c r="B2962" t="s">
        <v>60</v>
      </c>
      <c r="C2962">
        <v>49</v>
      </c>
      <c r="D2962" t="s">
        <v>18</v>
      </c>
      <c r="E2962" t="s">
        <v>16</v>
      </c>
      <c r="F2962" s="1">
        <v>43109</v>
      </c>
      <c r="G2962">
        <v>0</v>
      </c>
      <c r="H2962">
        <v>0</v>
      </c>
      <c r="I2962">
        <v>15</v>
      </c>
      <c r="J2962">
        <v>15</v>
      </c>
      <c r="K2962">
        <v>0</v>
      </c>
      <c r="L2962">
        <v>571</v>
      </c>
      <c r="M2962">
        <v>60</v>
      </c>
      <c r="N2962" s="1">
        <f t="shared" si="368"/>
        <v>44938</v>
      </c>
      <c r="O2962" s="1">
        <f t="shared" si="369"/>
        <v>43101</v>
      </c>
      <c r="P2962" s="1">
        <f t="shared" si="370"/>
        <v>43344</v>
      </c>
      <c r="Q2962" s="8">
        <f t="shared" si="371"/>
        <v>0</v>
      </c>
      <c r="R2962" s="8">
        <f t="shared" si="372"/>
        <v>9</v>
      </c>
      <c r="S2962" s="8">
        <f t="shared" ca="1" si="373"/>
        <v>0</v>
      </c>
      <c r="T2962">
        <f t="shared" ca="1" si="374"/>
        <v>0</v>
      </c>
      <c r="U2962" s="8">
        <f t="shared" ca="1" si="375"/>
        <v>1</v>
      </c>
      <c r="V2962" s="9">
        <f ca="1">RawData[[#This Row],[Z (smoothed demand size)]]/RawData[[#This Row],[X (smoothed interval)]]</f>
        <v>0</v>
      </c>
    </row>
    <row r="2963" spans="1:22">
      <c r="A2963" t="s">
        <v>61</v>
      </c>
      <c r="B2963" t="s">
        <v>60</v>
      </c>
      <c r="C2963">
        <v>49</v>
      </c>
      <c r="D2963" t="s">
        <v>18</v>
      </c>
      <c r="E2963" t="s">
        <v>16</v>
      </c>
      <c r="F2963" s="1">
        <v>43110</v>
      </c>
      <c r="G2963">
        <v>0</v>
      </c>
      <c r="H2963">
        <v>0</v>
      </c>
      <c r="I2963">
        <v>15</v>
      </c>
      <c r="J2963">
        <v>15</v>
      </c>
      <c r="K2963">
        <v>0</v>
      </c>
      <c r="L2963">
        <v>579</v>
      </c>
      <c r="M2963">
        <v>30</v>
      </c>
      <c r="N2963" s="1">
        <f t="shared" si="368"/>
        <v>44938</v>
      </c>
      <c r="O2963" s="1">
        <f t="shared" si="369"/>
        <v>43101</v>
      </c>
      <c r="P2963" s="1">
        <f t="shared" si="370"/>
        <v>43374</v>
      </c>
      <c r="Q2963" s="8">
        <f t="shared" si="371"/>
        <v>0</v>
      </c>
      <c r="R2963" s="8">
        <f t="shared" si="372"/>
        <v>10</v>
      </c>
      <c r="S2963" s="8">
        <f t="shared" ca="1" si="373"/>
        <v>0</v>
      </c>
      <c r="T2963">
        <f t="shared" ca="1" si="374"/>
        <v>0</v>
      </c>
      <c r="U2963" s="8">
        <f t="shared" ca="1" si="375"/>
        <v>1</v>
      </c>
      <c r="V2963" s="9">
        <f ca="1">RawData[[#This Row],[Z (smoothed demand size)]]/RawData[[#This Row],[X (smoothed interval)]]</f>
        <v>0</v>
      </c>
    </row>
    <row r="2964" spans="1:22">
      <c r="A2964" t="s">
        <v>61</v>
      </c>
      <c r="B2964" t="s">
        <v>60</v>
      </c>
      <c r="C2964">
        <v>49</v>
      </c>
      <c r="D2964" t="s">
        <v>18</v>
      </c>
      <c r="E2964" t="s">
        <v>16</v>
      </c>
      <c r="F2964" s="1">
        <v>43111</v>
      </c>
      <c r="G2964">
        <v>1</v>
      </c>
      <c r="H2964">
        <v>1</v>
      </c>
      <c r="I2964">
        <v>15</v>
      </c>
      <c r="J2964">
        <v>14</v>
      </c>
      <c r="K2964">
        <v>0</v>
      </c>
      <c r="L2964">
        <v>578</v>
      </c>
      <c r="M2964">
        <v>60</v>
      </c>
      <c r="N2964" s="1">
        <f t="shared" si="368"/>
        <v>44938</v>
      </c>
      <c r="O2964" s="1">
        <f t="shared" si="369"/>
        <v>43101</v>
      </c>
      <c r="P2964" s="1">
        <f t="shared" si="370"/>
        <v>43405</v>
      </c>
      <c r="Q2964" s="8">
        <f t="shared" si="371"/>
        <v>0</v>
      </c>
      <c r="R2964" s="8">
        <f t="shared" si="372"/>
        <v>11</v>
      </c>
      <c r="S2964" s="8">
        <f t="shared" ca="1" si="373"/>
        <v>11</v>
      </c>
      <c r="T2964">
        <f t="shared" ca="1" si="374"/>
        <v>0.2</v>
      </c>
      <c r="U2964" s="8">
        <f t="shared" ca="1" si="375"/>
        <v>3</v>
      </c>
      <c r="V2964" s="9">
        <f ca="1">RawData[[#This Row],[Z (smoothed demand size)]]/RawData[[#This Row],[X (smoothed interval)]]</f>
        <v>6.6666666666666666E-2</v>
      </c>
    </row>
    <row r="2965" spans="1:22">
      <c r="A2965" t="s">
        <v>61</v>
      </c>
      <c r="B2965" t="s">
        <v>60</v>
      </c>
      <c r="C2965">
        <v>49</v>
      </c>
      <c r="D2965" t="s">
        <v>18</v>
      </c>
      <c r="E2965" t="s">
        <v>16</v>
      </c>
      <c r="F2965" s="1">
        <v>43112</v>
      </c>
      <c r="G2965">
        <v>1</v>
      </c>
      <c r="H2965">
        <v>1</v>
      </c>
      <c r="I2965">
        <v>14</v>
      </c>
      <c r="J2965">
        <v>13</v>
      </c>
      <c r="K2965">
        <v>0</v>
      </c>
      <c r="L2965">
        <v>666</v>
      </c>
      <c r="M2965">
        <v>15</v>
      </c>
      <c r="N2965" s="1">
        <f t="shared" si="368"/>
        <v>44938</v>
      </c>
      <c r="O2965" s="1">
        <f t="shared" si="369"/>
        <v>43101</v>
      </c>
      <c r="P2965" s="1">
        <f t="shared" si="370"/>
        <v>43435</v>
      </c>
      <c r="Q2965" s="8">
        <f t="shared" si="371"/>
        <v>0</v>
      </c>
      <c r="R2965" s="8">
        <f t="shared" si="372"/>
        <v>12</v>
      </c>
      <c r="S2965" s="8">
        <f t="shared" ca="1" si="373"/>
        <v>12</v>
      </c>
      <c r="T2965">
        <f t="shared" ca="1" si="374"/>
        <v>0.36000000000000004</v>
      </c>
      <c r="U2965" s="8">
        <f t="shared" ca="1" si="375"/>
        <v>2.6000000000000005</v>
      </c>
      <c r="V2965" s="9">
        <f ca="1">RawData[[#This Row],[Z (smoothed demand size)]]/RawData[[#This Row],[X (smoothed interval)]]</f>
        <v>0.13846153846153844</v>
      </c>
    </row>
    <row r="2966" spans="1:22">
      <c r="A2966" t="s">
        <v>61</v>
      </c>
      <c r="B2966" t="s">
        <v>60</v>
      </c>
      <c r="C2966">
        <v>49</v>
      </c>
      <c r="D2966" t="s">
        <v>18</v>
      </c>
      <c r="E2966" t="s">
        <v>16</v>
      </c>
      <c r="F2966" s="1">
        <v>43466</v>
      </c>
      <c r="G2966">
        <v>4</v>
      </c>
      <c r="H2966">
        <v>4</v>
      </c>
      <c r="I2966">
        <v>13</v>
      </c>
      <c r="J2966">
        <v>9</v>
      </c>
      <c r="K2966">
        <v>0</v>
      </c>
      <c r="L2966">
        <v>573</v>
      </c>
      <c r="M2966">
        <v>15</v>
      </c>
      <c r="N2966" s="1">
        <f t="shared" si="368"/>
        <v>44938</v>
      </c>
      <c r="O2966" s="1">
        <f t="shared" si="369"/>
        <v>43101</v>
      </c>
      <c r="P2966" s="1">
        <f t="shared" si="370"/>
        <v>43466</v>
      </c>
      <c r="Q2966" s="8">
        <f t="shared" si="371"/>
        <v>0</v>
      </c>
      <c r="R2966" s="8">
        <f t="shared" si="372"/>
        <v>13</v>
      </c>
      <c r="S2966" s="8">
        <f t="shared" ca="1" si="373"/>
        <v>13</v>
      </c>
      <c r="T2966">
        <f t="shared" ca="1" si="374"/>
        <v>1.0880000000000001</v>
      </c>
      <c r="U2966" s="8">
        <f t="shared" ca="1" si="375"/>
        <v>2.2800000000000007</v>
      </c>
      <c r="V2966" s="9">
        <f ca="1">RawData[[#This Row],[Z (smoothed demand size)]]/RawData[[#This Row],[X (smoothed interval)]]</f>
        <v>0.47719298245614022</v>
      </c>
    </row>
    <row r="2967" spans="1:22">
      <c r="A2967" t="s">
        <v>61</v>
      </c>
      <c r="B2967" t="s">
        <v>60</v>
      </c>
      <c r="C2967">
        <v>49</v>
      </c>
      <c r="D2967" t="s">
        <v>18</v>
      </c>
      <c r="E2967" t="s">
        <v>16</v>
      </c>
      <c r="F2967" s="1">
        <v>43467</v>
      </c>
      <c r="G2967">
        <v>0</v>
      </c>
      <c r="H2967">
        <v>0</v>
      </c>
      <c r="I2967">
        <v>9</v>
      </c>
      <c r="J2967">
        <v>9</v>
      </c>
      <c r="K2967">
        <v>0</v>
      </c>
      <c r="L2967">
        <v>576</v>
      </c>
      <c r="M2967">
        <v>60</v>
      </c>
      <c r="N2967" s="1">
        <f t="shared" si="368"/>
        <v>44938</v>
      </c>
      <c r="O2967" s="1">
        <f t="shared" si="369"/>
        <v>43101</v>
      </c>
      <c r="P2967" s="1">
        <f t="shared" si="370"/>
        <v>43497</v>
      </c>
      <c r="Q2967" s="8">
        <f t="shared" si="371"/>
        <v>0</v>
      </c>
      <c r="R2967" s="8">
        <f t="shared" si="372"/>
        <v>14</v>
      </c>
      <c r="S2967" s="8">
        <f t="shared" ca="1" si="373"/>
        <v>13</v>
      </c>
      <c r="T2967">
        <f t="shared" ca="1" si="374"/>
        <v>1.0880000000000001</v>
      </c>
      <c r="U2967" s="8">
        <f t="shared" ca="1" si="375"/>
        <v>2.2800000000000007</v>
      </c>
      <c r="V2967" s="9">
        <f ca="1">RawData[[#This Row],[Z (smoothed demand size)]]/RawData[[#This Row],[X (smoothed interval)]]</f>
        <v>0.47719298245614022</v>
      </c>
    </row>
    <row r="2968" spans="1:22">
      <c r="A2968" t="s">
        <v>61</v>
      </c>
      <c r="B2968" t="s">
        <v>60</v>
      </c>
      <c r="C2968">
        <v>49</v>
      </c>
      <c r="D2968" t="s">
        <v>18</v>
      </c>
      <c r="E2968" t="s">
        <v>16</v>
      </c>
      <c r="F2968" s="1">
        <v>43468</v>
      </c>
      <c r="G2968">
        <v>0</v>
      </c>
      <c r="H2968">
        <v>0</v>
      </c>
      <c r="I2968">
        <v>9</v>
      </c>
      <c r="J2968">
        <v>9</v>
      </c>
      <c r="K2968">
        <v>0</v>
      </c>
      <c r="L2968">
        <v>579</v>
      </c>
      <c r="M2968">
        <v>15</v>
      </c>
      <c r="N2968" s="1">
        <f t="shared" si="368"/>
        <v>44938</v>
      </c>
      <c r="O2968" s="1">
        <f t="shared" si="369"/>
        <v>43101</v>
      </c>
      <c r="P2968" s="1">
        <f t="shared" si="370"/>
        <v>43525</v>
      </c>
      <c r="Q2968" s="8">
        <f t="shared" si="371"/>
        <v>0</v>
      </c>
      <c r="R2968" s="8">
        <f t="shared" si="372"/>
        <v>15</v>
      </c>
      <c r="S2968" s="8">
        <f t="shared" ca="1" si="373"/>
        <v>13</v>
      </c>
      <c r="T2968">
        <f t="shared" ca="1" si="374"/>
        <v>1.0880000000000001</v>
      </c>
      <c r="U2968" s="8">
        <f t="shared" ca="1" si="375"/>
        <v>2.2800000000000007</v>
      </c>
      <c r="V2968" s="9">
        <f ca="1">RawData[[#This Row],[Z (smoothed demand size)]]/RawData[[#This Row],[X (smoothed interval)]]</f>
        <v>0.47719298245614022</v>
      </c>
    </row>
    <row r="2969" spans="1:22">
      <c r="A2969" t="s">
        <v>61</v>
      </c>
      <c r="B2969" t="s">
        <v>60</v>
      </c>
      <c r="C2969">
        <v>49</v>
      </c>
      <c r="D2969" t="s">
        <v>18</v>
      </c>
      <c r="E2969" t="s">
        <v>16</v>
      </c>
      <c r="F2969" s="1">
        <v>43469</v>
      </c>
      <c r="G2969">
        <v>0</v>
      </c>
      <c r="H2969">
        <v>0</v>
      </c>
      <c r="I2969">
        <v>9</v>
      </c>
      <c r="J2969">
        <v>9</v>
      </c>
      <c r="K2969">
        <v>0</v>
      </c>
      <c r="L2969">
        <v>589</v>
      </c>
      <c r="M2969">
        <v>30</v>
      </c>
      <c r="N2969" s="1">
        <f t="shared" si="368"/>
        <v>44938</v>
      </c>
      <c r="O2969" s="1">
        <f t="shared" si="369"/>
        <v>43101</v>
      </c>
      <c r="P2969" s="1">
        <f t="shared" si="370"/>
        <v>43556</v>
      </c>
      <c r="Q2969" s="8">
        <f t="shared" si="371"/>
        <v>0</v>
      </c>
      <c r="R2969" s="8">
        <f t="shared" si="372"/>
        <v>16</v>
      </c>
      <c r="S2969" s="8">
        <f t="shared" ca="1" si="373"/>
        <v>13</v>
      </c>
      <c r="T2969">
        <f t="shared" ca="1" si="374"/>
        <v>1.0880000000000001</v>
      </c>
      <c r="U2969" s="8">
        <f t="shared" ca="1" si="375"/>
        <v>2.2800000000000007</v>
      </c>
      <c r="V2969" s="9">
        <f ca="1">RawData[[#This Row],[Z (smoothed demand size)]]/RawData[[#This Row],[X (smoothed interval)]]</f>
        <v>0.47719298245614022</v>
      </c>
    </row>
    <row r="2970" spans="1:22">
      <c r="A2970" t="s">
        <v>61</v>
      </c>
      <c r="B2970" t="s">
        <v>60</v>
      </c>
      <c r="C2970">
        <v>49</v>
      </c>
      <c r="D2970" t="s">
        <v>18</v>
      </c>
      <c r="E2970" t="s">
        <v>16</v>
      </c>
      <c r="F2970" s="1">
        <v>43470</v>
      </c>
      <c r="G2970">
        <v>0</v>
      </c>
      <c r="H2970">
        <v>0</v>
      </c>
      <c r="I2970">
        <v>9</v>
      </c>
      <c r="J2970">
        <v>9</v>
      </c>
      <c r="K2970">
        <v>0</v>
      </c>
      <c r="L2970">
        <v>573</v>
      </c>
      <c r="M2970">
        <v>45</v>
      </c>
      <c r="N2970" s="1">
        <f t="shared" si="368"/>
        <v>44938</v>
      </c>
      <c r="O2970" s="1">
        <f t="shared" si="369"/>
        <v>43101</v>
      </c>
      <c r="P2970" s="1">
        <f t="shared" si="370"/>
        <v>43586</v>
      </c>
      <c r="Q2970" s="8">
        <f t="shared" si="371"/>
        <v>0</v>
      </c>
      <c r="R2970" s="8">
        <f t="shared" si="372"/>
        <v>17</v>
      </c>
      <c r="S2970" s="8">
        <f t="shared" ca="1" si="373"/>
        <v>13</v>
      </c>
      <c r="T2970">
        <f t="shared" ca="1" si="374"/>
        <v>1.0880000000000001</v>
      </c>
      <c r="U2970" s="8">
        <f t="shared" ca="1" si="375"/>
        <v>2.2800000000000007</v>
      </c>
      <c r="V2970" s="9">
        <f ca="1">RawData[[#This Row],[Z (smoothed demand size)]]/RawData[[#This Row],[X (smoothed interval)]]</f>
        <v>0.47719298245614022</v>
      </c>
    </row>
    <row r="2971" spans="1:22">
      <c r="A2971" t="s">
        <v>61</v>
      </c>
      <c r="B2971" t="s">
        <v>60</v>
      </c>
      <c r="C2971">
        <v>49</v>
      </c>
      <c r="D2971" t="s">
        <v>18</v>
      </c>
      <c r="E2971" t="s">
        <v>16</v>
      </c>
      <c r="F2971" s="1">
        <v>43471</v>
      </c>
      <c r="G2971">
        <v>0</v>
      </c>
      <c r="H2971">
        <v>0</v>
      </c>
      <c r="I2971">
        <v>9</v>
      </c>
      <c r="J2971">
        <v>9</v>
      </c>
      <c r="K2971">
        <v>0</v>
      </c>
      <c r="L2971">
        <v>668</v>
      </c>
      <c r="M2971">
        <v>15</v>
      </c>
      <c r="N2971" s="1">
        <f t="shared" si="368"/>
        <v>44938</v>
      </c>
      <c r="O2971" s="1">
        <f t="shared" si="369"/>
        <v>43101</v>
      </c>
      <c r="P2971" s="1">
        <f t="shared" si="370"/>
        <v>43617</v>
      </c>
      <c r="Q2971" s="8">
        <f t="shared" si="371"/>
        <v>0</v>
      </c>
      <c r="R2971" s="8">
        <f t="shared" si="372"/>
        <v>18</v>
      </c>
      <c r="S2971" s="8">
        <f t="shared" ca="1" si="373"/>
        <v>13</v>
      </c>
      <c r="T2971">
        <f t="shared" ca="1" si="374"/>
        <v>1.0880000000000001</v>
      </c>
      <c r="U2971" s="8">
        <f t="shared" ca="1" si="375"/>
        <v>2.2800000000000007</v>
      </c>
      <c r="V2971" s="9">
        <f ca="1">RawData[[#This Row],[Z (smoothed demand size)]]/RawData[[#This Row],[X (smoothed interval)]]</f>
        <v>0.47719298245614022</v>
      </c>
    </row>
    <row r="2972" spans="1:22">
      <c r="A2972" t="s">
        <v>61</v>
      </c>
      <c r="B2972" t="s">
        <v>60</v>
      </c>
      <c r="C2972">
        <v>49</v>
      </c>
      <c r="D2972" t="s">
        <v>18</v>
      </c>
      <c r="E2972" t="s">
        <v>16</v>
      </c>
      <c r="F2972" s="1">
        <v>43472</v>
      </c>
      <c r="G2972">
        <v>2</v>
      </c>
      <c r="H2972">
        <v>2</v>
      </c>
      <c r="I2972">
        <v>9</v>
      </c>
      <c r="J2972">
        <v>7</v>
      </c>
      <c r="K2972">
        <v>0</v>
      </c>
      <c r="L2972">
        <v>666</v>
      </c>
      <c r="M2972">
        <v>15</v>
      </c>
      <c r="N2972" s="1">
        <f t="shared" si="368"/>
        <v>44938</v>
      </c>
      <c r="O2972" s="1">
        <f t="shared" si="369"/>
        <v>43101</v>
      </c>
      <c r="P2972" s="1">
        <f t="shared" si="370"/>
        <v>43647</v>
      </c>
      <c r="Q2972" s="8">
        <f t="shared" si="371"/>
        <v>0</v>
      </c>
      <c r="R2972" s="8">
        <f t="shared" si="372"/>
        <v>19</v>
      </c>
      <c r="S2972" s="8">
        <f t="shared" ca="1" si="373"/>
        <v>19</v>
      </c>
      <c r="T2972">
        <f t="shared" ca="1" si="374"/>
        <v>1.2704</v>
      </c>
      <c r="U2972" s="8">
        <f t="shared" ca="1" si="375"/>
        <v>3.0240000000000009</v>
      </c>
      <c r="V2972" s="9">
        <f ca="1">RawData[[#This Row],[Z (smoothed demand size)]]/RawData[[#This Row],[X (smoothed interval)]]</f>
        <v>0.42010582010581998</v>
      </c>
    </row>
    <row r="2973" spans="1:22">
      <c r="A2973" t="s">
        <v>61</v>
      </c>
      <c r="B2973" t="s">
        <v>60</v>
      </c>
      <c r="C2973">
        <v>49</v>
      </c>
      <c r="D2973" t="s">
        <v>18</v>
      </c>
      <c r="E2973" t="s">
        <v>16</v>
      </c>
      <c r="F2973" s="1">
        <v>43473</v>
      </c>
      <c r="G2973">
        <v>0</v>
      </c>
      <c r="H2973">
        <v>0</v>
      </c>
      <c r="I2973">
        <v>7</v>
      </c>
      <c r="J2973">
        <v>7</v>
      </c>
      <c r="K2973">
        <v>0</v>
      </c>
      <c r="L2973">
        <v>662</v>
      </c>
      <c r="M2973">
        <v>15</v>
      </c>
      <c r="N2973" s="1">
        <f t="shared" si="368"/>
        <v>44938</v>
      </c>
      <c r="O2973" s="1">
        <f t="shared" si="369"/>
        <v>43101</v>
      </c>
      <c r="P2973" s="1">
        <f t="shared" si="370"/>
        <v>43678</v>
      </c>
      <c r="Q2973" s="8">
        <f t="shared" si="371"/>
        <v>0</v>
      </c>
      <c r="R2973" s="8">
        <f t="shared" si="372"/>
        <v>20</v>
      </c>
      <c r="S2973" s="8">
        <f t="shared" ca="1" si="373"/>
        <v>19</v>
      </c>
      <c r="T2973">
        <f t="shared" ca="1" si="374"/>
        <v>1.2704</v>
      </c>
      <c r="U2973" s="8">
        <f t="shared" ca="1" si="375"/>
        <v>3.0240000000000009</v>
      </c>
      <c r="V2973" s="9">
        <f ca="1">RawData[[#This Row],[Z (smoothed demand size)]]/RawData[[#This Row],[X (smoothed interval)]]</f>
        <v>0.42010582010581998</v>
      </c>
    </row>
    <row r="2974" spans="1:22">
      <c r="A2974" t="s">
        <v>61</v>
      </c>
      <c r="B2974" t="s">
        <v>60</v>
      </c>
      <c r="C2974">
        <v>49</v>
      </c>
      <c r="D2974" t="s">
        <v>18</v>
      </c>
      <c r="E2974" t="s">
        <v>16</v>
      </c>
      <c r="F2974" s="1">
        <v>43474</v>
      </c>
      <c r="G2974">
        <v>0</v>
      </c>
      <c r="H2974">
        <v>0</v>
      </c>
      <c r="I2974">
        <v>7</v>
      </c>
      <c r="J2974">
        <v>7</v>
      </c>
      <c r="K2974">
        <v>0</v>
      </c>
      <c r="L2974">
        <v>568</v>
      </c>
      <c r="M2974">
        <v>45</v>
      </c>
      <c r="N2974" s="1">
        <f t="shared" si="368"/>
        <v>44938</v>
      </c>
      <c r="O2974" s="1">
        <f t="shared" si="369"/>
        <v>43101</v>
      </c>
      <c r="P2974" s="1">
        <f t="shared" si="370"/>
        <v>43709</v>
      </c>
      <c r="Q2974" s="8">
        <f t="shared" si="371"/>
        <v>0</v>
      </c>
      <c r="R2974" s="8">
        <f t="shared" si="372"/>
        <v>21</v>
      </c>
      <c r="S2974" s="8">
        <f t="shared" ca="1" si="373"/>
        <v>19</v>
      </c>
      <c r="T2974">
        <f t="shared" ca="1" si="374"/>
        <v>1.2704</v>
      </c>
      <c r="U2974" s="8">
        <f t="shared" ca="1" si="375"/>
        <v>3.0240000000000009</v>
      </c>
      <c r="V2974" s="9">
        <f ca="1">RawData[[#This Row],[Z (smoothed demand size)]]/RawData[[#This Row],[X (smoothed interval)]]</f>
        <v>0.42010582010581998</v>
      </c>
    </row>
    <row r="2975" spans="1:22">
      <c r="A2975" t="s">
        <v>61</v>
      </c>
      <c r="B2975" t="s">
        <v>60</v>
      </c>
      <c r="C2975">
        <v>49</v>
      </c>
      <c r="D2975" t="s">
        <v>18</v>
      </c>
      <c r="E2975" t="s">
        <v>16</v>
      </c>
      <c r="F2975" s="1">
        <v>43475</v>
      </c>
      <c r="G2975">
        <v>0</v>
      </c>
      <c r="H2975">
        <v>0</v>
      </c>
      <c r="I2975">
        <v>7</v>
      </c>
      <c r="J2975">
        <v>7</v>
      </c>
      <c r="K2975">
        <v>0</v>
      </c>
      <c r="L2975">
        <v>583</v>
      </c>
      <c r="M2975">
        <v>45</v>
      </c>
      <c r="N2975" s="1">
        <f t="shared" si="368"/>
        <v>44938</v>
      </c>
      <c r="O2975" s="1">
        <f t="shared" si="369"/>
        <v>43101</v>
      </c>
      <c r="P2975" s="1">
        <f t="shared" si="370"/>
        <v>43739</v>
      </c>
      <c r="Q2975" s="8">
        <f t="shared" si="371"/>
        <v>0</v>
      </c>
      <c r="R2975" s="8">
        <f t="shared" si="372"/>
        <v>22</v>
      </c>
      <c r="S2975" s="8">
        <f t="shared" ca="1" si="373"/>
        <v>19</v>
      </c>
      <c r="T2975">
        <f t="shared" ca="1" si="374"/>
        <v>1.2704</v>
      </c>
      <c r="U2975" s="8">
        <f t="shared" ca="1" si="375"/>
        <v>3.0240000000000009</v>
      </c>
      <c r="V2975" s="9">
        <f ca="1">RawData[[#This Row],[Z (smoothed demand size)]]/RawData[[#This Row],[X (smoothed interval)]]</f>
        <v>0.42010582010581998</v>
      </c>
    </row>
    <row r="2976" spans="1:22">
      <c r="A2976" t="s">
        <v>61</v>
      </c>
      <c r="B2976" t="s">
        <v>60</v>
      </c>
      <c r="C2976">
        <v>49</v>
      </c>
      <c r="D2976" t="s">
        <v>18</v>
      </c>
      <c r="E2976" t="s">
        <v>16</v>
      </c>
      <c r="F2976" s="1">
        <v>43476</v>
      </c>
      <c r="G2976">
        <v>0</v>
      </c>
      <c r="H2976">
        <v>0</v>
      </c>
      <c r="I2976">
        <v>7</v>
      </c>
      <c r="J2976">
        <v>7</v>
      </c>
      <c r="K2976">
        <v>0</v>
      </c>
      <c r="L2976">
        <v>577</v>
      </c>
      <c r="M2976">
        <v>45</v>
      </c>
      <c r="N2976" s="1">
        <f t="shared" si="368"/>
        <v>44938</v>
      </c>
      <c r="O2976" s="1">
        <f t="shared" si="369"/>
        <v>43101</v>
      </c>
      <c r="P2976" s="1">
        <f t="shared" si="370"/>
        <v>43770</v>
      </c>
      <c r="Q2976" s="8">
        <f t="shared" si="371"/>
        <v>0</v>
      </c>
      <c r="R2976" s="8">
        <f t="shared" si="372"/>
        <v>23</v>
      </c>
      <c r="S2976" s="8">
        <f t="shared" ca="1" si="373"/>
        <v>19</v>
      </c>
      <c r="T2976">
        <f t="shared" ca="1" si="374"/>
        <v>1.2704</v>
      </c>
      <c r="U2976" s="8">
        <f t="shared" ca="1" si="375"/>
        <v>3.0240000000000009</v>
      </c>
      <c r="V2976" s="9">
        <f ca="1">RawData[[#This Row],[Z (smoothed demand size)]]/RawData[[#This Row],[X (smoothed interval)]]</f>
        <v>0.42010582010581998</v>
      </c>
    </row>
    <row r="2977" spans="1:22">
      <c r="A2977" t="s">
        <v>61</v>
      </c>
      <c r="B2977" t="s">
        <v>60</v>
      </c>
      <c r="C2977">
        <v>49</v>
      </c>
      <c r="D2977" t="s">
        <v>18</v>
      </c>
      <c r="E2977" t="s">
        <v>16</v>
      </c>
      <c r="F2977" s="1">
        <v>43477</v>
      </c>
      <c r="G2977">
        <v>0</v>
      </c>
      <c r="H2977">
        <v>0</v>
      </c>
      <c r="I2977">
        <v>7</v>
      </c>
      <c r="J2977">
        <v>7</v>
      </c>
      <c r="K2977">
        <v>0</v>
      </c>
      <c r="L2977">
        <v>658</v>
      </c>
      <c r="M2977">
        <v>15</v>
      </c>
      <c r="N2977" s="1">
        <f t="shared" si="368"/>
        <v>44938</v>
      </c>
      <c r="O2977" s="1">
        <f t="shared" si="369"/>
        <v>43101</v>
      </c>
      <c r="P2977" s="1">
        <f t="shared" si="370"/>
        <v>43800</v>
      </c>
      <c r="Q2977" s="8">
        <f t="shared" si="371"/>
        <v>0</v>
      </c>
      <c r="R2977" s="8">
        <f t="shared" si="372"/>
        <v>24</v>
      </c>
      <c r="S2977" s="8">
        <f t="shared" ca="1" si="373"/>
        <v>19</v>
      </c>
      <c r="T2977">
        <f t="shared" ca="1" si="374"/>
        <v>1.2704</v>
      </c>
      <c r="U2977" s="8">
        <f t="shared" ca="1" si="375"/>
        <v>3.0240000000000009</v>
      </c>
      <c r="V2977" s="9">
        <f ca="1">RawData[[#This Row],[Z (smoothed demand size)]]/RawData[[#This Row],[X (smoothed interval)]]</f>
        <v>0.42010582010581998</v>
      </c>
    </row>
    <row r="2978" spans="1:22">
      <c r="A2978" t="s">
        <v>61</v>
      </c>
      <c r="B2978" t="s">
        <v>60</v>
      </c>
      <c r="C2978">
        <v>49</v>
      </c>
      <c r="D2978" t="s">
        <v>18</v>
      </c>
      <c r="E2978" t="s">
        <v>16</v>
      </c>
      <c r="F2978" s="1">
        <v>43831</v>
      </c>
      <c r="G2978">
        <v>0</v>
      </c>
      <c r="H2978">
        <v>0</v>
      </c>
      <c r="I2978">
        <v>7</v>
      </c>
      <c r="J2978">
        <v>7</v>
      </c>
      <c r="K2978">
        <v>0</v>
      </c>
      <c r="L2978">
        <v>568</v>
      </c>
      <c r="M2978">
        <v>60</v>
      </c>
      <c r="N2978" s="1">
        <f t="shared" si="368"/>
        <v>44938</v>
      </c>
      <c r="O2978" s="1">
        <f t="shared" si="369"/>
        <v>43101</v>
      </c>
      <c r="P2978" s="1">
        <f t="shared" si="370"/>
        <v>43831</v>
      </c>
      <c r="Q2978" s="8">
        <f t="shared" si="371"/>
        <v>0</v>
      </c>
      <c r="R2978" s="8">
        <f t="shared" si="372"/>
        <v>25</v>
      </c>
      <c r="S2978" s="8">
        <f t="shared" ca="1" si="373"/>
        <v>19</v>
      </c>
      <c r="T2978">
        <f t="shared" ca="1" si="374"/>
        <v>1.2704</v>
      </c>
      <c r="U2978" s="8">
        <f t="shared" ca="1" si="375"/>
        <v>3.0240000000000009</v>
      </c>
      <c r="V2978" s="9">
        <f ca="1">RawData[[#This Row],[Z (smoothed demand size)]]/RawData[[#This Row],[X (smoothed interval)]]</f>
        <v>0.42010582010581998</v>
      </c>
    </row>
    <row r="2979" spans="1:22">
      <c r="A2979" t="s">
        <v>61</v>
      </c>
      <c r="B2979" t="s">
        <v>60</v>
      </c>
      <c r="C2979">
        <v>49</v>
      </c>
      <c r="D2979" t="s">
        <v>18</v>
      </c>
      <c r="E2979" t="s">
        <v>16</v>
      </c>
      <c r="F2979" s="1">
        <v>43832</v>
      </c>
      <c r="G2979">
        <v>0</v>
      </c>
      <c r="H2979">
        <v>0</v>
      </c>
      <c r="I2979">
        <v>7</v>
      </c>
      <c r="J2979">
        <v>7</v>
      </c>
      <c r="K2979">
        <v>0</v>
      </c>
      <c r="L2979">
        <v>575</v>
      </c>
      <c r="M2979">
        <v>30</v>
      </c>
      <c r="N2979" s="1">
        <f t="shared" si="368"/>
        <v>44938</v>
      </c>
      <c r="O2979" s="1">
        <f t="shared" si="369"/>
        <v>43101</v>
      </c>
      <c r="P2979" s="1">
        <f t="shared" si="370"/>
        <v>43862</v>
      </c>
      <c r="Q2979" s="8">
        <f t="shared" si="371"/>
        <v>0</v>
      </c>
      <c r="R2979" s="8">
        <f t="shared" si="372"/>
        <v>26</v>
      </c>
      <c r="S2979" s="8">
        <f t="shared" ca="1" si="373"/>
        <v>19</v>
      </c>
      <c r="T2979">
        <f t="shared" ca="1" si="374"/>
        <v>1.2704</v>
      </c>
      <c r="U2979" s="8">
        <f t="shared" ca="1" si="375"/>
        <v>3.0240000000000009</v>
      </c>
      <c r="V2979" s="9">
        <f ca="1">RawData[[#This Row],[Z (smoothed demand size)]]/RawData[[#This Row],[X (smoothed interval)]]</f>
        <v>0.42010582010581998</v>
      </c>
    </row>
    <row r="2980" spans="1:22">
      <c r="A2980" t="s">
        <v>61</v>
      </c>
      <c r="B2980" t="s">
        <v>60</v>
      </c>
      <c r="C2980">
        <v>49</v>
      </c>
      <c r="D2980" t="s">
        <v>18</v>
      </c>
      <c r="E2980" t="s">
        <v>16</v>
      </c>
      <c r="F2980" s="1">
        <v>43833</v>
      </c>
      <c r="G2980">
        <v>0</v>
      </c>
      <c r="H2980">
        <v>0</v>
      </c>
      <c r="I2980">
        <v>7</v>
      </c>
      <c r="J2980">
        <v>7</v>
      </c>
      <c r="K2980">
        <v>0</v>
      </c>
      <c r="L2980">
        <v>568</v>
      </c>
      <c r="M2980">
        <v>30</v>
      </c>
      <c r="N2980" s="1">
        <f t="shared" si="368"/>
        <v>44938</v>
      </c>
      <c r="O2980" s="1">
        <f t="shared" si="369"/>
        <v>43101</v>
      </c>
      <c r="P2980" s="1">
        <f t="shared" si="370"/>
        <v>43891</v>
      </c>
      <c r="Q2980" s="8">
        <f t="shared" si="371"/>
        <v>0</v>
      </c>
      <c r="R2980" s="8">
        <f t="shared" si="372"/>
        <v>27</v>
      </c>
      <c r="S2980" s="8">
        <f t="shared" ca="1" si="373"/>
        <v>19</v>
      </c>
      <c r="T2980">
        <f t="shared" ca="1" si="374"/>
        <v>1.2704</v>
      </c>
      <c r="U2980" s="8">
        <f t="shared" ca="1" si="375"/>
        <v>3.0240000000000009</v>
      </c>
      <c r="V2980" s="9">
        <f ca="1">RawData[[#This Row],[Z (smoothed demand size)]]/RawData[[#This Row],[X (smoothed interval)]]</f>
        <v>0.42010582010581998</v>
      </c>
    </row>
    <row r="2981" spans="1:22">
      <c r="A2981" t="s">
        <v>61</v>
      </c>
      <c r="B2981" t="s">
        <v>60</v>
      </c>
      <c r="C2981">
        <v>49</v>
      </c>
      <c r="D2981" t="s">
        <v>18</v>
      </c>
      <c r="E2981" t="s">
        <v>16</v>
      </c>
      <c r="F2981" s="1">
        <v>43834</v>
      </c>
      <c r="G2981">
        <v>0</v>
      </c>
      <c r="H2981">
        <v>0</v>
      </c>
      <c r="I2981">
        <v>7</v>
      </c>
      <c r="J2981">
        <v>7</v>
      </c>
      <c r="K2981">
        <v>0</v>
      </c>
      <c r="L2981">
        <v>570</v>
      </c>
      <c r="M2981">
        <v>15</v>
      </c>
      <c r="N2981" s="1">
        <f t="shared" si="368"/>
        <v>44938</v>
      </c>
      <c r="O2981" s="1">
        <f t="shared" si="369"/>
        <v>43101</v>
      </c>
      <c r="P2981" s="1">
        <f t="shared" si="370"/>
        <v>43922</v>
      </c>
      <c r="Q2981" s="8">
        <f t="shared" si="371"/>
        <v>0</v>
      </c>
      <c r="R2981" s="8">
        <f t="shared" si="372"/>
        <v>28</v>
      </c>
      <c r="S2981" s="8">
        <f t="shared" ca="1" si="373"/>
        <v>19</v>
      </c>
      <c r="T2981">
        <f t="shared" ca="1" si="374"/>
        <v>1.2704</v>
      </c>
      <c r="U2981" s="8">
        <f t="shared" ca="1" si="375"/>
        <v>3.0240000000000009</v>
      </c>
      <c r="V2981" s="9">
        <f ca="1">RawData[[#This Row],[Z (smoothed demand size)]]/RawData[[#This Row],[X (smoothed interval)]]</f>
        <v>0.42010582010581998</v>
      </c>
    </row>
    <row r="2982" spans="1:22">
      <c r="A2982" t="s">
        <v>61</v>
      </c>
      <c r="B2982" t="s">
        <v>60</v>
      </c>
      <c r="C2982">
        <v>49</v>
      </c>
      <c r="D2982" t="s">
        <v>18</v>
      </c>
      <c r="E2982" t="s">
        <v>16</v>
      </c>
      <c r="F2982" s="1">
        <v>43835</v>
      </c>
      <c r="G2982">
        <v>0</v>
      </c>
      <c r="H2982">
        <v>0</v>
      </c>
      <c r="I2982">
        <v>7</v>
      </c>
      <c r="J2982">
        <v>7</v>
      </c>
      <c r="K2982">
        <v>0</v>
      </c>
      <c r="L2982">
        <v>570</v>
      </c>
      <c r="M2982">
        <v>30</v>
      </c>
      <c r="N2982" s="1">
        <f t="shared" si="368"/>
        <v>44938</v>
      </c>
      <c r="O2982" s="1">
        <f t="shared" si="369"/>
        <v>43101</v>
      </c>
      <c r="P2982" s="1">
        <f t="shared" si="370"/>
        <v>43952</v>
      </c>
      <c r="Q2982" s="8">
        <f t="shared" si="371"/>
        <v>0</v>
      </c>
      <c r="R2982" s="8">
        <f t="shared" si="372"/>
        <v>29</v>
      </c>
      <c r="S2982" s="8">
        <f t="shared" ca="1" si="373"/>
        <v>19</v>
      </c>
      <c r="T2982">
        <f t="shared" ca="1" si="374"/>
        <v>1.2704</v>
      </c>
      <c r="U2982" s="8">
        <f t="shared" ca="1" si="375"/>
        <v>3.0240000000000009</v>
      </c>
      <c r="V2982" s="9">
        <f ca="1">RawData[[#This Row],[Z (smoothed demand size)]]/RawData[[#This Row],[X (smoothed interval)]]</f>
        <v>0.42010582010581998</v>
      </c>
    </row>
    <row r="2983" spans="1:22">
      <c r="A2983" t="s">
        <v>61</v>
      </c>
      <c r="B2983" t="s">
        <v>60</v>
      </c>
      <c r="C2983">
        <v>49</v>
      </c>
      <c r="D2983" t="s">
        <v>18</v>
      </c>
      <c r="E2983" t="s">
        <v>16</v>
      </c>
      <c r="F2983" s="1">
        <v>43836</v>
      </c>
      <c r="G2983">
        <v>0</v>
      </c>
      <c r="H2983">
        <v>0</v>
      </c>
      <c r="I2983">
        <v>7</v>
      </c>
      <c r="J2983">
        <v>7</v>
      </c>
      <c r="K2983">
        <v>0</v>
      </c>
      <c r="L2983">
        <v>660</v>
      </c>
      <c r="M2983">
        <v>30</v>
      </c>
      <c r="N2983" s="1">
        <f t="shared" si="368"/>
        <v>44938</v>
      </c>
      <c r="O2983" s="1">
        <f t="shared" si="369"/>
        <v>43101</v>
      </c>
      <c r="P2983" s="1">
        <f t="shared" si="370"/>
        <v>43983</v>
      </c>
      <c r="Q2983" s="8">
        <f t="shared" si="371"/>
        <v>0</v>
      </c>
      <c r="R2983" s="8">
        <f t="shared" si="372"/>
        <v>30</v>
      </c>
      <c r="S2983" s="8">
        <f t="shared" ca="1" si="373"/>
        <v>19</v>
      </c>
      <c r="T2983">
        <f t="shared" ca="1" si="374"/>
        <v>1.2704</v>
      </c>
      <c r="U2983" s="8">
        <f t="shared" ca="1" si="375"/>
        <v>3.0240000000000009</v>
      </c>
      <c r="V2983" s="9">
        <f ca="1">RawData[[#This Row],[Z (smoothed demand size)]]/RawData[[#This Row],[X (smoothed interval)]]</f>
        <v>0.42010582010581998</v>
      </c>
    </row>
    <row r="2984" spans="1:22">
      <c r="A2984" t="s">
        <v>61</v>
      </c>
      <c r="B2984" t="s">
        <v>60</v>
      </c>
      <c r="C2984">
        <v>49</v>
      </c>
      <c r="D2984" t="s">
        <v>18</v>
      </c>
      <c r="E2984" t="s">
        <v>16</v>
      </c>
      <c r="F2984" s="1">
        <v>43837</v>
      </c>
      <c r="G2984">
        <v>0</v>
      </c>
      <c r="H2984">
        <v>0</v>
      </c>
      <c r="I2984">
        <v>7</v>
      </c>
      <c r="J2984">
        <v>7</v>
      </c>
      <c r="K2984">
        <v>0</v>
      </c>
      <c r="L2984">
        <v>664</v>
      </c>
      <c r="M2984">
        <v>60</v>
      </c>
      <c r="N2984" s="1">
        <f t="shared" si="368"/>
        <v>44938</v>
      </c>
      <c r="O2984" s="1">
        <f t="shared" si="369"/>
        <v>43101</v>
      </c>
      <c r="P2984" s="1">
        <f t="shared" si="370"/>
        <v>44013</v>
      </c>
      <c r="Q2984" s="8">
        <f t="shared" si="371"/>
        <v>0</v>
      </c>
      <c r="R2984" s="8">
        <f t="shared" si="372"/>
        <v>31</v>
      </c>
      <c r="S2984" s="8">
        <f t="shared" ca="1" si="373"/>
        <v>19</v>
      </c>
      <c r="T2984">
        <f t="shared" ca="1" si="374"/>
        <v>1.2704</v>
      </c>
      <c r="U2984" s="8">
        <f t="shared" ca="1" si="375"/>
        <v>3.0240000000000009</v>
      </c>
      <c r="V2984" s="9">
        <f ca="1">RawData[[#This Row],[Z (smoothed demand size)]]/RawData[[#This Row],[X (smoothed interval)]]</f>
        <v>0.42010582010581998</v>
      </c>
    </row>
    <row r="2985" spans="1:22">
      <c r="A2985" t="s">
        <v>61</v>
      </c>
      <c r="B2985" t="s">
        <v>60</v>
      </c>
      <c r="C2985">
        <v>49</v>
      </c>
      <c r="D2985" t="s">
        <v>18</v>
      </c>
      <c r="E2985" t="s">
        <v>16</v>
      </c>
      <c r="F2985" s="1">
        <v>43838</v>
      </c>
      <c r="G2985">
        <v>0</v>
      </c>
      <c r="H2985">
        <v>0</v>
      </c>
      <c r="I2985">
        <v>7</v>
      </c>
      <c r="J2985">
        <v>7</v>
      </c>
      <c r="K2985">
        <v>0</v>
      </c>
      <c r="L2985">
        <v>657</v>
      </c>
      <c r="M2985">
        <v>60</v>
      </c>
      <c r="N2985" s="1">
        <f t="shared" si="368"/>
        <v>44938</v>
      </c>
      <c r="O2985" s="1">
        <f t="shared" si="369"/>
        <v>43101</v>
      </c>
      <c r="P2985" s="1">
        <f t="shared" si="370"/>
        <v>44044</v>
      </c>
      <c r="Q2985" s="8">
        <f t="shared" si="371"/>
        <v>0</v>
      </c>
      <c r="R2985" s="8">
        <f t="shared" si="372"/>
        <v>32</v>
      </c>
      <c r="S2985" s="8">
        <f t="shared" ca="1" si="373"/>
        <v>19</v>
      </c>
      <c r="T2985">
        <f t="shared" ca="1" si="374"/>
        <v>1.2704</v>
      </c>
      <c r="U2985" s="8">
        <f t="shared" ca="1" si="375"/>
        <v>3.0240000000000009</v>
      </c>
      <c r="V2985" s="9">
        <f ca="1">RawData[[#This Row],[Z (smoothed demand size)]]/RawData[[#This Row],[X (smoothed interval)]]</f>
        <v>0.42010582010581998</v>
      </c>
    </row>
    <row r="2986" spans="1:22">
      <c r="A2986" t="s">
        <v>61</v>
      </c>
      <c r="B2986" t="s">
        <v>60</v>
      </c>
      <c r="C2986">
        <v>49</v>
      </c>
      <c r="D2986" t="s">
        <v>18</v>
      </c>
      <c r="E2986" t="s">
        <v>16</v>
      </c>
      <c r="F2986" s="1">
        <v>43839</v>
      </c>
      <c r="G2986">
        <v>0</v>
      </c>
      <c r="H2986">
        <v>0</v>
      </c>
      <c r="I2986">
        <v>7</v>
      </c>
      <c r="J2986">
        <v>7</v>
      </c>
      <c r="K2986">
        <v>0</v>
      </c>
      <c r="L2986">
        <v>572</v>
      </c>
      <c r="M2986">
        <v>45</v>
      </c>
      <c r="N2986" s="1">
        <f t="shared" si="368"/>
        <v>44938</v>
      </c>
      <c r="O2986" s="1">
        <f t="shared" si="369"/>
        <v>43101</v>
      </c>
      <c r="P2986" s="1">
        <f t="shared" si="370"/>
        <v>44075</v>
      </c>
      <c r="Q2986" s="8">
        <f t="shared" si="371"/>
        <v>0</v>
      </c>
      <c r="R2986" s="8">
        <f t="shared" si="372"/>
        <v>33</v>
      </c>
      <c r="S2986" s="8">
        <f t="shared" ca="1" si="373"/>
        <v>19</v>
      </c>
      <c r="T2986">
        <f t="shared" ca="1" si="374"/>
        <v>1.2704</v>
      </c>
      <c r="U2986" s="8">
        <f t="shared" ca="1" si="375"/>
        <v>3.0240000000000009</v>
      </c>
      <c r="V2986" s="9">
        <f ca="1">RawData[[#This Row],[Z (smoothed demand size)]]/RawData[[#This Row],[X (smoothed interval)]]</f>
        <v>0.42010582010581998</v>
      </c>
    </row>
    <row r="2987" spans="1:22">
      <c r="A2987" t="s">
        <v>61</v>
      </c>
      <c r="B2987" t="s">
        <v>60</v>
      </c>
      <c r="C2987">
        <v>49</v>
      </c>
      <c r="D2987" t="s">
        <v>18</v>
      </c>
      <c r="E2987" t="s">
        <v>16</v>
      </c>
      <c r="F2987" s="1">
        <v>43840</v>
      </c>
      <c r="G2987">
        <v>1</v>
      </c>
      <c r="H2987">
        <v>1</v>
      </c>
      <c r="I2987">
        <v>7</v>
      </c>
      <c r="J2987">
        <v>6</v>
      </c>
      <c r="K2987">
        <v>0</v>
      </c>
      <c r="L2987">
        <v>574</v>
      </c>
      <c r="M2987">
        <v>15</v>
      </c>
      <c r="N2987" s="1">
        <f t="shared" si="368"/>
        <v>44938</v>
      </c>
      <c r="O2987" s="1">
        <f t="shared" si="369"/>
        <v>43101</v>
      </c>
      <c r="P2987" s="1">
        <f t="shared" si="370"/>
        <v>44105</v>
      </c>
      <c r="Q2987" s="8">
        <f t="shared" si="371"/>
        <v>0</v>
      </c>
      <c r="R2987" s="8">
        <f t="shared" si="372"/>
        <v>34</v>
      </c>
      <c r="S2987" s="8">
        <f t="shared" ca="1" si="373"/>
        <v>34</v>
      </c>
      <c r="T2987">
        <f t="shared" ca="1" si="374"/>
        <v>1.2163200000000001</v>
      </c>
      <c r="U2987" s="8">
        <f t="shared" ca="1" si="375"/>
        <v>5.4192000000000009</v>
      </c>
      <c r="V2987" s="9">
        <f ca="1">RawData[[#This Row],[Z (smoothed demand size)]]/RawData[[#This Row],[X (smoothed interval)]]</f>
        <v>0.2244464127546501</v>
      </c>
    </row>
    <row r="2988" spans="1:22">
      <c r="A2988" t="s">
        <v>61</v>
      </c>
      <c r="B2988" t="s">
        <v>60</v>
      </c>
      <c r="C2988">
        <v>49</v>
      </c>
      <c r="D2988" t="s">
        <v>18</v>
      </c>
      <c r="E2988" t="s">
        <v>16</v>
      </c>
      <c r="F2988" s="1">
        <v>43841</v>
      </c>
      <c r="G2988">
        <v>0</v>
      </c>
      <c r="H2988">
        <v>0</v>
      </c>
      <c r="I2988">
        <v>6</v>
      </c>
      <c r="J2988">
        <v>6</v>
      </c>
      <c r="K2988">
        <v>0</v>
      </c>
      <c r="L2988">
        <v>569</v>
      </c>
      <c r="M2988">
        <v>30</v>
      </c>
      <c r="N2988" s="1">
        <f t="shared" si="368"/>
        <v>44938</v>
      </c>
      <c r="O2988" s="1">
        <f t="shared" si="369"/>
        <v>43101</v>
      </c>
      <c r="P2988" s="1">
        <f t="shared" si="370"/>
        <v>44136</v>
      </c>
      <c r="Q2988" s="8">
        <f t="shared" si="371"/>
        <v>0</v>
      </c>
      <c r="R2988" s="8">
        <f t="shared" si="372"/>
        <v>35</v>
      </c>
      <c r="S2988" s="8">
        <f t="shared" ca="1" si="373"/>
        <v>34</v>
      </c>
      <c r="T2988">
        <f t="shared" ca="1" si="374"/>
        <v>1.2163200000000001</v>
      </c>
      <c r="U2988" s="8">
        <f t="shared" ca="1" si="375"/>
        <v>5.4192000000000009</v>
      </c>
      <c r="V2988" s="9">
        <f ca="1">RawData[[#This Row],[Z (smoothed demand size)]]/RawData[[#This Row],[X (smoothed interval)]]</f>
        <v>0.2244464127546501</v>
      </c>
    </row>
    <row r="2989" spans="1:22">
      <c r="A2989" t="s">
        <v>61</v>
      </c>
      <c r="B2989" t="s">
        <v>60</v>
      </c>
      <c r="C2989">
        <v>49</v>
      </c>
      <c r="D2989" t="s">
        <v>18</v>
      </c>
      <c r="E2989" t="s">
        <v>16</v>
      </c>
      <c r="F2989" s="1">
        <v>43842</v>
      </c>
      <c r="G2989">
        <v>0</v>
      </c>
      <c r="H2989">
        <v>0</v>
      </c>
      <c r="I2989">
        <v>6</v>
      </c>
      <c r="J2989">
        <v>6</v>
      </c>
      <c r="K2989">
        <v>0</v>
      </c>
      <c r="L2989">
        <v>656</v>
      </c>
      <c r="M2989">
        <v>15</v>
      </c>
      <c r="N2989" s="1">
        <f t="shared" si="368"/>
        <v>44938</v>
      </c>
      <c r="O2989" s="1">
        <f t="shared" si="369"/>
        <v>43101</v>
      </c>
      <c r="P2989" s="1">
        <f t="shared" si="370"/>
        <v>44166</v>
      </c>
      <c r="Q2989" s="8">
        <f t="shared" si="371"/>
        <v>0</v>
      </c>
      <c r="R2989" s="8">
        <f t="shared" si="372"/>
        <v>36</v>
      </c>
      <c r="S2989" s="8">
        <f t="shared" ca="1" si="373"/>
        <v>34</v>
      </c>
      <c r="T2989">
        <f t="shared" ca="1" si="374"/>
        <v>1.2163200000000001</v>
      </c>
      <c r="U2989" s="8">
        <f t="shared" ca="1" si="375"/>
        <v>5.4192000000000009</v>
      </c>
      <c r="V2989" s="9">
        <f ca="1">RawData[[#This Row],[Z (smoothed demand size)]]/RawData[[#This Row],[X (smoothed interval)]]</f>
        <v>0.2244464127546501</v>
      </c>
    </row>
    <row r="2990" spans="1:22">
      <c r="A2990" t="s">
        <v>61</v>
      </c>
      <c r="B2990" t="s">
        <v>60</v>
      </c>
      <c r="C2990">
        <v>49</v>
      </c>
      <c r="D2990" t="s">
        <v>18</v>
      </c>
      <c r="E2990" t="s">
        <v>16</v>
      </c>
      <c r="F2990" s="1">
        <v>44197</v>
      </c>
      <c r="G2990">
        <v>0</v>
      </c>
      <c r="H2990">
        <v>0</v>
      </c>
      <c r="I2990">
        <v>6</v>
      </c>
      <c r="J2990">
        <v>6</v>
      </c>
      <c r="K2990">
        <v>0</v>
      </c>
      <c r="L2990">
        <v>569</v>
      </c>
      <c r="M2990">
        <v>45</v>
      </c>
      <c r="N2990" s="1">
        <f t="shared" si="368"/>
        <v>44938</v>
      </c>
      <c r="O2990" s="1">
        <f t="shared" si="369"/>
        <v>43101</v>
      </c>
      <c r="P2990" s="1">
        <f t="shared" si="370"/>
        <v>44197</v>
      </c>
      <c r="Q2990" s="8">
        <f t="shared" si="371"/>
        <v>0</v>
      </c>
      <c r="R2990" s="8">
        <f t="shared" si="372"/>
        <v>37</v>
      </c>
      <c r="S2990" s="8">
        <f t="shared" ca="1" si="373"/>
        <v>34</v>
      </c>
      <c r="T2990">
        <f t="shared" ca="1" si="374"/>
        <v>1.2163200000000001</v>
      </c>
      <c r="U2990" s="8">
        <f t="shared" ca="1" si="375"/>
        <v>5.4192000000000009</v>
      </c>
      <c r="V2990" s="9">
        <f ca="1">RawData[[#This Row],[Z (smoothed demand size)]]/RawData[[#This Row],[X (smoothed interval)]]</f>
        <v>0.2244464127546501</v>
      </c>
    </row>
    <row r="2991" spans="1:22">
      <c r="A2991" t="s">
        <v>61</v>
      </c>
      <c r="B2991" t="s">
        <v>60</v>
      </c>
      <c r="C2991">
        <v>49</v>
      </c>
      <c r="D2991" t="s">
        <v>18</v>
      </c>
      <c r="E2991" t="s">
        <v>16</v>
      </c>
      <c r="F2991" s="1">
        <v>44198</v>
      </c>
      <c r="G2991">
        <v>0</v>
      </c>
      <c r="H2991">
        <v>0</v>
      </c>
      <c r="I2991">
        <v>6</v>
      </c>
      <c r="J2991">
        <v>6</v>
      </c>
      <c r="K2991">
        <v>0</v>
      </c>
      <c r="L2991">
        <v>573</v>
      </c>
      <c r="M2991">
        <v>60</v>
      </c>
      <c r="N2991" s="1">
        <f t="shared" si="368"/>
        <v>44938</v>
      </c>
      <c r="O2991" s="1">
        <f t="shared" si="369"/>
        <v>43101</v>
      </c>
      <c r="P2991" s="1">
        <f t="shared" si="370"/>
        <v>44228</v>
      </c>
      <c r="Q2991" s="8">
        <f t="shared" si="371"/>
        <v>0</v>
      </c>
      <c r="R2991" s="8">
        <f t="shared" si="372"/>
        <v>38</v>
      </c>
      <c r="S2991" s="8">
        <f t="shared" ca="1" si="373"/>
        <v>34</v>
      </c>
      <c r="T2991">
        <f t="shared" ca="1" si="374"/>
        <v>1.2163200000000001</v>
      </c>
      <c r="U2991" s="8">
        <f t="shared" ca="1" si="375"/>
        <v>5.4192000000000009</v>
      </c>
      <c r="V2991" s="9">
        <f ca="1">RawData[[#This Row],[Z (smoothed demand size)]]/RawData[[#This Row],[X (smoothed interval)]]</f>
        <v>0.2244464127546501</v>
      </c>
    </row>
    <row r="2992" spans="1:22">
      <c r="A2992" t="s">
        <v>61</v>
      </c>
      <c r="B2992" t="s">
        <v>60</v>
      </c>
      <c r="C2992">
        <v>49</v>
      </c>
      <c r="D2992" t="s">
        <v>18</v>
      </c>
      <c r="E2992" t="s">
        <v>16</v>
      </c>
      <c r="F2992" s="1">
        <v>44199</v>
      </c>
      <c r="G2992">
        <v>2</v>
      </c>
      <c r="H2992">
        <v>2</v>
      </c>
      <c r="I2992">
        <v>6</v>
      </c>
      <c r="J2992">
        <v>4</v>
      </c>
      <c r="K2992">
        <v>0</v>
      </c>
      <c r="L2992">
        <v>581</v>
      </c>
      <c r="M2992">
        <v>60</v>
      </c>
      <c r="N2992" s="1">
        <f t="shared" si="368"/>
        <v>44938</v>
      </c>
      <c r="O2992" s="1">
        <f t="shared" si="369"/>
        <v>43101</v>
      </c>
      <c r="P2992" s="1">
        <f t="shared" si="370"/>
        <v>44256</v>
      </c>
      <c r="Q2992" s="8">
        <f t="shared" si="371"/>
        <v>0</v>
      </c>
      <c r="R2992" s="8">
        <f t="shared" si="372"/>
        <v>39</v>
      </c>
      <c r="S2992" s="8">
        <f t="shared" ca="1" si="373"/>
        <v>39</v>
      </c>
      <c r="T2992">
        <f t="shared" ca="1" si="374"/>
        <v>1.3730560000000001</v>
      </c>
      <c r="U2992" s="8">
        <f t="shared" ca="1" si="375"/>
        <v>5.3353600000000005</v>
      </c>
      <c r="V2992" s="9">
        <f ca="1">RawData[[#This Row],[Z (smoothed demand size)]]/RawData[[#This Row],[X (smoothed interval)]]</f>
        <v>0.25735020692136984</v>
      </c>
    </row>
    <row r="2993" spans="1:22">
      <c r="A2993" t="s">
        <v>61</v>
      </c>
      <c r="B2993" t="s">
        <v>60</v>
      </c>
      <c r="C2993">
        <v>49</v>
      </c>
      <c r="D2993" t="s">
        <v>18</v>
      </c>
      <c r="E2993" t="s">
        <v>16</v>
      </c>
      <c r="F2993" s="1">
        <v>44200</v>
      </c>
      <c r="G2993">
        <v>1</v>
      </c>
      <c r="H2993">
        <v>1</v>
      </c>
      <c r="I2993">
        <v>4</v>
      </c>
      <c r="J2993">
        <v>3</v>
      </c>
      <c r="K2993">
        <v>0</v>
      </c>
      <c r="L2993">
        <v>565</v>
      </c>
      <c r="M2993">
        <v>15</v>
      </c>
      <c r="N2993" s="1">
        <f t="shared" si="368"/>
        <v>44938</v>
      </c>
      <c r="O2993" s="1">
        <f t="shared" si="369"/>
        <v>43101</v>
      </c>
      <c r="P2993" s="1">
        <f t="shared" si="370"/>
        <v>44287</v>
      </c>
      <c r="Q2993" s="8">
        <f t="shared" si="371"/>
        <v>0</v>
      </c>
      <c r="R2993" s="8">
        <f t="shared" si="372"/>
        <v>40</v>
      </c>
      <c r="S2993" s="8">
        <f t="shared" ca="1" si="373"/>
        <v>40</v>
      </c>
      <c r="T2993">
        <f t="shared" ca="1" si="374"/>
        <v>1.2984448</v>
      </c>
      <c r="U2993" s="8">
        <f t="shared" ca="1" si="375"/>
        <v>4.4682880000000011</v>
      </c>
      <c r="V2993" s="9">
        <f ca="1">RawData[[#This Row],[Z (smoothed demand size)]]/RawData[[#This Row],[X (smoothed interval)]]</f>
        <v>0.29059111677671617</v>
      </c>
    </row>
    <row r="2994" spans="1:22">
      <c r="A2994" t="s">
        <v>61</v>
      </c>
      <c r="B2994" t="s">
        <v>60</v>
      </c>
      <c r="C2994">
        <v>49</v>
      </c>
      <c r="D2994" t="s">
        <v>18</v>
      </c>
      <c r="E2994" t="s">
        <v>16</v>
      </c>
      <c r="F2994" s="1">
        <v>44201</v>
      </c>
      <c r="G2994">
        <v>0</v>
      </c>
      <c r="H2994">
        <v>0</v>
      </c>
      <c r="I2994">
        <v>24</v>
      </c>
      <c r="J2994">
        <v>24</v>
      </c>
      <c r="K2994">
        <v>0</v>
      </c>
      <c r="L2994">
        <v>573</v>
      </c>
      <c r="M2994">
        <v>60</v>
      </c>
      <c r="N2994" s="1">
        <f t="shared" si="368"/>
        <v>44938</v>
      </c>
      <c r="O2994" s="1">
        <f t="shared" si="369"/>
        <v>43101</v>
      </c>
      <c r="P2994" s="1">
        <f t="shared" si="370"/>
        <v>44317</v>
      </c>
      <c r="Q2994" s="8">
        <f t="shared" si="371"/>
        <v>0</v>
      </c>
      <c r="R2994" s="8">
        <f t="shared" si="372"/>
        <v>41</v>
      </c>
      <c r="S2994" s="8">
        <f t="shared" ca="1" si="373"/>
        <v>40</v>
      </c>
      <c r="T2994">
        <f t="shared" ca="1" si="374"/>
        <v>1.2984448</v>
      </c>
      <c r="U2994" s="8">
        <f t="shared" ca="1" si="375"/>
        <v>4.4682880000000011</v>
      </c>
      <c r="V2994" s="9">
        <f ca="1">RawData[[#This Row],[Z (smoothed demand size)]]/RawData[[#This Row],[X (smoothed interval)]]</f>
        <v>0.29059111677671617</v>
      </c>
    </row>
    <row r="2995" spans="1:22">
      <c r="A2995" t="s">
        <v>61</v>
      </c>
      <c r="B2995" t="s">
        <v>60</v>
      </c>
      <c r="C2995">
        <v>49</v>
      </c>
      <c r="D2995" t="s">
        <v>18</v>
      </c>
      <c r="E2995" t="s">
        <v>16</v>
      </c>
      <c r="F2995" s="1">
        <v>44202</v>
      </c>
      <c r="G2995">
        <v>0</v>
      </c>
      <c r="H2995">
        <v>0</v>
      </c>
      <c r="I2995">
        <v>24</v>
      </c>
      <c r="J2995">
        <v>24</v>
      </c>
      <c r="K2995">
        <v>0</v>
      </c>
      <c r="L2995">
        <v>656</v>
      </c>
      <c r="M2995">
        <v>45</v>
      </c>
      <c r="N2995" s="1">
        <f t="shared" si="368"/>
        <v>44938</v>
      </c>
      <c r="O2995" s="1">
        <f t="shared" si="369"/>
        <v>43101</v>
      </c>
      <c r="P2995" s="1">
        <f t="shared" si="370"/>
        <v>44348</v>
      </c>
      <c r="Q2995" s="8">
        <f t="shared" si="371"/>
        <v>0</v>
      </c>
      <c r="R2995" s="8">
        <f t="shared" si="372"/>
        <v>42</v>
      </c>
      <c r="S2995" s="8">
        <f t="shared" ca="1" si="373"/>
        <v>40</v>
      </c>
      <c r="T2995">
        <f t="shared" ca="1" si="374"/>
        <v>1.2984448</v>
      </c>
      <c r="U2995" s="8">
        <f t="shared" ca="1" si="375"/>
        <v>4.4682880000000011</v>
      </c>
      <c r="V2995" s="9">
        <f ca="1">RawData[[#This Row],[Z (smoothed demand size)]]/RawData[[#This Row],[X (smoothed interval)]]</f>
        <v>0.29059111677671617</v>
      </c>
    </row>
    <row r="2996" spans="1:22">
      <c r="A2996" t="s">
        <v>61</v>
      </c>
      <c r="B2996" t="s">
        <v>60</v>
      </c>
      <c r="C2996">
        <v>49</v>
      </c>
      <c r="D2996" t="s">
        <v>18</v>
      </c>
      <c r="E2996" t="s">
        <v>16</v>
      </c>
      <c r="F2996" s="1">
        <v>44203</v>
      </c>
      <c r="G2996">
        <v>0</v>
      </c>
      <c r="H2996">
        <v>0</v>
      </c>
      <c r="I2996">
        <v>24</v>
      </c>
      <c r="J2996">
        <v>24</v>
      </c>
      <c r="K2996">
        <v>0</v>
      </c>
      <c r="L2996">
        <v>656</v>
      </c>
      <c r="M2996">
        <v>15</v>
      </c>
      <c r="N2996" s="1">
        <f t="shared" si="368"/>
        <v>44938</v>
      </c>
      <c r="O2996" s="1">
        <f t="shared" si="369"/>
        <v>43101</v>
      </c>
      <c r="P2996" s="1">
        <f t="shared" si="370"/>
        <v>44378</v>
      </c>
      <c r="Q2996" s="8">
        <f t="shared" si="371"/>
        <v>0</v>
      </c>
      <c r="R2996" s="8">
        <f t="shared" si="372"/>
        <v>43</v>
      </c>
      <c r="S2996" s="8">
        <f t="shared" ca="1" si="373"/>
        <v>40</v>
      </c>
      <c r="T2996">
        <f t="shared" ca="1" si="374"/>
        <v>1.2984448</v>
      </c>
      <c r="U2996" s="8">
        <f t="shared" ca="1" si="375"/>
        <v>4.4682880000000011</v>
      </c>
      <c r="V2996" s="9">
        <f ca="1">RawData[[#This Row],[Z (smoothed demand size)]]/RawData[[#This Row],[X (smoothed interval)]]</f>
        <v>0.29059111677671617</v>
      </c>
    </row>
    <row r="2997" spans="1:22">
      <c r="A2997" t="s">
        <v>61</v>
      </c>
      <c r="B2997" t="s">
        <v>60</v>
      </c>
      <c r="C2997">
        <v>49</v>
      </c>
      <c r="D2997" t="s">
        <v>18</v>
      </c>
      <c r="E2997" t="s">
        <v>16</v>
      </c>
      <c r="F2997" s="1">
        <v>44204</v>
      </c>
      <c r="G2997">
        <v>0</v>
      </c>
      <c r="H2997">
        <v>0</v>
      </c>
      <c r="I2997">
        <v>24</v>
      </c>
      <c r="J2997">
        <v>24</v>
      </c>
      <c r="K2997">
        <v>0</v>
      </c>
      <c r="L2997">
        <v>654</v>
      </c>
      <c r="M2997">
        <v>15</v>
      </c>
      <c r="N2997" s="1">
        <f t="shared" si="368"/>
        <v>44938</v>
      </c>
      <c r="O2997" s="1">
        <f t="shared" si="369"/>
        <v>43101</v>
      </c>
      <c r="P2997" s="1">
        <f t="shared" si="370"/>
        <v>44409</v>
      </c>
      <c r="Q2997" s="8">
        <f t="shared" si="371"/>
        <v>0</v>
      </c>
      <c r="R2997" s="8">
        <f t="shared" si="372"/>
        <v>44</v>
      </c>
      <c r="S2997" s="8">
        <f t="shared" ca="1" si="373"/>
        <v>40</v>
      </c>
      <c r="T2997">
        <f t="shared" ca="1" si="374"/>
        <v>1.2984448</v>
      </c>
      <c r="U2997" s="8">
        <f t="shared" ca="1" si="375"/>
        <v>4.4682880000000011</v>
      </c>
      <c r="V2997" s="9">
        <f ca="1">RawData[[#This Row],[Z (smoothed demand size)]]/RawData[[#This Row],[X (smoothed interval)]]</f>
        <v>0.29059111677671617</v>
      </c>
    </row>
    <row r="2998" spans="1:22">
      <c r="A2998" t="s">
        <v>61</v>
      </c>
      <c r="B2998" t="s">
        <v>60</v>
      </c>
      <c r="C2998">
        <v>49</v>
      </c>
      <c r="D2998" t="s">
        <v>18</v>
      </c>
      <c r="E2998" t="s">
        <v>16</v>
      </c>
      <c r="F2998" s="1">
        <v>44205</v>
      </c>
      <c r="G2998">
        <v>0</v>
      </c>
      <c r="H2998">
        <v>0</v>
      </c>
      <c r="I2998">
        <v>24</v>
      </c>
      <c r="J2998">
        <v>24</v>
      </c>
      <c r="K2998">
        <v>0</v>
      </c>
      <c r="L2998">
        <v>578</v>
      </c>
      <c r="M2998">
        <v>60</v>
      </c>
      <c r="N2998" s="1">
        <f t="shared" si="368"/>
        <v>44938</v>
      </c>
      <c r="O2998" s="1">
        <f t="shared" si="369"/>
        <v>43101</v>
      </c>
      <c r="P2998" s="1">
        <f t="shared" si="370"/>
        <v>44440</v>
      </c>
      <c r="Q2998" s="8">
        <f t="shared" si="371"/>
        <v>0</v>
      </c>
      <c r="R2998" s="8">
        <f t="shared" si="372"/>
        <v>45</v>
      </c>
      <c r="S2998" s="8">
        <f t="shared" ca="1" si="373"/>
        <v>40</v>
      </c>
      <c r="T2998">
        <f t="shared" ca="1" si="374"/>
        <v>1.2984448</v>
      </c>
      <c r="U2998" s="8">
        <f t="shared" ca="1" si="375"/>
        <v>4.4682880000000011</v>
      </c>
      <c r="V2998" s="9">
        <f ca="1">RawData[[#This Row],[Z (smoothed demand size)]]/RawData[[#This Row],[X (smoothed interval)]]</f>
        <v>0.29059111677671617</v>
      </c>
    </row>
    <row r="2999" spans="1:22">
      <c r="A2999" t="s">
        <v>61</v>
      </c>
      <c r="B2999" t="s">
        <v>60</v>
      </c>
      <c r="C2999">
        <v>49</v>
      </c>
      <c r="D2999" t="s">
        <v>18</v>
      </c>
      <c r="E2999" t="s">
        <v>16</v>
      </c>
      <c r="F2999" s="1">
        <v>44206</v>
      </c>
      <c r="G2999">
        <v>0</v>
      </c>
      <c r="H2999">
        <v>0</v>
      </c>
      <c r="I2999">
        <v>24</v>
      </c>
      <c r="J2999">
        <v>24</v>
      </c>
      <c r="K2999">
        <v>0</v>
      </c>
      <c r="L2999">
        <v>558</v>
      </c>
      <c r="M2999">
        <v>15</v>
      </c>
      <c r="N2999" s="1">
        <f t="shared" si="368"/>
        <v>44938</v>
      </c>
      <c r="O2999" s="1">
        <f t="shared" si="369"/>
        <v>43101</v>
      </c>
      <c r="P2999" s="1">
        <f t="shared" si="370"/>
        <v>44470</v>
      </c>
      <c r="Q2999" s="8">
        <f t="shared" si="371"/>
        <v>0</v>
      </c>
      <c r="R2999" s="8">
        <f t="shared" si="372"/>
        <v>46</v>
      </c>
      <c r="S2999" s="8">
        <f t="shared" ca="1" si="373"/>
        <v>40</v>
      </c>
      <c r="T2999">
        <f t="shared" ca="1" si="374"/>
        <v>1.2984448</v>
      </c>
      <c r="U2999" s="8">
        <f t="shared" ca="1" si="375"/>
        <v>4.4682880000000011</v>
      </c>
      <c r="V2999" s="9">
        <f ca="1">RawData[[#This Row],[Z (smoothed demand size)]]/RawData[[#This Row],[X (smoothed interval)]]</f>
        <v>0.29059111677671617</v>
      </c>
    </row>
    <row r="3000" spans="1:22">
      <c r="A3000" t="s">
        <v>61</v>
      </c>
      <c r="B3000" t="s">
        <v>60</v>
      </c>
      <c r="C3000">
        <v>49</v>
      </c>
      <c r="D3000" t="s">
        <v>18</v>
      </c>
      <c r="E3000" t="s">
        <v>16</v>
      </c>
      <c r="F3000" s="1">
        <v>44207</v>
      </c>
      <c r="G3000">
        <v>0</v>
      </c>
      <c r="H3000">
        <v>0</v>
      </c>
      <c r="I3000">
        <v>24</v>
      </c>
      <c r="J3000">
        <v>24</v>
      </c>
      <c r="K3000">
        <v>0</v>
      </c>
      <c r="L3000">
        <v>565</v>
      </c>
      <c r="M3000">
        <v>60</v>
      </c>
      <c r="N3000" s="1">
        <f t="shared" si="368"/>
        <v>44938</v>
      </c>
      <c r="O3000" s="1">
        <f t="shared" si="369"/>
        <v>43101</v>
      </c>
      <c r="P3000" s="1">
        <f t="shared" si="370"/>
        <v>44501</v>
      </c>
      <c r="Q3000" s="8">
        <f t="shared" si="371"/>
        <v>0</v>
      </c>
      <c r="R3000" s="8">
        <f t="shared" si="372"/>
        <v>47</v>
      </c>
      <c r="S3000" s="8">
        <f t="shared" ca="1" si="373"/>
        <v>40</v>
      </c>
      <c r="T3000">
        <f t="shared" ca="1" si="374"/>
        <v>1.2984448</v>
      </c>
      <c r="U3000" s="8">
        <f t="shared" ca="1" si="375"/>
        <v>4.4682880000000011</v>
      </c>
      <c r="V3000" s="9">
        <f ca="1">RawData[[#This Row],[Z (smoothed demand size)]]/RawData[[#This Row],[X (smoothed interval)]]</f>
        <v>0.29059111677671617</v>
      </c>
    </row>
    <row r="3001" spans="1:22">
      <c r="A3001" t="s">
        <v>61</v>
      </c>
      <c r="B3001" t="s">
        <v>60</v>
      </c>
      <c r="C3001">
        <v>49</v>
      </c>
      <c r="D3001" t="s">
        <v>18</v>
      </c>
      <c r="E3001" t="s">
        <v>16</v>
      </c>
      <c r="F3001" s="1">
        <v>44208</v>
      </c>
      <c r="G3001">
        <v>2</v>
      </c>
      <c r="H3001">
        <v>2</v>
      </c>
      <c r="I3001">
        <v>24</v>
      </c>
      <c r="J3001">
        <v>22</v>
      </c>
      <c r="K3001">
        <v>0</v>
      </c>
      <c r="L3001">
        <v>665</v>
      </c>
      <c r="M3001">
        <v>15</v>
      </c>
      <c r="N3001" s="1">
        <f t="shared" si="368"/>
        <v>44938</v>
      </c>
      <c r="O3001" s="1">
        <f t="shared" si="369"/>
        <v>43101</v>
      </c>
      <c r="P3001" s="1">
        <f t="shared" si="370"/>
        <v>44531</v>
      </c>
      <c r="Q3001" s="8">
        <f t="shared" si="371"/>
        <v>0</v>
      </c>
      <c r="R3001" s="8">
        <f t="shared" si="372"/>
        <v>48</v>
      </c>
      <c r="S3001" s="8">
        <f t="shared" ca="1" si="373"/>
        <v>48</v>
      </c>
      <c r="T3001">
        <f t="shared" ca="1" si="374"/>
        <v>1.4387558400000002</v>
      </c>
      <c r="U3001" s="8">
        <f t="shared" ca="1" si="375"/>
        <v>5.1746304000000016</v>
      </c>
      <c r="V3001" s="9">
        <f ca="1">RawData[[#This Row],[Z (smoothed demand size)]]/RawData[[#This Row],[X (smoothed interval)]]</f>
        <v>0.27804030989343698</v>
      </c>
    </row>
    <row r="3002" spans="1:22">
      <c r="A3002" t="s">
        <v>61</v>
      </c>
      <c r="B3002" t="s">
        <v>60</v>
      </c>
      <c r="C3002">
        <v>49</v>
      </c>
      <c r="D3002" t="s">
        <v>18</v>
      </c>
      <c r="E3002" t="s">
        <v>16</v>
      </c>
      <c r="F3002" s="1">
        <v>44562</v>
      </c>
      <c r="G3002">
        <v>0</v>
      </c>
      <c r="H3002">
        <v>0</v>
      </c>
      <c r="I3002">
        <v>22</v>
      </c>
      <c r="J3002">
        <v>22</v>
      </c>
      <c r="K3002">
        <v>0</v>
      </c>
      <c r="L3002">
        <v>577</v>
      </c>
      <c r="M3002">
        <v>15</v>
      </c>
      <c r="N3002" s="1">
        <f t="shared" si="368"/>
        <v>44938</v>
      </c>
      <c r="O3002" s="1">
        <f t="shared" si="369"/>
        <v>43101</v>
      </c>
      <c r="P3002" s="1">
        <f t="shared" si="370"/>
        <v>44562</v>
      </c>
      <c r="Q3002" s="8">
        <f t="shared" si="371"/>
        <v>0</v>
      </c>
      <c r="R3002" s="8">
        <f t="shared" si="372"/>
        <v>49</v>
      </c>
      <c r="S3002" s="8">
        <f t="shared" ca="1" si="373"/>
        <v>48</v>
      </c>
      <c r="T3002">
        <f t="shared" ca="1" si="374"/>
        <v>1.4387558400000002</v>
      </c>
      <c r="U3002" s="8">
        <f t="shared" ca="1" si="375"/>
        <v>5.1746304000000016</v>
      </c>
      <c r="V3002" s="9">
        <f ca="1">RawData[[#This Row],[Z (smoothed demand size)]]/RawData[[#This Row],[X (smoothed interval)]]</f>
        <v>0.27804030989343698</v>
      </c>
    </row>
    <row r="3003" spans="1:22">
      <c r="A3003" t="s">
        <v>61</v>
      </c>
      <c r="B3003" t="s">
        <v>60</v>
      </c>
      <c r="C3003">
        <v>49</v>
      </c>
      <c r="D3003" t="s">
        <v>18</v>
      </c>
      <c r="E3003" t="s">
        <v>16</v>
      </c>
      <c r="F3003" s="1">
        <v>44563</v>
      </c>
      <c r="G3003">
        <v>0</v>
      </c>
      <c r="H3003">
        <v>0</v>
      </c>
      <c r="I3003">
        <v>22</v>
      </c>
      <c r="J3003">
        <v>22</v>
      </c>
      <c r="K3003">
        <v>0</v>
      </c>
      <c r="L3003">
        <v>580</v>
      </c>
      <c r="M3003">
        <v>15</v>
      </c>
      <c r="N3003" s="1">
        <f t="shared" si="368"/>
        <v>44938</v>
      </c>
      <c r="O3003" s="1">
        <f t="shared" si="369"/>
        <v>43101</v>
      </c>
      <c r="P3003" s="1">
        <f t="shared" si="370"/>
        <v>44593</v>
      </c>
      <c r="Q3003" s="8">
        <f t="shared" si="371"/>
        <v>0</v>
      </c>
      <c r="R3003" s="8">
        <f t="shared" si="372"/>
        <v>50</v>
      </c>
      <c r="S3003" s="8">
        <f t="shared" ca="1" si="373"/>
        <v>48</v>
      </c>
      <c r="T3003">
        <f t="shared" ca="1" si="374"/>
        <v>1.4387558400000002</v>
      </c>
      <c r="U3003" s="8">
        <f t="shared" ca="1" si="375"/>
        <v>5.1746304000000016</v>
      </c>
      <c r="V3003" s="9">
        <f ca="1">RawData[[#This Row],[Z (smoothed demand size)]]/RawData[[#This Row],[X (smoothed interval)]]</f>
        <v>0.27804030989343698</v>
      </c>
    </row>
    <row r="3004" spans="1:22">
      <c r="A3004" t="s">
        <v>61</v>
      </c>
      <c r="B3004" t="s">
        <v>60</v>
      </c>
      <c r="C3004">
        <v>49</v>
      </c>
      <c r="D3004" t="s">
        <v>18</v>
      </c>
      <c r="E3004" t="s">
        <v>16</v>
      </c>
      <c r="F3004" s="1">
        <v>44564</v>
      </c>
      <c r="G3004">
        <v>0</v>
      </c>
      <c r="H3004">
        <v>0</v>
      </c>
      <c r="I3004">
        <v>22</v>
      </c>
      <c r="J3004">
        <v>22</v>
      </c>
      <c r="K3004">
        <v>0</v>
      </c>
      <c r="L3004">
        <v>572</v>
      </c>
      <c r="M3004">
        <v>30</v>
      </c>
      <c r="N3004" s="1">
        <f t="shared" si="368"/>
        <v>44938</v>
      </c>
      <c r="O3004" s="1">
        <f t="shared" si="369"/>
        <v>43101</v>
      </c>
      <c r="P3004" s="1">
        <f t="shared" si="370"/>
        <v>44621</v>
      </c>
      <c r="Q3004" s="8">
        <f t="shared" si="371"/>
        <v>0</v>
      </c>
      <c r="R3004" s="8">
        <f t="shared" si="372"/>
        <v>51</v>
      </c>
      <c r="S3004" s="8">
        <f t="shared" ca="1" si="373"/>
        <v>48</v>
      </c>
      <c r="T3004">
        <f t="shared" ca="1" si="374"/>
        <v>1.4387558400000002</v>
      </c>
      <c r="U3004" s="8">
        <f t="shared" ca="1" si="375"/>
        <v>5.1746304000000016</v>
      </c>
      <c r="V3004" s="9">
        <f ca="1">RawData[[#This Row],[Z (smoothed demand size)]]/RawData[[#This Row],[X (smoothed interval)]]</f>
        <v>0.27804030989343698</v>
      </c>
    </row>
    <row r="3005" spans="1:22">
      <c r="A3005" t="s">
        <v>61</v>
      </c>
      <c r="B3005" t="s">
        <v>60</v>
      </c>
      <c r="C3005">
        <v>49</v>
      </c>
      <c r="D3005" t="s">
        <v>18</v>
      </c>
      <c r="E3005" t="s">
        <v>16</v>
      </c>
      <c r="F3005" s="1">
        <v>44565</v>
      </c>
      <c r="G3005">
        <v>0</v>
      </c>
      <c r="H3005">
        <v>0</v>
      </c>
      <c r="I3005">
        <v>22</v>
      </c>
      <c r="J3005">
        <v>22</v>
      </c>
      <c r="K3005">
        <v>0</v>
      </c>
      <c r="L3005">
        <v>573</v>
      </c>
      <c r="M3005">
        <v>60</v>
      </c>
      <c r="N3005" s="1">
        <f t="shared" si="368"/>
        <v>44938</v>
      </c>
      <c r="O3005" s="1">
        <f t="shared" si="369"/>
        <v>43101</v>
      </c>
      <c r="P3005" s="1">
        <f t="shared" si="370"/>
        <v>44652</v>
      </c>
      <c r="Q3005" s="8">
        <f t="shared" si="371"/>
        <v>0</v>
      </c>
      <c r="R3005" s="8">
        <f t="shared" si="372"/>
        <v>52</v>
      </c>
      <c r="S3005" s="8">
        <f t="shared" ca="1" si="373"/>
        <v>48</v>
      </c>
      <c r="T3005">
        <f t="shared" ca="1" si="374"/>
        <v>1.4387558400000002</v>
      </c>
      <c r="U3005" s="8">
        <f t="shared" ca="1" si="375"/>
        <v>5.1746304000000016</v>
      </c>
      <c r="V3005" s="9">
        <f ca="1">RawData[[#This Row],[Z (smoothed demand size)]]/RawData[[#This Row],[X (smoothed interval)]]</f>
        <v>0.27804030989343698</v>
      </c>
    </row>
    <row r="3006" spans="1:22">
      <c r="A3006" t="s">
        <v>61</v>
      </c>
      <c r="B3006" t="s">
        <v>60</v>
      </c>
      <c r="C3006">
        <v>49</v>
      </c>
      <c r="D3006" t="s">
        <v>18</v>
      </c>
      <c r="E3006" t="s">
        <v>16</v>
      </c>
      <c r="F3006" s="1">
        <v>44566</v>
      </c>
      <c r="G3006">
        <v>0</v>
      </c>
      <c r="H3006">
        <v>0</v>
      </c>
      <c r="I3006">
        <v>22</v>
      </c>
      <c r="J3006">
        <v>22</v>
      </c>
      <c r="K3006">
        <v>0</v>
      </c>
      <c r="L3006">
        <v>559</v>
      </c>
      <c r="M3006">
        <v>30</v>
      </c>
      <c r="N3006" s="1">
        <f t="shared" si="368"/>
        <v>44938</v>
      </c>
      <c r="O3006" s="1">
        <f t="shared" si="369"/>
        <v>43101</v>
      </c>
      <c r="P3006" s="1">
        <f t="shared" si="370"/>
        <v>44682</v>
      </c>
      <c r="Q3006" s="8">
        <f t="shared" si="371"/>
        <v>0</v>
      </c>
      <c r="R3006" s="8">
        <f t="shared" si="372"/>
        <v>53</v>
      </c>
      <c r="S3006" s="8">
        <f t="shared" ca="1" si="373"/>
        <v>48</v>
      </c>
      <c r="T3006">
        <f t="shared" ca="1" si="374"/>
        <v>1.4387558400000002</v>
      </c>
      <c r="U3006" s="8">
        <f t="shared" ca="1" si="375"/>
        <v>5.1746304000000016</v>
      </c>
      <c r="V3006" s="9">
        <f ca="1">RawData[[#This Row],[Z (smoothed demand size)]]/RawData[[#This Row],[X (smoothed interval)]]</f>
        <v>0.27804030989343698</v>
      </c>
    </row>
    <row r="3007" spans="1:22">
      <c r="A3007" t="s">
        <v>61</v>
      </c>
      <c r="B3007" t="s">
        <v>60</v>
      </c>
      <c r="C3007">
        <v>49</v>
      </c>
      <c r="D3007" t="s">
        <v>18</v>
      </c>
      <c r="E3007" t="s">
        <v>16</v>
      </c>
      <c r="F3007" s="1">
        <v>44567</v>
      </c>
      <c r="G3007">
        <v>0</v>
      </c>
      <c r="H3007">
        <v>0</v>
      </c>
      <c r="I3007">
        <v>22</v>
      </c>
      <c r="J3007">
        <v>22</v>
      </c>
      <c r="K3007">
        <v>0</v>
      </c>
      <c r="L3007">
        <v>656</v>
      </c>
      <c r="M3007">
        <v>30</v>
      </c>
      <c r="N3007" s="1">
        <f t="shared" si="368"/>
        <v>44938</v>
      </c>
      <c r="O3007" s="1">
        <f t="shared" si="369"/>
        <v>43101</v>
      </c>
      <c r="P3007" s="1">
        <f t="shared" si="370"/>
        <v>44713</v>
      </c>
      <c r="Q3007" s="8">
        <f t="shared" si="371"/>
        <v>0</v>
      </c>
      <c r="R3007" s="8">
        <f t="shared" si="372"/>
        <v>54</v>
      </c>
      <c r="S3007" s="8">
        <f t="shared" ca="1" si="373"/>
        <v>48</v>
      </c>
      <c r="T3007">
        <f t="shared" ca="1" si="374"/>
        <v>1.4387558400000002</v>
      </c>
      <c r="U3007" s="8">
        <f t="shared" ca="1" si="375"/>
        <v>5.1746304000000016</v>
      </c>
      <c r="V3007" s="9">
        <f ca="1">RawData[[#This Row],[Z (smoothed demand size)]]/RawData[[#This Row],[X (smoothed interval)]]</f>
        <v>0.27804030989343698</v>
      </c>
    </row>
    <row r="3008" spans="1:22">
      <c r="A3008" t="s">
        <v>61</v>
      </c>
      <c r="B3008" t="s">
        <v>60</v>
      </c>
      <c r="C3008">
        <v>49</v>
      </c>
      <c r="D3008" t="s">
        <v>18</v>
      </c>
      <c r="E3008" t="s">
        <v>16</v>
      </c>
      <c r="F3008" s="1">
        <v>44568</v>
      </c>
      <c r="G3008">
        <v>0</v>
      </c>
      <c r="H3008">
        <v>0</v>
      </c>
      <c r="I3008">
        <v>22</v>
      </c>
      <c r="J3008">
        <v>22</v>
      </c>
      <c r="K3008">
        <v>0</v>
      </c>
      <c r="L3008">
        <v>659</v>
      </c>
      <c r="M3008">
        <v>60</v>
      </c>
      <c r="N3008" s="1">
        <f t="shared" si="368"/>
        <v>44938</v>
      </c>
      <c r="O3008" s="1">
        <f t="shared" si="369"/>
        <v>43101</v>
      </c>
      <c r="P3008" s="1">
        <f t="shared" si="370"/>
        <v>44743</v>
      </c>
      <c r="Q3008" s="8">
        <f t="shared" si="371"/>
        <v>0</v>
      </c>
      <c r="R3008" s="8">
        <f t="shared" si="372"/>
        <v>55</v>
      </c>
      <c r="S3008" s="8">
        <f t="shared" ca="1" si="373"/>
        <v>48</v>
      </c>
      <c r="T3008">
        <f t="shared" ca="1" si="374"/>
        <v>1.4387558400000002</v>
      </c>
      <c r="U3008" s="8">
        <f t="shared" ca="1" si="375"/>
        <v>5.1746304000000016</v>
      </c>
      <c r="V3008" s="9">
        <f ca="1">RawData[[#This Row],[Z (smoothed demand size)]]/RawData[[#This Row],[X (smoothed interval)]]</f>
        <v>0.27804030989343698</v>
      </c>
    </row>
    <row r="3009" spans="1:22">
      <c r="A3009" t="s">
        <v>61</v>
      </c>
      <c r="B3009" t="s">
        <v>60</v>
      </c>
      <c r="C3009">
        <v>49</v>
      </c>
      <c r="D3009" t="s">
        <v>18</v>
      </c>
      <c r="E3009" t="s">
        <v>16</v>
      </c>
      <c r="F3009" s="1">
        <v>44569</v>
      </c>
      <c r="G3009">
        <v>0</v>
      </c>
      <c r="H3009">
        <v>0</v>
      </c>
      <c r="I3009">
        <v>22</v>
      </c>
      <c r="J3009">
        <v>22</v>
      </c>
      <c r="K3009">
        <v>0</v>
      </c>
      <c r="L3009">
        <v>652</v>
      </c>
      <c r="M3009">
        <v>45</v>
      </c>
      <c r="N3009" s="1">
        <f t="shared" si="368"/>
        <v>44938</v>
      </c>
      <c r="O3009" s="1">
        <f t="shared" si="369"/>
        <v>43101</v>
      </c>
      <c r="P3009" s="1">
        <f t="shared" si="370"/>
        <v>44774</v>
      </c>
      <c r="Q3009" s="8">
        <f t="shared" si="371"/>
        <v>0</v>
      </c>
      <c r="R3009" s="8">
        <f t="shared" si="372"/>
        <v>56</v>
      </c>
      <c r="S3009" s="8">
        <f t="shared" ca="1" si="373"/>
        <v>48</v>
      </c>
      <c r="T3009">
        <f t="shared" ca="1" si="374"/>
        <v>1.4387558400000002</v>
      </c>
      <c r="U3009" s="8">
        <f t="shared" ca="1" si="375"/>
        <v>5.1746304000000016</v>
      </c>
      <c r="V3009" s="9">
        <f ca="1">RawData[[#This Row],[Z (smoothed demand size)]]/RawData[[#This Row],[X (smoothed interval)]]</f>
        <v>0.27804030989343698</v>
      </c>
    </row>
    <row r="3010" spans="1:22">
      <c r="A3010" t="s">
        <v>61</v>
      </c>
      <c r="B3010" t="s">
        <v>60</v>
      </c>
      <c r="C3010">
        <v>49</v>
      </c>
      <c r="D3010" t="s">
        <v>18</v>
      </c>
      <c r="E3010" t="s">
        <v>16</v>
      </c>
      <c r="F3010" s="1">
        <v>44570</v>
      </c>
      <c r="G3010">
        <v>0</v>
      </c>
      <c r="H3010">
        <v>0</v>
      </c>
      <c r="I3010">
        <v>22</v>
      </c>
      <c r="J3010">
        <v>22</v>
      </c>
      <c r="K3010">
        <v>0</v>
      </c>
      <c r="L3010">
        <v>570</v>
      </c>
      <c r="M3010">
        <v>45</v>
      </c>
      <c r="N3010" s="1">
        <f t="shared" ref="N3010:N3073" si="376">MAX(F:F)</f>
        <v>44938</v>
      </c>
      <c r="O3010" s="1">
        <f t="shared" ref="O3010:O3073" si="377">MIN(F:F)</f>
        <v>43101</v>
      </c>
      <c r="P3010" s="1">
        <f t="shared" ref="P3010:P3073" si="378">DATE(YEAR(F3010), DAY(F3010), 1)</f>
        <v>44805</v>
      </c>
      <c r="Q3010" s="8">
        <f t="shared" ref="Q3010:Q3073" si="379" xml:space="preserve"> IF(A3010&lt;&gt;A3009, 1, 0)</f>
        <v>0</v>
      </c>
      <c r="R3010" s="8">
        <f t="shared" ref="R3010:R3073" si="380">IF(Q3010=1,1,R3009+1)</f>
        <v>57</v>
      </c>
      <c r="S3010" s="8">
        <f t="shared" ref="S3010:S3073" ca="1" si="381" xml:space="preserve"> IF(Q3010=1, IF(G3010&gt;0, R3010, 0), IF(G3010&gt;0, R3010, OFFSET(S3010,-1,0)))</f>
        <v>48</v>
      </c>
      <c r="T3010">
        <f t="shared" ref="T3010:T3073" ca="1" si="382" xml:space="preserve"> IF(Q3010=1, IF(G3010&gt;0, G3010, 0), IF(G3010&gt;0, $X$1*G3010+(1-$X$1)*OFFSET(T3010,-1,0), OFFSET(T3010,-1,0)))</f>
        <v>1.4387558400000002</v>
      </c>
      <c r="U3010" s="8">
        <f t="shared" ref="U3010:U3073" ca="1" si="383" xml:space="preserve"> IF(Q3010=1, 1, IF(G3010&gt;0, $X$1*(R3010-OFFSET(S3010,-1,0))+(1-$X$1)*OFFSET(U3010,-1,0), OFFSET(U3010,-1,0)))</f>
        <v>5.1746304000000016</v>
      </c>
      <c r="V3010" s="9">
        <f ca="1">RawData[[#This Row],[Z (smoothed demand size)]]/RawData[[#This Row],[X (smoothed interval)]]</f>
        <v>0.27804030989343698</v>
      </c>
    </row>
    <row r="3011" spans="1:22">
      <c r="A3011" t="s">
        <v>61</v>
      </c>
      <c r="B3011" t="s">
        <v>60</v>
      </c>
      <c r="C3011">
        <v>49</v>
      </c>
      <c r="D3011" t="s">
        <v>18</v>
      </c>
      <c r="E3011" t="s">
        <v>16</v>
      </c>
      <c r="F3011" s="1">
        <v>44571</v>
      </c>
      <c r="G3011">
        <v>0</v>
      </c>
      <c r="H3011">
        <v>0</v>
      </c>
      <c r="I3011">
        <v>22</v>
      </c>
      <c r="J3011">
        <v>22</v>
      </c>
      <c r="K3011">
        <v>0</v>
      </c>
      <c r="L3011">
        <v>577</v>
      </c>
      <c r="M3011">
        <v>45</v>
      </c>
      <c r="N3011" s="1">
        <f t="shared" si="376"/>
        <v>44938</v>
      </c>
      <c r="O3011" s="1">
        <f t="shared" si="377"/>
        <v>43101</v>
      </c>
      <c r="P3011" s="1">
        <f t="shared" si="378"/>
        <v>44835</v>
      </c>
      <c r="Q3011" s="8">
        <f t="shared" si="379"/>
        <v>0</v>
      </c>
      <c r="R3011" s="8">
        <f t="shared" si="380"/>
        <v>58</v>
      </c>
      <c r="S3011" s="8">
        <f t="shared" ca="1" si="381"/>
        <v>48</v>
      </c>
      <c r="T3011">
        <f t="shared" ca="1" si="382"/>
        <v>1.4387558400000002</v>
      </c>
      <c r="U3011" s="8">
        <f t="shared" ca="1" si="383"/>
        <v>5.1746304000000016</v>
      </c>
      <c r="V3011" s="9">
        <f ca="1">RawData[[#This Row],[Z (smoothed demand size)]]/RawData[[#This Row],[X (smoothed interval)]]</f>
        <v>0.27804030989343698</v>
      </c>
    </row>
    <row r="3012" spans="1:22">
      <c r="A3012" t="s">
        <v>61</v>
      </c>
      <c r="B3012" t="s">
        <v>60</v>
      </c>
      <c r="C3012">
        <v>49</v>
      </c>
      <c r="D3012" t="s">
        <v>18</v>
      </c>
      <c r="E3012" t="s">
        <v>16</v>
      </c>
      <c r="F3012" s="1">
        <v>44572</v>
      </c>
      <c r="G3012">
        <v>0</v>
      </c>
      <c r="H3012">
        <v>0</v>
      </c>
      <c r="I3012">
        <v>22</v>
      </c>
      <c r="J3012">
        <v>22</v>
      </c>
      <c r="K3012">
        <v>0</v>
      </c>
      <c r="L3012">
        <v>578</v>
      </c>
      <c r="M3012">
        <v>45</v>
      </c>
      <c r="N3012" s="1">
        <f t="shared" si="376"/>
        <v>44938</v>
      </c>
      <c r="O3012" s="1">
        <f t="shared" si="377"/>
        <v>43101</v>
      </c>
      <c r="P3012" s="1">
        <f t="shared" si="378"/>
        <v>44866</v>
      </c>
      <c r="Q3012" s="8">
        <f t="shared" si="379"/>
        <v>0</v>
      </c>
      <c r="R3012" s="8">
        <f t="shared" si="380"/>
        <v>59</v>
      </c>
      <c r="S3012" s="8">
        <f t="shared" ca="1" si="381"/>
        <v>48</v>
      </c>
      <c r="T3012">
        <f t="shared" ca="1" si="382"/>
        <v>1.4387558400000002</v>
      </c>
      <c r="U3012" s="8">
        <f t="shared" ca="1" si="383"/>
        <v>5.1746304000000016</v>
      </c>
      <c r="V3012" s="9">
        <f ca="1">RawData[[#This Row],[Z (smoothed demand size)]]/RawData[[#This Row],[X (smoothed interval)]]</f>
        <v>0.27804030989343698</v>
      </c>
    </row>
    <row r="3013" spans="1:22">
      <c r="A3013" t="s">
        <v>61</v>
      </c>
      <c r="B3013" t="s">
        <v>60</v>
      </c>
      <c r="C3013">
        <v>49</v>
      </c>
      <c r="D3013" t="s">
        <v>18</v>
      </c>
      <c r="E3013" t="s">
        <v>16</v>
      </c>
      <c r="F3013" s="1">
        <v>44573</v>
      </c>
      <c r="G3013">
        <v>0</v>
      </c>
      <c r="H3013">
        <v>0</v>
      </c>
      <c r="I3013">
        <v>22</v>
      </c>
      <c r="J3013">
        <v>22</v>
      </c>
      <c r="K3013">
        <v>0</v>
      </c>
      <c r="L3013">
        <v>657</v>
      </c>
      <c r="M3013">
        <v>15</v>
      </c>
      <c r="N3013" s="1">
        <f t="shared" si="376"/>
        <v>44938</v>
      </c>
      <c r="O3013" s="1">
        <f t="shared" si="377"/>
        <v>43101</v>
      </c>
      <c r="P3013" s="1">
        <f t="shared" si="378"/>
        <v>44896</v>
      </c>
      <c r="Q3013" s="8">
        <f t="shared" si="379"/>
        <v>0</v>
      </c>
      <c r="R3013" s="8">
        <f t="shared" si="380"/>
        <v>60</v>
      </c>
      <c r="S3013" s="8">
        <f t="shared" ca="1" si="381"/>
        <v>48</v>
      </c>
      <c r="T3013">
        <f t="shared" ca="1" si="382"/>
        <v>1.4387558400000002</v>
      </c>
      <c r="U3013" s="8">
        <f t="shared" ca="1" si="383"/>
        <v>5.1746304000000016</v>
      </c>
      <c r="V3013" s="9">
        <f ca="1">RawData[[#This Row],[Z (smoothed demand size)]]/RawData[[#This Row],[X (smoothed interval)]]</f>
        <v>0.27804030989343698</v>
      </c>
    </row>
    <row r="3014" spans="1:22">
      <c r="A3014" t="s">
        <v>61</v>
      </c>
      <c r="B3014" t="s">
        <v>60</v>
      </c>
      <c r="C3014">
        <v>49</v>
      </c>
      <c r="D3014" t="s">
        <v>18</v>
      </c>
      <c r="E3014" t="s">
        <v>16</v>
      </c>
      <c r="F3014" s="1">
        <v>44927</v>
      </c>
      <c r="G3014">
        <v>0</v>
      </c>
      <c r="H3014">
        <v>0</v>
      </c>
      <c r="I3014">
        <v>22</v>
      </c>
      <c r="J3014">
        <v>22</v>
      </c>
      <c r="K3014">
        <v>0</v>
      </c>
      <c r="L3014">
        <v>568</v>
      </c>
      <c r="M3014">
        <v>60</v>
      </c>
      <c r="N3014" s="1">
        <f t="shared" si="376"/>
        <v>44938</v>
      </c>
      <c r="O3014" s="1">
        <f t="shared" si="377"/>
        <v>43101</v>
      </c>
      <c r="P3014" s="1">
        <f t="shared" si="378"/>
        <v>44927</v>
      </c>
      <c r="Q3014" s="8">
        <f t="shared" si="379"/>
        <v>0</v>
      </c>
      <c r="R3014" s="8">
        <f t="shared" si="380"/>
        <v>61</v>
      </c>
      <c r="S3014" s="8">
        <f t="shared" ca="1" si="381"/>
        <v>48</v>
      </c>
      <c r="T3014">
        <f t="shared" ca="1" si="382"/>
        <v>1.4387558400000002</v>
      </c>
      <c r="U3014" s="8">
        <f t="shared" ca="1" si="383"/>
        <v>5.1746304000000016</v>
      </c>
      <c r="V3014" s="9">
        <f ca="1">RawData[[#This Row],[Z (smoothed demand size)]]/RawData[[#This Row],[X (smoothed interval)]]</f>
        <v>0.27804030989343698</v>
      </c>
    </row>
    <row r="3015" spans="1:22">
      <c r="A3015" t="s">
        <v>61</v>
      </c>
      <c r="B3015" t="s">
        <v>60</v>
      </c>
      <c r="C3015">
        <v>49</v>
      </c>
      <c r="D3015" t="s">
        <v>18</v>
      </c>
      <c r="E3015" t="s">
        <v>16</v>
      </c>
      <c r="F3015" s="1">
        <v>44928</v>
      </c>
      <c r="G3015">
        <v>0</v>
      </c>
      <c r="H3015">
        <v>0</v>
      </c>
      <c r="I3015">
        <v>22</v>
      </c>
      <c r="J3015">
        <v>22</v>
      </c>
      <c r="K3015">
        <v>0</v>
      </c>
      <c r="L3015">
        <v>572</v>
      </c>
      <c r="M3015">
        <v>45</v>
      </c>
      <c r="N3015" s="1">
        <f t="shared" si="376"/>
        <v>44938</v>
      </c>
      <c r="O3015" s="1">
        <f t="shared" si="377"/>
        <v>43101</v>
      </c>
      <c r="P3015" s="1">
        <f t="shared" si="378"/>
        <v>44958</v>
      </c>
      <c r="Q3015" s="8">
        <f t="shared" si="379"/>
        <v>0</v>
      </c>
      <c r="R3015" s="8">
        <f t="shared" si="380"/>
        <v>62</v>
      </c>
      <c r="S3015" s="8">
        <f t="shared" ca="1" si="381"/>
        <v>48</v>
      </c>
      <c r="T3015">
        <f t="shared" ca="1" si="382"/>
        <v>1.4387558400000002</v>
      </c>
      <c r="U3015" s="8">
        <f t="shared" ca="1" si="383"/>
        <v>5.1746304000000016</v>
      </c>
      <c r="V3015" s="9">
        <f ca="1">RawData[[#This Row],[Z (smoothed demand size)]]/RawData[[#This Row],[X (smoothed interval)]]</f>
        <v>0.27804030989343698</v>
      </c>
    </row>
    <row r="3016" spans="1:22">
      <c r="A3016" t="s">
        <v>61</v>
      </c>
      <c r="B3016" t="s">
        <v>60</v>
      </c>
      <c r="C3016">
        <v>49</v>
      </c>
      <c r="D3016" t="s">
        <v>18</v>
      </c>
      <c r="E3016" t="s">
        <v>16</v>
      </c>
      <c r="F3016" s="1">
        <v>44929</v>
      </c>
      <c r="G3016">
        <v>0</v>
      </c>
      <c r="H3016">
        <v>0</v>
      </c>
      <c r="I3016">
        <v>22</v>
      </c>
      <c r="J3016">
        <v>22</v>
      </c>
      <c r="K3016">
        <v>0</v>
      </c>
      <c r="L3016">
        <v>566</v>
      </c>
      <c r="M3016">
        <v>30</v>
      </c>
      <c r="N3016" s="1">
        <f t="shared" si="376"/>
        <v>44938</v>
      </c>
      <c r="O3016" s="1">
        <f t="shared" si="377"/>
        <v>43101</v>
      </c>
      <c r="P3016" s="1">
        <f t="shared" si="378"/>
        <v>44986</v>
      </c>
      <c r="Q3016" s="8">
        <f t="shared" si="379"/>
        <v>0</v>
      </c>
      <c r="R3016" s="8">
        <f t="shared" si="380"/>
        <v>63</v>
      </c>
      <c r="S3016" s="8">
        <f t="shared" ca="1" si="381"/>
        <v>48</v>
      </c>
      <c r="T3016">
        <f t="shared" ca="1" si="382"/>
        <v>1.4387558400000002</v>
      </c>
      <c r="U3016" s="8">
        <f t="shared" ca="1" si="383"/>
        <v>5.1746304000000016</v>
      </c>
      <c r="V3016" s="9">
        <f ca="1">RawData[[#This Row],[Z (smoothed demand size)]]/RawData[[#This Row],[X (smoothed interval)]]</f>
        <v>0.27804030989343698</v>
      </c>
    </row>
    <row r="3017" spans="1:22">
      <c r="A3017" t="s">
        <v>61</v>
      </c>
      <c r="B3017" t="s">
        <v>60</v>
      </c>
      <c r="C3017">
        <v>49</v>
      </c>
      <c r="D3017" t="s">
        <v>18</v>
      </c>
      <c r="E3017" t="s">
        <v>16</v>
      </c>
      <c r="F3017" s="1">
        <v>44930</v>
      </c>
      <c r="G3017">
        <v>2</v>
      </c>
      <c r="H3017">
        <v>2</v>
      </c>
      <c r="I3017">
        <v>22</v>
      </c>
      <c r="J3017">
        <v>20</v>
      </c>
      <c r="K3017">
        <v>0</v>
      </c>
      <c r="L3017">
        <v>574</v>
      </c>
      <c r="M3017">
        <v>45</v>
      </c>
      <c r="N3017" s="1">
        <f t="shared" si="376"/>
        <v>44938</v>
      </c>
      <c r="O3017" s="1">
        <f t="shared" si="377"/>
        <v>43101</v>
      </c>
      <c r="P3017" s="1">
        <f t="shared" si="378"/>
        <v>45017</v>
      </c>
      <c r="Q3017" s="8">
        <f t="shared" si="379"/>
        <v>0</v>
      </c>
      <c r="R3017" s="8">
        <f t="shared" si="380"/>
        <v>64</v>
      </c>
      <c r="S3017" s="8">
        <f t="shared" ca="1" si="381"/>
        <v>64</v>
      </c>
      <c r="T3017">
        <f t="shared" ca="1" si="382"/>
        <v>1.5510046720000004</v>
      </c>
      <c r="U3017" s="8">
        <f t="shared" ca="1" si="383"/>
        <v>7.3397043200000018</v>
      </c>
      <c r="V3017" s="9">
        <f ca="1">RawData[[#This Row],[Z (smoothed demand size)]]/RawData[[#This Row],[X (smoothed interval)]]</f>
        <v>0.21131705098441894</v>
      </c>
    </row>
    <row r="3018" spans="1:22">
      <c r="A3018" t="s">
        <v>61</v>
      </c>
      <c r="B3018" t="s">
        <v>60</v>
      </c>
      <c r="C3018">
        <v>49</v>
      </c>
      <c r="D3018" t="s">
        <v>18</v>
      </c>
      <c r="E3018" t="s">
        <v>16</v>
      </c>
      <c r="F3018" s="1">
        <v>44931</v>
      </c>
      <c r="G3018">
        <v>0</v>
      </c>
      <c r="H3018">
        <v>0</v>
      </c>
      <c r="I3018">
        <v>20</v>
      </c>
      <c r="J3018">
        <v>20</v>
      </c>
      <c r="K3018">
        <v>0</v>
      </c>
      <c r="L3018">
        <v>565</v>
      </c>
      <c r="M3018">
        <v>15</v>
      </c>
      <c r="N3018" s="1">
        <f t="shared" si="376"/>
        <v>44938</v>
      </c>
      <c r="O3018" s="1">
        <f t="shared" si="377"/>
        <v>43101</v>
      </c>
      <c r="P3018" s="1">
        <f t="shared" si="378"/>
        <v>45047</v>
      </c>
      <c r="Q3018" s="8">
        <f t="shared" si="379"/>
        <v>0</v>
      </c>
      <c r="R3018" s="8">
        <f t="shared" si="380"/>
        <v>65</v>
      </c>
      <c r="S3018" s="8">
        <f t="shared" ca="1" si="381"/>
        <v>64</v>
      </c>
      <c r="T3018">
        <f t="shared" ca="1" si="382"/>
        <v>1.5510046720000004</v>
      </c>
      <c r="U3018" s="8">
        <f t="shared" ca="1" si="383"/>
        <v>7.3397043200000018</v>
      </c>
      <c r="V3018" s="9">
        <f ca="1">RawData[[#This Row],[Z (smoothed demand size)]]/RawData[[#This Row],[X (smoothed interval)]]</f>
        <v>0.21131705098441894</v>
      </c>
    </row>
    <row r="3019" spans="1:22">
      <c r="A3019" t="s">
        <v>61</v>
      </c>
      <c r="B3019" t="s">
        <v>60</v>
      </c>
      <c r="C3019">
        <v>49</v>
      </c>
      <c r="D3019" t="s">
        <v>18</v>
      </c>
      <c r="E3019" t="s">
        <v>16</v>
      </c>
      <c r="F3019" s="1">
        <v>44932</v>
      </c>
      <c r="G3019">
        <v>0</v>
      </c>
      <c r="H3019">
        <v>0</v>
      </c>
      <c r="I3019">
        <v>20</v>
      </c>
      <c r="J3019">
        <v>20</v>
      </c>
      <c r="K3019">
        <v>0</v>
      </c>
      <c r="L3019">
        <v>658</v>
      </c>
      <c r="M3019">
        <v>60</v>
      </c>
      <c r="N3019" s="1">
        <f t="shared" si="376"/>
        <v>44938</v>
      </c>
      <c r="O3019" s="1">
        <f t="shared" si="377"/>
        <v>43101</v>
      </c>
      <c r="P3019" s="1">
        <f t="shared" si="378"/>
        <v>45078</v>
      </c>
      <c r="Q3019" s="8">
        <f t="shared" si="379"/>
        <v>0</v>
      </c>
      <c r="R3019" s="8">
        <f t="shared" si="380"/>
        <v>66</v>
      </c>
      <c r="S3019" s="8">
        <f t="shared" ca="1" si="381"/>
        <v>64</v>
      </c>
      <c r="T3019">
        <f t="shared" ca="1" si="382"/>
        <v>1.5510046720000004</v>
      </c>
      <c r="U3019" s="8">
        <f t="shared" ca="1" si="383"/>
        <v>7.3397043200000018</v>
      </c>
      <c r="V3019" s="9">
        <f ca="1">RawData[[#This Row],[Z (smoothed demand size)]]/RawData[[#This Row],[X (smoothed interval)]]</f>
        <v>0.21131705098441894</v>
      </c>
    </row>
    <row r="3020" spans="1:22">
      <c r="A3020" t="s">
        <v>61</v>
      </c>
      <c r="B3020" t="s">
        <v>60</v>
      </c>
      <c r="C3020">
        <v>49</v>
      </c>
      <c r="D3020" t="s">
        <v>18</v>
      </c>
      <c r="E3020" t="s">
        <v>16</v>
      </c>
      <c r="F3020" s="1">
        <v>44933</v>
      </c>
      <c r="G3020">
        <v>0</v>
      </c>
      <c r="H3020">
        <v>0</v>
      </c>
      <c r="I3020">
        <v>20</v>
      </c>
      <c r="J3020">
        <v>20</v>
      </c>
      <c r="K3020">
        <v>0</v>
      </c>
      <c r="L3020">
        <v>653</v>
      </c>
      <c r="M3020">
        <v>30</v>
      </c>
      <c r="N3020" s="1">
        <f t="shared" si="376"/>
        <v>44938</v>
      </c>
      <c r="O3020" s="1">
        <f t="shared" si="377"/>
        <v>43101</v>
      </c>
      <c r="P3020" s="1">
        <f t="shared" si="378"/>
        <v>45108</v>
      </c>
      <c r="Q3020" s="8">
        <f t="shared" si="379"/>
        <v>0</v>
      </c>
      <c r="R3020" s="8">
        <f t="shared" si="380"/>
        <v>67</v>
      </c>
      <c r="S3020" s="8">
        <f t="shared" ca="1" si="381"/>
        <v>64</v>
      </c>
      <c r="T3020">
        <f t="shared" ca="1" si="382"/>
        <v>1.5510046720000004</v>
      </c>
      <c r="U3020" s="8">
        <f t="shared" ca="1" si="383"/>
        <v>7.3397043200000018</v>
      </c>
      <c r="V3020" s="9">
        <f ca="1">RawData[[#This Row],[Z (smoothed demand size)]]/RawData[[#This Row],[X (smoothed interval)]]</f>
        <v>0.21131705098441894</v>
      </c>
    </row>
    <row r="3021" spans="1:22">
      <c r="A3021" t="s">
        <v>61</v>
      </c>
      <c r="B3021" t="s">
        <v>60</v>
      </c>
      <c r="C3021">
        <v>49</v>
      </c>
      <c r="D3021" t="s">
        <v>18</v>
      </c>
      <c r="E3021" t="s">
        <v>16</v>
      </c>
      <c r="F3021" s="1">
        <v>44934</v>
      </c>
      <c r="G3021">
        <v>0</v>
      </c>
      <c r="H3021">
        <v>0</v>
      </c>
      <c r="I3021">
        <v>20</v>
      </c>
      <c r="J3021">
        <v>20</v>
      </c>
      <c r="K3021">
        <v>0</v>
      </c>
      <c r="L3021">
        <v>650</v>
      </c>
      <c r="M3021">
        <v>15</v>
      </c>
      <c r="N3021" s="1">
        <f t="shared" si="376"/>
        <v>44938</v>
      </c>
      <c r="O3021" s="1">
        <f t="shared" si="377"/>
        <v>43101</v>
      </c>
      <c r="P3021" s="1">
        <f t="shared" si="378"/>
        <v>45139</v>
      </c>
      <c r="Q3021" s="8">
        <f t="shared" si="379"/>
        <v>0</v>
      </c>
      <c r="R3021" s="8">
        <f t="shared" si="380"/>
        <v>68</v>
      </c>
      <c r="S3021" s="8">
        <f t="shared" ca="1" si="381"/>
        <v>64</v>
      </c>
      <c r="T3021">
        <f t="shared" ca="1" si="382"/>
        <v>1.5510046720000004</v>
      </c>
      <c r="U3021" s="8">
        <f t="shared" ca="1" si="383"/>
        <v>7.3397043200000018</v>
      </c>
      <c r="V3021" s="9">
        <f ca="1">RawData[[#This Row],[Z (smoothed demand size)]]/RawData[[#This Row],[X (smoothed interval)]]</f>
        <v>0.21131705098441894</v>
      </c>
    </row>
    <row r="3022" spans="1:22">
      <c r="A3022" t="s">
        <v>61</v>
      </c>
      <c r="B3022" t="s">
        <v>60</v>
      </c>
      <c r="C3022">
        <v>49</v>
      </c>
      <c r="D3022" t="s">
        <v>18</v>
      </c>
      <c r="E3022" t="s">
        <v>16</v>
      </c>
      <c r="F3022" s="1">
        <v>44935</v>
      </c>
      <c r="G3022">
        <v>0</v>
      </c>
      <c r="H3022">
        <v>0</v>
      </c>
      <c r="I3022">
        <v>20</v>
      </c>
      <c r="J3022">
        <v>20</v>
      </c>
      <c r="K3022">
        <v>0</v>
      </c>
      <c r="L3022">
        <v>570</v>
      </c>
      <c r="M3022">
        <v>60</v>
      </c>
      <c r="N3022" s="1">
        <f t="shared" si="376"/>
        <v>44938</v>
      </c>
      <c r="O3022" s="1">
        <f t="shared" si="377"/>
        <v>43101</v>
      </c>
      <c r="P3022" s="1">
        <f t="shared" si="378"/>
        <v>45170</v>
      </c>
      <c r="Q3022" s="8">
        <f t="shared" si="379"/>
        <v>0</v>
      </c>
      <c r="R3022" s="8">
        <f t="shared" si="380"/>
        <v>69</v>
      </c>
      <c r="S3022" s="8">
        <f t="shared" ca="1" si="381"/>
        <v>64</v>
      </c>
      <c r="T3022">
        <f t="shared" ca="1" si="382"/>
        <v>1.5510046720000004</v>
      </c>
      <c r="U3022" s="8">
        <f t="shared" ca="1" si="383"/>
        <v>7.3397043200000018</v>
      </c>
      <c r="V3022" s="9">
        <f ca="1">RawData[[#This Row],[Z (smoothed demand size)]]/RawData[[#This Row],[X (smoothed interval)]]</f>
        <v>0.21131705098441894</v>
      </c>
    </row>
    <row r="3023" spans="1:22">
      <c r="A3023" t="s">
        <v>61</v>
      </c>
      <c r="B3023" t="s">
        <v>60</v>
      </c>
      <c r="C3023">
        <v>49</v>
      </c>
      <c r="D3023" t="s">
        <v>18</v>
      </c>
      <c r="E3023" t="s">
        <v>16</v>
      </c>
      <c r="F3023" s="1">
        <v>44936</v>
      </c>
      <c r="G3023">
        <v>1</v>
      </c>
      <c r="H3023">
        <v>1</v>
      </c>
      <c r="I3023">
        <v>20</v>
      </c>
      <c r="J3023">
        <v>19</v>
      </c>
      <c r="K3023">
        <v>0</v>
      </c>
      <c r="L3023">
        <v>566</v>
      </c>
      <c r="M3023">
        <v>30</v>
      </c>
      <c r="N3023" s="1">
        <f t="shared" si="376"/>
        <v>44938</v>
      </c>
      <c r="O3023" s="1">
        <f t="shared" si="377"/>
        <v>43101</v>
      </c>
      <c r="P3023" s="1">
        <f t="shared" si="378"/>
        <v>45200</v>
      </c>
      <c r="Q3023" s="8">
        <f t="shared" si="379"/>
        <v>0</v>
      </c>
      <c r="R3023" s="8">
        <f t="shared" si="380"/>
        <v>70</v>
      </c>
      <c r="S3023" s="8">
        <f t="shared" ca="1" si="381"/>
        <v>70</v>
      </c>
      <c r="T3023">
        <f t="shared" ca="1" si="382"/>
        <v>1.4408037376000002</v>
      </c>
      <c r="U3023" s="8">
        <f t="shared" ca="1" si="383"/>
        <v>7.071763456000002</v>
      </c>
      <c r="V3023" s="9">
        <f ca="1">RawData[[#This Row],[Z (smoothed demand size)]]/RawData[[#This Row],[X (smoothed interval)]]</f>
        <v>0.20374037488167929</v>
      </c>
    </row>
    <row r="3024" spans="1:22">
      <c r="A3024" t="s">
        <v>61</v>
      </c>
      <c r="B3024" t="s">
        <v>60</v>
      </c>
      <c r="C3024">
        <v>49</v>
      </c>
      <c r="D3024" t="s">
        <v>18</v>
      </c>
      <c r="E3024" t="s">
        <v>16</v>
      </c>
      <c r="F3024" s="1">
        <v>44937</v>
      </c>
      <c r="G3024">
        <v>0</v>
      </c>
      <c r="H3024">
        <v>0</v>
      </c>
      <c r="I3024">
        <v>19</v>
      </c>
      <c r="J3024">
        <v>19</v>
      </c>
      <c r="K3024">
        <v>0</v>
      </c>
      <c r="L3024">
        <v>574</v>
      </c>
      <c r="M3024">
        <v>45</v>
      </c>
      <c r="N3024" s="1">
        <f t="shared" si="376"/>
        <v>44938</v>
      </c>
      <c r="O3024" s="1">
        <f t="shared" si="377"/>
        <v>43101</v>
      </c>
      <c r="P3024" s="1">
        <f t="shared" si="378"/>
        <v>45231</v>
      </c>
      <c r="Q3024" s="8">
        <f t="shared" si="379"/>
        <v>0</v>
      </c>
      <c r="R3024" s="8">
        <f t="shared" si="380"/>
        <v>71</v>
      </c>
      <c r="S3024" s="8">
        <f t="shared" ca="1" si="381"/>
        <v>70</v>
      </c>
      <c r="T3024">
        <f t="shared" ca="1" si="382"/>
        <v>1.4408037376000002</v>
      </c>
      <c r="U3024" s="8">
        <f t="shared" ca="1" si="383"/>
        <v>7.071763456000002</v>
      </c>
      <c r="V3024" s="9">
        <f ca="1">RawData[[#This Row],[Z (smoothed demand size)]]/RawData[[#This Row],[X (smoothed interval)]]</f>
        <v>0.20374037488167929</v>
      </c>
    </row>
    <row r="3025" spans="1:22">
      <c r="A3025" t="s">
        <v>61</v>
      </c>
      <c r="B3025" t="s">
        <v>60</v>
      </c>
      <c r="C3025">
        <v>49</v>
      </c>
      <c r="D3025" t="s">
        <v>18</v>
      </c>
      <c r="E3025" t="s">
        <v>16</v>
      </c>
      <c r="F3025" s="1">
        <v>44938</v>
      </c>
      <c r="G3025">
        <v>0</v>
      </c>
      <c r="H3025">
        <v>0</v>
      </c>
      <c r="I3025">
        <v>19</v>
      </c>
      <c r="J3025">
        <v>19</v>
      </c>
      <c r="K3025">
        <v>0</v>
      </c>
      <c r="L3025">
        <v>647</v>
      </c>
      <c r="M3025">
        <v>60</v>
      </c>
      <c r="N3025" s="1">
        <f t="shared" si="376"/>
        <v>44938</v>
      </c>
      <c r="O3025" s="1">
        <f t="shared" si="377"/>
        <v>43101</v>
      </c>
      <c r="P3025" s="1">
        <f t="shared" si="378"/>
        <v>45261</v>
      </c>
      <c r="Q3025" s="8">
        <f t="shared" si="379"/>
        <v>0</v>
      </c>
      <c r="R3025" s="8">
        <f t="shared" si="380"/>
        <v>72</v>
      </c>
      <c r="S3025" s="8">
        <f t="shared" ca="1" si="381"/>
        <v>70</v>
      </c>
      <c r="T3025">
        <f t="shared" ca="1" si="382"/>
        <v>1.4408037376000002</v>
      </c>
      <c r="U3025" s="8">
        <f t="shared" ca="1" si="383"/>
        <v>7.071763456000002</v>
      </c>
      <c r="V3025" s="9">
        <f ca="1">RawData[[#This Row],[Z (smoothed demand size)]]/RawData[[#This Row],[X (smoothed interval)]]</f>
        <v>0.20374037488167929</v>
      </c>
    </row>
    <row r="3026" spans="1:22">
      <c r="A3026" t="s">
        <v>62</v>
      </c>
      <c r="B3026" t="s">
        <v>60</v>
      </c>
      <c r="C3026">
        <v>32</v>
      </c>
      <c r="D3026" t="s">
        <v>15</v>
      </c>
      <c r="E3026" t="s">
        <v>16</v>
      </c>
      <c r="F3026" s="1">
        <v>43101</v>
      </c>
      <c r="G3026">
        <v>1</v>
      </c>
      <c r="H3026">
        <v>1</v>
      </c>
      <c r="I3026">
        <v>15</v>
      </c>
      <c r="J3026">
        <v>14</v>
      </c>
      <c r="K3026">
        <v>0</v>
      </c>
      <c r="L3026">
        <v>592</v>
      </c>
      <c r="M3026">
        <v>45</v>
      </c>
      <c r="N3026" s="1">
        <f t="shared" si="376"/>
        <v>44938</v>
      </c>
      <c r="O3026" s="1">
        <f t="shared" si="377"/>
        <v>43101</v>
      </c>
      <c r="P3026" s="1">
        <f t="shared" si="378"/>
        <v>43101</v>
      </c>
      <c r="Q3026" s="8">
        <f t="shared" si="379"/>
        <v>1</v>
      </c>
      <c r="R3026" s="8">
        <f t="shared" si="380"/>
        <v>1</v>
      </c>
      <c r="S3026" s="8">
        <f t="shared" ca="1" si="381"/>
        <v>1</v>
      </c>
      <c r="T3026">
        <f t="shared" ca="1" si="382"/>
        <v>1</v>
      </c>
      <c r="U3026" s="8">
        <f t="shared" ca="1" si="383"/>
        <v>1</v>
      </c>
      <c r="V3026" s="9">
        <f ca="1">RawData[[#This Row],[Z (smoothed demand size)]]/RawData[[#This Row],[X (smoothed interval)]]</f>
        <v>1</v>
      </c>
    </row>
    <row r="3027" spans="1:22">
      <c r="A3027" t="s">
        <v>62</v>
      </c>
      <c r="B3027" t="s">
        <v>60</v>
      </c>
      <c r="C3027">
        <v>32</v>
      </c>
      <c r="D3027" t="s">
        <v>15</v>
      </c>
      <c r="E3027" t="s">
        <v>16</v>
      </c>
      <c r="F3027" s="1">
        <v>43102</v>
      </c>
      <c r="G3027">
        <v>0</v>
      </c>
      <c r="H3027">
        <v>0</v>
      </c>
      <c r="I3027">
        <v>14</v>
      </c>
      <c r="J3027">
        <v>14</v>
      </c>
      <c r="K3027">
        <v>0</v>
      </c>
      <c r="L3027">
        <v>583</v>
      </c>
      <c r="M3027">
        <v>45</v>
      </c>
      <c r="N3027" s="1">
        <f t="shared" si="376"/>
        <v>44938</v>
      </c>
      <c r="O3027" s="1">
        <f t="shared" si="377"/>
        <v>43101</v>
      </c>
      <c r="P3027" s="1">
        <f t="shared" si="378"/>
        <v>43132</v>
      </c>
      <c r="Q3027" s="8">
        <f t="shared" si="379"/>
        <v>0</v>
      </c>
      <c r="R3027" s="8">
        <f t="shared" si="380"/>
        <v>2</v>
      </c>
      <c r="S3027" s="8">
        <f t="shared" ca="1" si="381"/>
        <v>1</v>
      </c>
      <c r="T3027">
        <f t="shared" ca="1" si="382"/>
        <v>1</v>
      </c>
      <c r="U3027" s="8">
        <f t="shared" ca="1" si="383"/>
        <v>1</v>
      </c>
      <c r="V3027" s="9">
        <f ca="1">RawData[[#This Row],[Z (smoothed demand size)]]/RawData[[#This Row],[X (smoothed interval)]]</f>
        <v>1</v>
      </c>
    </row>
    <row r="3028" spans="1:22">
      <c r="A3028" t="s">
        <v>62</v>
      </c>
      <c r="B3028" t="s">
        <v>60</v>
      </c>
      <c r="C3028">
        <v>32</v>
      </c>
      <c r="D3028" t="s">
        <v>15</v>
      </c>
      <c r="E3028" t="s">
        <v>16</v>
      </c>
      <c r="F3028" s="1">
        <v>43103</v>
      </c>
      <c r="G3028">
        <v>0</v>
      </c>
      <c r="H3028">
        <v>0</v>
      </c>
      <c r="I3028">
        <v>14</v>
      </c>
      <c r="J3028">
        <v>14</v>
      </c>
      <c r="K3028">
        <v>0</v>
      </c>
      <c r="L3028">
        <v>581</v>
      </c>
      <c r="M3028">
        <v>30</v>
      </c>
      <c r="N3028" s="1">
        <f t="shared" si="376"/>
        <v>44938</v>
      </c>
      <c r="O3028" s="1">
        <f t="shared" si="377"/>
        <v>43101</v>
      </c>
      <c r="P3028" s="1">
        <f t="shared" si="378"/>
        <v>43160</v>
      </c>
      <c r="Q3028" s="8">
        <f t="shared" si="379"/>
        <v>0</v>
      </c>
      <c r="R3028" s="8">
        <f t="shared" si="380"/>
        <v>3</v>
      </c>
      <c r="S3028" s="8">
        <f t="shared" ca="1" si="381"/>
        <v>1</v>
      </c>
      <c r="T3028">
        <f t="shared" ca="1" si="382"/>
        <v>1</v>
      </c>
      <c r="U3028" s="8">
        <f t="shared" ca="1" si="383"/>
        <v>1</v>
      </c>
      <c r="V3028" s="9">
        <f ca="1">RawData[[#This Row],[Z (smoothed demand size)]]/RawData[[#This Row],[X (smoothed interval)]]</f>
        <v>1</v>
      </c>
    </row>
    <row r="3029" spans="1:22">
      <c r="A3029" t="s">
        <v>62</v>
      </c>
      <c r="B3029" t="s">
        <v>60</v>
      </c>
      <c r="C3029">
        <v>32</v>
      </c>
      <c r="D3029" t="s">
        <v>15</v>
      </c>
      <c r="E3029" t="s">
        <v>16</v>
      </c>
      <c r="F3029" s="1">
        <v>43104</v>
      </c>
      <c r="G3029">
        <v>0</v>
      </c>
      <c r="H3029">
        <v>0</v>
      </c>
      <c r="I3029">
        <v>14</v>
      </c>
      <c r="J3029">
        <v>14</v>
      </c>
      <c r="K3029">
        <v>0</v>
      </c>
      <c r="L3029">
        <v>569</v>
      </c>
      <c r="M3029">
        <v>60</v>
      </c>
      <c r="N3029" s="1">
        <f t="shared" si="376"/>
        <v>44938</v>
      </c>
      <c r="O3029" s="1">
        <f t="shared" si="377"/>
        <v>43101</v>
      </c>
      <c r="P3029" s="1">
        <f t="shared" si="378"/>
        <v>43191</v>
      </c>
      <c r="Q3029" s="8">
        <f t="shared" si="379"/>
        <v>0</v>
      </c>
      <c r="R3029" s="8">
        <f t="shared" si="380"/>
        <v>4</v>
      </c>
      <c r="S3029" s="8">
        <f t="shared" ca="1" si="381"/>
        <v>1</v>
      </c>
      <c r="T3029">
        <f t="shared" ca="1" si="382"/>
        <v>1</v>
      </c>
      <c r="U3029" s="8">
        <f t="shared" ca="1" si="383"/>
        <v>1</v>
      </c>
      <c r="V3029" s="9">
        <f ca="1">RawData[[#This Row],[Z (smoothed demand size)]]/RawData[[#This Row],[X (smoothed interval)]]</f>
        <v>1</v>
      </c>
    </row>
    <row r="3030" spans="1:22">
      <c r="A3030" t="s">
        <v>62</v>
      </c>
      <c r="B3030" t="s">
        <v>60</v>
      </c>
      <c r="C3030">
        <v>32</v>
      </c>
      <c r="D3030" t="s">
        <v>15</v>
      </c>
      <c r="E3030" t="s">
        <v>16</v>
      </c>
      <c r="F3030" s="1">
        <v>43105</v>
      </c>
      <c r="G3030">
        <v>0</v>
      </c>
      <c r="H3030">
        <v>0</v>
      </c>
      <c r="I3030">
        <v>14</v>
      </c>
      <c r="J3030">
        <v>14</v>
      </c>
      <c r="K3030">
        <v>0</v>
      </c>
      <c r="L3030">
        <v>576</v>
      </c>
      <c r="M3030">
        <v>15</v>
      </c>
      <c r="N3030" s="1">
        <f t="shared" si="376"/>
        <v>44938</v>
      </c>
      <c r="O3030" s="1">
        <f t="shared" si="377"/>
        <v>43101</v>
      </c>
      <c r="P3030" s="1">
        <f t="shared" si="378"/>
        <v>43221</v>
      </c>
      <c r="Q3030" s="8">
        <f t="shared" si="379"/>
        <v>0</v>
      </c>
      <c r="R3030" s="8">
        <f t="shared" si="380"/>
        <v>5</v>
      </c>
      <c r="S3030" s="8">
        <f t="shared" ca="1" si="381"/>
        <v>1</v>
      </c>
      <c r="T3030">
        <f t="shared" ca="1" si="382"/>
        <v>1</v>
      </c>
      <c r="U3030" s="8">
        <f t="shared" ca="1" si="383"/>
        <v>1</v>
      </c>
      <c r="V3030" s="9">
        <f ca="1">RawData[[#This Row],[Z (smoothed demand size)]]/RawData[[#This Row],[X (smoothed interval)]]</f>
        <v>1</v>
      </c>
    </row>
    <row r="3031" spans="1:22">
      <c r="A3031" t="s">
        <v>62</v>
      </c>
      <c r="B3031" t="s">
        <v>60</v>
      </c>
      <c r="C3031">
        <v>32</v>
      </c>
      <c r="D3031" t="s">
        <v>15</v>
      </c>
      <c r="E3031" t="s">
        <v>16</v>
      </c>
      <c r="F3031" s="1">
        <v>43106</v>
      </c>
      <c r="G3031">
        <v>0</v>
      </c>
      <c r="H3031">
        <v>0</v>
      </c>
      <c r="I3031">
        <v>14</v>
      </c>
      <c r="J3031">
        <v>14</v>
      </c>
      <c r="K3031">
        <v>0</v>
      </c>
      <c r="L3031">
        <v>673</v>
      </c>
      <c r="M3031">
        <v>30</v>
      </c>
      <c r="N3031" s="1">
        <f t="shared" si="376"/>
        <v>44938</v>
      </c>
      <c r="O3031" s="1">
        <f t="shared" si="377"/>
        <v>43101</v>
      </c>
      <c r="P3031" s="1">
        <f t="shared" si="378"/>
        <v>43252</v>
      </c>
      <c r="Q3031" s="8">
        <f t="shared" si="379"/>
        <v>0</v>
      </c>
      <c r="R3031" s="8">
        <f t="shared" si="380"/>
        <v>6</v>
      </c>
      <c r="S3031" s="8">
        <f t="shared" ca="1" si="381"/>
        <v>1</v>
      </c>
      <c r="T3031">
        <f t="shared" ca="1" si="382"/>
        <v>1</v>
      </c>
      <c r="U3031" s="8">
        <f t="shared" ca="1" si="383"/>
        <v>1</v>
      </c>
      <c r="V3031" s="9">
        <f ca="1">RawData[[#This Row],[Z (smoothed demand size)]]/RawData[[#This Row],[X (smoothed interval)]]</f>
        <v>1</v>
      </c>
    </row>
    <row r="3032" spans="1:22">
      <c r="A3032" t="s">
        <v>62</v>
      </c>
      <c r="B3032" t="s">
        <v>60</v>
      </c>
      <c r="C3032">
        <v>32</v>
      </c>
      <c r="D3032" t="s">
        <v>15</v>
      </c>
      <c r="E3032" t="s">
        <v>16</v>
      </c>
      <c r="F3032" s="1">
        <v>43107</v>
      </c>
      <c r="G3032">
        <v>1</v>
      </c>
      <c r="H3032">
        <v>1</v>
      </c>
      <c r="I3032">
        <v>14</v>
      </c>
      <c r="J3032">
        <v>13</v>
      </c>
      <c r="K3032">
        <v>0</v>
      </c>
      <c r="L3032">
        <v>657</v>
      </c>
      <c r="M3032">
        <v>15</v>
      </c>
      <c r="N3032" s="1">
        <f t="shared" si="376"/>
        <v>44938</v>
      </c>
      <c r="O3032" s="1">
        <f t="shared" si="377"/>
        <v>43101</v>
      </c>
      <c r="P3032" s="1">
        <f t="shared" si="378"/>
        <v>43282</v>
      </c>
      <c r="Q3032" s="8">
        <f t="shared" si="379"/>
        <v>0</v>
      </c>
      <c r="R3032" s="8">
        <f t="shared" si="380"/>
        <v>7</v>
      </c>
      <c r="S3032" s="8">
        <f t="shared" ca="1" si="381"/>
        <v>7</v>
      </c>
      <c r="T3032">
        <f t="shared" ca="1" si="382"/>
        <v>1</v>
      </c>
      <c r="U3032" s="8">
        <f t="shared" ca="1" si="383"/>
        <v>2</v>
      </c>
      <c r="V3032" s="9">
        <f ca="1">RawData[[#This Row],[Z (smoothed demand size)]]/RawData[[#This Row],[X (smoothed interval)]]</f>
        <v>0.5</v>
      </c>
    </row>
    <row r="3033" spans="1:22">
      <c r="A3033" t="s">
        <v>62</v>
      </c>
      <c r="B3033" t="s">
        <v>60</v>
      </c>
      <c r="C3033">
        <v>32</v>
      </c>
      <c r="D3033" t="s">
        <v>15</v>
      </c>
      <c r="E3033" t="s">
        <v>16</v>
      </c>
      <c r="F3033" s="1">
        <v>43108</v>
      </c>
      <c r="G3033">
        <v>0</v>
      </c>
      <c r="H3033">
        <v>0</v>
      </c>
      <c r="I3033">
        <v>13</v>
      </c>
      <c r="J3033">
        <v>13</v>
      </c>
      <c r="K3033">
        <v>0</v>
      </c>
      <c r="L3033">
        <v>670</v>
      </c>
      <c r="M3033">
        <v>60</v>
      </c>
      <c r="N3033" s="1">
        <f t="shared" si="376"/>
        <v>44938</v>
      </c>
      <c r="O3033" s="1">
        <f t="shared" si="377"/>
        <v>43101</v>
      </c>
      <c r="P3033" s="1">
        <f t="shared" si="378"/>
        <v>43313</v>
      </c>
      <c r="Q3033" s="8">
        <f t="shared" si="379"/>
        <v>0</v>
      </c>
      <c r="R3033" s="8">
        <f t="shared" si="380"/>
        <v>8</v>
      </c>
      <c r="S3033" s="8">
        <f t="shared" ca="1" si="381"/>
        <v>7</v>
      </c>
      <c r="T3033">
        <f t="shared" ca="1" si="382"/>
        <v>1</v>
      </c>
      <c r="U3033" s="8">
        <f t="shared" ca="1" si="383"/>
        <v>2</v>
      </c>
      <c r="V3033" s="9">
        <f ca="1">RawData[[#This Row],[Z (smoothed demand size)]]/RawData[[#This Row],[X (smoothed interval)]]</f>
        <v>0.5</v>
      </c>
    </row>
    <row r="3034" spans="1:22">
      <c r="A3034" t="s">
        <v>62</v>
      </c>
      <c r="B3034" t="s">
        <v>60</v>
      </c>
      <c r="C3034">
        <v>32</v>
      </c>
      <c r="D3034" t="s">
        <v>15</v>
      </c>
      <c r="E3034" t="s">
        <v>16</v>
      </c>
      <c r="F3034" s="1">
        <v>43109</v>
      </c>
      <c r="G3034">
        <v>0</v>
      </c>
      <c r="H3034">
        <v>0</v>
      </c>
      <c r="I3034">
        <v>13</v>
      </c>
      <c r="J3034">
        <v>13</v>
      </c>
      <c r="K3034">
        <v>0</v>
      </c>
      <c r="L3034">
        <v>572</v>
      </c>
      <c r="M3034">
        <v>30</v>
      </c>
      <c r="N3034" s="1">
        <f t="shared" si="376"/>
        <v>44938</v>
      </c>
      <c r="O3034" s="1">
        <f t="shared" si="377"/>
        <v>43101</v>
      </c>
      <c r="P3034" s="1">
        <f t="shared" si="378"/>
        <v>43344</v>
      </c>
      <c r="Q3034" s="8">
        <f t="shared" si="379"/>
        <v>0</v>
      </c>
      <c r="R3034" s="8">
        <f t="shared" si="380"/>
        <v>9</v>
      </c>
      <c r="S3034" s="8">
        <f t="shared" ca="1" si="381"/>
        <v>7</v>
      </c>
      <c r="T3034">
        <f t="shared" ca="1" si="382"/>
        <v>1</v>
      </c>
      <c r="U3034" s="8">
        <f t="shared" ca="1" si="383"/>
        <v>2</v>
      </c>
      <c r="V3034" s="9">
        <f ca="1">RawData[[#This Row],[Z (smoothed demand size)]]/RawData[[#This Row],[X (smoothed interval)]]</f>
        <v>0.5</v>
      </c>
    </row>
    <row r="3035" spans="1:22">
      <c r="A3035" t="s">
        <v>62</v>
      </c>
      <c r="B3035" t="s">
        <v>60</v>
      </c>
      <c r="C3035">
        <v>32</v>
      </c>
      <c r="D3035" t="s">
        <v>15</v>
      </c>
      <c r="E3035" t="s">
        <v>16</v>
      </c>
      <c r="F3035" s="1">
        <v>43110</v>
      </c>
      <c r="G3035">
        <v>0</v>
      </c>
      <c r="H3035">
        <v>0</v>
      </c>
      <c r="I3035">
        <v>13</v>
      </c>
      <c r="J3035">
        <v>13</v>
      </c>
      <c r="K3035">
        <v>0</v>
      </c>
      <c r="L3035">
        <v>576</v>
      </c>
      <c r="M3035">
        <v>15</v>
      </c>
      <c r="N3035" s="1">
        <f t="shared" si="376"/>
        <v>44938</v>
      </c>
      <c r="O3035" s="1">
        <f t="shared" si="377"/>
        <v>43101</v>
      </c>
      <c r="P3035" s="1">
        <f t="shared" si="378"/>
        <v>43374</v>
      </c>
      <c r="Q3035" s="8">
        <f t="shared" si="379"/>
        <v>0</v>
      </c>
      <c r="R3035" s="8">
        <f t="shared" si="380"/>
        <v>10</v>
      </c>
      <c r="S3035" s="8">
        <f t="shared" ca="1" si="381"/>
        <v>7</v>
      </c>
      <c r="T3035">
        <f t="shared" ca="1" si="382"/>
        <v>1</v>
      </c>
      <c r="U3035" s="8">
        <f t="shared" ca="1" si="383"/>
        <v>2</v>
      </c>
      <c r="V3035" s="9">
        <f ca="1">RawData[[#This Row],[Z (smoothed demand size)]]/RawData[[#This Row],[X (smoothed interval)]]</f>
        <v>0.5</v>
      </c>
    </row>
    <row r="3036" spans="1:22">
      <c r="A3036" t="s">
        <v>62</v>
      </c>
      <c r="B3036" t="s">
        <v>60</v>
      </c>
      <c r="C3036">
        <v>32</v>
      </c>
      <c r="D3036" t="s">
        <v>15</v>
      </c>
      <c r="E3036" t="s">
        <v>16</v>
      </c>
      <c r="F3036" s="1">
        <v>43111</v>
      </c>
      <c r="G3036">
        <v>1</v>
      </c>
      <c r="H3036">
        <v>1</v>
      </c>
      <c r="I3036">
        <v>13</v>
      </c>
      <c r="J3036">
        <v>12</v>
      </c>
      <c r="K3036">
        <v>0</v>
      </c>
      <c r="L3036">
        <v>571</v>
      </c>
      <c r="M3036">
        <v>60</v>
      </c>
      <c r="N3036" s="1">
        <f t="shared" si="376"/>
        <v>44938</v>
      </c>
      <c r="O3036" s="1">
        <f t="shared" si="377"/>
        <v>43101</v>
      </c>
      <c r="P3036" s="1">
        <f t="shared" si="378"/>
        <v>43405</v>
      </c>
      <c r="Q3036" s="8">
        <f t="shared" si="379"/>
        <v>0</v>
      </c>
      <c r="R3036" s="8">
        <f t="shared" si="380"/>
        <v>11</v>
      </c>
      <c r="S3036" s="8">
        <f t="shared" ca="1" si="381"/>
        <v>11</v>
      </c>
      <c r="T3036">
        <f t="shared" ca="1" si="382"/>
        <v>1</v>
      </c>
      <c r="U3036" s="8">
        <f t="shared" ca="1" si="383"/>
        <v>2.4000000000000004</v>
      </c>
      <c r="V3036" s="9">
        <f ca="1">RawData[[#This Row],[Z (smoothed demand size)]]/RawData[[#This Row],[X (smoothed interval)]]</f>
        <v>0.41666666666666663</v>
      </c>
    </row>
    <row r="3037" spans="1:22">
      <c r="A3037" t="s">
        <v>62</v>
      </c>
      <c r="B3037" t="s">
        <v>60</v>
      </c>
      <c r="C3037">
        <v>32</v>
      </c>
      <c r="D3037" t="s">
        <v>15</v>
      </c>
      <c r="E3037" t="s">
        <v>16</v>
      </c>
      <c r="F3037" s="1">
        <v>43112</v>
      </c>
      <c r="G3037">
        <v>0</v>
      </c>
      <c r="H3037">
        <v>0</v>
      </c>
      <c r="I3037">
        <v>12</v>
      </c>
      <c r="J3037">
        <v>12</v>
      </c>
      <c r="K3037">
        <v>0</v>
      </c>
      <c r="L3037">
        <v>668</v>
      </c>
      <c r="M3037">
        <v>45</v>
      </c>
      <c r="N3037" s="1">
        <f t="shared" si="376"/>
        <v>44938</v>
      </c>
      <c r="O3037" s="1">
        <f t="shared" si="377"/>
        <v>43101</v>
      </c>
      <c r="P3037" s="1">
        <f t="shared" si="378"/>
        <v>43435</v>
      </c>
      <c r="Q3037" s="8">
        <f t="shared" si="379"/>
        <v>0</v>
      </c>
      <c r="R3037" s="8">
        <f t="shared" si="380"/>
        <v>12</v>
      </c>
      <c r="S3037" s="8">
        <f t="shared" ca="1" si="381"/>
        <v>11</v>
      </c>
      <c r="T3037">
        <f t="shared" ca="1" si="382"/>
        <v>1</v>
      </c>
      <c r="U3037" s="8">
        <f t="shared" ca="1" si="383"/>
        <v>2.4000000000000004</v>
      </c>
      <c r="V3037" s="9">
        <f ca="1">RawData[[#This Row],[Z (smoothed demand size)]]/RawData[[#This Row],[X (smoothed interval)]]</f>
        <v>0.41666666666666663</v>
      </c>
    </row>
    <row r="3038" spans="1:22">
      <c r="A3038" t="s">
        <v>62</v>
      </c>
      <c r="B3038" t="s">
        <v>60</v>
      </c>
      <c r="C3038">
        <v>32</v>
      </c>
      <c r="D3038" t="s">
        <v>15</v>
      </c>
      <c r="E3038" t="s">
        <v>16</v>
      </c>
      <c r="F3038" s="1">
        <v>43466</v>
      </c>
      <c r="G3038">
        <v>0</v>
      </c>
      <c r="H3038">
        <v>0</v>
      </c>
      <c r="I3038">
        <v>12</v>
      </c>
      <c r="J3038">
        <v>12</v>
      </c>
      <c r="K3038">
        <v>0</v>
      </c>
      <c r="L3038">
        <v>568</v>
      </c>
      <c r="M3038">
        <v>30</v>
      </c>
      <c r="N3038" s="1">
        <f t="shared" si="376"/>
        <v>44938</v>
      </c>
      <c r="O3038" s="1">
        <f t="shared" si="377"/>
        <v>43101</v>
      </c>
      <c r="P3038" s="1">
        <f t="shared" si="378"/>
        <v>43466</v>
      </c>
      <c r="Q3038" s="8">
        <f t="shared" si="379"/>
        <v>0</v>
      </c>
      <c r="R3038" s="8">
        <f t="shared" si="380"/>
        <v>13</v>
      </c>
      <c r="S3038" s="8">
        <f t="shared" ca="1" si="381"/>
        <v>11</v>
      </c>
      <c r="T3038">
        <f t="shared" ca="1" si="382"/>
        <v>1</v>
      </c>
      <c r="U3038" s="8">
        <f t="shared" ca="1" si="383"/>
        <v>2.4000000000000004</v>
      </c>
      <c r="V3038" s="9">
        <f ca="1">RawData[[#This Row],[Z (smoothed demand size)]]/RawData[[#This Row],[X (smoothed interval)]]</f>
        <v>0.41666666666666663</v>
      </c>
    </row>
    <row r="3039" spans="1:22">
      <c r="A3039" t="s">
        <v>62</v>
      </c>
      <c r="B3039" t="s">
        <v>60</v>
      </c>
      <c r="C3039">
        <v>32</v>
      </c>
      <c r="D3039" t="s">
        <v>15</v>
      </c>
      <c r="E3039" t="s">
        <v>16</v>
      </c>
      <c r="F3039" s="1">
        <v>43467</v>
      </c>
      <c r="G3039">
        <v>0</v>
      </c>
      <c r="H3039">
        <v>0</v>
      </c>
      <c r="I3039">
        <v>12</v>
      </c>
      <c r="J3039">
        <v>12</v>
      </c>
      <c r="K3039">
        <v>0</v>
      </c>
      <c r="L3039">
        <v>578</v>
      </c>
      <c r="M3039">
        <v>45</v>
      </c>
      <c r="N3039" s="1">
        <f t="shared" si="376"/>
        <v>44938</v>
      </c>
      <c r="O3039" s="1">
        <f t="shared" si="377"/>
        <v>43101</v>
      </c>
      <c r="P3039" s="1">
        <f t="shared" si="378"/>
        <v>43497</v>
      </c>
      <c r="Q3039" s="8">
        <f t="shared" si="379"/>
        <v>0</v>
      </c>
      <c r="R3039" s="8">
        <f t="shared" si="380"/>
        <v>14</v>
      </c>
      <c r="S3039" s="8">
        <f t="shared" ca="1" si="381"/>
        <v>11</v>
      </c>
      <c r="T3039">
        <f t="shared" ca="1" si="382"/>
        <v>1</v>
      </c>
      <c r="U3039" s="8">
        <f t="shared" ca="1" si="383"/>
        <v>2.4000000000000004</v>
      </c>
      <c r="V3039" s="9">
        <f ca="1">RawData[[#This Row],[Z (smoothed demand size)]]/RawData[[#This Row],[X (smoothed interval)]]</f>
        <v>0.41666666666666663</v>
      </c>
    </row>
    <row r="3040" spans="1:22">
      <c r="A3040" t="s">
        <v>62</v>
      </c>
      <c r="B3040" t="s">
        <v>60</v>
      </c>
      <c r="C3040">
        <v>32</v>
      </c>
      <c r="D3040" t="s">
        <v>15</v>
      </c>
      <c r="E3040" t="s">
        <v>16</v>
      </c>
      <c r="F3040" s="1">
        <v>43468</v>
      </c>
      <c r="G3040">
        <v>0</v>
      </c>
      <c r="H3040">
        <v>0</v>
      </c>
      <c r="I3040">
        <v>12</v>
      </c>
      <c r="J3040">
        <v>12</v>
      </c>
      <c r="K3040">
        <v>0</v>
      </c>
      <c r="L3040">
        <v>582</v>
      </c>
      <c r="M3040">
        <v>60</v>
      </c>
      <c r="N3040" s="1">
        <f t="shared" si="376"/>
        <v>44938</v>
      </c>
      <c r="O3040" s="1">
        <f t="shared" si="377"/>
        <v>43101</v>
      </c>
      <c r="P3040" s="1">
        <f t="shared" si="378"/>
        <v>43525</v>
      </c>
      <c r="Q3040" s="8">
        <f t="shared" si="379"/>
        <v>0</v>
      </c>
      <c r="R3040" s="8">
        <f t="shared" si="380"/>
        <v>15</v>
      </c>
      <c r="S3040" s="8">
        <f t="shared" ca="1" si="381"/>
        <v>11</v>
      </c>
      <c r="T3040">
        <f t="shared" ca="1" si="382"/>
        <v>1</v>
      </c>
      <c r="U3040" s="8">
        <f t="shared" ca="1" si="383"/>
        <v>2.4000000000000004</v>
      </c>
      <c r="V3040" s="9">
        <f ca="1">RawData[[#This Row],[Z (smoothed demand size)]]/RawData[[#This Row],[X (smoothed interval)]]</f>
        <v>0.41666666666666663</v>
      </c>
    </row>
    <row r="3041" spans="1:22">
      <c r="A3041" t="s">
        <v>62</v>
      </c>
      <c r="B3041" t="s">
        <v>60</v>
      </c>
      <c r="C3041">
        <v>32</v>
      </c>
      <c r="D3041" t="s">
        <v>15</v>
      </c>
      <c r="E3041" t="s">
        <v>16</v>
      </c>
      <c r="F3041" s="1">
        <v>43469</v>
      </c>
      <c r="G3041">
        <v>0</v>
      </c>
      <c r="H3041">
        <v>0</v>
      </c>
      <c r="I3041">
        <v>12</v>
      </c>
      <c r="J3041">
        <v>12</v>
      </c>
      <c r="K3041">
        <v>0</v>
      </c>
      <c r="L3041">
        <v>579</v>
      </c>
      <c r="M3041">
        <v>30</v>
      </c>
      <c r="N3041" s="1">
        <f t="shared" si="376"/>
        <v>44938</v>
      </c>
      <c r="O3041" s="1">
        <f t="shared" si="377"/>
        <v>43101</v>
      </c>
      <c r="P3041" s="1">
        <f t="shared" si="378"/>
        <v>43556</v>
      </c>
      <c r="Q3041" s="8">
        <f t="shared" si="379"/>
        <v>0</v>
      </c>
      <c r="R3041" s="8">
        <f t="shared" si="380"/>
        <v>16</v>
      </c>
      <c r="S3041" s="8">
        <f t="shared" ca="1" si="381"/>
        <v>11</v>
      </c>
      <c r="T3041">
        <f t="shared" ca="1" si="382"/>
        <v>1</v>
      </c>
      <c r="U3041" s="8">
        <f t="shared" ca="1" si="383"/>
        <v>2.4000000000000004</v>
      </c>
      <c r="V3041" s="9">
        <f ca="1">RawData[[#This Row],[Z (smoothed demand size)]]/RawData[[#This Row],[X (smoothed interval)]]</f>
        <v>0.41666666666666663</v>
      </c>
    </row>
    <row r="3042" spans="1:22">
      <c r="A3042" t="s">
        <v>62</v>
      </c>
      <c r="B3042" t="s">
        <v>60</v>
      </c>
      <c r="C3042">
        <v>32</v>
      </c>
      <c r="D3042" t="s">
        <v>15</v>
      </c>
      <c r="E3042" t="s">
        <v>16</v>
      </c>
      <c r="F3042" s="1">
        <v>43470</v>
      </c>
      <c r="G3042">
        <v>2</v>
      </c>
      <c r="H3042">
        <v>2</v>
      </c>
      <c r="I3042">
        <v>12</v>
      </c>
      <c r="J3042">
        <v>10</v>
      </c>
      <c r="K3042">
        <v>0</v>
      </c>
      <c r="L3042">
        <v>581</v>
      </c>
      <c r="M3042">
        <v>15</v>
      </c>
      <c r="N3042" s="1">
        <f t="shared" si="376"/>
        <v>44938</v>
      </c>
      <c r="O3042" s="1">
        <f t="shared" si="377"/>
        <v>43101</v>
      </c>
      <c r="P3042" s="1">
        <f t="shared" si="378"/>
        <v>43586</v>
      </c>
      <c r="Q3042" s="8">
        <f t="shared" si="379"/>
        <v>0</v>
      </c>
      <c r="R3042" s="8">
        <f t="shared" si="380"/>
        <v>17</v>
      </c>
      <c r="S3042" s="8">
        <f t="shared" ca="1" si="381"/>
        <v>17</v>
      </c>
      <c r="T3042">
        <f t="shared" ca="1" si="382"/>
        <v>1.2000000000000002</v>
      </c>
      <c r="U3042" s="8">
        <f t="shared" ca="1" si="383"/>
        <v>3.1200000000000006</v>
      </c>
      <c r="V3042" s="9">
        <f ca="1">RawData[[#This Row],[Z (smoothed demand size)]]/RawData[[#This Row],[X (smoothed interval)]]</f>
        <v>0.38461538461538458</v>
      </c>
    </row>
    <row r="3043" spans="1:22">
      <c r="A3043" t="s">
        <v>62</v>
      </c>
      <c r="B3043" t="s">
        <v>60</v>
      </c>
      <c r="C3043">
        <v>32</v>
      </c>
      <c r="D3043" t="s">
        <v>15</v>
      </c>
      <c r="E3043" t="s">
        <v>16</v>
      </c>
      <c r="F3043" s="1">
        <v>43471</v>
      </c>
      <c r="G3043">
        <v>0</v>
      </c>
      <c r="H3043">
        <v>0</v>
      </c>
      <c r="I3043">
        <v>10</v>
      </c>
      <c r="J3043">
        <v>10</v>
      </c>
      <c r="K3043">
        <v>0</v>
      </c>
      <c r="L3043">
        <v>667</v>
      </c>
      <c r="M3043">
        <v>60</v>
      </c>
      <c r="N3043" s="1">
        <f t="shared" si="376"/>
        <v>44938</v>
      </c>
      <c r="O3043" s="1">
        <f t="shared" si="377"/>
        <v>43101</v>
      </c>
      <c r="P3043" s="1">
        <f t="shared" si="378"/>
        <v>43617</v>
      </c>
      <c r="Q3043" s="8">
        <f t="shared" si="379"/>
        <v>0</v>
      </c>
      <c r="R3043" s="8">
        <f t="shared" si="380"/>
        <v>18</v>
      </c>
      <c r="S3043" s="8">
        <f t="shared" ca="1" si="381"/>
        <v>17</v>
      </c>
      <c r="T3043">
        <f t="shared" ca="1" si="382"/>
        <v>1.2000000000000002</v>
      </c>
      <c r="U3043" s="8">
        <f t="shared" ca="1" si="383"/>
        <v>3.1200000000000006</v>
      </c>
      <c r="V3043" s="9">
        <f ca="1">RawData[[#This Row],[Z (smoothed demand size)]]/RawData[[#This Row],[X (smoothed interval)]]</f>
        <v>0.38461538461538458</v>
      </c>
    </row>
    <row r="3044" spans="1:22">
      <c r="A3044" t="s">
        <v>62</v>
      </c>
      <c r="B3044" t="s">
        <v>60</v>
      </c>
      <c r="C3044">
        <v>32</v>
      </c>
      <c r="D3044" t="s">
        <v>15</v>
      </c>
      <c r="E3044" t="s">
        <v>16</v>
      </c>
      <c r="F3044" s="1">
        <v>43472</v>
      </c>
      <c r="G3044">
        <v>0</v>
      </c>
      <c r="H3044">
        <v>0</v>
      </c>
      <c r="I3044">
        <v>10</v>
      </c>
      <c r="J3044">
        <v>10</v>
      </c>
      <c r="K3044">
        <v>0</v>
      </c>
      <c r="L3044">
        <v>664</v>
      </c>
      <c r="M3044">
        <v>15</v>
      </c>
      <c r="N3044" s="1">
        <f t="shared" si="376"/>
        <v>44938</v>
      </c>
      <c r="O3044" s="1">
        <f t="shared" si="377"/>
        <v>43101</v>
      </c>
      <c r="P3044" s="1">
        <f t="shared" si="378"/>
        <v>43647</v>
      </c>
      <c r="Q3044" s="8">
        <f t="shared" si="379"/>
        <v>0</v>
      </c>
      <c r="R3044" s="8">
        <f t="shared" si="380"/>
        <v>19</v>
      </c>
      <c r="S3044" s="8">
        <f t="shared" ca="1" si="381"/>
        <v>17</v>
      </c>
      <c r="T3044">
        <f t="shared" ca="1" si="382"/>
        <v>1.2000000000000002</v>
      </c>
      <c r="U3044" s="8">
        <f t="shared" ca="1" si="383"/>
        <v>3.1200000000000006</v>
      </c>
      <c r="V3044" s="9">
        <f ca="1">RawData[[#This Row],[Z (smoothed demand size)]]/RawData[[#This Row],[X (smoothed interval)]]</f>
        <v>0.38461538461538458</v>
      </c>
    </row>
    <row r="3045" spans="1:22">
      <c r="A3045" t="s">
        <v>62</v>
      </c>
      <c r="B3045" t="s">
        <v>60</v>
      </c>
      <c r="C3045">
        <v>32</v>
      </c>
      <c r="D3045" t="s">
        <v>15</v>
      </c>
      <c r="E3045" t="s">
        <v>16</v>
      </c>
      <c r="F3045" s="1">
        <v>43473</v>
      </c>
      <c r="G3045">
        <v>0</v>
      </c>
      <c r="H3045">
        <v>0</v>
      </c>
      <c r="I3045">
        <v>10</v>
      </c>
      <c r="J3045">
        <v>10</v>
      </c>
      <c r="K3045">
        <v>0</v>
      </c>
      <c r="L3045">
        <v>665</v>
      </c>
      <c r="M3045">
        <v>45</v>
      </c>
      <c r="N3045" s="1">
        <f t="shared" si="376"/>
        <v>44938</v>
      </c>
      <c r="O3045" s="1">
        <f t="shared" si="377"/>
        <v>43101</v>
      </c>
      <c r="P3045" s="1">
        <f t="shared" si="378"/>
        <v>43678</v>
      </c>
      <c r="Q3045" s="8">
        <f t="shared" si="379"/>
        <v>0</v>
      </c>
      <c r="R3045" s="8">
        <f t="shared" si="380"/>
        <v>20</v>
      </c>
      <c r="S3045" s="8">
        <f t="shared" ca="1" si="381"/>
        <v>17</v>
      </c>
      <c r="T3045">
        <f t="shared" ca="1" si="382"/>
        <v>1.2000000000000002</v>
      </c>
      <c r="U3045" s="8">
        <f t="shared" ca="1" si="383"/>
        <v>3.1200000000000006</v>
      </c>
      <c r="V3045" s="9">
        <f ca="1">RawData[[#This Row],[Z (smoothed demand size)]]/RawData[[#This Row],[X (smoothed interval)]]</f>
        <v>0.38461538461538458</v>
      </c>
    </row>
    <row r="3046" spans="1:22">
      <c r="A3046" t="s">
        <v>62</v>
      </c>
      <c r="B3046" t="s">
        <v>60</v>
      </c>
      <c r="C3046">
        <v>32</v>
      </c>
      <c r="D3046" t="s">
        <v>15</v>
      </c>
      <c r="E3046" t="s">
        <v>16</v>
      </c>
      <c r="F3046" s="1">
        <v>43474</v>
      </c>
      <c r="G3046">
        <v>0</v>
      </c>
      <c r="H3046">
        <v>0</v>
      </c>
      <c r="I3046">
        <v>10</v>
      </c>
      <c r="J3046">
        <v>10</v>
      </c>
      <c r="K3046">
        <v>0</v>
      </c>
      <c r="L3046">
        <v>580</v>
      </c>
      <c r="M3046">
        <v>60</v>
      </c>
      <c r="N3046" s="1">
        <f t="shared" si="376"/>
        <v>44938</v>
      </c>
      <c r="O3046" s="1">
        <f t="shared" si="377"/>
        <v>43101</v>
      </c>
      <c r="P3046" s="1">
        <f t="shared" si="378"/>
        <v>43709</v>
      </c>
      <c r="Q3046" s="8">
        <f t="shared" si="379"/>
        <v>0</v>
      </c>
      <c r="R3046" s="8">
        <f t="shared" si="380"/>
        <v>21</v>
      </c>
      <c r="S3046" s="8">
        <f t="shared" ca="1" si="381"/>
        <v>17</v>
      </c>
      <c r="T3046">
        <f t="shared" ca="1" si="382"/>
        <v>1.2000000000000002</v>
      </c>
      <c r="U3046" s="8">
        <f t="shared" ca="1" si="383"/>
        <v>3.1200000000000006</v>
      </c>
      <c r="V3046" s="9">
        <f ca="1">RawData[[#This Row],[Z (smoothed demand size)]]/RawData[[#This Row],[X (smoothed interval)]]</f>
        <v>0.38461538461538458</v>
      </c>
    </row>
    <row r="3047" spans="1:22">
      <c r="A3047" t="s">
        <v>62</v>
      </c>
      <c r="B3047" t="s">
        <v>60</v>
      </c>
      <c r="C3047">
        <v>32</v>
      </c>
      <c r="D3047" t="s">
        <v>15</v>
      </c>
      <c r="E3047" t="s">
        <v>16</v>
      </c>
      <c r="F3047" s="1">
        <v>43475</v>
      </c>
      <c r="G3047">
        <v>0</v>
      </c>
      <c r="H3047">
        <v>0</v>
      </c>
      <c r="I3047">
        <v>10</v>
      </c>
      <c r="J3047">
        <v>10</v>
      </c>
      <c r="K3047">
        <v>0</v>
      </c>
      <c r="L3047">
        <v>572</v>
      </c>
      <c r="M3047">
        <v>15</v>
      </c>
      <c r="N3047" s="1">
        <f t="shared" si="376"/>
        <v>44938</v>
      </c>
      <c r="O3047" s="1">
        <f t="shared" si="377"/>
        <v>43101</v>
      </c>
      <c r="P3047" s="1">
        <f t="shared" si="378"/>
        <v>43739</v>
      </c>
      <c r="Q3047" s="8">
        <f t="shared" si="379"/>
        <v>0</v>
      </c>
      <c r="R3047" s="8">
        <f t="shared" si="380"/>
        <v>22</v>
      </c>
      <c r="S3047" s="8">
        <f t="shared" ca="1" si="381"/>
        <v>17</v>
      </c>
      <c r="T3047">
        <f t="shared" ca="1" si="382"/>
        <v>1.2000000000000002</v>
      </c>
      <c r="U3047" s="8">
        <f t="shared" ca="1" si="383"/>
        <v>3.1200000000000006</v>
      </c>
      <c r="V3047" s="9">
        <f ca="1">RawData[[#This Row],[Z (smoothed demand size)]]/RawData[[#This Row],[X (smoothed interval)]]</f>
        <v>0.38461538461538458</v>
      </c>
    </row>
    <row r="3048" spans="1:22">
      <c r="A3048" t="s">
        <v>62</v>
      </c>
      <c r="B3048" t="s">
        <v>60</v>
      </c>
      <c r="C3048">
        <v>32</v>
      </c>
      <c r="D3048" t="s">
        <v>15</v>
      </c>
      <c r="E3048" t="s">
        <v>16</v>
      </c>
      <c r="F3048" s="1">
        <v>43476</v>
      </c>
      <c r="G3048">
        <v>0</v>
      </c>
      <c r="H3048">
        <v>0</v>
      </c>
      <c r="I3048">
        <v>10</v>
      </c>
      <c r="J3048">
        <v>10</v>
      </c>
      <c r="K3048">
        <v>0</v>
      </c>
      <c r="L3048">
        <v>576</v>
      </c>
      <c r="M3048">
        <v>30</v>
      </c>
      <c r="N3048" s="1">
        <f t="shared" si="376"/>
        <v>44938</v>
      </c>
      <c r="O3048" s="1">
        <f t="shared" si="377"/>
        <v>43101</v>
      </c>
      <c r="P3048" s="1">
        <f t="shared" si="378"/>
        <v>43770</v>
      </c>
      <c r="Q3048" s="8">
        <f t="shared" si="379"/>
        <v>0</v>
      </c>
      <c r="R3048" s="8">
        <f t="shared" si="380"/>
        <v>23</v>
      </c>
      <c r="S3048" s="8">
        <f t="shared" ca="1" si="381"/>
        <v>17</v>
      </c>
      <c r="T3048">
        <f t="shared" ca="1" si="382"/>
        <v>1.2000000000000002</v>
      </c>
      <c r="U3048" s="8">
        <f t="shared" ca="1" si="383"/>
        <v>3.1200000000000006</v>
      </c>
      <c r="V3048" s="9">
        <f ca="1">RawData[[#This Row],[Z (smoothed demand size)]]/RawData[[#This Row],[X (smoothed interval)]]</f>
        <v>0.38461538461538458</v>
      </c>
    </row>
    <row r="3049" spans="1:22">
      <c r="A3049" t="s">
        <v>62</v>
      </c>
      <c r="B3049" t="s">
        <v>60</v>
      </c>
      <c r="C3049">
        <v>32</v>
      </c>
      <c r="D3049" t="s">
        <v>15</v>
      </c>
      <c r="E3049" t="s">
        <v>16</v>
      </c>
      <c r="F3049" s="1">
        <v>43477</v>
      </c>
      <c r="G3049">
        <v>0</v>
      </c>
      <c r="H3049">
        <v>0</v>
      </c>
      <c r="I3049">
        <v>10</v>
      </c>
      <c r="J3049">
        <v>10</v>
      </c>
      <c r="K3049">
        <v>0</v>
      </c>
      <c r="L3049">
        <v>679</v>
      </c>
      <c r="M3049">
        <v>15</v>
      </c>
      <c r="N3049" s="1">
        <f t="shared" si="376"/>
        <v>44938</v>
      </c>
      <c r="O3049" s="1">
        <f t="shared" si="377"/>
        <v>43101</v>
      </c>
      <c r="P3049" s="1">
        <f t="shared" si="378"/>
        <v>43800</v>
      </c>
      <c r="Q3049" s="8">
        <f t="shared" si="379"/>
        <v>0</v>
      </c>
      <c r="R3049" s="8">
        <f t="shared" si="380"/>
        <v>24</v>
      </c>
      <c r="S3049" s="8">
        <f t="shared" ca="1" si="381"/>
        <v>17</v>
      </c>
      <c r="T3049">
        <f t="shared" ca="1" si="382"/>
        <v>1.2000000000000002</v>
      </c>
      <c r="U3049" s="8">
        <f t="shared" ca="1" si="383"/>
        <v>3.1200000000000006</v>
      </c>
      <c r="V3049" s="9">
        <f ca="1">RawData[[#This Row],[Z (smoothed demand size)]]/RawData[[#This Row],[X (smoothed interval)]]</f>
        <v>0.38461538461538458</v>
      </c>
    </row>
    <row r="3050" spans="1:22">
      <c r="A3050" t="s">
        <v>62</v>
      </c>
      <c r="B3050" t="s">
        <v>60</v>
      </c>
      <c r="C3050">
        <v>32</v>
      </c>
      <c r="D3050" t="s">
        <v>15</v>
      </c>
      <c r="E3050" t="s">
        <v>16</v>
      </c>
      <c r="F3050" s="1">
        <v>43831</v>
      </c>
      <c r="G3050">
        <v>0</v>
      </c>
      <c r="H3050">
        <v>0</v>
      </c>
      <c r="I3050">
        <v>10</v>
      </c>
      <c r="J3050">
        <v>10</v>
      </c>
      <c r="K3050">
        <v>0</v>
      </c>
      <c r="L3050">
        <v>579</v>
      </c>
      <c r="M3050">
        <v>45</v>
      </c>
      <c r="N3050" s="1">
        <f t="shared" si="376"/>
        <v>44938</v>
      </c>
      <c r="O3050" s="1">
        <f t="shared" si="377"/>
        <v>43101</v>
      </c>
      <c r="P3050" s="1">
        <f t="shared" si="378"/>
        <v>43831</v>
      </c>
      <c r="Q3050" s="8">
        <f t="shared" si="379"/>
        <v>0</v>
      </c>
      <c r="R3050" s="8">
        <f t="shared" si="380"/>
        <v>25</v>
      </c>
      <c r="S3050" s="8">
        <f t="shared" ca="1" si="381"/>
        <v>17</v>
      </c>
      <c r="T3050">
        <f t="shared" ca="1" si="382"/>
        <v>1.2000000000000002</v>
      </c>
      <c r="U3050" s="8">
        <f t="shared" ca="1" si="383"/>
        <v>3.1200000000000006</v>
      </c>
      <c r="V3050" s="9">
        <f ca="1">RawData[[#This Row],[Z (smoothed demand size)]]/RawData[[#This Row],[X (smoothed interval)]]</f>
        <v>0.38461538461538458</v>
      </c>
    </row>
    <row r="3051" spans="1:22">
      <c r="A3051" t="s">
        <v>62</v>
      </c>
      <c r="B3051" t="s">
        <v>60</v>
      </c>
      <c r="C3051">
        <v>32</v>
      </c>
      <c r="D3051" t="s">
        <v>15</v>
      </c>
      <c r="E3051" t="s">
        <v>16</v>
      </c>
      <c r="F3051" s="1">
        <v>43832</v>
      </c>
      <c r="G3051">
        <v>1</v>
      </c>
      <c r="H3051">
        <v>1</v>
      </c>
      <c r="I3051">
        <v>10</v>
      </c>
      <c r="J3051">
        <v>9</v>
      </c>
      <c r="K3051">
        <v>0</v>
      </c>
      <c r="L3051">
        <v>584</v>
      </c>
      <c r="M3051">
        <v>15</v>
      </c>
      <c r="N3051" s="1">
        <f t="shared" si="376"/>
        <v>44938</v>
      </c>
      <c r="O3051" s="1">
        <f t="shared" si="377"/>
        <v>43101</v>
      </c>
      <c r="P3051" s="1">
        <f t="shared" si="378"/>
        <v>43862</v>
      </c>
      <c r="Q3051" s="8">
        <f t="shared" si="379"/>
        <v>0</v>
      </c>
      <c r="R3051" s="8">
        <f t="shared" si="380"/>
        <v>26</v>
      </c>
      <c r="S3051" s="8">
        <f t="shared" ca="1" si="381"/>
        <v>26</v>
      </c>
      <c r="T3051">
        <f t="shared" ca="1" si="382"/>
        <v>1.1600000000000001</v>
      </c>
      <c r="U3051" s="8">
        <f t="shared" ca="1" si="383"/>
        <v>4.2960000000000003</v>
      </c>
      <c r="V3051" s="9">
        <f ca="1">RawData[[#This Row],[Z (smoothed demand size)]]/RawData[[#This Row],[X (smoothed interval)]]</f>
        <v>0.27001862197392923</v>
      </c>
    </row>
    <row r="3052" spans="1:22">
      <c r="A3052" t="s">
        <v>62</v>
      </c>
      <c r="B3052" t="s">
        <v>60</v>
      </c>
      <c r="C3052">
        <v>32</v>
      </c>
      <c r="D3052" t="s">
        <v>15</v>
      </c>
      <c r="E3052" t="s">
        <v>16</v>
      </c>
      <c r="F3052" s="1">
        <v>43833</v>
      </c>
      <c r="G3052">
        <v>0</v>
      </c>
      <c r="H3052">
        <v>0</v>
      </c>
      <c r="I3052">
        <v>9</v>
      </c>
      <c r="J3052">
        <v>9</v>
      </c>
      <c r="K3052">
        <v>0</v>
      </c>
      <c r="L3052">
        <v>578</v>
      </c>
      <c r="M3052">
        <v>15</v>
      </c>
      <c r="N3052" s="1">
        <f t="shared" si="376"/>
        <v>44938</v>
      </c>
      <c r="O3052" s="1">
        <f t="shared" si="377"/>
        <v>43101</v>
      </c>
      <c r="P3052" s="1">
        <f t="shared" si="378"/>
        <v>43891</v>
      </c>
      <c r="Q3052" s="8">
        <f t="shared" si="379"/>
        <v>0</v>
      </c>
      <c r="R3052" s="8">
        <f t="shared" si="380"/>
        <v>27</v>
      </c>
      <c r="S3052" s="8">
        <f t="shared" ca="1" si="381"/>
        <v>26</v>
      </c>
      <c r="T3052">
        <f t="shared" ca="1" si="382"/>
        <v>1.1600000000000001</v>
      </c>
      <c r="U3052" s="8">
        <f t="shared" ca="1" si="383"/>
        <v>4.2960000000000003</v>
      </c>
      <c r="V3052" s="9">
        <f ca="1">RawData[[#This Row],[Z (smoothed demand size)]]/RawData[[#This Row],[X (smoothed interval)]]</f>
        <v>0.27001862197392923</v>
      </c>
    </row>
    <row r="3053" spans="1:22">
      <c r="A3053" t="s">
        <v>62</v>
      </c>
      <c r="B3053" t="s">
        <v>60</v>
      </c>
      <c r="C3053">
        <v>32</v>
      </c>
      <c r="D3053" t="s">
        <v>15</v>
      </c>
      <c r="E3053" t="s">
        <v>16</v>
      </c>
      <c r="F3053" s="1">
        <v>43834</v>
      </c>
      <c r="G3053">
        <v>0</v>
      </c>
      <c r="H3053">
        <v>0</v>
      </c>
      <c r="I3053">
        <v>9</v>
      </c>
      <c r="J3053">
        <v>9</v>
      </c>
      <c r="K3053">
        <v>0</v>
      </c>
      <c r="L3053">
        <v>572</v>
      </c>
      <c r="M3053">
        <v>60</v>
      </c>
      <c r="N3053" s="1">
        <f t="shared" si="376"/>
        <v>44938</v>
      </c>
      <c r="O3053" s="1">
        <f t="shared" si="377"/>
        <v>43101</v>
      </c>
      <c r="P3053" s="1">
        <f t="shared" si="378"/>
        <v>43922</v>
      </c>
      <c r="Q3053" s="8">
        <f t="shared" si="379"/>
        <v>0</v>
      </c>
      <c r="R3053" s="8">
        <f t="shared" si="380"/>
        <v>28</v>
      </c>
      <c r="S3053" s="8">
        <f t="shared" ca="1" si="381"/>
        <v>26</v>
      </c>
      <c r="T3053">
        <f t="shared" ca="1" si="382"/>
        <v>1.1600000000000001</v>
      </c>
      <c r="U3053" s="8">
        <f t="shared" ca="1" si="383"/>
        <v>4.2960000000000003</v>
      </c>
      <c r="V3053" s="9">
        <f ca="1">RawData[[#This Row],[Z (smoothed demand size)]]/RawData[[#This Row],[X (smoothed interval)]]</f>
        <v>0.27001862197392923</v>
      </c>
    </row>
    <row r="3054" spans="1:22">
      <c r="A3054" t="s">
        <v>62</v>
      </c>
      <c r="B3054" t="s">
        <v>60</v>
      </c>
      <c r="C3054">
        <v>32</v>
      </c>
      <c r="D3054" t="s">
        <v>15</v>
      </c>
      <c r="E3054" t="s">
        <v>16</v>
      </c>
      <c r="F3054" s="1">
        <v>43835</v>
      </c>
      <c r="G3054">
        <v>0</v>
      </c>
      <c r="H3054">
        <v>0</v>
      </c>
      <c r="I3054">
        <v>9</v>
      </c>
      <c r="J3054">
        <v>9</v>
      </c>
      <c r="K3054">
        <v>0</v>
      </c>
      <c r="L3054">
        <v>575</v>
      </c>
      <c r="M3054">
        <v>15</v>
      </c>
      <c r="N3054" s="1">
        <f t="shared" si="376"/>
        <v>44938</v>
      </c>
      <c r="O3054" s="1">
        <f t="shared" si="377"/>
        <v>43101</v>
      </c>
      <c r="P3054" s="1">
        <f t="shared" si="378"/>
        <v>43952</v>
      </c>
      <c r="Q3054" s="8">
        <f t="shared" si="379"/>
        <v>0</v>
      </c>
      <c r="R3054" s="8">
        <f t="shared" si="380"/>
        <v>29</v>
      </c>
      <c r="S3054" s="8">
        <f t="shared" ca="1" si="381"/>
        <v>26</v>
      </c>
      <c r="T3054">
        <f t="shared" ca="1" si="382"/>
        <v>1.1600000000000001</v>
      </c>
      <c r="U3054" s="8">
        <f t="shared" ca="1" si="383"/>
        <v>4.2960000000000003</v>
      </c>
      <c r="V3054" s="9">
        <f ca="1">RawData[[#This Row],[Z (smoothed demand size)]]/RawData[[#This Row],[X (smoothed interval)]]</f>
        <v>0.27001862197392923</v>
      </c>
    </row>
    <row r="3055" spans="1:22">
      <c r="A3055" t="s">
        <v>62</v>
      </c>
      <c r="B3055" t="s">
        <v>60</v>
      </c>
      <c r="C3055">
        <v>32</v>
      </c>
      <c r="D3055" t="s">
        <v>15</v>
      </c>
      <c r="E3055" t="s">
        <v>16</v>
      </c>
      <c r="F3055" s="1">
        <v>43836</v>
      </c>
      <c r="G3055">
        <v>0</v>
      </c>
      <c r="H3055">
        <v>0</v>
      </c>
      <c r="I3055">
        <v>9</v>
      </c>
      <c r="J3055">
        <v>9</v>
      </c>
      <c r="K3055">
        <v>0</v>
      </c>
      <c r="L3055">
        <v>651</v>
      </c>
      <c r="M3055">
        <v>45</v>
      </c>
      <c r="N3055" s="1">
        <f t="shared" si="376"/>
        <v>44938</v>
      </c>
      <c r="O3055" s="1">
        <f t="shared" si="377"/>
        <v>43101</v>
      </c>
      <c r="P3055" s="1">
        <f t="shared" si="378"/>
        <v>43983</v>
      </c>
      <c r="Q3055" s="8">
        <f t="shared" si="379"/>
        <v>0</v>
      </c>
      <c r="R3055" s="8">
        <f t="shared" si="380"/>
        <v>30</v>
      </c>
      <c r="S3055" s="8">
        <f t="shared" ca="1" si="381"/>
        <v>26</v>
      </c>
      <c r="T3055">
        <f t="shared" ca="1" si="382"/>
        <v>1.1600000000000001</v>
      </c>
      <c r="U3055" s="8">
        <f t="shared" ca="1" si="383"/>
        <v>4.2960000000000003</v>
      </c>
      <c r="V3055" s="9">
        <f ca="1">RawData[[#This Row],[Z (smoothed demand size)]]/RawData[[#This Row],[X (smoothed interval)]]</f>
        <v>0.27001862197392923</v>
      </c>
    </row>
    <row r="3056" spans="1:22">
      <c r="A3056" t="s">
        <v>62</v>
      </c>
      <c r="B3056" t="s">
        <v>60</v>
      </c>
      <c r="C3056">
        <v>32</v>
      </c>
      <c r="D3056" t="s">
        <v>15</v>
      </c>
      <c r="E3056" t="s">
        <v>16</v>
      </c>
      <c r="F3056" s="1">
        <v>43837</v>
      </c>
      <c r="G3056">
        <v>0</v>
      </c>
      <c r="H3056">
        <v>0</v>
      </c>
      <c r="I3056">
        <v>9</v>
      </c>
      <c r="J3056">
        <v>9</v>
      </c>
      <c r="K3056">
        <v>0</v>
      </c>
      <c r="L3056">
        <v>672</v>
      </c>
      <c r="M3056">
        <v>30</v>
      </c>
      <c r="N3056" s="1">
        <f t="shared" si="376"/>
        <v>44938</v>
      </c>
      <c r="O3056" s="1">
        <f t="shared" si="377"/>
        <v>43101</v>
      </c>
      <c r="P3056" s="1">
        <f t="shared" si="378"/>
        <v>44013</v>
      </c>
      <c r="Q3056" s="8">
        <f t="shared" si="379"/>
        <v>0</v>
      </c>
      <c r="R3056" s="8">
        <f t="shared" si="380"/>
        <v>31</v>
      </c>
      <c r="S3056" s="8">
        <f t="shared" ca="1" si="381"/>
        <v>26</v>
      </c>
      <c r="T3056">
        <f t="shared" ca="1" si="382"/>
        <v>1.1600000000000001</v>
      </c>
      <c r="U3056" s="8">
        <f t="shared" ca="1" si="383"/>
        <v>4.2960000000000003</v>
      </c>
      <c r="V3056" s="9">
        <f ca="1">RawData[[#This Row],[Z (smoothed demand size)]]/RawData[[#This Row],[X (smoothed interval)]]</f>
        <v>0.27001862197392923</v>
      </c>
    </row>
    <row r="3057" spans="1:22">
      <c r="A3057" t="s">
        <v>62</v>
      </c>
      <c r="B3057" t="s">
        <v>60</v>
      </c>
      <c r="C3057">
        <v>32</v>
      </c>
      <c r="D3057" t="s">
        <v>15</v>
      </c>
      <c r="E3057" t="s">
        <v>16</v>
      </c>
      <c r="F3057" s="1">
        <v>43838</v>
      </c>
      <c r="G3057">
        <v>0</v>
      </c>
      <c r="H3057">
        <v>0</v>
      </c>
      <c r="I3057">
        <v>9</v>
      </c>
      <c r="J3057">
        <v>9</v>
      </c>
      <c r="K3057">
        <v>0</v>
      </c>
      <c r="L3057">
        <v>669</v>
      </c>
      <c r="M3057">
        <v>30</v>
      </c>
      <c r="N3057" s="1">
        <f t="shared" si="376"/>
        <v>44938</v>
      </c>
      <c r="O3057" s="1">
        <f t="shared" si="377"/>
        <v>43101</v>
      </c>
      <c r="P3057" s="1">
        <f t="shared" si="378"/>
        <v>44044</v>
      </c>
      <c r="Q3057" s="8">
        <f t="shared" si="379"/>
        <v>0</v>
      </c>
      <c r="R3057" s="8">
        <f t="shared" si="380"/>
        <v>32</v>
      </c>
      <c r="S3057" s="8">
        <f t="shared" ca="1" si="381"/>
        <v>26</v>
      </c>
      <c r="T3057">
        <f t="shared" ca="1" si="382"/>
        <v>1.1600000000000001</v>
      </c>
      <c r="U3057" s="8">
        <f t="shared" ca="1" si="383"/>
        <v>4.2960000000000003</v>
      </c>
      <c r="V3057" s="9">
        <f ca="1">RawData[[#This Row],[Z (smoothed demand size)]]/RawData[[#This Row],[X (smoothed interval)]]</f>
        <v>0.27001862197392923</v>
      </c>
    </row>
    <row r="3058" spans="1:22">
      <c r="A3058" t="s">
        <v>62</v>
      </c>
      <c r="B3058" t="s">
        <v>60</v>
      </c>
      <c r="C3058">
        <v>32</v>
      </c>
      <c r="D3058" t="s">
        <v>15</v>
      </c>
      <c r="E3058" t="s">
        <v>16</v>
      </c>
      <c r="F3058" s="1">
        <v>43839</v>
      </c>
      <c r="G3058">
        <v>0</v>
      </c>
      <c r="H3058">
        <v>0</v>
      </c>
      <c r="I3058">
        <v>9</v>
      </c>
      <c r="J3058">
        <v>9</v>
      </c>
      <c r="K3058">
        <v>0</v>
      </c>
      <c r="L3058">
        <v>572</v>
      </c>
      <c r="M3058">
        <v>45</v>
      </c>
      <c r="N3058" s="1">
        <f t="shared" si="376"/>
        <v>44938</v>
      </c>
      <c r="O3058" s="1">
        <f t="shared" si="377"/>
        <v>43101</v>
      </c>
      <c r="P3058" s="1">
        <f t="shared" si="378"/>
        <v>44075</v>
      </c>
      <c r="Q3058" s="8">
        <f t="shared" si="379"/>
        <v>0</v>
      </c>
      <c r="R3058" s="8">
        <f t="shared" si="380"/>
        <v>33</v>
      </c>
      <c r="S3058" s="8">
        <f t="shared" ca="1" si="381"/>
        <v>26</v>
      </c>
      <c r="T3058">
        <f t="shared" ca="1" si="382"/>
        <v>1.1600000000000001</v>
      </c>
      <c r="U3058" s="8">
        <f t="shared" ca="1" si="383"/>
        <v>4.2960000000000003</v>
      </c>
      <c r="V3058" s="9">
        <f ca="1">RawData[[#This Row],[Z (smoothed demand size)]]/RawData[[#This Row],[X (smoothed interval)]]</f>
        <v>0.27001862197392923</v>
      </c>
    </row>
    <row r="3059" spans="1:22">
      <c r="A3059" t="s">
        <v>62</v>
      </c>
      <c r="B3059" t="s">
        <v>60</v>
      </c>
      <c r="C3059">
        <v>32</v>
      </c>
      <c r="D3059" t="s">
        <v>15</v>
      </c>
      <c r="E3059" t="s">
        <v>16</v>
      </c>
      <c r="F3059" s="1">
        <v>43840</v>
      </c>
      <c r="G3059">
        <v>0</v>
      </c>
      <c r="H3059">
        <v>0</v>
      </c>
      <c r="I3059">
        <v>9</v>
      </c>
      <c r="J3059">
        <v>9</v>
      </c>
      <c r="K3059">
        <v>0</v>
      </c>
      <c r="L3059">
        <v>581</v>
      </c>
      <c r="M3059">
        <v>45</v>
      </c>
      <c r="N3059" s="1">
        <f t="shared" si="376"/>
        <v>44938</v>
      </c>
      <c r="O3059" s="1">
        <f t="shared" si="377"/>
        <v>43101</v>
      </c>
      <c r="P3059" s="1">
        <f t="shared" si="378"/>
        <v>44105</v>
      </c>
      <c r="Q3059" s="8">
        <f t="shared" si="379"/>
        <v>0</v>
      </c>
      <c r="R3059" s="8">
        <f t="shared" si="380"/>
        <v>34</v>
      </c>
      <c r="S3059" s="8">
        <f t="shared" ca="1" si="381"/>
        <v>26</v>
      </c>
      <c r="T3059">
        <f t="shared" ca="1" si="382"/>
        <v>1.1600000000000001</v>
      </c>
      <c r="U3059" s="8">
        <f t="shared" ca="1" si="383"/>
        <v>4.2960000000000003</v>
      </c>
      <c r="V3059" s="9">
        <f ca="1">RawData[[#This Row],[Z (smoothed demand size)]]/RawData[[#This Row],[X (smoothed interval)]]</f>
        <v>0.27001862197392923</v>
      </c>
    </row>
    <row r="3060" spans="1:22">
      <c r="A3060" t="s">
        <v>62</v>
      </c>
      <c r="B3060" t="s">
        <v>60</v>
      </c>
      <c r="C3060">
        <v>32</v>
      </c>
      <c r="D3060" t="s">
        <v>15</v>
      </c>
      <c r="E3060" t="s">
        <v>16</v>
      </c>
      <c r="F3060" s="1">
        <v>43841</v>
      </c>
      <c r="G3060">
        <v>3</v>
      </c>
      <c r="H3060">
        <v>3</v>
      </c>
      <c r="I3060">
        <v>9</v>
      </c>
      <c r="J3060">
        <v>6</v>
      </c>
      <c r="K3060">
        <v>0</v>
      </c>
      <c r="L3060">
        <v>580</v>
      </c>
      <c r="M3060">
        <v>15</v>
      </c>
      <c r="N3060" s="1">
        <f t="shared" si="376"/>
        <v>44938</v>
      </c>
      <c r="O3060" s="1">
        <f t="shared" si="377"/>
        <v>43101</v>
      </c>
      <c r="P3060" s="1">
        <f t="shared" si="378"/>
        <v>44136</v>
      </c>
      <c r="Q3060" s="8">
        <f t="shared" si="379"/>
        <v>0</v>
      </c>
      <c r="R3060" s="8">
        <f t="shared" si="380"/>
        <v>35</v>
      </c>
      <c r="S3060" s="8">
        <f t="shared" ca="1" si="381"/>
        <v>35</v>
      </c>
      <c r="T3060">
        <f t="shared" ca="1" si="382"/>
        <v>1.5280000000000002</v>
      </c>
      <c r="U3060" s="8">
        <f t="shared" ca="1" si="383"/>
        <v>5.2368000000000006</v>
      </c>
      <c r="V3060" s="9">
        <f ca="1">RawData[[#This Row],[Z (smoothed demand size)]]/RawData[[#This Row],[X (smoothed interval)]]</f>
        <v>0.29178124045218456</v>
      </c>
    </row>
    <row r="3061" spans="1:22">
      <c r="A3061" t="s">
        <v>62</v>
      </c>
      <c r="B3061" t="s">
        <v>60</v>
      </c>
      <c r="C3061">
        <v>32</v>
      </c>
      <c r="D3061" t="s">
        <v>15</v>
      </c>
      <c r="E3061" t="s">
        <v>16</v>
      </c>
      <c r="F3061" s="1">
        <v>43842</v>
      </c>
      <c r="G3061">
        <v>0</v>
      </c>
      <c r="H3061">
        <v>0</v>
      </c>
      <c r="I3061">
        <v>6</v>
      </c>
      <c r="J3061">
        <v>6</v>
      </c>
      <c r="K3061">
        <v>0</v>
      </c>
      <c r="L3061">
        <v>664</v>
      </c>
      <c r="M3061">
        <v>15</v>
      </c>
      <c r="N3061" s="1">
        <f t="shared" si="376"/>
        <v>44938</v>
      </c>
      <c r="O3061" s="1">
        <f t="shared" si="377"/>
        <v>43101</v>
      </c>
      <c r="P3061" s="1">
        <f t="shared" si="378"/>
        <v>44166</v>
      </c>
      <c r="Q3061" s="8">
        <f t="shared" si="379"/>
        <v>0</v>
      </c>
      <c r="R3061" s="8">
        <f t="shared" si="380"/>
        <v>36</v>
      </c>
      <c r="S3061" s="8">
        <f t="shared" ca="1" si="381"/>
        <v>35</v>
      </c>
      <c r="T3061">
        <f t="shared" ca="1" si="382"/>
        <v>1.5280000000000002</v>
      </c>
      <c r="U3061" s="8">
        <f t="shared" ca="1" si="383"/>
        <v>5.2368000000000006</v>
      </c>
      <c r="V3061" s="9">
        <f ca="1">RawData[[#This Row],[Z (smoothed demand size)]]/RawData[[#This Row],[X (smoothed interval)]]</f>
        <v>0.29178124045218456</v>
      </c>
    </row>
    <row r="3062" spans="1:22">
      <c r="A3062" t="s">
        <v>62</v>
      </c>
      <c r="B3062" t="s">
        <v>60</v>
      </c>
      <c r="C3062">
        <v>32</v>
      </c>
      <c r="D3062" t="s">
        <v>15</v>
      </c>
      <c r="E3062" t="s">
        <v>16</v>
      </c>
      <c r="F3062" s="1">
        <v>44197</v>
      </c>
      <c r="G3062">
        <v>0</v>
      </c>
      <c r="H3062">
        <v>0</v>
      </c>
      <c r="I3062">
        <v>6</v>
      </c>
      <c r="J3062">
        <v>6</v>
      </c>
      <c r="K3062">
        <v>0</v>
      </c>
      <c r="L3062">
        <v>578</v>
      </c>
      <c r="M3062">
        <v>60</v>
      </c>
      <c r="N3062" s="1">
        <f t="shared" si="376"/>
        <v>44938</v>
      </c>
      <c r="O3062" s="1">
        <f t="shared" si="377"/>
        <v>43101</v>
      </c>
      <c r="P3062" s="1">
        <f t="shared" si="378"/>
        <v>44197</v>
      </c>
      <c r="Q3062" s="8">
        <f t="shared" si="379"/>
        <v>0</v>
      </c>
      <c r="R3062" s="8">
        <f t="shared" si="380"/>
        <v>37</v>
      </c>
      <c r="S3062" s="8">
        <f t="shared" ca="1" si="381"/>
        <v>35</v>
      </c>
      <c r="T3062">
        <f t="shared" ca="1" si="382"/>
        <v>1.5280000000000002</v>
      </c>
      <c r="U3062" s="8">
        <f t="shared" ca="1" si="383"/>
        <v>5.2368000000000006</v>
      </c>
      <c r="V3062" s="9">
        <f ca="1">RawData[[#This Row],[Z (smoothed demand size)]]/RawData[[#This Row],[X (smoothed interval)]]</f>
        <v>0.29178124045218456</v>
      </c>
    </row>
    <row r="3063" spans="1:22">
      <c r="A3063" t="s">
        <v>62</v>
      </c>
      <c r="B3063" t="s">
        <v>60</v>
      </c>
      <c r="C3063">
        <v>32</v>
      </c>
      <c r="D3063" t="s">
        <v>15</v>
      </c>
      <c r="E3063" t="s">
        <v>16</v>
      </c>
      <c r="F3063" s="1">
        <v>44198</v>
      </c>
      <c r="G3063">
        <v>0</v>
      </c>
      <c r="H3063">
        <v>0</v>
      </c>
      <c r="I3063">
        <v>6</v>
      </c>
      <c r="J3063">
        <v>6</v>
      </c>
      <c r="K3063">
        <v>0</v>
      </c>
      <c r="L3063">
        <v>578</v>
      </c>
      <c r="M3063">
        <v>15</v>
      </c>
      <c r="N3063" s="1">
        <f t="shared" si="376"/>
        <v>44938</v>
      </c>
      <c r="O3063" s="1">
        <f t="shared" si="377"/>
        <v>43101</v>
      </c>
      <c r="P3063" s="1">
        <f t="shared" si="378"/>
        <v>44228</v>
      </c>
      <c r="Q3063" s="8">
        <f t="shared" si="379"/>
        <v>0</v>
      </c>
      <c r="R3063" s="8">
        <f t="shared" si="380"/>
        <v>38</v>
      </c>
      <c r="S3063" s="8">
        <f t="shared" ca="1" si="381"/>
        <v>35</v>
      </c>
      <c r="T3063">
        <f t="shared" ca="1" si="382"/>
        <v>1.5280000000000002</v>
      </c>
      <c r="U3063" s="8">
        <f t="shared" ca="1" si="383"/>
        <v>5.2368000000000006</v>
      </c>
      <c r="V3063" s="9">
        <f ca="1">RawData[[#This Row],[Z (smoothed demand size)]]/RawData[[#This Row],[X (smoothed interval)]]</f>
        <v>0.29178124045218456</v>
      </c>
    </row>
    <row r="3064" spans="1:22">
      <c r="A3064" t="s">
        <v>62</v>
      </c>
      <c r="B3064" t="s">
        <v>60</v>
      </c>
      <c r="C3064">
        <v>32</v>
      </c>
      <c r="D3064" t="s">
        <v>15</v>
      </c>
      <c r="E3064" t="s">
        <v>16</v>
      </c>
      <c r="F3064" s="1">
        <v>44199</v>
      </c>
      <c r="G3064">
        <v>0</v>
      </c>
      <c r="H3064">
        <v>0</v>
      </c>
      <c r="I3064">
        <v>6</v>
      </c>
      <c r="J3064">
        <v>6</v>
      </c>
      <c r="K3064">
        <v>0</v>
      </c>
      <c r="L3064">
        <v>577</v>
      </c>
      <c r="M3064">
        <v>15</v>
      </c>
      <c r="N3064" s="1">
        <f t="shared" si="376"/>
        <v>44938</v>
      </c>
      <c r="O3064" s="1">
        <f t="shared" si="377"/>
        <v>43101</v>
      </c>
      <c r="P3064" s="1">
        <f t="shared" si="378"/>
        <v>44256</v>
      </c>
      <c r="Q3064" s="8">
        <f t="shared" si="379"/>
        <v>0</v>
      </c>
      <c r="R3064" s="8">
        <f t="shared" si="380"/>
        <v>39</v>
      </c>
      <c r="S3064" s="8">
        <f t="shared" ca="1" si="381"/>
        <v>35</v>
      </c>
      <c r="T3064">
        <f t="shared" ca="1" si="382"/>
        <v>1.5280000000000002</v>
      </c>
      <c r="U3064" s="8">
        <f t="shared" ca="1" si="383"/>
        <v>5.2368000000000006</v>
      </c>
      <c r="V3064" s="9">
        <f ca="1">RawData[[#This Row],[Z (smoothed demand size)]]/RawData[[#This Row],[X (smoothed interval)]]</f>
        <v>0.29178124045218456</v>
      </c>
    </row>
    <row r="3065" spans="1:22">
      <c r="A3065" t="s">
        <v>62</v>
      </c>
      <c r="B3065" t="s">
        <v>60</v>
      </c>
      <c r="C3065">
        <v>32</v>
      </c>
      <c r="D3065" t="s">
        <v>15</v>
      </c>
      <c r="E3065" t="s">
        <v>16</v>
      </c>
      <c r="F3065" s="1">
        <v>44200</v>
      </c>
      <c r="G3065">
        <v>0</v>
      </c>
      <c r="H3065">
        <v>0</v>
      </c>
      <c r="I3065">
        <v>6</v>
      </c>
      <c r="J3065">
        <v>6</v>
      </c>
      <c r="K3065">
        <v>0</v>
      </c>
      <c r="L3065">
        <v>576</v>
      </c>
      <c r="M3065">
        <v>15</v>
      </c>
      <c r="N3065" s="1">
        <f t="shared" si="376"/>
        <v>44938</v>
      </c>
      <c r="O3065" s="1">
        <f t="shared" si="377"/>
        <v>43101</v>
      </c>
      <c r="P3065" s="1">
        <f t="shared" si="378"/>
        <v>44287</v>
      </c>
      <c r="Q3065" s="8">
        <f t="shared" si="379"/>
        <v>0</v>
      </c>
      <c r="R3065" s="8">
        <f t="shared" si="380"/>
        <v>40</v>
      </c>
      <c r="S3065" s="8">
        <f t="shared" ca="1" si="381"/>
        <v>35</v>
      </c>
      <c r="T3065">
        <f t="shared" ca="1" si="382"/>
        <v>1.5280000000000002</v>
      </c>
      <c r="U3065" s="8">
        <f t="shared" ca="1" si="383"/>
        <v>5.2368000000000006</v>
      </c>
      <c r="V3065" s="9">
        <f ca="1">RawData[[#This Row],[Z (smoothed demand size)]]/RawData[[#This Row],[X (smoothed interval)]]</f>
        <v>0.29178124045218456</v>
      </c>
    </row>
    <row r="3066" spans="1:22">
      <c r="A3066" t="s">
        <v>62</v>
      </c>
      <c r="B3066" t="s">
        <v>60</v>
      </c>
      <c r="C3066">
        <v>32</v>
      </c>
      <c r="D3066" t="s">
        <v>15</v>
      </c>
      <c r="E3066" t="s">
        <v>16</v>
      </c>
      <c r="F3066" s="1">
        <v>44201</v>
      </c>
      <c r="G3066">
        <v>0</v>
      </c>
      <c r="H3066">
        <v>0</v>
      </c>
      <c r="I3066">
        <v>6</v>
      </c>
      <c r="J3066">
        <v>6</v>
      </c>
      <c r="K3066">
        <v>0</v>
      </c>
      <c r="L3066">
        <v>575</v>
      </c>
      <c r="M3066">
        <v>45</v>
      </c>
      <c r="N3066" s="1">
        <f t="shared" si="376"/>
        <v>44938</v>
      </c>
      <c r="O3066" s="1">
        <f t="shared" si="377"/>
        <v>43101</v>
      </c>
      <c r="P3066" s="1">
        <f t="shared" si="378"/>
        <v>44317</v>
      </c>
      <c r="Q3066" s="8">
        <f t="shared" si="379"/>
        <v>0</v>
      </c>
      <c r="R3066" s="8">
        <f t="shared" si="380"/>
        <v>41</v>
      </c>
      <c r="S3066" s="8">
        <f t="shared" ca="1" si="381"/>
        <v>35</v>
      </c>
      <c r="T3066">
        <f t="shared" ca="1" si="382"/>
        <v>1.5280000000000002</v>
      </c>
      <c r="U3066" s="8">
        <f t="shared" ca="1" si="383"/>
        <v>5.2368000000000006</v>
      </c>
      <c r="V3066" s="9">
        <f ca="1">RawData[[#This Row],[Z (smoothed demand size)]]/RawData[[#This Row],[X (smoothed interval)]]</f>
        <v>0.29178124045218456</v>
      </c>
    </row>
    <row r="3067" spans="1:22">
      <c r="A3067" t="s">
        <v>62</v>
      </c>
      <c r="B3067" t="s">
        <v>60</v>
      </c>
      <c r="C3067">
        <v>32</v>
      </c>
      <c r="D3067" t="s">
        <v>15</v>
      </c>
      <c r="E3067" t="s">
        <v>16</v>
      </c>
      <c r="F3067" s="1">
        <v>44202</v>
      </c>
      <c r="G3067">
        <v>2</v>
      </c>
      <c r="H3067">
        <v>2</v>
      </c>
      <c r="I3067">
        <v>6</v>
      </c>
      <c r="J3067">
        <v>4</v>
      </c>
      <c r="K3067">
        <v>0</v>
      </c>
      <c r="L3067">
        <v>657</v>
      </c>
      <c r="M3067">
        <v>15</v>
      </c>
      <c r="N3067" s="1">
        <f t="shared" si="376"/>
        <v>44938</v>
      </c>
      <c r="O3067" s="1">
        <f t="shared" si="377"/>
        <v>43101</v>
      </c>
      <c r="P3067" s="1">
        <f t="shared" si="378"/>
        <v>44348</v>
      </c>
      <c r="Q3067" s="8">
        <f t="shared" si="379"/>
        <v>0</v>
      </c>
      <c r="R3067" s="8">
        <f t="shared" si="380"/>
        <v>42</v>
      </c>
      <c r="S3067" s="8">
        <f t="shared" ca="1" si="381"/>
        <v>42</v>
      </c>
      <c r="T3067">
        <f t="shared" ca="1" si="382"/>
        <v>1.6224000000000003</v>
      </c>
      <c r="U3067" s="8">
        <f t="shared" ca="1" si="383"/>
        <v>5.5894400000000006</v>
      </c>
      <c r="V3067" s="9">
        <f ca="1">RawData[[#This Row],[Z (smoothed demand size)]]/RawData[[#This Row],[X (smoothed interval)]]</f>
        <v>0.29026163622831624</v>
      </c>
    </row>
    <row r="3068" spans="1:22">
      <c r="A3068" t="s">
        <v>62</v>
      </c>
      <c r="B3068" t="s">
        <v>60</v>
      </c>
      <c r="C3068">
        <v>32</v>
      </c>
      <c r="D3068" t="s">
        <v>15</v>
      </c>
      <c r="E3068" t="s">
        <v>16</v>
      </c>
      <c r="F3068" s="1">
        <v>44203</v>
      </c>
      <c r="G3068">
        <v>0</v>
      </c>
      <c r="H3068">
        <v>0</v>
      </c>
      <c r="I3068">
        <v>26</v>
      </c>
      <c r="J3068">
        <v>26</v>
      </c>
      <c r="K3068">
        <v>0</v>
      </c>
      <c r="L3068">
        <v>667</v>
      </c>
      <c r="M3068">
        <v>60</v>
      </c>
      <c r="N3068" s="1">
        <f t="shared" si="376"/>
        <v>44938</v>
      </c>
      <c r="O3068" s="1">
        <f t="shared" si="377"/>
        <v>43101</v>
      </c>
      <c r="P3068" s="1">
        <f t="shared" si="378"/>
        <v>44378</v>
      </c>
      <c r="Q3068" s="8">
        <f t="shared" si="379"/>
        <v>0</v>
      </c>
      <c r="R3068" s="8">
        <f t="shared" si="380"/>
        <v>43</v>
      </c>
      <c r="S3068" s="8">
        <f t="shared" ca="1" si="381"/>
        <v>42</v>
      </c>
      <c r="T3068">
        <f t="shared" ca="1" si="382"/>
        <v>1.6224000000000003</v>
      </c>
      <c r="U3068" s="8">
        <f t="shared" ca="1" si="383"/>
        <v>5.5894400000000006</v>
      </c>
      <c r="V3068" s="9">
        <f ca="1">RawData[[#This Row],[Z (smoothed demand size)]]/RawData[[#This Row],[X (smoothed interval)]]</f>
        <v>0.29026163622831624</v>
      </c>
    </row>
    <row r="3069" spans="1:22">
      <c r="A3069" t="s">
        <v>62</v>
      </c>
      <c r="B3069" t="s">
        <v>60</v>
      </c>
      <c r="C3069">
        <v>32</v>
      </c>
      <c r="D3069" t="s">
        <v>15</v>
      </c>
      <c r="E3069" t="s">
        <v>16</v>
      </c>
      <c r="F3069" s="1">
        <v>44204</v>
      </c>
      <c r="G3069">
        <v>0</v>
      </c>
      <c r="H3069">
        <v>0</v>
      </c>
      <c r="I3069">
        <v>26</v>
      </c>
      <c r="J3069">
        <v>26</v>
      </c>
      <c r="K3069">
        <v>0</v>
      </c>
      <c r="L3069">
        <v>674</v>
      </c>
      <c r="M3069">
        <v>30</v>
      </c>
      <c r="N3069" s="1">
        <f t="shared" si="376"/>
        <v>44938</v>
      </c>
      <c r="O3069" s="1">
        <f t="shared" si="377"/>
        <v>43101</v>
      </c>
      <c r="P3069" s="1">
        <f t="shared" si="378"/>
        <v>44409</v>
      </c>
      <c r="Q3069" s="8">
        <f t="shared" si="379"/>
        <v>0</v>
      </c>
      <c r="R3069" s="8">
        <f t="shared" si="380"/>
        <v>44</v>
      </c>
      <c r="S3069" s="8">
        <f t="shared" ca="1" si="381"/>
        <v>42</v>
      </c>
      <c r="T3069">
        <f t="shared" ca="1" si="382"/>
        <v>1.6224000000000003</v>
      </c>
      <c r="U3069" s="8">
        <f t="shared" ca="1" si="383"/>
        <v>5.5894400000000006</v>
      </c>
      <c r="V3069" s="9">
        <f ca="1">RawData[[#This Row],[Z (smoothed demand size)]]/RawData[[#This Row],[X (smoothed interval)]]</f>
        <v>0.29026163622831624</v>
      </c>
    </row>
    <row r="3070" spans="1:22">
      <c r="A3070" t="s">
        <v>62</v>
      </c>
      <c r="B3070" t="s">
        <v>60</v>
      </c>
      <c r="C3070">
        <v>32</v>
      </c>
      <c r="D3070" t="s">
        <v>15</v>
      </c>
      <c r="E3070" t="s">
        <v>16</v>
      </c>
      <c r="F3070" s="1">
        <v>44205</v>
      </c>
      <c r="G3070">
        <v>0</v>
      </c>
      <c r="H3070">
        <v>0</v>
      </c>
      <c r="I3070">
        <v>26</v>
      </c>
      <c r="J3070">
        <v>26</v>
      </c>
      <c r="K3070">
        <v>0</v>
      </c>
      <c r="L3070">
        <v>568</v>
      </c>
      <c r="M3070">
        <v>60</v>
      </c>
      <c r="N3070" s="1">
        <f t="shared" si="376"/>
        <v>44938</v>
      </c>
      <c r="O3070" s="1">
        <f t="shared" si="377"/>
        <v>43101</v>
      </c>
      <c r="P3070" s="1">
        <f t="shared" si="378"/>
        <v>44440</v>
      </c>
      <c r="Q3070" s="8">
        <f t="shared" si="379"/>
        <v>0</v>
      </c>
      <c r="R3070" s="8">
        <f t="shared" si="380"/>
        <v>45</v>
      </c>
      <c r="S3070" s="8">
        <f t="shared" ca="1" si="381"/>
        <v>42</v>
      </c>
      <c r="T3070">
        <f t="shared" ca="1" si="382"/>
        <v>1.6224000000000003</v>
      </c>
      <c r="U3070" s="8">
        <f t="shared" ca="1" si="383"/>
        <v>5.5894400000000006</v>
      </c>
      <c r="V3070" s="9">
        <f ca="1">RawData[[#This Row],[Z (smoothed demand size)]]/RawData[[#This Row],[X (smoothed interval)]]</f>
        <v>0.29026163622831624</v>
      </c>
    </row>
    <row r="3071" spans="1:22">
      <c r="A3071" t="s">
        <v>62</v>
      </c>
      <c r="B3071" t="s">
        <v>60</v>
      </c>
      <c r="C3071">
        <v>32</v>
      </c>
      <c r="D3071" t="s">
        <v>15</v>
      </c>
      <c r="E3071" t="s">
        <v>16</v>
      </c>
      <c r="F3071" s="1">
        <v>44206</v>
      </c>
      <c r="G3071">
        <v>0</v>
      </c>
      <c r="H3071">
        <v>0</v>
      </c>
      <c r="I3071">
        <v>26</v>
      </c>
      <c r="J3071">
        <v>26</v>
      </c>
      <c r="K3071">
        <v>0</v>
      </c>
      <c r="L3071">
        <v>575</v>
      </c>
      <c r="M3071">
        <v>30</v>
      </c>
      <c r="N3071" s="1">
        <f t="shared" si="376"/>
        <v>44938</v>
      </c>
      <c r="O3071" s="1">
        <f t="shared" si="377"/>
        <v>43101</v>
      </c>
      <c r="P3071" s="1">
        <f t="shared" si="378"/>
        <v>44470</v>
      </c>
      <c r="Q3071" s="8">
        <f t="shared" si="379"/>
        <v>0</v>
      </c>
      <c r="R3071" s="8">
        <f t="shared" si="380"/>
        <v>46</v>
      </c>
      <c r="S3071" s="8">
        <f t="shared" ca="1" si="381"/>
        <v>42</v>
      </c>
      <c r="T3071">
        <f t="shared" ca="1" si="382"/>
        <v>1.6224000000000003</v>
      </c>
      <c r="U3071" s="8">
        <f t="shared" ca="1" si="383"/>
        <v>5.5894400000000006</v>
      </c>
      <c r="V3071" s="9">
        <f ca="1">RawData[[#This Row],[Z (smoothed demand size)]]/RawData[[#This Row],[X (smoothed interval)]]</f>
        <v>0.29026163622831624</v>
      </c>
    </row>
    <row r="3072" spans="1:22">
      <c r="A3072" t="s">
        <v>62</v>
      </c>
      <c r="B3072" t="s">
        <v>60</v>
      </c>
      <c r="C3072">
        <v>32</v>
      </c>
      <c r="D3072" t="s">
        <v>15</v>
      </c>
      <c r="E3072" t="s">
        <v>16</v>
      </c>
      <c r="F3072" s="1">
        <v>44207</v>
      </c>
      <c r="G3072">
        <v>0</v>
      </c>
      <c r="H3072">
        <v>0</v>
      </c>
      <c r="I3072">
        <v>26</v>
      </c>
      <c r="J3072">
        <v>26</v>
      </c>
      <c r="K3072">
        <v>0</v>
      </c>
      <c r="L3072">
        <v>571</v>
      </c>
      <c r="M3072">
        <v>60</v>
      </c>
      <c r="N3072" s="1">
        <f t="shared" si="376"/>
        <v>44938</v>
      </c>
      <c r="O3072" s="1">
        <f t="shared" si="377"/>
        <v>43101</v>
      </c>
      <c r="P3072" s="1">
        <f t="shared" si="378"/>
        <v>44501</v>
      </c>
      <c r="Q3072" s="8">
        <f t="shared" si="379"/>
        <v>0</v>
      </c>
      <c r="R3072" s="8">
        <f t="shared" si="380"/>
        <v>47</v>
      </c>
      <c r="S3072" s="8">
        <f t="shared" ca="1" si="381"/>
        <v>42</v>
      </c>
      <c r="T3072">
        <f t="shared" ca="1" si="382"/>
        <v>1.6224000000000003</v>
      </c>
      <c r="U3072" s="8">
        <f t="shared" ca="1" si="383"/>
        <v>5.5894400000000006</v>
      </c>
      <c r="V3072" s="9">
        <f ca="1">RawData[[#This Row],[Z (smoothed demand size)]]/RawData[[#This Row],[X (smoothed interval)]]</f>
        <v>0.29026163622831624</v>
      </c>
    </row>
    <row r="3073" spans="1:22">
      <c r="A3073" t="s">
        <v>62</v>
      </c>
      <c r="B3073" t="s">
        <v>60</v>
      </c>
      <c r="C3073">
        <v>32</v>
      </c>
      <c r="D3073" t="s">
        <v>15</v>
      </c>
      <c r="E3073" t="s">
        <v>16</v>
      </c>
      <c r="F3073" s="1">
        <v>44208</v>
      </c>
      <c r="G3073">
        <v>0</v>
      </c>
      <c r="H3073">
        <v>0</v>
      </c>
      <c r="I3073">
        <v>26</v>
      </c>
      <c r="J3073">
        <v>26</v>
      </c>
      <c r="K3073">
        <v>0</v>
      </c>
      <c r="L3073">
        <v>665</v>
      </c>
      <c r="M3073">
        <v>15</v>
      </c>
      <c r="N3073" s="1">
        <f t="shared" si="376"/>
        <v>44938</v>
      </c>
      <c r="O3073" s="1">
        <f t="shared" si="377"/>
        <v>43101</v>
      </c>
      <c r="P3073" s="1">
        <f t="shared" si="378"/>
        <v>44531</v>
      </c>
      <c r="Q3073" s="8">
        <f t="shared" si="379"/>
        <v>0</v>
      </c>
      <c r="R3073" s="8">
        <f t="shared" si="380"/>
        <v>48</v>
      </c>
      <c r="S3073" s="8">
        <f t="shared" ca="1" si="381"/>
        <v>42</v>
      </c>
      <c r="T3073">
        <f t="shared" ca="1" si="382"/>
        <v>1.6224000000000003</v>
      </c>
      <c r="U3073" s="8">
        <f t="shared" ca="1" si="383"/>
        <v>5.5894400000000006</v>
      </c>
      <c r="V3073" s="9">
        <f ca="1">RawData[[#This Row],[Z (smoothed demand size)]]/RawData[[#This Row],[X (smoothed interval)]]</f>
        <v>0.29026163622831624</v>
      </c>
    </row>
    <row r="3074" spans="1:22">
      <c r="A3074" t="s">
        <v>62</v>
      </c>
      <c r="B3074" t="s">
        <v>60</v>
      </c>
      <c r="C3074">
        <v>32</v>
      </c>
      <c r="D3074" t="s">
        <v>15</v>
      </c>
      <c r="E3074" t="s">
        <v>16</v>
      </c>
      <c r="F3074" s="1">
        <v>44562</v>
      </c>
      <c r="G3074">
        <v>0</v>
      </c>
      <c r="H3074">
        <v>0</v>
      </c>
      <c r="I3074">
        <v>26</v>
      </c>
      <c r="J3074">
        <v>26</v>
      </c>
      <c r="K3074">
        <v>0</v>
      </c>
      <c r="L3074">
        <v>575</v>
      </c>
      <c r="M3074">
        <v>45</v>
      </c>
      <c r="N3074" s="1">
        <f t="shared" ref="N3074:N3137" si="384">MAX(F:F)</f>
        <v>44938</v>
      </c>
      <c r="O3074" s="1">
        <f t="shared" ref="O3074:O3137" si="385">MIN(F:F)</f>
        <v>43101</v>
      </c>
      <c r="P3074" s="1">
        <f t="shared" ref="P3074:P3137" si="386">DATE(YEAR(F3074), DAY(F3074), 1)</f>
        <v>44562</v>
      </c>
      <c r="Q3074" s="8">
        <f t="shared" ref="Q3074:Q3137" si="387" xml:space="preserve"> IF(A3074&lt;&gt;A3073, 1, 0)</f>
        <v>0</v>
      </c>
      <c r="R3074" s="8">
        <f t="shared" ref="R3074:R3137" si="388">IF(Q3074=1,1,R3073+1)</f>
        <v>49</v>
      </c>
      <c r="S3074" s="8">
        <f t="shared" ref="S3074:S3137" ca="1" si="389" xml:space="preserve"> IF(Q3074=1, IF(G3074&gt;0, R3074, 0), IF(G3074&gt;0, R3074, OFFSET(S3074,-1,0)))</f>
        <v>42</v>
      </c>
      <c r="T3074">
        <f t="shared" ref="T3074:T3137" ca="1" si="390" xml:space="preserve"> IF(Q3074=1, IF(G3074&gt;0, G3074, 0), IF(G3074&gt;0, $X$1*G3074+(1-$X$1)*OFFSET(T3074,-1,0), OFFSET(T3074,-1,0)))</f>
        <v>1.6224000000000003</v>
      </c>
      <c r="U3074" s="8">
        <f t="shared" ref="U3074:U3137" ca="1" si="391" xml:space="preserve"> IF(Q3074=1, 1, IF(G3074&gt;0, $X$1*(R3074-OFFSET(S3074,-1,0))+(1-$X$1)*OFFSET(U3074,-1,0), OFFSET(U3074,-1,0)))</f>
        <v>5.5894400000000006</v>
      </c>
      <c r="V3074" s="9">
        <f ca="1">RawData[[#This Row],[Z (smoothed demand size)]]/RawData[[#This Row],[X (smoothed interval)]]</f>
        <v>0.29026163622831624</v>
      </c>
    </row>
    <row r="3075" spans="1:22">
      <c r="A3075" t="s">
        <v>62</v>
      </c>
      <c r="B3075" t="s">
        <v>60</v>
      </c>
      <c r="C3075">
        <v>32</v>
      </c>
      <c r="D3075" t="s">
        <v>15</v>
      </c>
      <c r="E3075" t="s">
        <v>16</v>
      </c>
      <c r="F3075" s="1">
        <v>44563</v>
      </c>
      <c r="G3075">
        <v>0</v>
      </c>
      <c r="H3075">
        <v>0</v>
      </c>
      <c r="I3075">
        <v>26</v>
      </c>
      <c r="J3075">
        <v>26</v>
      </c>
      <c r="K3075">
        <v>0</v>
      </c>
      <c r="L3075">
        <v>574</v>
      </c>
      <c r="M3075">
        <v>45</v>
      </c>
      <c r="N3075" s="1">
        <f t="shared" si="384"/>
        <v>44938</v>
      </c>
      <c r="O3075" s="1">
        <f t="shared" si="385"/>
        <v>43101</v>
      </c>
      <c r="P3075" s="1">
        <f t="shared" si="386"/>
        <v>44593</v>
      </c>
      <c r="Q3075" s="8">
        <f t="shared" si="387"/>
        <v>0</v>
      </c>
      <c r="R3075" s="8">
        <f t="shared" si="388"/>
        <v>50</v>
      </c>
      <c r="S3075" s="8">
        <f t="shared" ca="1" si="389"/>
        <v>42</v>
      </c>
      <c r="T3075">
        <f t="shared" ca="1" si="390"/>
        <v>1.6224000000000003</v>
      </c>
      <c r="U3075" s="8">
        <f t="shared" ca="1" si="391"/>
        <v>5.5894400000000006</v>
      </c>
      <c r="V3075" s="9">
        <f ca="1">RawData[[#This Row],[Z (smoothed demand size)]]/RawData[[#This Row],[X (smoothed interval)]]</f>
        <v>0.29026163622831624</v>
      </c>
    </row>
    <row r="3076" spans="1:22">
      <c r="A3076" t="s">
        <v>62</v>
      </c>
      <c r="B3076" t="s">
        <v>60</v>
      </c>
      <c r="C3076">
        <v>32</v>
      </c>
      <c r="D3076" t="s">
        <v>15</v>
      </c>
      <c r="E3076" t="s">
        <v>16</v>
      </c>
      <c r="F3076" s="1">
        <v>44564</v>
      </c>
      <c r="G3076">
        <v>3</v>
      </c>
      <c r="H3076">
        <v>3</v>
      </c>
      <c r="I3076">
        <v>26</v>
      </c>
      <c r="J3076">
        <v>23</v>
      </c>
      <c r="K3076">
        <v>0</v>
      </c>
      <c r="L3076">
        <v>570</v>
      </c>
      <c r="M3076">
        <v>60</v>
      </c>
      <c r="N3076" s="1">
        <f t="shared" si="384"/>
        <v>44938</v>
      </c>
      <c r="O3076" s="1">
        <f t="shared" si="385"/>
        <v>43101</v>
      </c>
      <c r="P3076" s="1">
        <f t="shared" si="386"/>
        <v>44621</v>
      </c>
      <c r="Q3076" s="8">
        <f t="shared" si="387"/>
        <v>0</v>
      </c>
      <c r="R3076" s="8">
        <f t="shared" si="388"/>
        <v>51</v>
      </c>
      <c r="S3076" s="8">
        <f t="shared" ca="1" si="389"/>
        <v>51</v>
      </c>
      <c r="T3076">
        <f t="shared" ca="1" si="390"/>
        <v>1.8979200000000005</v>
      </c>
      <c r="U3076" s="8">
        <f t="shared" ca="1" si="391"/>
        <v>6.2715520000000007</v>
      </c>
      <c r="V3076" s="9">
        <f ca="1">RawData[[#This Row],[Z (smoothed demand size)]]/RawData[[#This Row],[X (smoothed interval)]]</f>
        <v>0.30262365679181169</v>
      </c>
    </row>
    <row r="3077" spans="1:22">
      <c r="A3077" t="s">
        <v>62</v>
      </c>
      <c r="B3077" t="s">
        <v>60</v>
      </c>
      <c r="C3077">
        <v>32</v>
      </c>
      <c r="D3077" t="s">
        <v>15</v>
      </c>
      <c r="E3077" t="s">
        <v>16</v>
      </c>
      <c r="F3077" s="1">
        <v>44565</v>
      </c>
      <c r="G3077">
        <v>0</v>
      </c>
      <c r="H3077">
        <v>0</v>
      </c>
      <c r="I3077">
        <v>23</v>
      </c>
      <c r="J3077">
        <v>23</v>
      </c>
      <c r="K3077">
        <v>0</v>
      </c>
      <c r="L3077">
        <v>570</v>
      </c>
      <c r="M3077">
        <v>30</v>
      </c>
      <c r="N3077" s="1">
        <f t="shared" si="384"/>
        <v>44938</v>
      </c>
      <c r="O3077" s="1">
        <f t="shared" si="385"/>
        <v>43101</v>
      </c>
      <c r="P3077" s="1">
        <f t="shared" si="386"/>
        <v>44652</v>
      </c>
      <c r="Q3077" s="8">
        <f t="shared" si="387"/>
        <v>0</v>
      </c>
      <c r="R3077" s="8">
        <f t="shared" si="388"/>
        <v>52</v>
      </c>
      <c r="S3077" s="8">
        <f t="shared" ca="1" si="389"/>
        <v>51</v>
      </c>
      <c r="T3077">
        <f t="shared" ca="1" si="390"/>
        <v>1.8979200000000005</v>
      </c>
      <c r="U3077" s="8">
        <f t="shared" ca="1" si="391"/>
        <v>6.2715520000000007</v>
      </c>
      <c r="V3077" s="9">
        <f ca="1">RawData[[#This Row],[Z (smoothed demand size)]]/RawData[[#This Row],[X (smoothed interval)]]</f>
        <v>0.30262365679181169</v>
      </c>
    </row>
    <row r="3078" spans="1:22">
      <c r="A3078" t="s">
        <v>62</v>
      </c>
      <c r="B3078" t="s">
        <v>60</v>
      </c>
      <c r="C3078">
        <v>32</v>
      </c>
      <c r="D3078" t="s">
        <v>15</v>
      </c>
      <c r="E3078" t="s">
        <v>16</v>
      </c>
      <c r="F3078" s="1">
        <v>44566</v>
      </c>
      <c r="G3078">
        <v>0</v>
      </c>
      <c r="H3078">
        <v>0</v>
      </c>
      <c r="I3078">
        <v>23</v>
      </c>
      <c r="J3078">
        <v>23</v>
      </c>
      <c r="K3078">
        <v>0</v>
      </c>
      <c r="L3078">
        <v>569</v>
      </c>
      <c r="M3078">
        <v>60</v>
      </c>
      <c r="N3078" s="1">
        <f t="shared" si="384"/>
        <v>44938</v>
      </c>
      <c r="O3078" s="1">
        <f t="shared" si="385"/>
        <v>43101</v>
      </c>
      <c r="P3078" s="1">
        <f t="shared" si="386"/>
        <v>44682</v>
      </c>
      <c r="Q3078" s="8">
        <f t="shared" si="387"/>
        <v>0</v>
      </c>
      <c r="R3078" s="8">
        <f t="shared" si="388"/>
        <v>53</v>
      </c>
      <c r="S3078" s="8">
        <f t="shared" ca="1" si="389"/>
        <v>51</v>
      </c>
      <c r="T3078">
        <f t="shared" ca="1" si="390"/>
        <v>1.8979200000000005</v>
      </c>
      <c r="U3078" s="8">
        <f t="shared" ca="1" si="391"/>
        <v>6.2715520000000007</v>
      </c>
      <c r="V3078" s="9">
        <f ca="1">RawData[[#This Row],[Z (smoothed demand size)]]/RawData[[#This Row],[X (smoothed interval)]]</f>
        <v>0.30262365679181169</v>
      </c>
    </row>
    <row r="3079" spans="1:22">
      <c r="A3079" t="s">
        <v>62</v>
      </c>
      <c r="B3079" t="s">
        <v>60</v>
      </c>
      <c r="C3079">
        <v>32</v>
      </c>
      <c r="D3079" t="s">
        <v>15</v>
      </c>
      <c r="E3079" t="s">
        <v>16</v>
      </c>
      <c r="F3079" s="1">
        <v>44567</v>
      </c>
      <c r="G3079">
        <v>0</v>
      </c>
      <c r="H3079">
        <v>0</v>
      </c>
      <c r="I3079">
        <v>23</v>
      </c>
      <c r="J3079">
        <v>23</v>
      </c>
      <c r="K3079">
        <v>0</v>
      </c>
      <c r="L3079">
        <v>648</v>
      </c>
      <c r="M3079">
        <v>15</v>
      </c>
      <c r="N3079" s="1">
        <f t="shared" si="384"/>
        <v>44938</v>
      </c>
      <c r="O3079" s="1">
        <f t="shared" si="385"/>
        <v>43101</v>
      </c>
      <c r="P3079" s="1">
        <f t="shared" si="386"/>
        <v>44713</v>
      </c>
      <c r="Q3079" s="8">
        <f t="shared" si="387"/>
        <v>0</v>
      </c>
      <c r="R3079" s="8">
        <f t="shared" si="388"/>
        <v>54</v>
      </c>
      <c r="S3079" s="8">
        <f t="shared" ca="1" si="389"/>
        <v>51</v>
      </c>
      <c r="T3079">
        <f t="shared" ca="1" si="390"/>
        <v>1.8979200000000005</v>
      </c>
      <c r="U3079" s="8">
        <f t="shared" ca="1" si="391"/>
        <v>6.2715520000000007</v>
      </c>
      <c r="V3079" s="9">
        <f ca="1">RawData[[#This Row],[Z (smoothed demand size)]]/RawData[[#This Row],[X (smoothed interval)]]</f>
        <v>0.30262365679181169</v>
      </c>
    </row>
    <row r="3080" spans="1:22">
      <c r="A3080" t="s">
        <v>62</v>
      </c>
      <c r="B3080" t="s">
        <v>60</v>
      </c>
      <c r="C3080">
        <v>32</v>
      </c>
      <c r="D3080" t="s">
        <v>15</v>
      </c>
      <c r="E3080" t="s">
        <v>16</v>
      </c>
      <c r="F3080" s="1">
        <v>44568</v>
      </c>
      <c r="G3080">
        <v>0</v>
      </c>
      <c r="H3080">
        <v>0</v>
      </c>
      <c r="I3080">
        <v>23</v>
      </c>
      <c r="J3080">
        <v>23</v>
      </c>
      <c r="K3080">
        <v>0</v>
      </c>
      <c r="L3080">
        <v>667</v>
      </c>
      <c r="M3080">
        <v>30</v>
      </c>
      <c r="N3080" s="1">
        <f t="shared" si="384"/>
        <v>44938</v>
      </c>
      <c r="O3080" s="1">
        <f t="shared" si="385"/>
        <v>43101</v>
      </c>
      <c r="P3080" s="1">
        <f t="shared" si="386"/>
        <v>44743</v>
      </c>
      <c r="Q3080" s="8">
        <f t="shared" si="387"/>
        <v>0</v>
      </c>
      <c r="R3080" s="8">
        <f t="shared" si="388"/>
        <v>55</v>
      </c>
      <c r="S3080" s="8">
        <f t="shared" ca="1" si="389"/>
        <v>51</v>
      </c>
      <c r="T3080">
        <f t="shared" ca="1" si="390"/>
        <v>1.8979200000000005</v>
      </c>
      <c r="U3080" s="8">
        <f t="shared" ca="1" si="391"/>
        <v>6.2715520000000007</v>
      </c>
      <c r="V3080" s="9">
        <f ca="1">RawData[[#This Row],[Z (smoothed demand size)]]/RawData[[#This Row],[X (smoothed interval)]]</f>
        <v>0.30262365679181169</v>
      </c>
    </row>
    <row r="3081" spans="1:22">
      <c r="A3081" t="s">
        <v>62</v>
      </c>
      <c r="B3081" t="s">
        <v>60</v>
      </c>
      <c r="C3081">
        <v>32</v>
      </c>
      <c r="D3081" t="s">
        <v>15</v>
      </c>
      <c r="E3081" t="s">
        <v>16</v>
      </c>
      <c r="F3081" s="1">
        <v>44569</v>
      </c>
      <c r="G3081">
        <v>0</v>
      </c>
      <c r="H3081">
        <v>0</v>
      </c>
      <c r="I3081">
        <v>23</v>
      </c>
      <c r="J3081">
        <v>23</v>
      </c>
      <c r="K3081">
        <v>0</v>
      </c>
      <c r="L3081">
        <v>663</v>
      </c>
      <c r="M3081">
        <v>15</v>
      </c>
      <c r="N3081" s="1">
        <f t="shared" si="384"/>
        <v>44938</v>
      </c>
      <c r="O3081" s="1">
        <f t="shared" si="385"/>
        <v>43101</v>
      </c>
      <c r="P3081" s="1">
        <f t="shared" si="386"/>
        <v>44774</v>
      </c>
      <c r="Q3081" s="8">
        <f t="shared" si="387"/>
        <v>0</v>
      </c>
      <c r="R3081" s="8">
        <f t="shared" si="388"/>
        <v>56</v>
      </c>
      <c r="S3081" s="8">
        <f t="shared" ca="1" si="389"/>
        <v>51</v>
      </c>
      <c r="T3081">
        <f t="shared" ca="1" si="390"/>
        <v>1.8979200000000005</v>
      </c>
      <c r="U3081" s="8">
        <f t="shared" ca="1" si="391"/>
        <v>6.2715520000000007</v>
      </c>
      <c r="V3081" s="9">
        <f ca="1">RawData[[#This Row],[Z (smoothed demand size)]]/RawData[[#This Row],[X (smoothed interval)]]</f>
        <v>0.30262365679181169</v>
      </c>
    </row>
    <row r="3082" spans="1:22">
      <c r="A3082" t="s">
        <v>62</v>
      </c>
      <c r="B3082" t="s">
        <v>60</v>
      </c>
      <c r="C3082">
        <v>32</v>
      </c>
      <c r="D3082" t="s">
        <v>15</v>
      </c>
      <c r="E3082" t="s">
        <v>16</v>
      </c>
      <c r="F3082" s="1">
        <v>44570</v>
      </c>
      <c r="G3082">
        <v>0</v>
      </c>
      <c r="H3082">
        <v>0</v>
      </c>
      <c r="I3082">
        <v>23</v>
      </c>
      <c r="J3082">
        <v>23</v>
      </c>
      <c r="K3082">
        <v>0</v>
      </c>
      <c r="L3082">
        <v>580</v>
      </c>
      <c r="M3082">
        <v>15</v>
      </c>
      <c r="N3082" s="1">
        <f t="shared" si="384"/>
        <v>44938</v>
      </c>
      <c r="O3082" s="1">
        <f t="shared" si="385"/>
        <v>43101</v>
      </c>
      <c r="P3082" s="1">
        <f t="shared" si="386"/>
        <v>44805</v>
      </c>
      <c r="Q3082" s="8">
        <f t="shared" si="387"/>
        <v>0</v>
      </c>
      <c r="R3082" s="8">
        <f t="shared" si="388"/>
        <v>57</v>
      </c>
      <c r="S3082" s="8">
        <f t="shared" ca="1" si="389"/>
        <v>51</v>
      </c>
      <c r="T3082">
        <f t="shared" ca="1" si="390"/>
        <v>1.8979200000000005</v>
      </c>
      <c r="U3082" s="8">
        <f t="shared" ca="1" si="391"/>
        <v>6.2715520000000007</v>
      </c>
      <c r="V3082" s="9">
        <f ca="1">RawData[[#This Row],[Z (smoothed demand size)]]/RawData[[#This Row],[X (smoothed interval)]]</f>
        <v>0.30262365679181169</v>
      </c>
    </row>
    <row r="3083" spans="1:22">
      <c r="A3083" t="s">
        <v>62</v>
      </c>
      <c r="B3083" t="s">
        <v>60</v>
      </c>
      <c r="C3083">
        <v>32</v>
      </c>
      <c r="D3083" t="s">
        <v>15</v>
      </c>
      <c r="E3083" t="s">
        <v>16</v>
      </c>
      <c r="F3083" s="1">
        <v>44571</v>
      </c>
      <c r="G3083">
        <v>0</v>
      </c>
      <c r="H3083">
        <v>0</v>
      </c>
      <c r="I3083">
        <v>23</v>
      </c>
      <c r="J3083">
        <v>23</v>
      </c>
      <c r="K3083">
        <v>0</v>
      </c>
      <c r="L3083">
        <v>571</v>
      </c>
      <c r="M3083">
        <v>45</v>
      </c>
      <c r="N3083" s="1">
        <f t="shared" si="384"/>
        <v>44938</v>
      </c>
      <c r="O3083" s="1">
        <f t="shared" si="385"/>
        <v>43101</v>
      </c>
      <c r="P3083" s="1">
        <f t="shared" si="386"/>
        <v>44835</v>
      </c>
      <c r="Q3083" s="8">
        <f t="shared" si="387"/>
        <v>0</v>
      </c>
      <c r="R3083" s="8">
        <f t="shared" si="388"/>
        <v>58</v>
      </c>
      <c r="S3083" s="8">
        <f t="shared" ca="1" si="389"/>
        <v>51</v>
      </c>
      <c r="T3083">
        <f t="shared" ca="1" si="390"/>
        <v>1.8979200000000005</v>
      </c>
      <c r="U3083" s="8">
        <f t="shared" ca="1" si="391"/>
        <v>6.2715520000000007</v>
      </c>
      <c r="V3083" s="9">
        <f ca="1">RawData[[#This Row],[Z (smoothed demand size)]]/RawData[[#This Row],[X (smoothed interval)]]</f>
        <v>0.30262365679181169</v>
      </c>
    </row>
    <row r="3084" spans="1:22">
      <c r="A3084" t="s">
        <v>62</v>
      </c>
      <c r="B3084" t="s">
        <v>60</v>
      </c>
      <c r="C3084">
        <v>32</v>
      </c>
      <c r="D3084" t="s">
        <v>15</v>
      </c>
      <c r="E3084" t="s">
        <v>16</v>
      </c>
      <c r="F3084" s="1">
        <v>44572</v>
      </c>
      <c r="G3084">
        <v>1</v>
      </c>
      <c r="H3084">
        <v>1</v>
      </c>
      <c r="I3084">
        <v>23</v>
      </c>
      <c r="J3084">
        <v>22</v>
      </c>
      <c r="K3084">
        <v>0</v>
      </c>
      <c r="L3084">
        <v>576</v>
      </c>
      <c r="M3084">
        <v>30</v>
      </c>
      <c r="N3084" s="1">
        <f t="shared" si="384"/>
        <v>44938</v>
      </c>
      <c r="O3084" s="1">
        <f t="shared" si="385"/>
        <v>43101</v>
      </c>
      <c r="P3084" s="1">
        <f t="shared" si="386"/>
        <v>44866</v>
      </c>
      <c r="Q3084" s="8">
        <f t="shared" si="387"/>
        <v>0</v>
      </c>
      <c r="R3084" s="8">
        <f t="shared" si="388"/>
        <v>59</v>
      </c>
      <c r="S3084" s="8">
        <f t="shared" ca="1" si="389"/>
        <v>59</v>
      </c>
      <c r="T3084">
        <f t="shared" ca="1" si="390"/>
        <v>1.7183360000000005</v>
      </c>
      <c r="U3084" s="8">
        <f t="shared" ca="1" si="391"/>
        <v>6.6172416000000016</v>
      </c>
      <c r="V3084" s="9">
        <f ca="1">RawData[[#This Row],[Z (smoothed demand size)]]/RawData[[#This Row],[X (smoothed interval)]]</f>
        <v>0.25967557237142441</v>
      </c>
    </row>
    <row r="3085" spans="1:22">
      <c r="A3085" t="s">
        <v>62</v>
      </c>
      <c r="B3085" t="s">
        <v>60</v>
      </c>
      <c r="C3085">
        <v>32</v>
      </c>
      <c r="D3085" t="s">
        <v>15</v>
      </c>
      <c r="E3085" t="s">
        <v>16</v>
      </c>
      <c r="F3085" s="1">
        <v>44573</v>
      </c>
      <c r="G3085">
        <v>0</v>
      </c>
      <c r="H3085">
        <v>0</v>
      </c>
      <c r="I3085">
        <v>22</v>
      </c>
      <c r="J3085">
        <v>22</v>
      </c>
      <c r="K3085">
        <v>0</v>
      </c>
      <c r="L3085">
        <v>653</v>
      </c>
      <c r="M3085">
        <v>60</v>
      </c>
      <c r="N3085" s="1">
        <f t="shared" si="384"/>
        <v>44938</v>
      </c>
      <c r="O3085" s="1">
        <f t="shared" si="385"/>
        <v>43101</v>
      </c>
      <c r="P3085" s="1">
        <f t="shared" si="386"/>
        <v>44896</v>
      </c>
      <c r="Q3085" s="8">
        <f t="shared" si="387"/>
        <v>0</v>
      </c>
      <c r="R3085" s="8">
        <f t="shared" si="388"/>
        <v>60</v>
      </c>
      <c r="S3085" s="8">
        <f t="shared" ca="1" si="389"/>
        <v>59</v>
      </c>
      <c r="T3085">
        <f t="shared" ca="1" si="390"/>
        <v>1.7183360000000005</v>
      </c>
      <c r="U3085" s="8">
        <f t="shared" ca="1" si="391"/>
        <v>6.6172416000000016</v>
      </c>
      <c r="V3085" s="9">
        <f ca="1">RawData[[#This Row],[Z (smoothed demand size)]]/RawData[[#This Row],[X (smoothed interval)]]</f>
        <v>0.25967557237142441</v>
      </c>
    </row>
    <row r="3086" spans="1:22">
      <c r="A3086" t="s">
        <v>62</v>
      </c>
      <c r="B3086" t="s">
        <v>60</v>
      </c>
      <c r="C3086">
        <v>32</v>
      </c>
      <c r="D3086" t="s">
        <v>15</v>
      </c>
      <c r="E3086" t="s">
        <v>16</v>
      </c>
      <c r="F3086" s="1">
        <v>44927</v>
      </c>
      <c r="G3086">
        <v>0</v>
      </c>
      <c r="H3086">
        <v>0</v>
      </c>
      <c r="I3086">
        <v>22</v>
      </c>
      <c r="J3086">
        <v>22</v>
      </c>
      <c r="K3086">
        <v>0</v>
      </c>
      <c r="L3086">
        <v>568</v>
      </c>
      <c r="M3086">
        <v>60</v>
      </c>
      <c r="N3086" s="1">
        <f t="shared" si="384"/>
        <v>44938</v>
      </c>
      <c r="O3086" s="1">
        <f t="shared" si="385"/>
        <v>43101</v>
      </c>
      <c r="P3086" s="1">
        <f t="shared" si="386"/>
        <v>44927</v>
      </c>
      <c r="Q3086" s="8">
        <f t="shared" si="387"/>
        <v>0</v>
      </c>
      <c r="R3086" s="8">
        <f t="shared" si="388"/>
        <v>61</v>
      </c>
      <c r="S3086" s="8">
        <f t="shared" ca="1" si="389"/>
        <v>59</v>
      </c>
      <c r="T3086">
        <f t="shared" ca="1" si="390"/>
        <v>1.7183360000000005</v>
      </c>
      <c r="U3086" s="8">
        <f t="shared" ca="1" si="391"/>
        <v>6.6172416000000016</v>
      </c>
      <c r="V3086" s="9">
        <f ca="1">RawData[[#This Row],[Z (smoothed demand size)]]/RawData[[#This Row],[X (smoothed interval)]]</f>
        <v>0.25967557237142441</v>
      </c>
    </row>
    <row r="3087" spans="1:22">
      <c r="A3087" t="s">
        <v>62</v>
      </c>
      <c r="B3087" t="s">
        <v>60</v>
      </c>
      <c r="C3087">
        <v>32</v>
      </c>
      <c r="D3087" t="s">
        <v>15</v>
      </c>
      <c r="E3087" t="s">
        <v>16</v>
      </c>
      <c r="F3087" s="1">
        <v>44928</v>
      </c>
      <c r="G3087">
        <v>0</v>
      </c>
      <c r="H3087">
        <v>0</v>
      </c>
      <c r="I3087">
        <v>22</v>
      </c>
      <c r="J3087">
        <v>22</v>
      </c>
      <c r="K3087">
        <v>0</v>
      </c>
      <c r="L3087">
        <v>583</v>
      </c>
      <c r="M3087">
        <v>15</v>
      </c>
      <c r="N3087" s="1">
        <f t="shared" si="384"/>
        <v>44938</v>
      </c>
      <c r="O3087" s="1">
        <f t="shared" si="385"/>
        <v>43101</v>
      </c>
      <c r="P3087" s="1">
        <f t="shared" si="386"/>
        <v>44958</v>
      </c>
      <c r="Q3087" s="8">
        <f t="shared" si="387"/>
        <v>0</v>
      </c>
      <c r="R3087" s="8">
        <f t="shared" si="388"/>
        <v>62</v>
      </c>
      <c r="S3087" s="8">
        <f t="shared" ca="1" si="389"/>
        <v>59</v>
      </c>
      <c r="T3087">
        <f t="shared" ca="1" si="390"/>
        <v>1.7183360000000005</v>
      </c>
      <c r="U3087" s="8">
        <f t="shared" ca="1" si="391"/>
        <v>6.6172416000000016</v>
      </c>
      <c r="V3087" s="9">
        <f ca="1">RawData[[#This Row],[Z (smoothed demand size)]]/RawData[[#This Row],[X (smoothed interval)]]</f>
        <v>0.25967557237142441</v>
      </c>
    </row>
    <row r="3088" spans="1:22">
      <c r="A3088" t="s">
        <v>62</v>
      </c>
      <c r="B3088" t="s">
        <v>60</v>
      </c>
      <c r="C3088">
        <v>32</v>
      </c>
      <c r="D3088" t="s">
        <v>15</v>
      </c>
      <c r="E3088" t="s">
        <v>16</v>
      </c>
      <c r="F3088" s="1">
        <v>44929</v>
      </c>
      <c r="G3088">
        <v>3</v>
      </c>
      <c r="H3088">
        <v>3</v>
      </c>
      <c r="I3088">
        <v>22</v>
      </c>
      <c r="J3088">
        <v>19</v>
      </c>
      <c r="K3088">
        <v>0</v>
      </c>
      <c r="L3088">
        <v>569</v>
      </c>
      <c r="M3088">
        <v>60</v>
      </c>
      <c r="N3088" s="1">
        <f t="shared" si="384"/>
        <v>44938</v>
      </c>
      <c r="O3088" s="1">
        <f t="shared" si="385"/>
        <v>43101</v>
      </c>
      <c r="P3088" s="1">
        <f t="shared" si="386"/>
        <v>44986</v>
      </c>
      <c r="Q3088" s="8">
        <f t="shared" si="387"/>
        <v>0</v>
      </c>
      <c r="R3088" s="8">
        <f t="shared" si="388"/>
        <v>63</v>
      </c>
      <c r="S3088" s="8">
        <f t="shared" ca="1" si="389"/>
        <v>63</v>
      </c>
      <c r="T3088">
        <f t="shared" ca="1" si="390"/>
        <v>1.9746688000000006</v>
      </c>
      <c r="U3088" s="8">
        <f t="shared" ca="1" si="391"/>
        <v>6.0937932800000016</v>
      </c>
      <c r="V3088" s="9">
        <f ca="1">RawData[[#This Row],[Z (smoothed demand size)]]/RawData[[#This Row],[X (smoothed interval)]]</f>
        <v>0.32404591184294324</v>
      </c>
    </row>
    <row r="3089" spans="1:22">
      <c r="A3089" t="s">
        <v>62</v>
      </c>
      <c r="B3089" t="s">
        <v>60</v>
      </c>
      <c r="C3089">
        <v>32</v>
      </c>
      <c r="D3089" t="s">
        <v>15</v>
      </c>
      <c r="E3089" t="s">
        <v>16</v>
      </c>
      <c r="F3089" s="1">
        <v>44930</v>
      </c>
      <c r="G3089">
        <v>0</v>
      </c>
      <c r="H3089">
        <v>0</v>
      </c>
      <c r="I3089">
        <v>19</v>
      </c>
      <c r="J3089">
        <v>19</v>
      </c>
      <c r="K3089">
        <v>0</v>
      </c>
      <c r="L3089">
        <v>577</v>
      </c>
      <c r="M3089">
        <v>45</v>
      </c>
      <c r="N3089" s="1">
        <f t="shared" si="384"/>
        <v>44938</v>
      </c>
      <c r="O3089" s="1">
        <f t="shared" si="385"/>
        <v>43101</v>
      </c>
      <c r="P3089" s="1">
        <f t="shared" si="386"/>
        <v>45017</v>
      </c>
      <c r="Q3089" s="8">
        <f t="shared" si="387"/>
        <v>0</v>
      </c>
      <c r="R3089" s="8">
        <f t="shared" si="388"/>
        <v>64</v>
      </c>
      <c r="S3089" s="8">
        <f t="shared" ca="1" si="389"/>
        <v>63</v>
      </c>
      <c r="T3089">
        <f t="shared" ca="1" si="390"/>
        <v>1.9746688000000006</v>
      </c>
      <c r="U3089" s="8">
        <f t="shared" ca="1" si="391"/>
        <v>6.0937932800000016</v>
      </c>
      <c r="V3089" s="9">
        <f ca="1">RawData[[#This Row],[Z (smoothed demand size)]]/RawData[[#This Row],[X (smoothed interval)]]</f>
        <v>0.32404591184294324</v>
      </c>
    </row>
    <row r="3090" spans="1:22">
      <c r="A3090" t="s">
        <v>62</v>
      </c>
      <c r="B3090" t="s">
        <v>60</v>
      </c>
      <c r="C3090">
        <v>32</v>
      </c>
      <c r="D3090" t="s">
        <v>15</v>
      </c>
      <c r="E3090" t="s">
        <v>16</v>
      </c>
      <c r="F3090" s="1">
        <v>44931</v>
      </c>
      <c r="G3090">
        <v>0</v>
      </c>
      <c r="H3090">
        <v>0</v>
      </c>
      <c r="I3090">
        <v>19</v>
      </c>
      <c r="J3090">
        <v>19</v>
      </c>
      <c r="K3090">
        <v>0</v>
      </c>
      <c r="L3090">
        <v>573</v>
      </c>
      <c r="M3090">
        <v>45</v>
      </c>
      <c r="N3090" s="1">
        <f t="shared" si="384"/>
        <v>44938</v>
      </c>
      <c r="O3090" s="1">
        <f t="shared" si="385"/>
        <v>43101</v>
      </c>
      <c r="P3090" s="1">
        <f t="shared" si="386"/>
        <v>45047</v>
      </c>
      <c r="Q3090" s="8">
        <f t="shared" si="387"/>
        <v>0</v>
      </c>
      <c r="R3090" s="8">
        <f t="shared" si="388"/>
        <v>65</v>
      </c>
      <c r="S3090" s="8">
        <f t="shared" ca="1" si="389"/>
        <v>63</v>
      </c>
      <c r="T3090">
        <f t="shared" ca="1" si="390"/>
        <v>1.9746688000000006</v>
      </c>
      <c r="U3090" s="8">
        <f t="shared" ca="1" si="391"/>
        <v>6.0937932800000016</v>
      </c>
      <c r="V3090" s="9">
        <f ca="1">RawData[[#This Row],[Z (smoothed demand size)]]/RawData[[#This Row],[X (smoothed interval)]]</f>
        <v>0.32404591184294324</v>
      </c>
    </row>
    <row r="3091" spans="1:22">
      <c r="A3091" t="s">
        <v>62</v>
      </c>
      <c r="B3091" t="s">
        <v>60</v>
      </c>
      <c r="C3091">
        <v>32</v>
      </c>
      <c r="D3091" t="s">
        <v>15</v>
      </c>
      <c r="E3091" t="s">
        <v>16</v>
      </c>
      <c r="F3091" s="1">
        <v>44932</v>
      </c>
      <c r="G3091">
        <v>5</v>
      </c>
      <c r="H3091">
        <v>5</v>
      </c>
      <c r="I3091">
        <v>19</v>
      </c>
      <c r="J3091">
        <v>14</v>
      </c>
      <c r="K3091">
        <v>0</v>
      </c>
      <c r="L3091">
        <v>648</v>
      </c>
      <c r="M3091">
        <v>30</v>
      </c>
      <c r="N3091" s="1">
        <f t="shared" si="384"/>
        <v>44938</v>
      </c>
      <c r="O3091" s="1">
        <f t="shared" si="385"/>
        <v>43101</v>
      </c>
      <c r="P3091" s="1">
        <f t="shared" si="386"/>
        <v>45078</v>
      </c>
      <c r="Q3091" s="8">
        <f t="shared" si="387"/>
        <v>0</v>
      </c>
      <c r="R3091" s="8">
        <f t="shared" si="388"/>
        <v>66</v>
      </c>
      <c r="S3091" s="8">
        <f t="shared" ca="1" si="389"/>
        <v>66</v>
      </c>
      <c r="T3091">
        <f t="shared" ca="1" si="390"/>
        <v>2.5797350400000005</v>
      </c>
      <c r="U3091" s="8">
        <f t="shared" ca="1" si="391"/>
        <v>5.475034624000001</v>
      </c>
      <c r="V3091" s="9">
        <f ca="1">RawData[[#This Row],[Z (smoothed demand size)]]/RawData[[#This Row],[X (smoothed interval)]]</f>
        <v>0.47118150243135343</v>
      </c>
    </row>
    <row r="3092" spans="1:22">
      <c r="A3092" t="s">
        <v>62</v>
      </c>
      <c r="B3092" t="s">
        <v>60</v>
      </c>
      <c r="C3092">
        <v>32</v>
      </c>
      <c r="D3092" t="s">
        <v>15</v>
      </c>
      <c r="E3092" t="s">
        <v>16</v>
      </c>
      <c r="F3092" s="1">
        <v>44933</v>
      </c>
      <c r="G3092">
        <v>2</v>
      </c>
      <c r="H3092">
        <v>2</v>
      </c>
      <c r="I3092">
        <v>14</v>
      </c>
      <c r="J3092">
        <v>12</v>
      </c>
      <c r="K3092">
        <v>0</v>
      </c>
      <c r="L3092">
        <v>656</v>
      </c>
      <c r="M3092">
        <v>45</v>
      </c>
      <c r="N3092" s="1">
        <f t="shared" si="384"/>
        <v>44938</v>
      </c>
      <c r="O3092" s="1">
        <f t="shared" si="385"/>
        <v>43101</v>
      </c>
      <c r="P3092" s="1">
        <f t="shared" si="386"/>
        <v>45108</v>
      </c>
      <c r="Q3092" s="8">
        <f t="shared" si="387"/>
        <v>0</v>
      </c>
      <c r="R3092" s="8">
        <f t="shared" si="388"/>
        <v>67</v>
      </c>
      <c r="S3092" s="8">
        <f t="shared" ca="1" si="389"/>
        <v>67</v>
      </c>
      <c r="T3092">
        <f t="shared" ca="1" si="390"/>
        <v>2.4637880320000005</v>
      </c>
      <c r="U3092" s="8">
        <f t="shared" ca="1" si="391"/>
        <v>4.5800276992000013</v>
      </c>
      <c r="V3092" s="9">
        <f ca="1">RawData[[#This Row],[Z (smoothed demand size)]]/RawData[[#This Row],[X (smoothed interval)]]</f>
        <v>0.53794173175641558</v>
      </c>
    </row>
    <row r="3093" spans="1:22">
      <c r="A3093" t="s">
        <v>62</v>
      </c>
      <c r="B3093" t="s">
        <v>60</v>
      </c>
      <c r="C3093">
        <v>32</v>
      </c>
      <c r="D3093" t="s">
        <v>15</v>
      </c>
      <c r="E3093" t="s">
        <v>16</v>
      </c>
      <c r="F3093" s="1">
        <v>44934</v>
      </c>
      <c r="G3093">
        <v>1</v>
      </c>
      <c r="H3093">
        <v>1</v>
      </c>
      <c r="I3093">
        <v>12</v>
      </c>
      <c r="J3093">
        <v>11</v>
      </c>
      <c r="K3093">
        <v>0</v>
      </c>
      <c r="L3093">
        <v>659</v>
      </c>
      <c r="M3093">
        <v>15</v>
      </c>
      <c r="N3093" s="1">
        <f t="shared" si="384"/>
        <v>44938</v>
      </c>
      <c r="O3093" s="1">
        <f t="shared" si="385"/>
        <v>43101</v>
      </c>
      <c r="P3093" s="1">
        <f t="shared" si="386"/>
        <v>45139</v>
      </c>
      <c r="Q3093" s="8">
        <f t="shared" si="387"/>
        <v>0</v>
      </c>
      <c r="R3093" s="8">
        <f t="shared" si="388"/>
        <v>68</v>
      </c>
      <c r="S3093" s="8">
        <f t="shared" ca="1" si="389"/>
        <v>68</v>
      </c>
      <c r="T3093">
        <f t="shared" ca="1" si="390"/>
        <v>2.1710304256000006</v>
      </c>
      <c r="U3093" s="8">
        <f t="shared" ca="1" si="391"/>
        <v>3.8640221593600015</v>
      </c>
      <c r="V3093" s="9">
        <f ca="1">RawData[[#This Row],[Z (smoothed demand size)]]/RawData[[#This Row],[X (smoothed interval)]]</f>
        <v>0.56185765403570787</v>
      </c>
    </row>
    <row r="3094" spans="1:22">
      <c r="A3094" t="s">
        <v>62</v>
      </c>
      <c r="B3094" t="s">
        <v>60</v>
      </c>
      <c r="C3094">
        <v>32</v>
      </c>
      <c r="D3094" t="s">
        <v>15</v>
      </c>
      <c r="E3094" t="s">
        <v>16</v>
      </c>
      <c r="F3094" s="1">
        <v>44935</v>
      </c>
      <c r="G3094">
        <v>0</v>
      </c>
      <c r="H3094">
        <v>0</v>
      </c>
      <c r="I3094">
        <v>11</v>
      </c>
      <c r="J3094">
        <v>11</v>
      </c>
      <c r="K3094">
        <v>0</v>
      </c>
      <c r="L3094">
        <v>575</v>
      </c>
      <c r="M3094">
        <v>15</v>
      </c>
      <c r="N3094" s="1">
        <f t="shared" si="384"/>
        <v>44938</v>
      </c>
      <c r="O3094" s="1">
        <f t="shared" si="385"/>
        <v>43101</v>
      </c>
      <c r="P3094" s="1">
        <f t="shared" si="386"/>
        <v>45170</v>
      </c>
      <c r="Q3094" s="8">
        <f t="shared" si="387"/>
        <v>0</v>
      </c>
      <c r="R3094" s="8">
        <f t="shared" si="388"/>
        <v>69</v>
      </c>
      <c r="S3094" s="8">
        <f t="shared" ca="1" si="389"/>
        <v>68</v>
      </c>
      <c r="T3094">
        <f t="shared" ca="1" si="390"/>
        <v>2.1710304256000006</v>
      </c>
      <c r="U3094" s="8">
        <f t="shared" ca="1" si="391"/>
        <v>3.8640221593600015</v>
      </c>
      <c r="V3094" s="9">
        <f ca="1">RawData[[#This Row],[Z (smoothed demand size)]]/RawData[[#This Row],[X (smoothed interval)]]</f>
        <v>0.56185765403570787</v>
      </c>
    </row>
    <row r="3095" spans="1:22">
      <c r="A3095" t="s">
        <v>62</v>
      </c>
      <c r="B3095" t="s">
        <v>60</v>
      </c>
      <c r="C3095">
        <v>32</v>
      </c>
      <c r="D3095" t="s">
        <v>15</v>
      </c>
      <c r="E3095" t="s">
        <v>16</v>
      </c>
      <c r="F3095" s="1">
        <v>44936</v>
      </c>
      <c r="G3095">
        <v>0</v>
      </c>
      <c r="H3095">
        <v>0</v>
      </c>
      <c r="I3095">
        <v>11</v>
      </c>
      <c r="J3095">
        <v>11</v>
      </c>
      <c r="K3095">
        <v>0</v>
      </c>
      <c r="L3095">
        <v>561</v>
      </c>
      <c r="M3095">
        <v>30</v>
      </c>
      <c r="N3095" s="1">
        <f t="shared" si="384"/>
        <v>44938</v>
      </c>
      <c r="O3095" s="1">
        <f t="shared" si="385"/>
        <v>43101</v>
      </c>
      <c r="P3095" s="1">
        <f t="shared" si="386"/>
        <v>45200</v>
      </c>
      <c r="Q3095" s="8">
        <f t="shared" si="387"/>
        <v>0</v>
      </c>
      <c r="R3095" s="8">
        <f t="shared" si="388"/>
        <v>70</v>
      </c>
      <c r="S3095" s="8">
        <f t="shared" ca="1" si="389"/>
        <v>68</v>
      </c>
      <c r="T3095">
        <f t="shared" ca="1" si="390"/>
        <v>2.1710304256000006</v>
      </c>
      <c r="U3095" s="8">
        <f t="shared" ca="1" si="391"/>
        <v>3.8640221593600015</v>
      </c>
      <c r="V3095" s="9">
        <f ca="1">RawData[[#This Row],[Z (smoothed demand size)]]/RawData[[#This Row],[X (smoothed interval)]]</f>
        <v>0.56185765403570787</v>
      </c>
    </row>
    <row r="3096" spans="1:22">
      <c r="A3096" t="s">
        <v>62</v>
      </c>
      <c r="B3096" t="s">
        <v>60</v>
      </c>
      <c r="C3096">
        <v>32</v>
      </c>
      <c r="D3096" t="s">
        <v>15</v>
      </c>
      <c r="E3096" t="s">
        <v>16</v>
      </c>
      <c r="F3096" s="1">
        <v>44937</v>
      </c>
      <c r="G3096">
        <v>0</v>
      </c>
      <c r="H3096">
        <v>0</v>
      </c>
      <c r="I3096">
        <v>11</v>
      </c>
      <c r="J3096">
        <v>11</v>
      </c>
      <c r="K3096">
        <v>0</v>
      </c>
      <c r="L3096">
        <v>566</v>
      </c>
      <c r="M3096">
        <v>60</v>
      </c>
      <c r="N3096" s="1">
        <f t="shared" si="384"/>
        <v>44938</v>
      </c>
      <c r="O3096" s="1">
        <f t="shared" si="385"/>
        <v>43101</v>
      </c>
      <c r="P3096" s="1">
        <f t="shared" si="386"/>
        <v>45231</v>
      </c>
      <c r="Q3096" s="8">
        <f t="shared" si="387"/>
        <v>0</v>
      </c>
      <c r="R3096" s="8">
        <f t="shared" si="388"/>
        <v>71</v>
      </c>
      <c r="S3096" s="8">
        <f t="shared" ca="1" si="389"/>
        <v>68</v>
      </c>
      <c r="T3096">
        <f t="shared" ca="1" si="390"/>
        <v>2.1710304256000006</v>
      </c>
      <c r="U3096" s="8">
        <f t="shared" ca="1" si="391"/>
        <v>3.8640221593600015</v>
      </c>
      <c r="V3096" s="9">
        <f ca="1">RawData[[#This Row],[Z (smoothed demand size)]]/RawData[[#This Row],[X (smoothed interval)]]</f>
        <v>0.56185765403570787</v>
      </c>
    </row>
    <row r="3097" spans="1:22">
      <c r="A3097" t="s">
        <v>62</v>
      </c>
      <c r="B3097" t="s">
        <v>60</v>
      </c>
      <c r="C3097">
        <v>32</v>
      </c>
      <c r="D3097" t="s">
        <v>15</v>
      </c>
      <c r="E3097" t="s">
        <v>16</v>
      </c>
      <c r="F3097" s="1">
        <v>44938</v>
      </c>
      <c r="G3097">
        <v>7</v>
      </c>
      <c r="H3097">
        <v>7</v>
      </c>
      <c r="I3097">
        <v>11</v>
      </c>
      <c r="J3097">
        <v>4</v>
      </c>
      <c r="K3097">
        <v>0</v>
      </c>
      <c r="L3097">
        <v>659</v>
      </c>
      <c r="M3097">
        <v>60</v>
      </c>
      <c r="N3097" s="1">
        <f t="shared" si="384"/>
        <v>44938</v>
      </c>
      <c r="O3097" s="1">
        <f t="shared" si="385"/>
        <v>43101</v>
      </c>
      <c r="P3097" s="1">
        <f t="shared" si="386"/>
        <v>45261</v>
      </c>
      <c r="Q3097" s="8">
        <f t="shared" si="387"/>
        <v>0</v>
      </c>
      <c r="R3097" s="8">
        <f t="shared" si="388"/>
        <v>72</v>
      </c>
      <c r="S3097" s="8">
        <f t="shared" ca="1" si="389"/>
        <v>72</v>
      </c>
      <c r="T3097">
        <f t="shared" ca="1" si="390"/>
        <v>3.1368243404800005</v>
      </c>
      <c r="U3097" s="8">
        <f t="shared" ca="1" si="391"/>
        <v>3.8912177274880015</v>
      </c>
      <c r="V3097" s="9">
        <f ca="1">RawData[[#This Row],[Z (smoothed demand size)]]/RawData[[#This Row],[X (smoothed interval)]]</f>
        <v>0.80612922744495097</v>
      </c>
    </row>
    <row r="3098" spans="1:22">
      <c r="A3098" t="s">
        <v>63</v>
      </c>
      <c r="B3098" t="s">
        <v>60</v>
      </c>
      <c r="C3098">
        <v>28</v>
      </c>
      <c r="D3098" t="s">
        <v>18</v>
      </c>
      <c r="E3098" t="s">
        <v>16</v>
      </c>
      <c r="F3098" s="1">
        <v>43101</v>
      </c>
      <c r="G3098">
        <v>0</v>
      </c>
      <c r="H3098">
        <v>0</v>
      </c>
      <c r="I3098">
        <v>22</v>
      </c>
      <c r="J3098">
        <v>22</v>
      </c>
      <c r="K3098">
        <v>0</v>
      </c>
      <c r="L3098">
        <v>582</v>
      </c>
      <c r="M3098">
        <v>15</v>
      </c>
      <c r="N3098" s="1">
        <f t="shared" si="384"/>
        <v>44938</v>
      </c>
      <c r="O3098" s="1">
        <f t="shared" si="385"/>
        <v>43101</v>
      </c>
      <c r="P3098" s="1">
        <f t="shared" si="386"/>
        <v>43101</v>
      </c>
      <c r="Q3098" s="8">
        <f t="shared" si="387"/>
        <v>1</v>
      </c>
      <c r="R3098" s="8">
        <f t="shared" si="388"/>
        <v>1</v>
      </c>
      <c r="S3098" s="8">
        <f t="shared" ca="1" si="389"/>
        <v>0</v>
      </c>
      <c r="T3098">
        <f t="shared" ca="1" si="390"/>
        <v>0</v>
      </c>
      <c r="U3098" s="8">
        <f t="shared" ca="1" si="391"/>
        <v>1</v>
      </c>
      <c r="V3098" s="9">
        <f ca="1">RawData[[#This Row],[Z (smoothed demand size)]]/RawData[[#This Row],[X (smoothed interval)]]</f>
        <v>0</v>
      </c>
    </row>
    <row r="3099" spans="1:22">
      <c r="A3099" t="s">
        <v>63</v>
      </c>
      <c r="B3099" t="s">
        <v>60</v>
      </c>
      <c r="C3099">
        <v>28</v>
      </c>
      <c r="D3099" t="s">
        <v>18</v>
      </c>
      <c r="E3099" t="s">
        <v>16</v>
      </c>
      <c r="F3099" s="1">
        <v>43102</v>
      </c>
      <c r="G3099">
        <v>0</v>
      </c>
      <c r="H3099">
        <v>0</v>
      </c>
      <c r="I3099">
        <v>22</v>
      </c>
      <c r="J3099">
        <v>22</v>
      </c>
      <c r="K3099">
        <v>0</v>
      </c>
      <c r="L3099">
        <v>567</v>
      </c>
      <c r="M3099">
        <v>15</v>
      </c>
      <c r="N3099" s="1">
        <f t="shared" si="384"/>
        <v>44938</v>
      </c>
      <c r="O3099" s="1">
        <f t="shared" si="385"/>
        <v>43101</v>
      </c>
      <c r="P3099" s="1">
        <f t="shared" si="386"/>
        <v>43132</v>
      </c>
      <c r="Q3099" s="8">
        <f t="shared" si="387"/>
        <v>0</v>
      </c>
      <c r="R3099" s="8">
        <f t="shared" si="388"/>
        <v>2</v>
      </c>
      <c r="S3099" s="8">
        <f t="shared" ca="1" si="389"/>
        <v>0</v>
      </c>
      <c r="T3099">
        <f t="shared" ca="1" si="390"/>
        <v>0</v>
      </c>
      <c r="U3099" s="8">
        <f t="shared" ca="1" si="391"/>
        <v>1</v>
      </c>
      <c r="V3099" s="9">
        <f ca="1">RawData[[#This Row],[Z (smoothed demand size)]]/RawData[[#This Row],[X (smoothed interval)]]</f>
        <v>0</v>
      </c>
    </row>
    <row r="3100" spans="1:22">
      <c r="A3100" t="s">
        <v>63</v>
      </c>
      <c r="B3100" t="s">
        <v>60</v>
      </c>
      <c r="C3100">
        <v>28</v>
      </c>
      <c r="D3100" t="s">
        <v>18</v>
      </c>
      <c r="E3100" t="s">
        <v>16</v>
      </c>
      <c r="F3100" s="1">
        <v>43103</v>
      </c>
      <c r="G3100">
        <v>1</v>
      </c>
      <c r="H3100">
        <v>1</v>
      </c>
      <c r="I3100">
        <v>22</v>
      </c>
      <c r="J3100">
        <v>21</v>
      </c>
      <c r="K3100">
        <v>0</v>
      </c>
      <c r="L3100">
        <v>567</v>
      </c>
      <c r="M3100">
        <v>30</v>
      </c>
      <c r="N3100" s="1">
        <f t="shared" si="384"/>
        <v>44938</v>
      </c>
      <c r="O3100" s="1">
        <f t="shared" si="385"/>
        <v>43101</v>
      </c>
      <c r="P3100" s="1">
        <f t="shared" si="386"/>
        <v>43160</v>
      </c>
      <c r="Q3100" s="8">
        <f t="shared" si="387"/>
        <v>0</v>
      </c>
      <c r="R3100" s="8">
        <f t="shared" si="388"/>
        <v>3</v>
      </c>
      <c r="S3100" s="8">
        <f t="shared" ca="1" si="389"/>
        <v>3</v>
      </c>
      <c r="T3100">
        <f t="shared" ca="1" si="390"/>
        <v>0.2</v>
      </c>
      <c r="U3100" s="8">
        <f t="shared" ca="1" si="391"/>
        <v>1.4000000000000001</v>
      </c>
      <c r="V3100" s="9">
        <f ca="1">RawData[[#This Row],[Z (smoothed demand size)]]/RawData[[#This Row],[X (smoothed interval)]]</f>
        <v>0.14285714285714285</v>
      </c>
    </row>
    <row r="3101" spans="1:22">
      <c r="A3101" t="s">
        <v>63</v>
      </c>
      <c r="B3101" t="s">
        <v>60</v>
      </c>
      <c r="C3101">
        <v>28</v>
      </c>
      <c r="D3101" t="s">
        <v>18</v>
      </c>
      <c r="E3101" t="s">
        <v>16</v>
      </c>
      <c r="F3101" s="1">
        <v>43104</v>
      </c>
      <c r="G3101">
        <v>0</v>
      </c>
      <c r="H3101">
        <v>0</v>
      </c>
      <c r="I3101">
        <v>21</v>
      </c>
      <c r="J3101">
        <v>21</v>
      </c>
      <c r="K3101">
        <v>0</v>
      </c>
      <c r="L3101">
        <v>573</v>
      </c>
      <c r="M3101">
        <v>60</v>
      </c>
      <c r="N3101" s="1">
        <f t="shared" si="384"/>
        <v>44938</v>
      </c>
      <c r="O3101" s="1">
        <f t="shared" si="385"/>
        <v>43101</v>
      </c>
      <c r="P3101" s="1">
        <f t="shared" si="386"/>
        <v>43191</v>
      </c>
      <c r="Q3101" s="8">
        <f t="shared" si="387"/>
        <v>0</v>
      </c>
      <c r="R3101" s="8">
        <f t="shared" si="388"/>
        <v>4</v>
      </c>
      <c r="S3101" s="8">
        <f t="shared" ca="1" si="389"/>
        <v>3</v>
      </c>
      <c r="T3101">
        <f t="shared" ca="1" si="390"/>
        <v>0.2</v>
      </c>
      <c r="U3101" s="8">
        <f t="shared" ca="1" si="391"/>
        <v>1.4000000000000001</v>
      </c>
      <c r="V3101" s="9">
        <f ca="1">RawData[[#This Row],[Z (smoothed demand size)]]/RawData[[#This Row],[X (smoothed interval)]]</f>
        <v>0.14285714285714285</v>
      </c>
    </row>
    <row r="3102" spans="1:22">
      <c r="A3102" t="s">
        <v>63</v>
      </c>
      <c r="B3102" t="s">
        <v>60</v>
      </c>
      <c r="C3102">
        <v>28</v>
      </c>
      <c r="D3102" t="s">
        <v>18</v>
      </c>
      <c r="E3102" t="s">
        <v>16</v>
      </c>
      <c r="F3102" s="1">
        <v>43105</v>
      </c>
      <c r="G3102">
        <v>2</v>
      </c>
      <c r="H3102">
        <v>2</v>
      </c>
      <c r="I3102">
        <v>21</v>
      </c>
      <c r="J3102">
        <v>19</v>
      </c>
      <c r="K3102">
        <v>0</v>
      </c>
      <c r="L3102">
        <v>581</v>
      </c>
      <c r="M3102">
        <v>15</v>
      </c>
      <c r="N3102" s="1">
        <f t="shared" si="384"/>
        <v>44938</v>
      </c>
      <c r="O3102" s="1">
        <f t="shared" si="385"/>
        <v>43101</v>
      </c>
      <c r="P3102" s="1">
        <f t="shared" si="386"/>
        <v>43221</v>
      </c>
      <c r="Q3102" s="8">
        <f t="shared" si="387"/>
        <v>0</v>
      </c>
      <c r="R3102" s="8">
        <f t="shared" si="388"/>
        <v>5</v>
      </c>
      <c r="S3102" s="8">
        <f t="shared" ca="1" si="389"/>
        <v>5</v>
      </c>
      <c r="T3102">
        <f t="shared" ca="1" si="390"/>
        <v>0.56000000000000005</v>
      </c>
      <c r="U3102" s="8">
        <f t="shared" ca="1" si="391"/>
        <v>1.52</v>
      </c>
      <c r="V3102" s="9">
        <f ca="1">RawData[[#This Row],[Z (smoothed demand size)]]/RawData[[#This Row],[X (smoothed interval)]]</f>
        <v>0.36842105263157898</v>
      </c>
    </row>
    <row r="3103" spans="1:22">
      <c r="A3103" t="s">
        <v>63</v>
      </c>
      <c r="B3103" t="s">
        <v>60</v>
      </c>
      <c r="C3103">
        <v>28</v>
      </c>
      <c r="D3103" t="s">
        <v>18</v>
      </c>
      <c r="E3103" t="s">
        <v>16</v>
      </c>
      <c r="F3103" s="1">
        <v>43106</v>
      </c>
      <c r="G3103">
        <v>0</v>
      </c>
      <c r="H3103">
        <v>0</v>
      </c>
      <c r="I3103">
        <v>19</v>
      </c>
      <c r="J3103">
        <v>19</v>
      </c>
      <c r="K3103">
        <v>0</v>
      </c>
      <c r="L3103">
        <v>667</v>
      </c>
      <c r="M3103">
        <v>30</v>
      </c>
      <c r="N3103" s="1">
        <f t="shared" si="384"/>
        <v>44938</v>
      </c>
      <c r="O3103" s="1">
        <f t="shared" si="385"/>
        <v>43101</v>
      </c>
      <c r="P3103" s="1">
        <f t="shared" si="386"/>
        <v>43252</v>
      </c>
      <c r="Q3103" s="8">
        <f t="shared" si="387"/>
        <v>0</v>
      </c>
      <c r="R3103" s="8">
        <f t="shared" si="388"/>
        <v>6</v>
      </c>
      <c r="S3103" s="8">
        <f t="shared" ca="1" si="389"/>
        <v>5</v>
      </c>
      <c r="T3103">
        <f t="shared" ca="1" si="390"/>
        <v>0.56000000000000005</v>
      </c>
      <c r="U3103" s="8">
        <f t="shared" ca="1" si="391"/>
        <v>1.52</v>
      </c>
      <c r="V3103" s="9">
        <f ca="1">RawData[[#This Row],[Z (smoothed demand size)]]/RawData[[#This Row],[X (smoothed interval)]]</f>
        <v>0.36842105263157898</v>
      </c>
    </row>
    <row r="3104" spans="1:22">
      <c r="A3104" t="s">
        <v>63</v>
      </c>
      <c r="B3104" t="s">
        <v>60</v>
      </c>
      <c r="C3104">
        <v>28</v>
      </c>
      <c r="D3104" t="s">
        <v>18</v>
      </c>
      <c r="E3104" t="s">
        <v>16</v>
      </c>
      <c r="F3104" s="1">
        <v>43107</v>
      </c>
      <c r="G3104">
        <v>0</v>
      </c>
      <c r="H3104">
        <v>0</v>
      </c>
      <c r="I3104">
        <v>19</v>
      </c>
      <c r="J3104">
        <v>19</v>
      </c>
      <c r="K3104">
        <v>0</v>
      </c>
      <c r="L3104">
        <v>657</v>
      </c>
      <c r="M3104">
        <v>15</v>
      </c>
      <c r="N3104" s="1">
        <f t="shared" si="384"/>
        <v>44938</v>
      </c>
      <c r="O3104" s="1">
        <f t="shared" si="385"/>
        <v>43101</v>
      </c>
      <c r="P3104" s="1">
        <f t="shared" si="386"/>
        <v>43282</v>
      </c>
      <c r="Q3104" s="8">
        <f t="shared" si="387"/>
        <v>0</v>
      </c>
      <c r="R3104" s="8">
        <f t="shared" si="388"/>
        <v>7</v>
      </c>
      <c r="S3104" s="8">
        <f t="shared" ca="1" si="389"/>
        <v>5</v>
      </c>
      <c r="T3104">
        <f t="shared" ca="1" si="390"/>
        <v>0.56000000000000005</v>
      </c>
      <c r="U3104" s="8">
        <f t="shared" ca="1" si="391"/>
        <v>1.52</v>
      </c>
      <c r="V3104" s="9">
        <f ca="1">RawData[[#This Row],[Z (smoothed demand size)]]/RawData[[#This Row],[X (smoothed interval)]]</f>
        <v>0.36842105263157898</v>
      </c>
    </row>
    <row r="3105" spans="1:22">
      <c r="A3105" t="s">
        <v>63</v>
      </c>
      <c r="B3105" t="s">
        <v>60</v>
      </c>
      <c r="C3105">
        <v>28</v>
      </c>
      <c r="D3105" t="s">
        <v>18</v>
      </c>
      <c r="E3105" t="s">
        <v>16</v>
      </c>
      <c r="F3105" s="1">
        <v>43108</v>
      </c>
      <c r="G3105">
        <v>0</v>
      </c>
      <c r="H3105">
        <v>0</v>
      </c>
      <c r="I3105">
        <v>19</v>
      </c>
      <c r="J3105">
        <v>19</v>
      </c>
      <c r="K3105">
        <v>0</v>
      </c>
      <c r="L3105">
        <v>657</v>
      </c>
      <c r="M3105">
        <v>45</v>
      </c>
      <c r="N3105" s="1">
        <f t="shared" si="384"/>
        <v>44938</v>
      </c>
      <c r="O3105" s="1">
        <f t="shared" si="385"/>
        <v>43101</v>
      </c>
      <c r="P3105" s="1">
        <f t="shared" si="386"/>
        <v>43313</v>
      </c>
      <c r="Q3105" s="8">
        <f t="shared" si="387"/>
        <v>0</v>
      </c>
      <c r="R3105" s="8">
        <f t="shared" si="388"/>
        <v>8</v>
      </c>
      <c r="S3105" s="8">
        <f t="shared" ca="1" si="389"/>
        <v>5</v>
      </c>
      <c r="T3105">
        <f t="shared" ca="1" si="390"/>
        <v>0.56000000000000005</v>
      </c>
      <c r="U3105" s="8">
        <f t="shared" ca="1" si="391"/>
        <v>1.52</v>
      </c>
      <c r="V3105" s="9">
        <f ca="1">RawData[[#This Row],[Z (smoothed demand size)]]/RawData[[#This Row],[X (smoothed interval)]]</f>
        <v>0.36842105263157898</v>
      </c>
    </row>
    <row r="3106" spans="1:22">
      <c r="A3106" t="s">
        <v>63</v>
      </c>
      <c r="B3106" t="s">
        <v>60</v>
      </c>
      <c r="C3106">
        <v>28</v>
      </c>
      <c r="D3106" t="s">
        <v>18</v>
      </c>
      <c r="E3106" t="s">
        <v>16</v>
      </c>
      <c r="F3106" s="1">
        <v>43109</v>
      </c>
      <c r="G3106">
        <v>0</v>
      </c>
      <c r="H3106">
        <v>0</v>
      </c>
      <c r="I3106">
        <v>19</v>
      </c>
      <c r="J3106">
        <v>19</v>
      </c>
      <c r="K3106">
        <v>0</v>
      </c>
      <c r="L3106">
        <v>576</v>
      </c>
      <c r="M3106">
        <v>15</v>
      </c>
      <c r="N3106" s="1">
        <f t="shared" si="384"/>
        <v>44938</v>
      </c>
      <c r="O3106" s="1">
        <f t="shared" si="385"/>
        <v>43101</v>
      </c>
      <c r="P3106" s="1">
        <f t="shared" si="386"/>
        <v>43344</v>
      </c>
      <c r="Q3106" s="8">
        <f t="shared" si="387"/>
        <v>0</v>
      </c>
      <c r="R3106" s="8">
        <f t="shared" si="388"/>
        <v>9</v>
      </c>
      <c r="S3106" s="8">
        <f t="shared" ca="1" si="389"/>
        <v>5</v>
      </c>
      <c r="T3106">
        <f t="shared" ca="1" si="390"/>
        <v>0.56000000000000005</v>
      </c>
      <c r="U3106" s="8">
        <f t="shared" ca="1" si="391"/>
        <v>1.52</v>
      </c>
      <c r="V3106" s="9">
        <f ca="1">RawData[[#This Row],[Z (smoothed demand size)]]/RawData[[#This Row],[X (smoothed interval)]]</f>
        <v>0.36842105263157898</v>
      </c>
    </row>
    <row r="3107" spans="1:22">
      <c r="A3107" t="s">
        <v>63</v>
      </c>
      <c r="B3107" t="s">
        <v>60</v>
      </c>
      <c r="C3107">
        <v>28</v>
      </c>
      <c r="D3107" t="s">
        <v>18</v>
      </c>
      <c r="E3107" t="s">
        <v>16</v>
      </c>
      <c r="F3107" s="1">
        <v>43110</v>
      </c>
      <c r="G3107">
        <v>0</v>
      </c>
      <c r="H3107">
        <v>0</v>
      </c>
      <c r="I3107">
        <v>19</v>
      </c>
      <c r="J3107">
        <v>19</v>
      </c>
      <c r="K3107">
        <v>0</v>
      </c>
      <c r="L3107">
        <v>573</v>
      </c>
      <c r="M3107">
        <v>15</v>
      </c>
      <c r="N3107" s="1">
        <f t="shared" si="384"/>
        <v>44938</v>
      </c>
      <c r="O3107" s="1">
        <f t="shared" si="385"/>
        <v>43101</v>
      </c>
      <c r="P3107" s="1">
        <f t="shared" si="386"/>
        <v>43374</v>
      </c>
      <c r="Q3107" s="8">
        <f t="shared" si="387"/>
        <v>0</v>
      </c>
      <c r="R3107" s="8">
        <f t="shared" si="388"/>
        <v>10</v>
      </c>
      <c r="S3107" s="8">
        <f t="shared" ca="1" si="389"/>
        <v>5</v>
      </c>
      <c r="T3107">
        <f t="shared" ca="1" si="390"/>
        <v>0.56000000000000005</v>
      </c>
      <c r="U3107" s="8">
        <f t="shared" ca="1" si="391"/>
        <v>1.52</v>
      </c>
      <c r="V3107" s="9">
        <f ca="1">RawData[[#This Row],[Z (smoothed demand size)]]/RawData[[#This Row],[X (smoothed interval)]]</f>
        <v>0.36842105263157898</v>
      </c>
    </row>
    <row r="3108" spans="1:22">
      <c r="A3108" t="s">
        <v>63</v>
      </c>
      <c r="B3108" t="s">
        <v>60</v>
      </c>
      <c r="C3108">
        <v>28</v>
      </c>
      <c r="D3108" t="s">
        <v>18</v>
      </c>
      <c r="E3108" t="s">
        <v>16</v>
      </c>
      <c r="F3108" s="1">
        <v>43111</v>
      </c>
      <c r="G3108">
        <v>0</v>
      </c>
      <c r="H3108">
        <v>0</v>
      </c>
      <c r="I3108">
        <v>19</v>
      </c>
      <c r="J3108">
        <v>19</v>
      </c>
      <c r="K3108">
        <v>0</v>
      </c>
      <c r="L3108">
        <v>573</v>
      </c>
      <c r="M3108">
        <v>30</v>
      </c>
      <c r="N3108" s="1">
        <f t="shared" si="384"/>
        <v>44938</v>
      </c>
      <c r="O3108" s="1">
        <f t="shared" si="385"/>
        <v>43101</v>
      </c>
      <c r="P3108" s="1">
        <f t="shared" si="386"/>
        <v>43405</v>
      </c>
      <c r="Q3108" s="8">
        <f t="shared" si="387"/>
        <v>0</v>
      </c>
      <c r="R3108" s="8">
        <f t="shared" si="388"/>
        <v>11</v>
      </c>
      <c r="S3108" s="8">
        <f t="shared" ca="1" si="389"/>
        <v>5</v>
      </c>
      <c r="T3108">
        <f t="shared" ca="1" si="390"/>
        <v>0.56000000000000005</v>
      </c>
      <c r="U3108" s="8">
        <f t="shared" ca="1" si="391"/>
        <v>1.52</v>
      </c>
      <c r="V3108" s="9">
        <f ca="1">RawData[[#This Row],[Z (smoothed demand size)]]/RawData[[#This Row],[X (smoothed interval)]]</f>
        <v>0.36842105263157898</v>
      </c>
    </row>
    <row r="3109" spans="1:22">
      <c r="A3109" t="s">
        <v>63</v>
      </c>
      <c r="B3109" t="s">
        <v>60</v>
      </c>
      <c r="C3109">
        <v>28</v>
      </c>
      <c r="D3109" t="s">
        <v>18</v>
      </c>
      <c r="E3109" t="s">
        <v>16</v>
      </c>
      <c r="F3109" s="1">
        <v>43112</v>
      </c>
      <c r="G3109">
        <v>0</v>
      </c>
      <c r="H3109">
        <v>0</v>
      </c>
      <c r="I3109">
        <v>19</v>
      </c>
      <c r="J3109">
        <v>19</v>
      </c>
      <c r="K3109">
        <v>0</v>
      </c>
      <c r="L3109">
        <v>658</v>
      </c>
      <c r="M3109">
        <v>45</v>
      </c>
      <c r="N3109" s="1">
        <f t="shared" si="384"/>
        <v>44938</v>
      </c>
      <c r="O3109" s="1">
        <f t="shared" si="385"/>
        <v>43101</v>
      </c>
      <c r="P3109" s="1">
        <f t="shared" si="386"/>
        <v>43435</v>
      </c>
      <c r="Q3109" s="8">
        <f t="shared" si="387"/>
        <v>0</v>
      </c>
      <c r="R3109" s="8">
        <f t="shared" si="388"/>
        <v>12</v>
      </c>
      <c r="S3109" s="8">
        <f t="shared" ca="1" si="389"/>
        <v>5</v>
      </c>
      <c r="T3109">
        <f t="shared" ca="1" si="390"/>
        <v>0.56000000000000005</v>
      </c>
      <c r="U3109" s="8">
        <f t="shared" ca="1" si="391"/>
        <v>1.52</v>
      </c>
      <c r="V3109" s="9">
        <f ca="1">RawData[[#This Row],[Z (smoothed demand size)]]/RawData[[#This Row],[X (smoothed interval)]]</f>
        <v>0.36842105263157898</v>
      </c>
    </row>
    <row r="3110" spans="1:22">
      <c r="A3110" t="s">
        <v>63</v>
      </c>
      <c r="B3110" t="s">
        <v>60</v>
      </c>
      <c r="C3110">
        <v>28</v>
      </c>
      <c r="D3110" t="s">
        <v>18</v>
      </c>
      <c r="E3110" t="s">
        <v>16</v>
      </c>
      <c r="F3110" s="1">
        <v>43466</v>
      </c>
      <c r="G3110">
        <v>0</v>
      </c>
      <c r="H3110">
        <v>0</v>
      </c>
      <c r="I3110">
        <v>19</v>
      </c>
      <c r="J3110">
        <v>19</v>
      </c>
      <c r="K3110">
        <v>0</v>
      </c>
      <c r="L3110">
        <v>575</v>
      </c>
      <c r="M3110">
        <v>60</v>
      </c>
      <c r="N3110" s="1">
        <f t="shared" si="384"/>
        <v>44938</v>
      </c>
      <c r="O3110" s="1">
        <f t="shared" si="385"/>
        <v>43101</v>
      </c>
      <c r="P3110" s="1">
        <f t="shared" si="386"/>
        <v>43466</v>
      </c>
      <c r="Q3110" s="8">
        <f t="shared" si="387"/>
        <v>0</v>
      </c>
      <c r="R3110" s="8">
        <f t="shared" si="388"/>
        <v>13</v>
      </c>
      <c r="S3110" s="8">
        <f t="shared" ca="1" si="389"/>
        <v>5</v>
      </c>
      <c r="T3110">
        <f t="shared" ca="1" si="390"/>
        <v>0.56000000000000005</v>
      </c>
      <c r="U3110" s="8">
        <f t="shared" ca="1" si="391"/>
        <v>1.52</v>
      </c>
      <c r="V3110" s="9">
        <f ca="1">RawData[[#This Row],[Z (smoothed demand size)]]/RawData[[#This Row],[X (smoothed interval)]]</f>
        <v>0.36842105263157898</v>
      </c>
    </row>
    <row r="3111" spans="1:22">
      <c r="A3111" t="s">
        <v>63</v>
      </c>
      <c r="B3111" t="s">
        <v>60</v>
      </c>
      <c r="C3111">
        <v>28</v>
      </c>
      <c r="D3111" t="s">
        <v>18</v>
      </c>
      <c r="E3111" t="s">
        <v>16</v>
      </c>
      <c r="F3111" s="1">
        <v>43467</v>
      </c>
      <c r="G3111">
        <v>0</v>
      </c>
      <c r="H3111">
        <v>0</v>
      </c>
      <c r="I3111">
        <v>19</v>
      </c>
      <c r="J3111">
        <v>19</v>
      </c>
      <c r="K3111">
        <v>0</v>
      </c>
      <c r="L3111">
        <v>574</v>
      </c>
      <c r="M3111">
        <v>45</v>
      </c>
      <c r="N3111" s="1">
        <f t="shared" si="384"/>
        <v>44938</v>
      </c>
      <c r="O3111" s="1">
        <f t="shared" si="385"/>
        <v>43101</v>
      </c>
      <c r="P3111" s="1">
        <f t="shared" si="386"/>
        <v>43497</v>
      </c>
      <c r="Q3111" s="8">
        <f t="shared" si="387"/>
        <v>0</v>
      </c>
      <c r="R3111" s="8">
        <f t="shared" si="388"/>
        <v>14</v>
      </c>
      <c r="S3111" s="8">
        <f t="shared" ca="1" si="389"/>
        <v>5</v>
      </c>
      <c r="T3111">
        <f t="shared" ca="1" si="390"/>
        <v>0.56000000000000005</v>
      </c>
      <c r="U3111" s="8">
        <f t="shared" ca="1" si="391"/>
        <v>1.52</v>
      </c>
      <c r="V3111" s="9">
        <f ca="1">RawData[[#This Row],[Z (smoothed demand size)]]/RawData[[#This Row],[X (smoothed interval)]]</f>
        <v>0.36842105263157898</v>
      </c>
    </row>
    <row r="3112" spans="1:22">
      <c r="A3112" t="s">
        <v>63</v>
      </c>
      <c r="B3112" t="s">
        <v>60</v>
      </c>
      <c r="C3112">
        <v>28</v>
      </c>
      <c r="D3112" t="s">
        <v>18</v>
      </c>
      <c r="E3112" t="s">
        <v>16</v>
      </c>
      <c r="F3112" s="1">
        <v>43468</v>
      </c>
      <c r="G3112">
        <v>1</v>
      </c>
      <c r="H3112">
        <v>1</v>
      </c>
      <c r="I3112">
        <v>19</v>
      </c>
      <c r="J3112">
        <v>18</v>
      </c>
      <c r="K3112">
        <v>0</v>
      </c>
      <c r="L3112">
        <v>580</v>
      </c>
      <c r="M3112">
        <v>15</v>
      </c>
      <c r="N3112" s="1">
        <f t="shared" si="384"/>
        <v>44938</v>
      </c>
      <c r="O3112" s="1">
        <f t="shared" si="385"/>
        <v>43101</v>
      </c>
      <c r="P3112" s="1">
        <f t="shared" si="386"/>
        <v>43525</v>
      </c>
      <c r="Q3112" s="8">
        <f t="shared" si="387"/>
        <v>0</v>
      </c>
      <c r="R3112" s="8">
        <f t="shared" si="388"/>
        <v>15</v>
      </c>
      <c r="S3112" s="8">
        <f t="shared" ca="1" si="389"/>
        <v>15</v>
      </c>
      <c r="T3112">
        <f t="shared" ca="1" si="390"/>
        <v>0.64800000000000013</v>
      </c>
      <c r="U3112" s="8">
        <f t="shared" ca="1" si="391"/>
        <v>3.2160000000000002</v>
      </c>
      <c r="V3112" s="9">
        <f ca="1">RawData[[#This Row],[Z (smoothed demand size)]]/RawData[[#This Row],[X (smoothed interval)]]</f>
        <v>0.20149253731343286</v>
      </c>
    </row>
    <row r="3113" spans="1:22">
      <c r="A3113" t="s">
        <v>63</v>
      </c>
      <c r="B3113" t="s">
        <v>60</v>
      </c>
      <c r="C3113">
        <v>28</v>
      </c>
      <c r="D3113" t="s">
        <v>18</v>
      </c>
      <c r="E3113" t="s">
        <v>16</v>
      </c>
      <c r="F3113" s="1">
        <v>43469</v>
      </c>
      <c r="G3113">
        <v>0</v>
      </c>
      <c r="H3113">
        <v>0</v>
      </c>
      <c r="I3113">
        <v>18</v>
      </c>
      <c r="J3113">
        <v>18</v>
      </c>
      <c r="K3113">
        <v>0</v>
      </c>
      <c r="L3113">
        <v>568</v>
      </c>
      <c r="M3113">
        <v>45</v>
      </c>
      <c r="N3113" s="1">
        <f t="shared" si="384"/>
        <v>44938</v>
      </c>
      <c r="O3113" s="1">
        <f t="shared" si="385"/>
        <v>43101</v>
      </c>
      <c r="P3113" s="1">
        <f t="shared" si="386"/>
        <v>43556</v>
      </c>
      <c r="Q3113" s="8">
        <f t="shared" si="387"/>
        <v>0</v>
      </c>
      <c r="R3113" s="8">
        <f t="shared" si="388"/>
        <v>16</v>
      </c>
      <c r="S3113" s="8">
        <f t="shared" ca="1" si="389"/>
        <v>15</v>
      </c>
      <c r="T3113">
        <f t="shared" ca="1" si="390"/>
        <v>0.64800000000000013</v>
      </c>
      <c r="U3113" s="8">
        <f t="shared" ca="1" si="391"/>
        <v>3.2160000000000002</v>
      </c>
      <c r="V3113" s="9">
        <f ca="1">RawData[[#This Row],[Z (smoothed demand size)]]/RawData[[#This Row],[X (smoothed interval)]]</f>
        <v>0.20149253731343286</v>
      </c>
    </row>
    <row r="3114" spans="1:22">
      <c r="A3114" t="s">
        <v>63</v>
      </c>
      <c r="B3114" t="s">
        <v>60</v>
      </c>
      <c r="C3114">
        <v>28</v>
      </c>
      <c r="D3114" t="s">
        <v>18</v>
      </c>
      <c r="E3114" t="s">
        <v>16</v>
      </c>
      <c r="F3114" s="1">
        <v>43470</v>
      </c>
      <c r="G3114">
        <v>0</v>
      </c>
      <c r="H3114">
        <v>0</v>
      </c>
      <c r="I3114">
        <v>18</v>
      </c>
      <c r="J3114">
        <v>18</v>
      </c>
      <c r="K3114">
        <v>0</v>
      </c>
      <c r="L3114">
        <v>568</v>
      </c>
      <c r="M3114">
        <v>15</v>
      </c>
      <c r="N3114" s="1">
        <f t="shared" si="384"/>
        <v>44938</v>
      </c>
      <c r="O3114" s="1">
        <f t="shared" si="385"/>
        <v>43101</v>
      </c>
      <c r="P3114" s="1">
        <f t="shared" si="386"/>
        <v>43586</v>
      </c>
      <c r="Q3114" s="8">
        <f t="shared" si="387"/>
        <v>0</v>
      </c>
      <c r="R3114" s="8">
        <f t="shared" si="388"/>
        <v>17</v>
      </c>
      <c r="S3114" s="8">
        <f t="shared" ca="1" si="389"/>
        <v>15</v>
      </c>
      <c r="T3114">
        <f t="shared" ca="1" si="390"/>
        <v>0.64800000000000013</v>
      </c>
      <c r="U3114" s="8">
        <f t="shared" ca="1" si="391"/>
        <v>3.2160000000000002</v>
      </c>
      <c r="V3114" s="9">
        <f ca="1">RawData[[#This Row],[Z (smoothed demand size)]]/RawData[[#This Row],[X (smoothed interval)]]</f>
        <v>0.20149253731343286</v>
      </c>
    </row>
    <row r="3115" spans="1:22">
      <c r="A3115" t="s">
        <v>63</v>
      </c>
      <c r="B3115" t="s">
        <v>60</v>
      </c>
      <c r="C3115">
        <v>28</v>
      </c>
      <c r="D3115" t="s">
        <v>18</v>
      </c>
      <c r="E3115" t="s">
        <v>16</v>
      </c>
      <c r="F3115" s="1">
        <v>43471</v>
      </c>
      <c r="G3115">
        <v>0</v>
      </c>
      <c r="H3115">
        <v>0</v>
      </c>
      <c r="I3115">
        <v>18</v>
      </c>
      <c r="J3115">
        <v>18</v>
      </c>
      <c r="K3115">
        <v>0</v>
      </c>
      <c r="L3115">
        <v>656</v>
      </c>
      <c r="M3115">
        <v>45</v>
      </c>
      <c r="N3115" s="1">
        <f t="shared" si="384"/>
        <v>44938</v>
      </c>
      <c r="O3115" s="1">
        <f t="shared" si="385"/>
        <v>43101</v>
      </c>
      <c r="P3115" s="1">
        <f t="shared" si="386"/>
        <v>43617</v>
      </c>
      <c r="Q3115" s="8">
        <f t="shared" si="387"/>
        <v>0</v>
      </c>
      <c r="R3115" s="8">
        <f t="shared" si="388"/>
        <v>18</v>
      </c>
      <c r="S3115" s="8">
        <f t="shared" ca="1" si="389"/>
        <v>15</v>
      </c>
      <c r="T3115">
        <f t="shared" ca="1" si="390"/>
        <v>0.64800000000000013</v>
      </c>
      <c r="U3115" s="8">
        <f t="shared" ca="1" si="391"/>
        <v>3.2160000000000002</v>
      </c>
      <c r="V3115" s="9">
        <f ca="1">RawData[[#This Row],[Z (smoothed demand size)]]/RawData[[#This Row],[X (smoothed interval)]]</f>
        <v>0.20149253731343286</v>
      </c>
    </row>
    <row r="3116" spans="1:22">
      <c r="A3116" t="s">
        <v>63</v>
      </c>
      <c r="B3116" t="s">
        <v>60</v>
      </c>
      <c r="C3116">
        <v>28</v>
      </c>
      <c r="D3116" t="s">
        <v>18</v>
      </c>
      <c r="E3116" t="s">
        <v>16</v>
      </c>
      <c r="F3116" s="1">
        <v>43472</v>
      </c>
      <c r="G3116">
        <v>0</v>
      </c>
      <c r="H3116">
        <v>0</v>
      </c>
      <c r="I3116">
        <v>18</v>
      </c>
      <c r="J3116">
        <v>18</v>
      </c>
      <c r="K3116">
        <v>0</v>
      </c>
      <c r="L3116">
        <v>656</v>
      </c>
      <c r="M3116">
        <v>60</v>
      </c>
      <c r="N3116" s="1">
        <f t="shared" si="384"/>
        <v>44938</v>
      </c>
      <c r="O3116" s="1">
        <f t="shared" si="385"/>
        <v>43101</v>
      </c>
      <c r="P3116" s="1">
        <f t="shared" si="386"/>
        <v>43647</v>
      </c>
      <c r="Q3116" s="8">
        <f t="shared" si="387"/>
        <v>0</v>
      </c>
      <c r="R3116" s="8">
        <f t="shared" si="388"/>
        <v>19</v>
      </c>
      <c r="S3116" s="8">
        <f t="shared" ca="1" si="389"/>
        <v>15</v>
      </c>
      <c r="T3116">
        <f t="shared" ca="1" si="390"/>
        <v>0.64800000000000013</v>
      </c>
      <c r="U3116" s="8">
        <f t="shared" ca="1" si="391"/>
        <v>3.2160000000000002</v>
      </c>
      <c r="V3116" s="9">
        <f ca="1">RawData[[#This Row],[Z (smoothed demand size)]]/RawData[[#This Row],[X (smoothed interval)]]</f>
        <v>0.20149253731343286</v>
      </c>
    </row>
    <row r="3117" spans="1:22">
      <c r="A3117" t="s">
        <v>63</v>
      </c>
      <c r="B3117" t="s">
        <v>60</v>
      </c>
      <c r="C3117">
        <v>28</v>
      </c>
      <c r="D3117" t="s">
        <v>18</v>
      </c>
      <c r="E3117" t="s">
        <v>16</v>
      </c>
      <c r="F3117" s="1">
        <v>43473</v>
      </c>
      <c r="G3117">
        <v>0</v>
      </c>
      <c r="H3117">
        <v>0</v>
      </c>
      <c r="I3117">
        <v>18</v>
      </c>
      <c r="J3117">
        <v>18</v>
      </c>
      <c r="K3117">
        <v>0</v>
      </c>
      <c r="L3117">
        <v>663</v>
      </c>
      <c r="M3117">
        <v>15</v>
      </c>
      <c r="N3117" s="1">
        <f t="shared" si="384"/>
        <v>44938</v>
      </c>
      <c r="O3117" s="1">
        <f t="shared" si="385"/>
        <v>43101</v>
      </c>
      <c r="P3117" s="1">
        <f t="shared" si="386"/>
        <v>43678</v>
      </c>
      <c r="Q3117" s="8">
        <f t="shared" si="387"/>
        <v>0</v>
      </c>
      <c r="R3117" s="8">
        <f t="shared" si="388"/>
        <v>20</v>
      </c>
      <c r="S3117" s="8">
        <f t="shared" ca="1" si="389"/>
        <v>15</v>
      </c>
      <c r="T3117">
        <f t="shared" ca="1" si="390"/>
        <v>0.64800000000000013</v>
      </c>
      <c r="U3117" s="8">
        <f t="shared" ca="1" si="391"/>
        <v>3.2160000000000002</v>
      </c>
      <c r="V3117" s="9">
        <f ca="1">RawData[[#This Row],[Z (smoothed demand size)]]/RawData[[#This Row],[X (smoothed interval)]]</f>
        <v>0.20149253731343286</v>
      </c>
    </row>
    <row r="3118" spans="1:22">
      <c r="A3118" t="s">
        <v>63</v>
      </c>
      <c r="B3118" t="s">
        <v>60</v>
      </c>
      <c r="C3118">
        <v>28</v>
      </c>
      <c r="D3118" t="s">
        <v>18</v>
      </c>
      <c r="E3118" t="s">
        <v>16</v>
      </c>
      <c r="F3118" s="1">
        <v>43474</v>
      </c>
      <c r="G3118">
        <v>0</v>
      </c>
      <c r="H3118">
        <v>0</v>
      </c>
      <c r="I3118">
        <v>18</v>
      </c>
      <c r="J3118">
        <v>18</v>
      </c>
      <c r="K3118">
        <v>0</v>
      </c>
      <c r="L3118">
        <v>565</v>
      </c>
      <c r="M3118">
        <v>60</v>
      </c>
      <c r="N3118" s="1">
        <f t="shared" si="384"/>
        <v>44938</v>
      </c>
      <c r="O3118" s="1">
        <f t="shared" si="385"/>
        <v>43101</v>
      </c>
      <c r="P3118" s="1">
        <f t="shared" si="386"/>
        <v>43709</v>
      </c>
      <c r="Q3118" s="8">
        <f t="shared" si="387"/>
        <v>0</v>
      </c>
      <c r="R3118" s="8">
        <f t="shared" si="388"/>
        <v>21</v>
      </c>
      <c r="S3118" s="8">
        <f t="shared" ca="1" si="389"/>
        <v>15</v>
      </c>
      <c r="T3118">
        <f t="shared" ca="1" si="390"/>
        <v>0.64800000000000013</v>
      </c>
      <c r="U3118" s="8">
        <f t="shared" ca="1" si="391"/>
        <v>3.2160000000000002</v>
      </c>
      <c r="V3118" s="9">
        <f ca="1">RawData[[#This Row],[Z (smoothed demand size)]]/RawData[[#This Row],[X (smoothed interval)]]</f>
        <v>0.20149253731343286</v>
      </c>
    </row>
    <row r="3119" spans="1:22">
      <c r="A3119" t="s">
        <v>63</v>
      </c>
      <c r="B3119" t="s">
        <v>60</v>
      </c>
      <c r="C3119">
        <v>28</v>
      </c>
      <c r="D3119" t="s">
        <v>18</v>
      </c>
      <c r="E3119" t="s">
        <v>16</v>
      </c>
      <c r="F3119" s="1">
        <v>43475</v>
      </c>
      <c r="G3119">
        <v>1</v>
      </c>
      <c r="H3119">
        <v>1</v>
      </c>
      <c r="I3119">
        <v>18</v>
      </c>
      <c r="J3119">
        <v>17</v>
      </c>
      <c r="K3119">
        <v>0</v>
      </c>
      <c r="L3119">
        <v>579</v>
      </c>
      <c r="M3119">
        <v>60</v>
      </c>
      <c r="N3119" s="1">
        <f t="shared" si="384"/>
        <v>44938</v>
      </c>
      <c r="O3119" s="1">
        <f t="shared" si="385"/>
        <v>43101</v>
      </c>
      <c r="P3119" s="1">
        <f t="shared" si="386"/>
        <v>43739</v>
      </c>
      <c r="Q3119" s="8">
        <f t="shared" si="387"/>
        <v>0</v>
      </c>
      <c r="R3119" s="8">
        <f t="shared" si="388"/>
        <v>22</v>
      </c>
      <c r="S3119" s="8">
        <f t="shared" ca="1" si="389"/>
        <v>22</v>
      </c>
      <c r="T3119">
        <f t="shared" ca="1" si="390"/>
        <v>0.71840000000000015</v>
      </c>
      <c r="U3119" s="8">
        <f t="shared" ca="1" si="391"/>
        <v>3.9728000000000003</v>
      </c>
      <c r="V3119" s="9">
        <f ca="1">RawData[[#This Row],[Z (smoothed demand size)]]/RawData[[#This Row],[X (smoothed interval)]]</f>
        <v>0.18082964156262588</v>
      </c>
    </row>
    <row r="3120" spans="1:22">
      <c r="A3120" t="s">
        <v>63</v>
      </c>
      <c r="B3120" t="s">
        <v>60</v>
      </c>
      <c r="C3120">
        <v>28</v>
      </c>
      <c r="D3120" t="s">
        <v>18</v>
      </c>
      <c r="E3120" t="s">
        <v>16</v>
      </c>
      <c r="F3120" s="1">
        <v>43476</v>
      </c>
      <c r="G3120">
        <v>2</v>
      </c>
      <c r="H3120">
        <v>2</v>
      </c>
      <c r="I3120">
        <v>17</v>
      </c>
      <c r="J3120">
        <v>15</v>
      </c>
      <c r="K3120">
        <v>0</v>
      </c>
      <c r="L3120">
        <v>570</v>
      </c>
      <c r="M3120">
        <v>60</v>
      </c>
      <c r="N3120" s="1">
        <f t="shared" si="384"/>
        <v>44938</v>
      </c>
      <c r="O3120" s="1">
        <f t="shared" si="385"/>
        <v>43101</v>
      </c>
      <c r="P3120" s="1">
        <f t="shared" si="386"/>
        <v>43770</v>
      </c>
      <c r="Q3120" s="8">
        <f t="shared" si="387"/>
        <v>0</v>
      </c>
      <c r="R3120" s="8">
        <f t="shared" si="388"/>
        <v>23</v>
      </c>
      <c r="S3120" s="8">
        <f t="shared" ca="1" si="389"/>
        <v>23</v>
      </c>
      <c r="T3120">
        <f t="shared" ca="1" si="390"/>
        <v>0.97472000000000014</v>
      </c>
      <c r="U3120" s="8">
        <f t="shared" ca="1" si="391"/>
        <v>3.3782400000000008</v>
      </c>
      <c r="V3120" s="9">
        <f ca="1">RawData[[#This Row],[Z (smoothed demand size)]]/RawData[[#This Row],[X (smoothed interval)]]</f>
        <v>0.28852893814530639</v>
      </c>
    </row>
    <row r="3121" spans="1:22">
      <c r="A3121" t="s">
        <v>63</v>
      </c>
      <c r="B3121" t="s">
        <v>60</v>
      </c>
      <c r="C3121">
        <v>28</v>
      </c>
      <c r="D3121" t="s">
        <v>18</v>
      </c>
      <c r="E3121" t="s">
        <v>16</v>
      </c>
      <c r="F3121" s="1">
        <v>43477</v>
      </c>
      <c r="G3121">
        <v>2</v>
      </c>
      <c r="H3121">
        <v>2</v>
      </c>
      <c r="I3121">
        <v>15</v>
      </c>
      <c r="J3121">
        <v>13</v>
      </c>
      <c r="K3121">
        <v>0</v>
      </c>
      <c r="L3121">
        <v>665</v>
      </c>
      <c r="M3121">
        <v>15</v>
      </c>
      <c r="N3121" s="1">
        <f t="shared" si="384"/>
        <v>44938</v>
      </c>
      <c r="O3121" s="1">
        <f t="shared" si="385"/>
        <v>43101</v>
      </c>
      <c r="P3121" s="1">
        <f t="shared" si="386"/>
        <v>43800</v>
      </c>
      <c r="Q3121" s="8">
        <f t="shared" si="387"/>
        <v>0</v>
      </c>
      <c r="R3121" s="8">
        <f t="shared" si="388"/>
        <v>24</v>
      </c>
      <c r="S3121" s="8">
        <f t="shared" ca="1" si="389"/>
        <v>24</v>
      </c>
      <c r="T3121">
        <f t="shared" ca="1" si="390"/>
        <v>1.1797760000000002</v>
      </c>
      <c r="U3121" s="8">
        <f t="shared" ca="1" si="391"/>
        <v>2.9025920000000012</v>
      </c>
      <c r="V3121" s="9">
        <f ca="1">RawData[[#This Row],[Z (smoothed demand size)]]/RawData[[#This Row],[X (smoothed interval)]]</f>
        <v>0.40645602275483417</v>
      </c>
    </row>
    <row r="3122" spans="1:22">
      <c r="A3122" t="s">
        <v>63</v>
      </c>
      <c r="B3122" t="s">
        <v>60</v>
      </c>
      <c r="C3122">
        <v>28</v>
      </c>
      <c r="D3122" t="s">
        <v>18</v>
      </c>
      <c r="E3122" t="s">
        <v>16</v>
      </c>
      <c r="F3122" s="1">
        <v>43831</v>
      </c>
      <c r="G3122">
        <v>0</v>
      </c>
      <c r="H3122">
        <v>0</v>
      </c>
      <c r="I3122">
        <v>13</v>
      </c>
      <c r="J3122">
        <v>13</v>
      </c>
      <c r="K3122">
        <v>0</v>
      </c>
      <c r="L3122">
        <v>584</v>
      </c>
      <c r="M3122">
        <v>45</v>
      </c>
      <c r="N3122" s="1">
        <f t="shared" si="384"/>
        <v>44938</v>
      </c>
      <c r="O3122" s="1">
        <f t="shared" si="385"/>
        <v>43101</v>
      </c>
      <c r="P3122" s="1">
        <f t="shared" si="386"/>
        <v>43831</v>
      </c>
      <c r="Q3122" s="8">
        <f t="shared" si="387"/>
        <v>0</v>
      </c>
      <c r="R3122" s="8">
        <f t="shared" si="388"/>
        <v>25</v>
      </c>
      <c r="S3122" s="8">
        <f t="shared" ca="1" si="389"/>
        <v>24</v>
      </c>
      <c r="T3122">
        <f t="shared" ca="1" si="390"/>
        <v>1.1797760000000002</v>
      </c>
      <c r="U3122" s="8">
        <f t="shared" ca="1" si="391"/>
        <v>2.9025920000000012</v>
      </c>
      <c r="V3122" s="9">
        <f ca="1">RawData[[#This Row],[Z (smoothed demand size)]]/RawData[[#This Row],[X (smoothed interval)]]</f>
        <v>0.40645602275483417</v>
      </c>
    </row>
    <row r="3123" spans="1:22">
      <c r="A3123" t="s">
        <v>63</v>
      </c>
      <c r="B3123" t="s">
        <v>60</v>
      </c>
      <c r="C3123">
        <v>28</v>
      </c>
      <c r="D3123" t="s">
        <v>18</v>
      </c>
      <c r="E3123" t="s">
        <v>16</v>
      </c>
      <c r="F3123" s="1">
        <v>43832</v>
      </c>
      <c r="G3123">
        <v>0</v>
      </c>
      <c r="H3123">
        <v>0</v>
      </c>
      <c r="I3123">
        <v>13</v>
      </c>
      <c r="J3123">
        <v>13</v>
      </c>
      <c r="K3123">
        <v>0</v>
      </c>
      <c r="L3123">
        <v>575</v>
      </c>
      <c r="M3123">
        <v>30</v>
      </c>
      <c r="N3123" s="1">
        <f t="shared" si="384"/>
        <v>44938</v>
      </c>
      <c r="O3123" s="1">
        <f t="shared" si="385"/>
        <v>43101</v>
      </c>
      <c r="P3123" s="1">
        <f t="shared" si="386"/>
        <v>43862</v>
      </c>
      <c r="Q3123" s="8">
        <f t="shared" si="387"/>
        <v>0</v>
      </c>
      <c r="R3123" s="8">
        <f t="shared" si="388"/>
        <v>26</v>
      </c>
      <c r="S3123" s="8">
        <f t="shared" ca="1" si="389"/>
        <v>24</v>
      </c>
      <c r="T3123">
        <f t="shared" ca="1" si="390"/>
        <v>1.1797760000000002</v>
      </c>
      <c r="U3123" s="8">
        <f t="shared" ca="1" si="391"/>
        <v>2.9025920000000012</v>
      </c>
      <c r="V3123" s="9">
        <f ca="1">RawData[[#This Row],[Z (smoothed demand size)]]/RawData[[#This Row],[X (smoothed interval)]]</f>
        <v>0.40645602275483417</v>
      </c>
    </row>
    <row r="3124" spans="1:22">
      <c r="A3124" t="s">
        <v>63</v>
      </c>
      <c r="B3124" t="s">
        <v>60</v>
      </c>
      <c r="C3124">
        <v>28</v>
      </c>
      <c r="D3124" t="s">
        <v>18</v>
      </c>
      <c r="E3124" t="s">
        <v>16</v>
      </c>
      <c r="F3124" s="1">
        <v>43833</v>
      </c>
      <c r="G3124">
        <v>1</v>
      </c>
      <c r="H3124">
        <v>1</v>
      </c>
      <c r="I3124">
        <v>13</v>
      </c>
      <c r="J3124">
        <v>12</v>
      </c>
      <c r="K3124">
        <v>0</v>
      </c>
      <c r="L3124">
        <v>573</v>
      </c>
      <c r="M3124">
        <v>15</v>
      </c>
      <c r="N3124" s="1">
        <f t="shared" si="384"/>
        <v>44938</v>
      </c>
      <c r="O3124" s="1">
        <f t="shared" si="385"/>
        <v>43101</v>
      </c>
      <c r="P3124" s="1">
        <f t="shared" si="386"/>
        <v>43891</v>
      </c>
      <c r="Q3124" s="8">
        <f t="shared" si="387"/>
        <v>0</v>
      </c>
      <c r="R3124" s="8">
        <f t="shared" si="388"/>
        <v>27</v>
      </c>
      <c r="S3124" s="8">
        <f t="shared" ca="1" si="389"/>
        <v>27</v>
      </c>
      <c r="T3124">
        <f t="shared" ca="1" si="390"/>
        <v>1.1438208000000001</v>
      </c>
      <c r="U3124" s="8">
        <f t="shared" ca="1" si="391"/>
        <v>2.9220736000000009</v>
      </c>
      <c r="V3124" s="9">
        <f ca="1">RawData[[#This Row],[Z (smoothed demand size)]]/RawData[[#This Row],[X (smoothed interval)]]</f>
        <v>0.39144147498543491</v>
      </c>
    </row>
    <row r="3125" spans="1:22">
      <c r="A3125" t="s">
        <v>63</v>
      </c>
      <c r="B3125" t="s">
        <v>60</v>
      </c>
      <c r="C3125">
        <v>28</v>
      </c>
      <c r="D3125" t="s">
        <v>18</v>
      </c>
      <c r="E3125" t="s">
        <v>16</v>
      </c>
      <c r="F3125" s="1">
        <v>43834</v>
      </c>
      <c r="G3125">
        <v>0</v>
      </c>
      <c r="H3125">
        <v>0</v>
      </c>
      <c r="I3125">
        <v>12</v>
      </c>
      <c r="J3125">
        <v>12</v>
      </c>
      <c r="K3125">
        <v>0</v>
      </c>
      <c r="L3125">
        <v>576</v>
      </c>
      <c r="M3125">
        <v>15</v>
      </c>
      <c r="N3125" s="1">
        <f t="shared" si="384"/>
        <v>44938</v>
      </c>
      <c r="O3125" s="1">
        <f t="shared" si="385"/>
        <v>43101</v>
      </c>
      <c r="P3125" s="1">
        <f t="shared" si="386"/>
        <v>43922</v>
      </c>
      <c r="Q3125" s="8">
        <f t="shared" si="387"/>
        <v>0</v>
      </c>
      <c r="R3125" s="8">
        <f t="shared" si="388"/>
        <v>28</v>
      </c>
      <c r="S3125" s="8">
        <f t="shared" ca="1" si="389"/>
        <v>27</v>
      </c>
      <c r="T3125">
        <f t="shared" ca="1" si="390"/>
        <v>1.1438208000000001</v>
      </c>
      <c r="U3125" s="8">
        <f t="shared" ca="1" si="391"/>
        <v>2.9220736000000009</v>
      </c>
      <c r="V3125" s="9">
        <f ca="1">RawData[[#This Row],[Z (smoothed demand size)]]/RawData[[#This Row],[X (smoothed interval)]]</f>
        <v>0.39144147498543491</v>
      </c>
    </row>
    <row r="3126" spans="1:22">
      <c r="A3126" t="s">
        <v>63</v>
      </c>
      <c r="B3126" t="s">
        <v>60</v>
      </c>
      <c r="C3126">
        <v>28</v>
      </c>
      <c r="D3126" t="s">
        <v>18</v>
      </c>
      <c r="E3126" t="s">
        <v>16</v>
      </c>
      <c r="F3126" s="1">
        <v>43835</v>
      </c>
      <c r="G3126">
        <v>0</v>
      </c>
      <c r="H3126">
        <v>0</v>
      </c>
      <c r="I3126">
        <v>12</v>
      </c>
      <c r="J3126">
        <v>12</v>
      </c>
      <c r="K3126">
        <v>0</v>
      </c>
      <c r="L3126">
        <v>568</v>
      </c>
      <c r="M3126">
        <v>15</v>
      </c>
      <c r="N3126" s="1">
        <f t="shared" si="384"/>
        <v>44938</v>
      </c>
      <c r="O3126" s="1">
        <f t="shared" si="385"/>
        <v>43101</v>
      </c>
      <c r="P3126" s="1">
        <f t="shared" si="386"/>
        <v>43952</v>
      </c>
      <c r="Q3126" s="8">
        <f t="shared" si="387"/>
        <v>0</v>
      </c>
      <c r="R3126" s="8">
        <f t="shared" si="388"/>
        <v>29</v>
      </c>
      <c r="S3126" s="8">
        <f t="shared" ca="1" si="389"/>
        <v>27</v>
      </c>
      <c r="T3126">
        <f t="shared" ca="1" si="390"/>
        <v>1.1438208000000001</v>
      </c>
      <c r="U3126" s="8">
        <f t="shared" ca="1" si="391"/>
        <v>2.9220736000000009</v>
      </c>
      <c r="V3126" s="9">
        <f ca="1">RawData[[#This Row],[Z (smoothed demand size)]]/RawData[[#This Row],[X (smoothed interval)]]</f>
        <v>0.39144147498543491</v>
      </c>
    </row>
    <row r="3127" spans="1:22">
      <c r="A3127" t="s">
        <v>63</v>
      </c>
      <c r="B3127" t="s">
        <v>60</v>
      </c>
      <c r="C3127">
        <v>28</v>
      </c>
      <c r="D3127" t="s">
        <v>18</v>
      </c>
      <c r="E3127" t="s">
        <v>16</v>
      </c>
      <c r="F3127" s="1">
        <v>43836</v>
      </c>
      <c r="G3127">
        <v>0</v>
      </c>
      <c r="H3127">
        <v>0</v>
      </c>
      <c r="I3127">
        <v>12</v>
      </c>
      <c r="J3127">
        <v>12</v>
      </c>
      <c r="K3127">
        <v>0</v>
      </c>
      <c r="L3127">
        <v>657</v>
      </c>
      <c r="M3127">
        <v>30</v>
      </c>
      <c r="N3127" s="1">
        <f t="shared" si="384"/>
        <v>44938</v>
      </c>
      <c r="O3127" s="1">
        <f t="shared" si="385"/>
        <v>43101</v>
      </c>
      <c r="P3127" s="1">
        <f t="shared" si="386"/>
        <v>43983</v>
      </c>
      <c r="Q3127" s="8">
        <f t="shared" si="387"/>
        <v>0</v>
      </c>
      <c r="R3127" s="8">
        <f t="shared" si="388"/>
        <v>30</v>
      </c>
      <c r="S3127" s="8">
        <f t="shared" ca="1" si="389"/>
        <v>27</v>
      </c>
      <c r="T3127">
        <f t="shared" ca="1" si="390"/>
        <v>1.1438208000000001</v>
      </c>
      <c r="U3127" s="8">
        <f t="shared" ca="1" si="391"/>
        <v>2.9220736000000009</v>
      </c>
      <c r="V3127" s="9">
        <f ca="1">RawData[[#This Row],[Z (smoothed demand size)]]/RawData[[#This Row],[X (smoothed interval)]]</f>
        <v>0.39144147498543491</v>
      </c>
    </row>
    <row r="3128" spans="1:22">
      <c r="A3128" t="s">
        <v>63</v>
      </c>
      <c r="B3128" t="s">
        <v>60</v>
      </c>
      <c r="C3128">
        <v>28</v>
      </c>
      <c r="D3128" t="s">
        <v>18</v>
      </c>
      <c r="E3128" t="s">
        <v>16</v>
      </c>
      <c r="F3128" s="1">
        <v>43837</v>
      </c>
      <c r="G3128">
        <v>0</v>
      </c>
      <c r="H3128">
        <v>0</v>
      </c>
      <c r="I3128">
        <v>12</v>
      </c>
      <c r="J3128">
        <v>12</v>
      </c>
      <c r="K3128">
        <v>0</v>
      </c>
      <c r="L3128">
        <v>651</v>
      </c>
      <c r="M3128">
        <v>15</v>
      </c>
      <c r="N3128" s="1">
        <f t="shared" si="384"/>
        <v>44938</v>
      </c>
      <c r="O3128" s="1">
        <f t="shared" si="385"/>
        <v>43101</v>
      </c>
      <c r="P3128" s="1">
        <f t="shared" si="386"/>
        <v>44013</v>
      </c>
      <c r="Q3128" s="8">
        <f t="shared" si="387"/>
        <v>0</v>
      </c>
      <c r="R3128" s="8">
        <f t="shared" si="388"/>
        <v>31</v>
      </c>
      <c r="S3128" s="8">
        <f t="shared" ca="1" si="389"/>
        <v>27</v>
      </c>
      <c r="T3128">
        <f t="shared" ca="1" si="390"/>
        <v>1.1438208000000001</v>
      </c>
      <c r="U3128" s="8">
        <f t="shared" ca="1" si="391"/>
        <v>2.9220736000000009</v>
      </c>
      <c r="V3128" s="9">
        <f ca="1">RawData[[#This Row],[Z (smoothed demand size)]]/RawData[[#This Row],[X (smoothed interval)]]</f>
        <v>0.39144147498543491</v>
      </c>
    </row>
    <row r="3129" spans="1:22">
      <c r="A3129" t="s">
        <v>63</v>
      </c>
      <c r="B3129" t="s">
        <v>60</v>
      </c>
      <c r="C3129">
        <v>28</v>
      </c>
      <c r="D3129" t="s">
        <v>18</v>
      </c>
      <c r="E3129" t="s">
        <v>16</v>
      </c>
      <c r="F3129" s="1">
        <v>43838</v>
      </c>
      <c r="G3129">
        <v>0</v>
      </c>
      <c r="H3129">
        <v>0</v>
      </c>
      <c r="I3129">
        <v>12</v>
      </c>
      <c r="J3129">
        <v>12</v>
      </c>
      <c r="K3129">
        <v>0</v>
      </c>
      <c r="L3129">
        <v>651</v>
      </c>
      <c r="M3129">
        <v>15</v>
      </c>
      <c r="N3129" s="1">
        <f t="shared" si="384"/>
        <v>44938</v>
      </c>
      <c r="O3129" s="1">
        <f t="shared" si="385"/>
        <v>43101</v>
      </c>
      <c r="P3129" s="1">
        <f t="shared" si="386"/>
        <v>44044</v>
      </c>
      <c r="Q3129" s="8">
        <f t="shared" si="387"/>
        <v>0</v>
      </c>
      <c r="R3129" s="8">
        <f t="shared" si="388"/>
        <v>32</v>
      </c>
      <c r="S3129" s="8">
        <f t="shared" ca="1" si="389"/>
        <v>27</v>
      </c>
      <c r="T3129">
        <f t="shared" ca="1" si="390"/>
        <v>1.1438208000000001</v>
      </c>
      <c r="U3129" s="8">
        <f t="shared" ca="1" si="391"/>
        <v>2.9220736000000009</v>
      </c>
      <c r="V3129" s="9">
        <f ca="1">RawData[[#This Row],[Z (smoothed demand size)]]/RawData[[#This Row],[X (smoothed interval)]]</f>
        <v>0.39144147498543491</v>
      </c>
    </row>
    <row r="3130" spans="1:22">
      <c r="A3130" t="s">
        <v>63</v>
      </c>
      <c r="B3130" t="s">
        <v>60</v>
      </c>
      <c r="C3130">
        <v>28</v>
      </c>
      <c r="D3130" t="s">
        <v>18</v>
      </c>
      <c r="E3130" t="s">
        <v>16</v>
      </c>
      <c r="F3130" s="1">
        <v>43839</v>
      </c>
      <c r="G3130">
        <v>0</v>
      </c>
      <c r="H3130">
        <v>0</v>
      </c>
      <c r="I3130">
        <v>12</v>
      </c>
      <c r="J3130">
        <v>12</v>
      </c>
      <c r="K3130">
        <v>0</v>
      </c>
      <c r="L3130">
        <v>571</v>
      </c>
      <c r="M3130">
        <v>30</v>
      </c>
      <c r="N3130" s="1">
        <f t="shared" si="384"/>
        <v>44938</v>
      </c>
      <c r="O3130" s="1">
        <f t="shared" si="385"/>
        <v>43101</v>
      </c>
      <c r="P3130" s="1">
        <f t="shared" si="386"/>
        <v>44075</v>
      </c>
      <c r="Q3130" s="8">
        <f t="shared" si="387"/>
        <v>0</v>
      </c>
      <c r="R3130" s="8">
        <f t="shared" si="388"/>
        <v>33</v>
      </c>
      <c r="S3130" s="8">
        <f t="shared" ca="1" si="389"/>
        <v>27</v>
      </c>
      <c r="T3130">
        <f t="shared" ca="1" si="390"/>
        <v>1.1438208000000001</v>
      </c>
      <c r="U3130" s="8">
        <f t="shared" ca="1" si="391"/>
        <v>2.9220736000000009</v>
      </c>
      <c r="V3130" s="9">
        <f ca="1">RawData[[#This Row],[Z (smoothed demand size)]]/RawData[[#This Row],[X (smoothed interval)]]</f>
        <v>0.39144147498543491</v>
      </c>
    </row>
    <row r="3131" spans="1:22">
      <c r="A3131" t="s">
        <v>63</v>
      </c>
      <c r="B3131" t="s">
        <v>60</v>
      </c>
      <c r="C3131">
        <v>28</v>
      </c>
      <c r="D3131" t="s">
        <v>18</v>
      </c>
      <c r="E3131" t="s">
        <v>16</v>
      </c>
      <c r="F3131" s="1">
        <v>43840</v>
      </c>
      <c r="G3131">
        <v>0</v>
      </c>
      <c r="H3131">
        <v>0</v>
      </c>
      <c r="I3131">
        <v>12</v>
      </c>
      <c r="J3131">
        <v>12</v>
      </c>
      <c r="K3131">
        <v>0</v>
      </c>
      <c r="L3131">
        <v>570</v>
      </c>
      <c r="M3131">
        <v>30</v>
      </c>
      <c r="N3131" s="1">
        <f t="shared" si="384"/>
        <v>44938</v>
      </c>
      <c r="O3131" s="1">
        <f t="shared" si="385"/>
        <v>43101</v>
      </c>
      <c r="P3131" s="1">
        <f t="shared" si="386"/>
        <v>44105</v>
      </c>
      <c r="Q3131" s="8">
        <f t="shared" si="387"/>
        <v>0</v>
      </c>
      <c r="R3131" s="8">
        <f t="shared" si="388"/>
        <v>34</v>
      </c>
      <c r="S3131" s="8">
        <f t="shared" ca="1" si="389"/>
        <v>27</v>
      </c>
      <c r="T3131">
        <f t="shared" ca="1" si="390"/>
        <v>1.1438208000000001</v>
      </c>
      <c r="U3131" s="8">
        <f t="shared" ca="1" si="391"/>
        <v>2.9220736000000009</v>
      </c>
      <c r="V3131" s="9">
        <f ca="1">RawData[[#This Row],[Z (smoothed demand size)]]/RawData[[#This Row],[X (smoothed interval)]]</f>
        <v>0.39144147498543491</v>
      </c>
    </row>
    <row r="3132" spans="1:22">
      <c r="A3132" t="s">
        <v>63</v>
      </c>
      <c r="B3132" t="s">
        <v>60</v>
      </c>
      <c r="C3132">
        <v>28</v>
      </c>
      <c r="D3132" t="s">
        <v>18</v>
      </c>
      <c r="E3132" t="s">
        <v>16</v>
      </c>
      <c r="F3132" s="1">
        <v>43841</v>
      </c>
      <c r="G3132">
        <v>0</v>
      </c>
      <c r="H3132">
        <v>0</v>
      </c>
      <c r="I3132">
        <v>12</v>
      </c>
      <c r="J3132">
        <v>12</v>
      </c>
      <c r="K3132">
        <v>0</v>
      </c>
      <c r="L3132">
        <v>572</v>
      </c>
      <c r="M3132">
        <v>30</v>
      </c>
      <c r="N3132" s="1">
        <f t="shared" si="384"/>
        <v>44938</v>
      </c>
      <c r="O3132" s="1">
        <f t="shared" si="385"/>
        <v>43101</v>
      </c>
      <c r="P3132" s="1">
        <f t="shared" si="386"/>
        <v>44136</v>
      </c>
      <c r="Q3132" s="8">
        <f t="shared" si="387"/>
        <v>0</v>
      </c>
      <c r="R3132" s="8">
        <f t="shared" si="388"/>
        <v>35</v>
      </c>
      <c r="S3132" s="8">
        <f t="shared" ca="1" si="389"/>
        <v>27</v>
      </c>
      <c r="T3132">
        <f t="shared" ca="1" si="390"/>
        <v>1.1438208000000001</v>
      </c>
      <c r="U3132" s="8">
        <f t="shared" ca="1" si="391"/>
        <v>2.9220736000000009</v>
      </c>
      <c r="V3132" s="9">
        <f ca="1">RawData[[#This Row],[Z (smoothed demand size)]]/RawData[[#This Row],[X (smoothed interval)]]</f>
        <v>0.39144147498543491</v>
      </c>
    </row>
    <row r="3133" spans="1:22">
      <c r="A3133" t="s">
        <v>63</v>
      </c>
      <c r="B3133" t="s">
        <v>60</v>
      </c>
      <c r="C3133">
        <v>28</v>
      </c>
      <c r="D3133" t="s">
        <v>18</v>
      </c>
      <c r="E3133" t="s">
        <v>16</v>
      </c>
      <c r="F3133" s="1">
        <v>43842</v>
      </c>
      <c r="G3133">
        <v>0</v>
      </c>
      <c r="H3133">
        <v>0</v>
      </c>
      <c r="I3133">
        <v>12</v>
      </c>
      <c r="J3133">
        <v>12</v>
      </c>
      <c r="K3133">
        <v>0</v>
      </c>
      <c r="L3133">
        <v>656</v>
      </c>
      <c r="M3133">
        <v>45</v>
      </c>
      <c r="N3133" s="1">
        <f t="shared" si="384"/>
        <v>44938</v>
      </c>
      <c r="O3133" s="1">
        <f t="shared" si="385"/>
        <v>43101</v>
      </c>
      <c r="P3133" s="1">
        <f t="shared" si="386"/>
        <v>44166</v>
      </c>
      <c r="Q3133" s="8">
        <f t="shared" si="387"/>
        <v>0</v>
      </c>
      <c r="R3133" s="8">
        <f t="shared" si="388"/>
        <v>36</v>
      </c>
      <c r="S3133" s="8">
        <f t="shared" ca="1" si="389"/>
        <v>27</v>
      </c>
      <c r="T3133">
        <f t="shared" ca="1" si="390"/>
        <v>1.1438208000000001</v>
      </c>
      <c r="U3133" s="8">
        <f t="shared" ca="1" si="391"/>
        <v>2.9220736000000009</v>
      </c>
      <c r="V3133" s="9">
        <f ca="1">RawData[[#This Row],[Z (smoothed demand size)]]/RawData[[#This Row],[X (smoothed interval)]]</f>
        <v>0.39144147498543491</v>
      </c>
    </row>
    <row r="3134" spans="1:22">
      <c r="A3134" t="s">
        <v>63</v>
      </c>
      <c r="B3134" t="s">
        <v>60</v>
      </c>
      <c r="C3134">
        <v>28</v>
      </c>
      <c r="D3134" t="s">
        <v>18</v>
      </c>
      <c r="E3134" t="s">
        <v>16</v>
      </c>
      <c r="F3134" s="1">
        <v>44197</v>
      </c>
      <c r="G3134">
        <v>0</v>
      </c>
      <c r="H3134">
        <v>0</v>
      </c>
      <c r="I3134">
        <v>12</v>
      </c>
      <c r="J3134">
        <v>12</v>
      </c>
      <c r="K3134">
        <v>0</v>
      </c>
      <c r="L3134">
        <v>566</v>
      </c>
      <c r="M3134">
        <v>15</v>
      </c>
      <c r="N3134" s="1">
        <f t="shared" si="384"/>
        <v>44938</v>
      </c>
      <c r="O3134" s="1">
        <f t="shared" si="385"/>
        <v>43101</v>
      </c>
      <c r="P3134" s="1">
        <f t="shared" si="386"/>
        <v>44197</v>
      </c>
      <c r="Q3134" s="8">
        <f t="shared" si="387"/>
        <v>0</v>
      </c>
      <c r="R3134" s="8">
        <f t="shared" si="388"/>
        <v>37</v>
      </c>
      <c r="S3134" s="8">
        <f t="shared" ca="1" si="389"/>
        <v>27</v>
      </c>
      <c r="T3134">
        <f t="shared" ca="1" si="390"/>
        <v>1.1438208000000001</v>
      </c>
      <c r="U3134" s="8">
        <f t="shared" ca="1" si="391"/>
        <v>2.9220736000000009</v>
      </c>
      <c r="V3134" s="9">
        <f ca="1">RawData[[#This Row],[Z (smoothed demand size)]]/RawData[[#This Row],[X (smoothed interval)]]</f>
        <v>0.39144147498543491</v>
      </c>
    </row>
    <row r="3135" spans="1:22">
      <c r="A3135" t="s">
        <v>63</v>
      </c>
      <c r="B3135" t="s">
        <v>60</v>
      </c>
      <c r="C3135">
        <v>28</v>
      </c>
      <c r="D3135" t="s">
        <v>18</v>
      </c>
      <c r="E3135" t="s">
        <v>16</v>
      </c>
      <c r="F3135" s="1">
        <v>44198</v>
      </c>
      <c r="G3135">
        <v>0</v>
      </c>
      <c r="H3135">
        <v>0</v>
      </c>
      <c r="I3135">
        <v>12</v>
      </c>
      <c r="J3135">
        <v>12</v>
      </c>
      <c r="K3135">
        <v>0</v>
      </c>
      <c r="L3135">
        <v>573</v>
      </c>
      <c r="M3135">
        <v>30</v>
      </c>
      <c r="N3135" s="1">
        <f t="shared" si="384"/>
        <v>44938</v>
      </c>
      <c r="O3135" s="1">
        <f t="shared" si="385"/>
        <v>43101</v>
      </c>
      <c r="P3135" s="1">
        <f t="shared" si="386"/>
        <v>44228</v>
      </c>
      <c r="Q3135" s="8">
        <f t="shared" si="387"/>
        <v>0</v>
      </c>
      <c r="R3135" s="8">
        <f t="shared" si="388"/>
        <v>38</v>
      </c>
      <c r="S3135" s="8">
        <f t="shared" ca="1" si="389"/>
        <v>27</v>
      </c>
      <c r="T3135">
        <f t="shared" ca="1" si="390"/>
        <v>1.1438208000000001</v>
      </c>
      <c r="U3135" s="8">
        <f t="shared" ca="1" si="391"/>
        <v>2.9220736000000009</v>
      </c>
      <c r="V3135" s="9">
        <f ca="1">RawData[[#This Row],[Z (smoothed demand size)]]/RawData[[#This Row],[X (smoothed interval)]]</f>
        <v>0.39144147498543491</v>
      </c>
    </row>
    <row r="3136" spans="1:22">
      <c r="A3136" t="s">
        <v>63</v>
      </c>
      <c r="B3136" t="s">
        <v>60</v>
      </c>
      <c r="C3136">
        <v>28</v>
      </c>
      <c r="D3136" t="s">
        <v>18</v>
      </c>
      <c r="E3136" t="s">
        <v>16</v>
      </c>
      <c r="F3136" s="1">
        <v>44199</v>
      </c>
      <c r="G3136">
        <v>2</v>
      </c>
      <c r="H3136">
        <v>2</v>
      </c>
      <c r="I3136">
        <v>12</v>
      </c>
      <c r="J3136">
        <v>10</v>
      </c>
      <c r="K3136">
        <v>0</v>
      </c>
      <c r="L3136">
        <v>564</v>
      </c>
      <c r="M3136">
        <v>15</v>
      </c>
      <c r="N3136" s="1">
        <f t="shared" si="384"/>
        <v>44938</v>
      </c>
      <c r="O3136" s="1">
        <f t="shared" si="385"/>
        <v>43101</v>
      </c>
      <c r="P3136" s="1">
        <f t="shared" si="386"/>
        <v>44256</v>
      </c>
      <c r="Q3136" s="8">
        <f t="shared" si="387"/>
        <v>0</v>
      </c>
      <c r="R3136" s="8">
        <f t="shared" si="388"/>
        <v>39</v>
      </c>
      <c r="S3136" s="8">
        <f t="shared" ca="1" si="389"/>
        <v>39</v>
      </c>
      <c r="T3136">
        <f t="shared" ca="1" si="390"/>
        <v>1.3150566400000001</v>
      </c>
      <c r="U3136" s="8">
        <f t="shared" ca="1" si="391"/>
        <v>4.7376588800000015</v>
      </c>
      <c r="V3136" s="9">
        <f ca="1">RawData[[#This Row],[Z (smoothed demand size)]]/RawData[[#This Row],[X (smoothed interval)]]</f>
        <v>0.27757520608997494</v>
      </c>
    </row>
    <row r="3137" spans="1:22">
      <c r="A3137" t="s">
        <v>63</v>
      </c>
      <c r="B3137" t="s">
        <v>60</v>
      </c>
      <c r="C3137">
        <v>28</v>
      </c>
      <c r="D3137" t="s">
        <v>18</v>
      </c>
      <c r="E3137" t="s">
        <v>16</v>
      </c>
      <c r="F3137" s="1">
        <v>44200</v>
      </c>
      <c r="G3137">
        <v>0</v>
      </c>
      <c r="H3137">
        <v>0</v>
      </c>
      <c r="I3137">
        <v>10</v>
      </c>
      <c r="J3137">
        <v>10</v>
      </c>
      <c r="K3137">
        <v>0</v>
      </c>
      <c r="L3137">
        <v>569</v>
      </c>
      <c r="M3137">
        <v>15</v>
      </c>
      <c r="N3137" s="1">
        <f t="shared" si="384"/>
        <v>44938</v>
      </c>
      <c r="O3137" s="1">
        <f t="shared" si="385"/>
        <v>43101</v>
      </c>
      <c r="P3137" s="1">
        <f t="shared" si="386"/>
        <v>44287</v>
      </c>
      <c r="Q3137" s="8">
        <f t="shared" si="387"/>
        <v>0</v>
      </c>
      <c r="R3137" s="8">
        <f t="shared" si="388"/>
        <v>40</v>
      </c>
      <c r="S3137" s="8">
        <f t="shared" ca="1" si="389"/>
        <v>39</v>
      </c>
      <c r="T3137">
        <f t="shared" ca="1" si="390"/>
        <v>1.3150566400000001</v>
      </c>
      <c r="U3137" s="8">
        <f t="shared" ca="1" si="391"/>
        <v>4.7376588800000015</v>
      </c>
      <c r="V3137" s="9">
        <f ca="1">RawData[[#This Row],[Z (smoothed demand size)]]/RawData[[#This Row],[X (smoothed interval)]]</f>
        <v>0.27757520608997494</v>
      </c>
    </row>
    <row r="3138" spans="1:22">
      <c r="A3138" t="s">
        <v>63</v>
      </c>
      <c r="B3138" t="s">
        <v>60</v>
      </c>
      <c r="C3138">
        <v>28</v>
      </c>
      <c r="D3138" t="s">
        <v>18</v>
      </c>
      <c r="E3138" t="s">
        <v>16</v>
      </c>
      <c r="F3138" s="1">
        <v>44201</v>
      </c>
      <c r="G3138">
        <v>0</v>
      </c>
      <c r="H3138">
        <v>0</v>
      </c>
      <c r="I3138">
        <v>10</v>
      </c>
      <c r="J3138">
        <v>10</v>
      </c>
      <c r="K3138">
        <v>0</v>
      </c>
      <c r="L3138">
        <v>574</v>
      </c>
      <c r="M3138">
        <v>60</v>
      </c>
      <c r="N3138" s="1">
        <f t="shared" ref="N3138:N3201" si="392">MAX(F:F)</f>
        <v>44938</v>
      </c>
      <c r="O3138" s="1">
        <f t="shared" ref="O3138:O3201" si="393">MIN(F:F)</f>
        <v>43101</v>
      </c>
      <c r="P3138" s="1">
        <f t="shared" ref="P3138:P3201" si="394">DATE(YEAR(F3138), DAY(F3138), 1)</f>
        <v>44317</v>
      </c>
      <c r="Q3138" s="8">
        <f t="shared" ref="Q3138:Q3201" si="395" xml:space="preserve"> IF(A3138&lt;&gt;A3137, 1, 0)</f>
        <v>0</v>
      </c>
      <c r="R3138" s="8">
        <f t="shared" ref="R3138:R3201" si="396">IF(Q3138=1,1,R3137+1)</f>
        <v>41</v>
      </c>
      <c r="S3138" s="8">
        <f t="shared" ref="S3138:S3201" ca="1" si="397" xml:space="preserve"> IF(Q3138=1, IF(G3138&gt;0, R3138, 0), IF(G3138&gt;0, R3138, OFFSET(S3138,-1,0)))</f>
        <v>39</v>
      </c>
      <c r="T3138">
        <f t="shared" ref="T3138:T3201" ca="1" si="398" xml:space="preserve"> IF(Q3138=1, IF(G3138&gt;0, G3138, 0), IF(G3138&gt;0, $X$1*G3138+(1-$X$1)*OFFSET(T3138,-1,0), OFFSET(T3138,-1,0)))</f>
        <v>1.3150566400000001</v>
      </c>
      <c r="U3138" s="8">
        <f t="shared" ref="U3138:U3201" ca="1" si="399" xml:space="preserve"> IF(Q3138=1, 1, IF(G3138&gt;0, $X$1*(R3138-OFFSET(S3138,-1,0))+(1-$X$1)*OFFSET(U3138,-1,0), OFFSET(U3138,-1,0)))</f>
        <v>4.7376588800000015</v>
      </c>
      <c r="V3138" s="9">
        <f ca="1">RawData[[#This Row],[Z (smoothed demand size)]]/RawData[[#This Row],[X (smoothed interval)]]</f>
        <v>0.27757520608997494</v>
      </c>
    </row>
    <row r="3139" spans="1:22">
      <c r="A3139" t="s">
        <v>63</v>
      </c>
      <c r="B3139" t="s">
        <v>60</v>
      </c>
      <c r="C3139">
        <v>28</v>
      </c>
      <c r="D3139" t="s">
        <v>18</v>
      </c>
      <c r="E3139" t="s">
        <v>16</v>
      </c>
      <c r="F3139" s="1">
        <v>44202</v>
      </c>
      <c r="G3139">
        <v>0</v>
      </c>
      <c r="H3139">
        <v>0</v>
      </c>
      <c r="I3139">
        <v>10</v>
      </c>
      <c r="J3139">
        <v>10</v>
      </c>
      <c r="K3139">
        <v>0</v>
      </c>
      <c r="L3139">
        <v>658</v>
      </c>
      <c r="M3139">
        <v>45</v>
      </c>
      <c r="N3139" s="1">
        <f t="shared" si="392"/>
        <v>44938</v>
      </c>
      <c r="O3139" s="1">
        <f t="shared" si="393"/>
        <v>43101</v>
      </c>
      <c r="P3139" s="1">
        <f t="shared" si="394"/>
        <v>44348</v>
      </c>
      <c r="Q3139" s="8">
        <f t="shared" si="395"/>
        <v>0</v>
      </c>
      <c r="R3139" s="8">
        <f t="shared" si="396"/>
        <v>42</v>
      </c>
      <c r="S3139" s="8">
        <f t="shared" ca="1" si="397"/>
        <v>39</v>
      </c>
      <c r="T3139">
        <f t="shared" ca="1" si="398"/>
        <v>1.3150566400000001</v>
      </c>
      <c r="U3139" s="8">
        <f t="shared" ca="1" si="399"/>
        <v>4.7376588800000015</v>
      </c>
      <c r="V3139" s="9">
        <f ca="1">RawData[[#This Row],[Z (smoothed demand size)]]/RawData[[#This Row],[X (smoothed interval)]]</f>
        <v>0.27757520608997494</v>
      </c>
    </row>
    <row r="3140" spans="1:22">
      <c r="A3140" t="s">
        <v>63</v>
      </c>
      <c r="B3140" t="s">
        <v>60</v>
      </c>
      <c r="C3140">
        <v>28</v>
      </c>
      <c r="D3140" t="s">
        <v>18</v>
      </c>
      <c r="E3140" t="s">
        <v>16</v>
      </c>
      <c r="F3140" s="1">
        <v>44203</v>
      </c>
      <c r="G3140">
        <v>0</v>
      </c>
      <c r="H3140">
        <v>0</v>
      </c>
      <c r="I3140">
        <v>10</v>
      </c>
      <c r="J3140">
        <v>10</v>
      </c>
      <c r="K3140">
        <v>0</v>
      </c>
      <c r="L3140">
        <v>653</v>
      </c>
      <c r="M3140">
        <v>15</v>
      </c>
      <c r="N3140" s="1">
        <f t="shared" si="392"/>
        <v>44938</v>
      </c>
      <c r="O3140" s="1">
        <f t="shared" si="393"/>
        <v>43101</v>
      </c>
      <c r="P3140" s="1">
        <f t="shared" si="394"/>
        <v>44378</v>
      </c>
      <c r="Q3140" s="8">
        <f t="shared" si="395"/>
        <v>0</v>
      </c>
      <c r="R3140" s="8">
        <f t="shared" si="396"/>
        <v>43</v>
      </c>
      <c r="S3140" s="8">
        <f t="shared" ca="1" si="397"/>
        <v>39</v>
      </c>
      <c r="T3140">
        <f t="shared" ca="1" si="398"/>
        <v>1.3150566400000001</v>
      </c>
      <c r="U3140" s="8">
        <f t="shared" ca="1" si="399"/>
        <v>4.7376588800000015</v>
      </c>
      <c r="V3140" s="9">
        <f ca="1">RawData[[#This Row],[Z (smoothed demand size)]]/RawData[[#This Row],[X (smoothed interval)]]</f>
        <v>0.27757520608997494</v>
      </c>
    </row>
    <row r="3141" spans="1:22">
      <c r="A3141" t="s">
        <v>63</v>
      </c>
      <c r="B3141" t="s">
        <v>60</v>
      </c>
      <c r="C3141">
        <v>28</v>
      </c>
      <c r="D3141" t="s">
        <v>18</v>
      </c>
      <c r="E3141" t="s">
        <v>16</v>
      </c>
      <c r="F3141" s="1">
        <v>44204</v>
      </c>
      <c r="G3141">
        <v>0</v>
      </c>
      <c r="H3141">
        <v>0</v>
      </c>
      <c r="I3141">
        <v>10</v>
      </c>
      <c r="J3141">
        <v>10</v>
      </c>
      <c r="K3141">
        <v>0</v>
      </c>
      <c r="L3141">
        <v>641</v>
      </c>
      <c r="M3141">
        <v>15</v>
      </c>
      <c r="N3141" s="1">
        <f t="shared" si="392"/>
        <v>44938</v>
      </c>
      <c r="O3141" s="1">
        <f t="shared" si="393"/>
        <v>43101</v>
      </c>
      <c r="P3141" s="1">
        <f t="shared" si="394"/>
        <v>44409</v>
      </c>
      <c r="Q3141" s="8">
        <f t="shared" si="395"/>
        <v>0</v>
      </c>
      <c r="R3141" s="8">
        <f t="shared" si="396"/>
        <v>44</v>
      </c>
      <c r="S3141" s="8">
        <f t="shared" ca="1" si="397"/>
        <v>39</v>
      </c>
      <c r="T3141">
        <f t="shared" ca="1" si="398"/>
        <v>1.3150566400000001</v>
      </c>
      <c r="U3141" s="8">
        <f t="shared" ca="1" si="399"/>
        <v>4.7376588800000015</v>
      </c>
      <c r="V3141" s="9">
        <f ca="1">RawData[[#This Row],[Z (smoothed demand size)]]/RawData[[#This Row],[X (smoothed interval)]]</f>
        <v>0.27757520608997494</v>
      </c>
    </row>
    <row r="3142" spans="1:22">
      <c r="A3142" t="s">
        <v>63</v>
      </c>
      <c r="B3142" t="s">
        <v>60</v>
      </c>
      <c r="C3142">
        <v>28</v>
      </c>
      <c r="D3142" t="s">
        <v>18</v>
      </c>
      <c r="E3142" t="s">
        <v>16</v>
      </c>
      <c r="F3142" s="1">
        <v>44205</v>
      </c>
      <c r="G3142">
        <v>0</v>
      </c>
      <c r="H3142">
        <v>0</v>
      </c>
      <c r="I3142">
        <v>10</v>
      </c>
      <c r="J3142">
        <v>10</v>
      </c>
      <c r="K3142">
        <v>0</v>
      </c>
      <c r="L3142">
        <v>566</v>
      </c>
      <c r="M3142">
        <v>15</v>
      </c>
      <c r="N3142" s="1">
        <f t="shared" si="392"/>
        <v>44938</v>
      </c>
      <c r="O3142" s="1">
        <f t="shared" si="393"/>
        <v>43101</v>
      </c>
      <c r="P3142" s="1">
        <f t="shared" si="394"/>
        <v>44440</v>
      </c>
      <c r="Q3142" s="8">
        <f t="shared" si="395"/>
        <v>0</v>
      </c>
      <c r="R3142" s="8">
        <f t="shared" si="396"/>
        <v>45</v>
      </c>
      <c r="S3142" s="8">
        <f t="shared" ca="1" si="397"/>
        <v>39</v>
      </c>
      <c r="T3142">
        <f t="shared" ca="1" si="398"/>
        <v>1.3150566400000001</v>
      </c>
      <c r="U3142" s="8">
        <f t="shared" ca="1" si="399"/>
        <v>4.7376588800000015</v>
      </c>
      <c r="V3142" s="9">
        <f ca="1">RawData[[#This Row],[Z (smoothed demand size)]]/RawData[[#This Row],[X (smoothed interval)]]</f>
        <v>0.27757520608997494</v>
      </c>
    </row>
    <row r="3143" spans="1:22">
      <c r="A3143" t="s">
        <v>63</v>
      </c>
      <c r="B3143" t="s">
        <v>60</v>
      </c>
      <c r="C3143">
        <v>28</v>
      </c>
      <c r="D3143" t="s">
        <v>18</v>
      </c>
      <c r="E3143" t="s">
        <v>16</v>
      </c>
      <c r="F3143" s="1">
        <v>44206</v>
      </c>
      <c r="G3143">
        <v>1</v>
      </c>
      <c r="H3143">
        <v>1</v>
      </c>
      <c r="I3143">
        <v>10</v>
      </c>
      <c r="J3143">
        <v>9</v>
      </c>
      <c r="K3143">
        <v>0</v>
      </c>
      <c r="L3143">
        <v>580</v>
      </c>
      <c r="M3143">
        <v>60</v>
      </c>
      <c r="N3143" s="1">
        <f t="shared" si="392"/>
        <v>44938</v>
      </c>
      <c r="O3143" s="1">
        <f t="shared" si="393"/>
        <v>43101</v>
      </c>
      <c r="P3143" s="1">
        <f t="shared" si="394"/>
        <v>44470</v>
      </c>
      <c r="Q3143" s="8">
        <f t="shared" si="395"/>
        <v>0</v>
      </c>
      <c r="R3143" s="8">
        <f t="shared" si="396"/>
        <v>46</v>
      </c>
      <c r="S3143" s="8">
        <f t="shared" ca="1" si="397"/>
        <v>46</v>
      </c>
      <c r="T3143">
        <f t="shared" ca="1" si="398"/>
        <v>1.2520453120000001</v>
      </c>
      <c r="U3143" s="8">
        <f t="shared" ca="1" si="399"/>
        <v>5.1901271040000019</v>
      </c>
      <c r="V3143" s="9">
        <f ca="1">RawData[[#This Row],[Z (smoothed demand size)]]/RawData[[#This Row],[X (smoothed interval)]]</f>
        <v>0.24123596338036804</v>
      </c>
    </row>
    <row r="3144" spans="1:22">
      <c r="A3144" t="s">
        <v>63</v>
      </c>
      <c r="B3144" t="s">
        <v>60</v>
      </c>
      <c r="C3144">
        <v>28</v>
      </c>
      <c r="D3144" t="s">
        <v>18</v>
      </c>
      <c r="E3144" t="s">
        <v>16</v>
      </c>
      <c r="F3144" s="1">
        <v>44207</v>
      </c>
      <c r="G3144">
        <v>0</v>
      </c>
      <c r="H3144">
        <v>0</v>
      </c>
      <c r="I3144">
        <v>9</v>
      </c>
      <c r="J3144">
        <v>9</v>
      </c>
      <c r="K3144">
        <v>0</v>
      </c>
      <c r="L3144">
        <v>566</v>
      </c>
      <c r="M3144">
        <v>15</v>
      </c>
      <c r="N3144" s="1">
        <f t="shared" si="392"/>
        <v>44938</v>
      </c>
      <c r="O3144" s="1">
        <f t="shared" si="393"/>
        <v>43101</v>
      </c>
      <c r="P3144" s="1">
        <f t="shared" si="394"/>
        <v>44501</v>
      </c>
      <c r="Q3144" s="8">
        <f t="shared" si="395"/>
        <v>0</v>
      </c>
      <c r="R3144" s="8">
        <f t="shared" si="396"/>
        <v>47</v>
      </c>
      <c r="S3144" s="8">
        <f t="shared" ca="1" si="397"/>
        <v>46</v>
      </c>
      <c r="T3144">
        <f t="shared" ca="1" si="398"/>
        <v>1.2520453120000001</v>
      </c>
      <c r="U3144" s="8">
        <f t="shared" ca="1" si="399"/>
        <v>5.1901271040000019</v>
      </c>
      <c r="V3144" s="9">
        <f ca="1">RawData[[#This Row],[Z (smoothed demand size)]]/RawData[[#This Row],[X (smoothed interval)]]</f>
        <v>0.24123596338036804</v>
      </c>
    </row>
    <row r="3145" spans="1:22">
      <c r="A3145" t="s">
        <v>63</v>
      </c>
      <c r="B3145" t="s">
        <v>60</v>
      </c>
      <c r="C3145">
        <v>28</v>
      </c>
      <c r="D3145" t="s">
        <v>18</v>
      </c>
      <c r="E3145" t="s">
        <v>16</v>
      </c>
      <c r="F3145" s="1">
        <v>44208</v>
      </c>
      <c r="G3145">
        <v>0</v>
      </c>
      <c r="H3145">
        <v>0</v>
      </c>
      <c r="I3145">
        <v>9</v>
      </c>
      <c r="J3145">
        <v>9</v>
      </c>
      <c r="K3145">
        <v>0</v>
      </c>
      <c r="L3145">
        <v>653</v>
      </c>
      <c r="M3145">
        <v>15</v>
      </c>
      <c r="N3145" s="1">
        <f t="shared" si="392"/>
        <v>44938</v>
      </c>
      <c r="O3145" s="1">
        <f t="shared" si="393"/>
        <v>43101</v>
      </c>
      <c r="P3145" s="1">
        <f t="shared" si="394"/>
        <v>44531</v>
      </c>
      <c r="Q3145" s="8">
        <f t="shared" si="395"/>
        <v>0</v>
      </c>
      <c r="R3145" s="8">
        <f t="shared" si="396"/>
        <v>48</v>
      </c>
      <c r="S3145" s="8">
        <f t="shared" ca="1" si="397"/>
        <v>46</v>
      </c>
      <c r="T3145">
        <f t="shared" ca="1" si="398"/>
        <v>1.2520453120000001</v>
      </c>
      <c r="U3145" s="8">
        <f t="shared" ca="1" si="399"/>
        <v>5.1901271040000019</v>
      </c>
      <c r="V3145" s="9">
        <f ca="1">RawData[[#This Row],[Z (smoothed demand size)]]/RawData[[#This Row],[X (smoothed interval)]]</f>
        <v>0.24123596338036804</v>
      </c>
    </row>
    <row r="3146" spans="1:22">
      <c r="A3146" t="s">
        <v>63</v>
      </c>
      <c r="B3146" t="s">
        <v>60</v>
      </c>
      <c r="C3146">
        <v>28</v>
      </c>
      <c r="D3146" t="s">
        <v>18</v>
      </c>
      <c r="E3146" t="s">
        <v>16</v>
      </c>
      <c r="F3146" s="1">
        <v>44562</v>
      </c>
      <c r="G3146">
        <v>0</v>
      </c>
      <c r="H3146">
        <v>0</v>
      </c>
      <c r="I3146">
        <v>9</v>
      </c>
      <c r="J3146">
        <v>9</v>
      </c>
      <c r="K3146">
        <v>0</v>
      </c>
      <c r="L3146">
        <v>567</v>
      </c>
      <c r="M3146">
        <v>45</v>
      </c>
      <c r="N3146" s="1">
        <f t="shared" si="392"/>
        <v>44938</v>
      </c>
      <c r="O3146" s="1">
        <f t="shared" si="393"/>
        <v>43101</v>
      </c>
      <c r="P3146" s="1">
        <f t="shared" si="394"/>
        <v>44562</v>
      </c>
      <c r="Q3146" s="8">
        <f t="shared" si="395"/>
        <v>0</v>
      </c>
      <c r="R3146" s="8">
        <f t="shared" si="396"/>
        <v>49</v>
      </c>
      <c r="S3146" s="8">
        <f t="shared" ca="1" si="397"/>
        <v>46</v>
      </c>
      <c r="T3146">
        <f t="shared" ca="1" si="398"/>
        <v>1.2520453120000001</v>
      </c>
      <c r="U3146" s="8">
        <f t="shared" ca="1" si="399"/>
        <v>5.1901271040000019</v>
      </c>
      <c r="V3146" s="9">
        <f ca="1">RawData[[#This Row],[Z (smoothed demand size)]]/RawData[[#This Row],[X (smoothed interval)]]</f>
        <v>0.24123596338036804</v>
      </c>
    </row>
    <row r="3147" spans="1:22">
      <c r="A3147" t="s">
        <v>63</v>
      </c>
      <c r="B3147" t="s">
        <v>60</v>
      </c>
      <c r="C3147">
        <v>28</v>
      </c>
      <c r="D3147" t="s">
        <v>18</v>
      </c>
      <c r="E3147" t="s">
        <v>16</v>
      </c>
      <c r="F3147" s="1">
        <v>44563</v>
      </c>
      <c r="G3147">
        <v>0</v>
      </c>
      <c r="H3147">
        <v>0</v>
      </c>
      <c r="I3147">
        <v>9</v>
      </c>
      <c r="J3147">
        <v>9</v>
      </c>
      <c r="K3147">
        <v>0</v>
      </c>
      <c r="L3147">
        <v>569</v>
      </c>
      <c r="M3147">
        <v>30</v>
      </c>
      <c r="N3147" s="1">
        <f t="shared" si="392"/>
        <v>44938</v>
      </c>
      <c r="O3147" s="1">
        <f t="shared" si="393"/>
        <v>43101</v>
      </c>
      <c r="P3147" s="1">
        <f t="shared" si="394"/>
        <v>44593</v>
      </c>
      <c r="Q3147" s="8">
        <f t="shared" si="395"/>
        <v>0</v>
      </c>
      <c r="R3147" s="8">
        <f t="shared" si="396"/>
        <v>50</v>
      </c>
      <c r="S3147" s="8">
        <f t="shared" ca="1" si="397"/>
        <v>46</v>
      </c>
      <c r="T3147">
        <f t="shared" ca="1" si="398"/>
        <v>1.2520453120000001</v>
      </c>
      <c r="U3147" s="8">
        <f t="shared" ca="1" si="399"/>
        <v>5.1901271040000019</v>
      </c>
      <c r="V3147" s="9">
        <f ca="1">RawData[[#This Row],[Z (smoothed demand size)]]/RawData[[#This Row],[X (smoothed interval)]]</f>
        <v>0.24123596338036804</v>
      </c>
    </row>
    <row r="3148" spans="1:22">
      <c r="A3148" t="s">
        <v>63</v>
      </c>
      <c r="B3148" t="s">
        <v>60</v>
      </c>
      <c r="C3148">
        <v>28</v>
      </c>
      <c r="D3148" t="s">
        <v>18</v>
      </c>
      <c r="E3148" t="s">
        <v>16</v>
      </c>
      <c r="F3148" s="1">
        <v>44564</v>
      </c>
      <c r="G3148">
        <v>2</v>
      </c>
      <c r="H3148">
        <v>2</v>
      </c>
      <c r="I3148">
        <v>9</v>
      </c>
      <c r="J3148">
        <v>7</v>
      </c>
      <c r="K3148">
        <v>0</v>
      </c>
      <c r="L3148">
        <v>562</v>
      </c>
      <c r="M3148">
        <v>15</v>
      </c>
      <c r="N3148" s="1">
        <f t="shared" si="392"/>
        <v>44938</v>
      </c>
      <c r="O3148" s="1">
        <f t="shared" si="393"/>
        <v>43101</v>
      </c>
      <c r="P3148" s="1">
        <f t="shared" si="394"/>
        <v>44621</v>
      </c>
      <c r="Q3148" s="8">
        <f t="shared" si="395"/>
        <v>0</v>
      </c>
      <c r="R3148" s="8">
        <f t="shared" si="396"/>
        <v>51</v>
      </c>
      <c r="S3148" s="8">
        <f t="shared" ca="1" si="397"/>
        <v>51</v>
      </c>
      <c r="T3148">
        <f t="shared" ca="1" si="398"/>
        <v>1.4016362496000001</v>
      </c>
      <c r="U3148" s="8">
        <f t="shared" ca="1" si="399"/>
        <v>5.1521016832000015</v>
      </c>
      <c r="V3148" s="9">
        <f ca="1">RawData[[#This Row],[Z (smoothed demand size)]]/RawData[[#This Row],[X (smoothed interval)]]</f>
        <v>0.27205135608453973</v>
      </c>
    </row>
    <row r="3149" spans="1:22">
      <c r="A3149" t="s">
        <v>63</v>
      </c>
      <c r="B3149" t="s">
        <v>60</v>
      </c>
      <c r="C3149">
        <v>28</v>
      </c>
      <c r="D3149" t="s">
        <v>18</v>
      </c>
      <c r="E3149" t="s">
        <v>16</v>
      </c>
      <c r="F3149" s="1">
        <v>44565</v>
      </c>
      <c r="G3149">
        <v>0</v>
      </c>
      <c r="H3149">
        <v>0</v>
      </c>
      <c r="I3149">
        <v>7</v>
      </c>
      <c r="J3149">
        <v>7</v>
      </c>
      <c r="K3149">
        <v>0</v>
      </c>
      <c r="L3149">
        <v>570</v>
      </c>
      <c r="M3149">
        <v>30</v>
      </c>
      <c r="N3149" s="1">
        <f t="shared" si="392"/>
        <v>44938</v>
      </c>
      <c r="O3149" s="1">
        <f t="shared" si="393"/>
        <v>43101</v>
      </c>
      <c r="P3149" s="1">
        <f t="shared" si="394"/>
        <v>44652</v>
      </c>
      <c r="Q3149" s="8">
        <f t="shared" si="395"/>
        <v>0</v>
      </c>
      <c r="R3149" s="8">
        <f t="shared" si="396"/>
        <v>52</v>
      </c>
      <c r="S3149" s="8">
        <f t="shared" ca="1" si="397"/>
        <v>51</v>
      </c>
      <c r="T3149">
        <f t="shared" ca="1" si="398"/>
        <v>1.4016362496000001</v>
      </c>
      <c r="U3149" s="8">
        <f t="shared" ca="1" si="399"/>
        <v>5.1521016832000015</v>
      </c>
      <c r="V3149" s="9">
        <f ca="1">RawData[[#This Row],[Z (smoothed demand size)]]/RawData[[#This Row],[X (smoothed interval)]]</f>
        <v>0.27205135608453973</v>
      </c>
    </row>
    <row r="3150" spans="1:22">
      <c r="A3150" t="s">
        <v>63</v>
      </c>
      <c r="B3150" t="s">
        <v>60</v>
      </c>
      <c r="C3150">
        <v>28</v>
      </c>
      <c r="D3150" t="s">
        <v>18</v>
      </c>
      <c r="E3150" t="s">
        <v>16</v>
      </c>
      <c r="F3150" s="1">
        <v>44566</v>
      </c>
      <c r="G3150">
        <v>0</v>
      </c>
      <c r="H3150">
        <v>0</v>
      </c>
      <c r="I3150">
        <v>7</v>
      </c>
      <c r="J3150">
        <v>7</v>
      </c>
      <c r="K3150">
        <v>0</v>
      </c>
      <c r="L3150">
        <v>568</v>
      </c>
      <c r="M3150">
        <v>30</v>
      </c>
      <c r="N3150" s="1">
        <f t="shared" si="392"/>
        <v>44938</v>
      </c>
      <c r="O3150" s="1">
        <f t="shared" si="393"/>
        <v>43101</v>
      </c>
      <c r="P3150" s="1">
        <f t="shared" si="394"/>
        <v>44682</v>
      </c>
      <c r="Q3150" s="8">
        <f t="shared" si="395"/>
        <v>0</v>
      </c>
      <c r="R3150" s="8">
        <f t="shared" si="396"/>
        <v>53</v>
      </c>
      <c r="S3150" s="8">
        <f t="shared" ca="1" si="397"/>
        <v>51</v>
      </c>
      <c r="T3150">
        <f t="shared" ca="1" si="398"/>
        <v>1.4016362496000001</v>
      </c>
      <c r="U3150" s="8">
        <f t="shared" ca="1" si="399"/>
        <v>5.1521016832000015</v>
      </c>
      <c r="V3150" s="9">
        <f ca="1">RawData[[#This Row],[Z (smoothed demand size)]]/RawData[[#This Row],[X (smoothed interval)]]</f>
        <v>0.27205135608453973</v>
      </c>
    </row>
    <row r="3151" spans="1:22">
      <c r="A3151" t="s">
        <v>63</v>
      </c>
      <c r="B3151" t="s">
        <v>60</v>
      </c>
      <c r="C3151">
        <v>28</v>
      </c>
      <c r="D3151" t="s">
        <v>18</v>
      </c>
      <c r="E3151" t="s">
        <v>16</v>
      </c>
      <c r="F3151" s="1">
        <v>44567</v>
      </c>
      <c r="G3151">
        <v>0</v>
      </c>
      <c r="H3151">
        <v>0</v>
      </c>
      <c r="I3151">
        <v>7</v>
      </c>
      <c r="J3151">
        <v>7</v>
      </c>
      <c r="K3151">
        <v>0</v>
      </c>
      <c r="L3151">
        <v>640</v>
      </c>
      <c r="M3151">
        <v>15</v>
      </c>
      <c r="N3151" s="1">
        <f t="shared" si="392"/>
        <v>44938</v>
      </c>
      <c r="O3151" s="1">
        <f t="shared" si="393"/>
        <v>43101</v>
      </c>
      <c r="P3151" s="1">
        <f t="shared" si="394"/>
        <v>44713</v>
      </c>
      <c r="Q3151" s="8">
        <f t="shared" si="395"/>
        <v>0</v>
      </c>
      <c r="R3151" s="8">
        <f t="shared" si="396"/>
        <v>54</v>
      </c>
      <c r="S3151" s="8">
        <f t="shared" ca="1" si="397"/>
        <v>51</v>
      </c>
      <c r="T3151">
        <f t="shared" ca="1" si="398"/>
        <v>1.4016362496000001</v>
      </c>
      <c r="U3151" s="8">
        <f t="shared" ca="1" si="399"/>
        <v>5.1521016832000015</v>
      </c>
      <c r="V3151" s="9">
        <f ca="1">RawData[[#This Row],[Z (smoothed demand size)]]/RawData[[#This Row],[X (smoothed interval)]]</f>
        <v>0.27205135608453973</v>
      </c>
    </row>
    <row r="3152" spans="1:22">
      <c r="A3152" t="s">
        <v>63</v>
      </c>
      <c r="B3152" t="s">
        <v>60</v>
      </c>
      <c r="C3152">
        <v>28</v>
      </c>
      <c r="D3152" t="s">
        <v>18</v>
      </c>
      <c r="E3152" t="s">
        <v>16</v>
      </c>
      <c r="F3152" s="1">
        <v>44568</v>
      </c>
      <c r="G3152">
        <v>2</v>
      </c>
      <c r="H3152">
        <v>2</v>
      </c>
      <c r="I3152">
        <v>7</v>
      </c>
      <c r="J3152">
        <v>5</v>
      </c>
      <c r="K3152">
        <v>0</v>
      </c>
      <c r="L3152">
        <v>634</v>
      </c>
      <c r="M3152">
        <v>30</v>
      </c>
      <c r="N3152" s="1">
        <f t="shared" si="392"/>
        <v>44938</v>
      </c>
      <c r="O3152" s="1">
        <f t="shared" si="393"/>
        <v>43101</v>
      </c>
      <c r="P3152" s="1">
        <f t="shared" si="394"/>
        <v>44743</v>
      </c>
      <c r="Q3152" s="8">
        <f t="shared" si="395"/>
        <v>0</v>
      </c>
      <c r="R3152" s="8">
        <f t="shared" si="396"/>
        <v>55</v>
      </c>
      <c r="S3152" s="8">
        <f t="shared" ca="1" si="397"/>
        <v>55</v>
      </c>
      <c r="T3152">
        <f t="shared" ca="1" si="398"/>
        <v>1.52130899968</v>
      </c>
      <c r="U3152" s="8">
        <f t="shared" ca="1" si="399"/>
        <v>4.9216813465600016</v>
      </c>
      <c r="V3152" s="9">
        <f ca="1">RawData[[#This Row],[Z (smoothed demand size)]]/RawData[[#This Row],[X (smoothed interval)]]</f>
        <v>0.30910351413614284</v>
      </c>
    </row>
    <row r="3153" spans="1:22">
      <c r="A3153" t="s">
        <v>63</v>
      </c>
      <c r="B3153" t="s">
        <v>60</v>
      </c>
      <c r="C3153">
        <v>28</v>
      </c>
      <c r="D3153" t="s">
        <v>18</v>
      </c>
      <c r="E3153" t="s">
        <v>16</v>
      </c>
      <c r="F3153" s="1">
        <v>44569</v>
      </c>
      <c r="G3153">
        <v>0</v>
      </c>
      <c r="H3153">
        <v>0</v>
      </c>
      <c r="I3153">
        <v>5</v>
      </c>
      <c r="J3153">
        <v>5</v>
      </c>
      <c r="K3153">
        <v>0</v>
      </c>
      <c r="L3153">
        <v>648</v>
      </c>
      <c r="M3153">
        <v>60</v>
      </c>
      <c r="N3153" s="1">
        <f t="shared" si="392"/>
        <v>44938</v>
      </c>
      <c r="O3153" s="1">
        <f t="shared" si="393"/>
        <v>43101</v>
      </c>
      <c r="P3153" s="1">
        <f t="shared" si="394"/>
        <v>44774</v>
      </c>
      <c r="Q3153" s="8">
        <f t="shared" si="395"/>
        <v>0</v>
      </c>
      <c r="R3153" s="8">
        <f t="shared" si="396"/>
        <v>56</v>
      </c>
      <c r="S3153" s="8">
        <f t="shared" ca="1" si="397"/>
        <v>55</v>
      </c>
      <c r="T3153">
        <f t="shared" ca="1" si="398"/>
        <v>1.52130899968</v>
      </c>
      <c r="U3153" s="8">
        <f t="shared" ca="1" si="399"/>
        <v>4.9216813465600016</v>
      </c>
      <c r="V3153" s="9">
        <f ca="1">RawData[[#This Row],[Z (smoothed demand size)]]/RawData[[#This Row],[X (smoothed interval)]]</f>
        <v>0.30910351413614284</v>
      </c>
    </row>
    <row r="3154" spans="1:22">
      <c r="A3154" t="s">
        <v>63</v>
      </c>
      <c r="B3154" t="s">
        <v>60</v>
      </c>
      <c r="C3154">
        <v>28</v>
      </c>
      <c r="D3154" t="s">
        <v>18</v>
      </c>
      <c r="E3154" t="s">
        <v>16</v>
      </c>
      <c r="F3154" s="1">
        <v>44570</v>
      </c>
      <c r="G3154">
        <v>0</v>
      </c>
      <c r="H3154">
        <v>0</v>
      </c>
      <c r="I3154">
        <v>5</v>
      </c>
      <c r="J3154">
        <v>5</v>
      </c>
      <c r="K3154">
        <v>0</v>
      </c>
      <c r="L3154">
        <v>559</v>
      </c>
      <c r="M3154">
        <v>60</v>
      </c>
      <c r="N3154" s="1">
        <f t="shared" si="392"/>
        <v>44938</v>
      </c>
      <c r="O3154" s="1">
        <f t="shared" si="393"/>
        <v>43101</v>
      </c>
      <c r="P3154" s="1">
        <f t="shared" si="394"/>
        <v>44805</v>
      </c>
      <c r="Q3154" s="8">
        <f t="shared" si="395"/>
        <v>0</v>
      </c>
      <c r="R3154" s="8">
        <f t="shared" si="396"/>
        <v>57</v>
      </c>
      <c r="S3154" s="8">
        <f t="shared" ca="1" si="397"/>
        <v>55</v>
      </c>
      <c r="T3154">
        <f t="shared" ca="1" si="398"/>
        <v>1.52130899968</v>
      </c>
      <c r="U3154" s="8">
        <f t="shared" ca="1" si="399"/>
        <v>4.9216813465600016</v>
      </c>
      <c r="V3154" s="9">
        <f ca="1">RawData[[#This Row],[Z (smoothed demand size)]]/RawData[[#This Row],[X (smoothed interval)]]</f>
        <v>0.30910351413614284</v>
      </c>
    </row>
    <row r="3155" spans="1:22">
      <c r="A3155" t="s">
        <v>63</v>
      </c>
      <c r="B3155" t="s">
        <v>60</v>
      </c>
      <c r="C3155">
        <v>28</v>
      </c>
      <c r="D3155" t="s">
        <v>18</v>
      </c>
      <c r="E3155" t="s">
        <v>16</v>
      </c>
      <c r="F3155" s="1">
        <v>44571</v>
      </c>
      <c r="G3155">
        <v>0</v>
      </c>
      <c r="H3155">
        <v>0</v>
      </c>
      <c r="I3155">
        <v>5</v>
      </c>
      <c r="J3155">
        <v>5</v>
      </c>
      <c r="K3155">
        <v>0</v>
      </c>
      <c r="L3155">
        <v>568</v>
      </c>
      <c r="M3155">
        <v>45</v>
      </c>
      <c r="N3155" s="1">
        <f t="shared" si="392"/>
        <v>44938</v>
      </c>
      <c r="O3155" s="1">
        <f t="shared" si="393"/>
        <v>43101</v>
      </c>
      <c r="P3155" s="1">
        <f t="shared" si="394"/>
        <v>44835</v>
      </c>
      <c r="Q3155" s="8">
        <f t="shared" si="395"/>
        <v>0</v>
      </c>
      <c r="R3155" s="8">
        <f t="shared" si="396"/>
        <v>58</v>
      </c>
      <c r="S3155" s="8">
        <f t="shared" ca="1" si="397"/>
        <v>55</v>
      </c>
      <c r="T3155">
        <f t="shared" ca="1" si="398"/>
        <v>1.52130899968</v>
      </c>
      <c r="U3155" s="8">
        <f t="shared" ca="1" si="399"/>
        <v>4.9216813465600016</v>
      </c>
      <c r="V3155" s="9">
        <f ca="1">RawData[[#This Row],[Z (smoothed demand size)]]/RawData[[#This Row],[X (smoothed interval)]]</f>
        <v>0.30910351413614284</v>
      </c>
    </row>
    <row r="3156" spans="1:22">
      <c r="A3156" t="s">
        <v>63</v>
      </c>
      <c r="B3156" t="s">
        <v>60</v>
      </c>
      <c r="C3156">
        <v>28</v>
      </c>
      <c r="D3156" t="s">
        <v>18</v>
      </c>
      <c r="E3156" t="s">
        <v>16</v>
      </c>
      <c r="F3156" s="1">
        <v>44572</v>
      </c>
      <c r="G3156">
        <v>0</v>
      </c>
      <c r="H3156">
        <v>0</v>
      </c>
      <c r="I3156">
        <v>5</v>
      </c>
      <c r="J3156">
        <v>5</v>
      </c>
      <c r="K3156">
        <v>0</v>
      </c>
      <c r="L3156">
        <v>564</v>
      </c>
      <c r="M3156">
        <v>15</v>
      </c>
      <c r="N3156" s="1">
        <f t="shared" si="392"/>
        <v>44938</v>
      </c>
      <c r="O3156" s="1">
        <f t="shared" si="393"/>
        <v>43101</v>
      </c>
      <c r="P3156" s="1">
        <f t="shared" si="394"/>
        <v>44866</v>
      </c>
      <c r="Q3156" s="8">
        <f t="shared" si="395"/>
        <v>0</v>
      </c>
      <c r="R3156" s="8">
        <f t="shared" si="396"/>
        <v>59</v>
      </c>
      <c r="S3156" s="8">
        <f t="shared" ca="1" si="397"/>
        <v>55</v>
      </c>
      <c r="T3156">
        <f t="shared" ca="1" si="398"/>
        <v>1.52130899968</v>
      </c>
      <c r="U3156" s="8">
        <f t="shared" ca="1" si="399"/>
        <v>4.9216813465600016</v>
      </c>
      <c r="V3156" s="9">
        <f ca="1">RawData[[#This Row],[Z (smoothed demand size)]]/RawData[[#This Row],[X (smoothed interval)]]</f>
        <v>0.30910351413614284</v>
      </c>
    </row>
    <row r="3157" spans="1:22">
      <c r="A3157" t="s">
        <v>63</v>
      </c>
      <c r="B3157" t="s">
        <v>60</v>
      </c>
      <c r="C3157">
        <v>28</v>
      </c>
      <c r="D3157" t="s">
        <v>18</v>
      </c>
      <c r="E3157" t="s">
        <v>16</v>
      </c>
      <c r="F3157" s="1">
        <v>44573</v>
      </c>
      <c r="G3157">
        <v>0</v>
      </c>
      <c r="H3157">
        <v>0</v>
      </c>
      <c r="I3157">
        <v>5</v>
      </c>
      <c r="J3157">
        <v>5</v>
      </c>
      <c r="K3157">
        <v>0</v>
      </c>
      <c r="L3157">
        <v>654</v>
      </c>
      <c r="M3157">
        <v>60</v>
      </c>
      <c r="N3157" s="1">
        <f t="shared" si="392"/>
        <v>44938</v>
      </c>
      <c r="O3157" s="1">
        <f t="shared" si="393"/>
        <v>43101</v>
      </c>
      <c r="P3157" s="1">
        <f t="shared" si="394"/>
        <v>44896</v>
      </c>
      <c r="Q3157" s="8">
        <f t="shared" si="395"/>
        <v>0</v>
      </c>
      <c r="R3157" s="8">
        <f t="shared" si="396"/>
        <v>60</v>
      </c>
      <c r="S3157" s="8">
        <f t="shared" ca="1" si="397"/>
        <v>55</v>
      </c>
      <c r="T3157">
        <f t="shared" ca="1" si="398"/>
        <v>1.52130899968</v>
      </c>
      <c r="U3157" s="8">
        <f t="shared" ca="1" si="399"/>
        <v>4.9216813465600016</v>
      </c>
      <c r="V3157" s="9">
        <f ca="1">RawData[[#This Row],[Z (smoothed demand size)]]/RawData[[#This Row],[X (smoothed interval)]]</f>
        <v>0.30910351413614284</v>
      </c>
    </row>
    <row r="3158" spans="1:22">
      <c r="A3158" t="s">
        <v>63</v>
      </c>
      <c r="B3158" t="s">
        <v>60</v>
      </c>
      <c r="C3158">
        <v>28</v>
      </c>
      <c r="D3158" t="s">
        <v>18</v>
      </c>
      <c r="E3158" t="s">
        <v>16</v>
      </c>
      <c r="F3158" s="1">
        <v>44927</v>
      </c>
      <c r="G3158">
        <v>1</v>
      </c>
      <c r="H3158">
        <v>1</v>
      </c>
      <c r="I3158">
        <v>5</v>
      </c>
      <c r="J3158">
        <v>4</v>
      </c>
      <c r="K3158">
        <v>0</v>
      </c>
      <c r="L3158">
        <v>567</v>
      </c>
      <c r="M3158">
        <v>30</v>
      </c>
      <c r="N3158" s="1">
        <f t="shared" si="392"/>
        <v>44938</v>
      </c>
      <c r="O3158" s="1">
        <f t="shared" si="393"/>
        <v>43101</v>
      </c>
      <c r="P3158" s="1">
        <f t="shared" si="394"/>
        <v>44927</v>
      </c>
      <c r="Q3158" s="8">
        <f t="shared" si="395"/>
        <v>0</v>
      </c>
      <c r="R3158" s="8">
        <f t="shared" si="396"/>
        <v>61</v>
      </c>
      <c r="S3158" s="8">
        <f t="shared" ca="1" si="397"/>
        <v>61</v>
      </c>
      <c r="T3158">
        <f t="shared" ca="1" si="398"/>
        <v>1.417047199744</v>
      </c>
      <c r="U3158" s="8">
        <f t="shared" ca="1" si="399"/>
        <v>5.1373450772480016</v>
      </c>
      <c r="V3158" s="9">
        <f ca="1">RawData[[#This Row],[Z (smoothed demand size)]]/RawData[[#This Row],[X (smoothed interval)]]</f>
        <v>0.27583259026529922</v>
      </c>
    </row>
    <row r="3159" spans="1:22">
      <c r="A3159" t="s">
        <v>63</v>
      </c>
      <c r="B3159" t="s">
        <v>60</v>
      </c>
      <c r="C3159">
        <v>28</v>
      </c>
      <c r="D3159" t="s">
        <v>18</v>
      </c>
      <c r="E3159" t="s">
        <v>16</v>
      </c>
      <c r="F3159" s="1">
        <v>44928</v>
      </c>
      <c r="G3159">
        <v>0</v>
      </c>
      <c r="H3159">
        <v>0</v>
      </c>
      <c r="I3159">
        <v>19</v>
      </c>
      <c r="J3159">
        <v>19</v>
      </c>
      <c r="K3159">
        <v>0</v>
      </c>
      <c r="L3159">
        <v>559</v>
      </c>
      <c r="M3159">
        <v>45</v>
      </c>
      <c r="N3159" s="1">
        <f t="shared" si="392"/>
        <v>44938</v>
      </c>
      <c r="O3159" s="1">
        <f t="shared" si="393"/>
        <v>43101</v>
      </c>
      <c r="P3159" s="1">
        <f t="shared" si="394"/>
        <v>44958</v>
      </c>
      <c r="Q3159" s="8">
        <f t="shared" si="395"/>
        <v>0</v>
      </c>
      <c r="R3159" s="8">
        <f t="shared" si="396"/>
        <v>62</v>
      </c>
      <c r="S3159" s="8">
        <f t="shared" ca="1" si="397"/>
        <v>61</v>
      </c>
      <c r="T3159">
        <f t="shared" ca="1" si="398"/>
        <v>1.417047199744</v>
      </c>
      <c r="U3159" s="8">
        <f t="shared" ca="1" si="399"/>
        <v>5.1373450772480016</v>
      </c>
      <c r="V3159" s="9">
        <f ca="1">RawData[[#This Row],[Z (smoothed demand size)]]/RawData[[#This Row],[X (smoothed interval)]]</f>
        <v>0.27583259026529922</v>
      </c>
    </row>
    <row r="3160" spans="1:22">
      <c r="A3160" t="s">
        <v>63</v>
      </c>
      <c r="B3160" t="s">
        <v>60</v>
      </c>
      <c r="C3160">
        <v>28</v>
      </c>
      <c r="D3160" t="s">
        <v>18</v>
      </c>
      <c r="E3160" t="s">
        <v>16</v>
      </c>
      <c r="F3160" s="1">
        <v>44929</v>
      </c>
      <c r="G3160">
        <v>0</v>
      </c>
      <c r="H3160">
        <v>0</v>
      </c>
      <c r="I3160">
        <v>19</v>
      </c>
      <c r="J3160">
        <v>19</v>
      </c>
      <c r="K3160">
        <v>0</v>
      </c>
      <c r="L3160">
        <v>562</v>
      </c>
      <c r="M3160">
        <v>15</v>
      </c>
      <c r="N3160" s="1">
        <f t="shared" si="392"/>
        <v>44938</v>
      </c>
      <c r="O3160" s="1">
        <f t="shared" si="393"/>
        <v>43101</v>
      </c>
      <c r="P3160" s="1">
        <f t="shared" si="394"/>
        <v>44986</v>
      </c>
      <c r="Q3160" s="8">
        <f t="shared" si="395"/>
        <v>0</v>
      </c>
      <c r="R3160" s="8">
        <f t="shared" si="396"/>
        <v>63</v>
      </c>
      <c r="S3160" s="8">
        <f t="shared" ca="1" si="397"/>
        <v>61</v>
      </c>
      <c r="T3160">
        <f t="shared" ca="1" si="398"/>
        <v>1.417047199744</v>
      </c>
      <c r="U3160" s="8">
        <f t="shared" ca="1" si="399"/>
        <v>5.1373450772480016</v>
      </c>
      <c r="V3160" s="9">
        <f ca="1">RawData[[#This Row],[Z (smoothed demand size)]]/RawData[[#This Row],[X (smoothed interval)]]</f>
        <v>0.27583259026529922</v>
      </c>
    </row>
    <row r="3161" spans="1:22">
      <c r="A3161" t="s">
        <v>63</v>
      </c>
      <c r="B3161" t="s">
        <v>60</v>
      </c>
      <c r="C3161">
        <v>28</v>
      </c>
      <c r="D3161" t="s">
        <v>18</v>
      </c>
      <c r="E3161" t="s">
        <v>16</v>
      </c>
      <c r="F3161" s="1">
        <v>44930</v>
      </c>
      <c r="G3161">
        <v>0</v>
      </c>
      <c r="H3161">
        <v>0</v>
      </c>
      <c r="I3161">
        <v>19</v>
      </c>
      <c r="J3161">
        <v>19</v>
      </c>
      <c r="K3161">
        <v>0</v>
      </c>
      <c r="L3161">
        <v>561</v>
      </c>
      <c r="M3161">
        <v>45</v>
      </c>
      <c r="N3161" s="1">
        <f t="shared" si="392"/>
        <v>44938</v>
      </c>
      <c r="O3161" s="1">
        <f t="shared" si="393"/>
        <v>43101</v>
      </c>
      <c r="P3161" s="1">
        <f t="shared" si="394"/>
        <v>45017</v>
      </c>
      <c r="Q3161" s="8">
        <f t="shared" si="395"/>
        <v>0</v>
      </c>
      <c r="R3161" s="8">
        <f t="shared" si="396"/>
        <v>64</v>
      </c>
      <c r="S3161" s="8">
        <f t="shared" ca="1" si="397"/>
        <v>61</v>
      </c>
      <c r="T3161">
        <f t="shared" ca="1" si="398"/>
        <v>1.417047199744</v>
      </c>
      <c r="U3161" s="8">
        <f t="shared" ca="1" si="399"/>
        <v>5.1373450772480016</v>
      </c>
      <c r="V3161" s="9">
        <f ca="1">RawData[[#This Row],[Z (smoothed demand size)]]/RawData[[#This Row],[X (smoothed interval)]]</f>
        <v>0.27583259026529922</v>
      </c>
    </row>
    <row r="3162" spans="1:22">
      <c r="A3162" t="s">
        <v>63</v>
      </c>
      <c r="B3162" t="s">
        <v>60</v>
      </c>
      <c r="C3162">
        <v>28</v>
      </c>
      <c r="D3162" t="s">
        <v>18</v>
      </c>
      <c r="E3162" t="s">
        <v>16</v>
      </c>
      <c r="F3162" s="1">
        <v>44931</v>
      </c>
      <c r="G3162">
        <v>0</v>
      </c>
      <c r="H3162">
        <v>0</v>
      </c>
      <c r="I3162">
        <v>19</v>
      </c>
      <c r="J3162">
        <v>19</v>
      </c>
      <c r="K3162">
        <v>0</v>
      </c>
      <c r="L3162">
        <v>570</v>
      </c>
      <c r="M3162">
        <v>45</v>
      </c>
      <c r="N3162" s="1">
        <f t="shared" si="392"/>
        <v>44938</v>
      </c>
      <c r="O3162" s="1">
        <f t="shared" si="393"/>
        <v>43101</v>
      </c>
      <c r="P3162" s="1">
        <f t="shared" si="394"/>
        <v>45047</v>
      </c>
      <c r="Q3162" s="8">
        <f t="shared" si="395"/>
        <v>0</v>
      </c>
      <c r="R3162" s="8">
        <f t="shared" si="396"/>
        <v>65</v>
      </c>
      <c r="S3162" s="8">
        <f t="shared" ca="1" si="397"/>
        <v>61</v>
      </c>
      <c r="T3162">
        <f t="shared" ca="1" si="398"/>
        <v>1.417047199744</v>
      </c>
      <c r="U3162" s="8">
        <f t="shared" ca="1" si="399"/>
        <v>5.1373450772480016</v>
      </c>
      <c r="V3162" s="9">
        <f ca="1">RawData[[#This Row],[Z (smoothed demand size)]]/RawData[[#This Row],[X (smoothed interval)]]</f>
        <v>0.27583259026529922</v>
      </c>
    </row>
    <row r="3163" spans="1:22">
      <c r="A3163" t="s">
        <v>63</v>
      </c>
      <c r="B3163" t="s">
        <v>60</v>
      </c>
      <c r="C3163">
        <v>28</v>
      </c>
      <c r="D3163" t="s">
        <v>18</v>
      </c>
      <c r="E3163" t="s">
        <v>16</v>
      </c>
      <c r="F3163" s="1">
        <v>44932</v>
      </c>
      <c r="G3163">
        <v>0</v>
      </c>
      <c r="H3163">
        <v>0</v>
      </c>
      <c r="I3163">
        <v>19</v>
      </c>
      <c r="J3163">
        <v>19</v>
      </c>
      <c r="K3163">
        <v>0</v>
      </c>
      <c r="L3163">
        <v>648</v>
      </c>
      <c r="M3163">
        <v>45</v>
      </c>
      <c r="N3163" s="1">
        <f t="shared" si="392"/>
        <v>44938</v>
      </c>
      <c r="O3163" s="1">
        <f t="shared" si="393"/>
        <v>43101</v>
      </c>
      <c r="P3163" s="1">
        <f t="shared" si="394"/>
        <v>45078</v>
      </c>
      <c r="Q3163" s="8">
        <f t="shared" si="395"/>
        <v>0</v>
      </c>
      <c r="R3163" s="8">
        <f t="shared" si="396"/>
        <v>66</v>
      </c>
      <c r="S3163" s="8">
        <f t="shared" ca="1" si="397"/>
        <v>61</v>
      </c>
      <c r="T3163">
        <f t="shared" ca="1" si="398"/>
        <v>1.417047199744</v>
      </c>
      <c r="U3163" s="8">
        <f t="shared" ca="1" si="399"/>
        <v>5.1373450772480016</v>
      </c>
      <c r="V3163" s="9">
        <f ca="1">RawData[[#This Row],[Z (smoothed demand size)]]/RawData[[#This Row],[X (smoothed interval)]]</f>
        <v>0.27583259026529922</v>
      </c>
    </row>
    <row r="3164" spans="1:22">
      <c r="A3164" t="s">
        <v>63</v>
      </c>
      <c r="B3164" t="s">
        <v>60</v>
      </c>
      <c r="C3164">
        <v>28</v>
      </c>
      <c r="D3164" t="s">
        <v>18</v>
      </c>
      <c r="E3164" t="s">
        <v>16</v>
      </c>
      <c r="F3164" s="1">
        <v>44933</v>
      </c>
      <c r="G3164">
        <v>0</v>
      </c>
      <c r="H3164">
        <v>0</v>
      </c>
      <c r="I3164">
        <v>19</v>
      </c>
      <c r="J3164">
        <v>19</v>
      </c>
      <c r="K3164">
        <v>0</v>
      </c>
      <c r="L3164">
        <v>657</v>
      </c>
      <c r="M3164">
        <v>30</v>
      </c>
      <c r="N3164" s="1">
        <f t="shared" si="392"/>
        <v>44938</v>
      </c>
      <c r="O3164" s="1">
        <f t="shared" si="393"/>
        <v>43101</v>
      </c>
      <c r="P3164" s="1">
        <f t="shared" si="394"/>
        <v>45108</v>
      </c>
      <c r="Q3164" s="8">
        <f t="shared" si="395"/>
        <v>0</v>
      </c>
      <c r="R3164" s="8">
        <f t="shared" si="396"/>
        <v>67</v>
      </c>
      <c r="S3164" s="8">
        <f t="shared" ca="1" si="397"/>
        <v>61</v>
      </c>
      <c r="T3164">
        <f t="shared" ca="1" si="398"/>
        <v>1.417047199744</v>
      </c>
      <c r="U3164" s="8">
        <f t="shared" ca="1" si="399"/>
        <v>5.1373450772480016</v>
      </c>
      <c r="V3164" s="9">
        <f ca="1">RawData[[#This Row],[Z (smoothed demand size)]]/RawData[[#This Row],[X (smoothed interval)]]</f>
        <v>0.27583259026529922</v>
      </c>
    </row>
    <row r="3165" spans="1:22">
      <c r="A3165" t="s">
        <v>63</v>
      </c>
      <c r="B3165" t="s">
        <v>60</v>
      </c>
      <c r="C3165">
        <v>28</v>
      </c>
      <c r="D3165" t="s">
        <v>18</v>
      </c>
      <c r="E3165" t="s">
        <v>16</v>
      </c>
      <c r="F3165" s="1">
        <v>44934</v>
      </c>
      <c r="G3165">
        <v>0</v>
      </c>
      <c r="H3165">
        <v>0</v>
      </c>
      <c r="I3165">
        <v>19</v>
      </c>
      <c r="J3165">
        <v>19</v>
      </c>
      <c r="K3165">
        <v>0</v>
      </c>
      <c r="L3165">
        <v>658</v>
      </c>
      <c r="M3165">
        <v>30</v>
      </c>
      <c r="N3165" s="1">
        <f t="shared" si="392"/>
        <v>44938</v>
      </c>
      <c r="O3165" s="1">
        <f t="shared" si="393"/>
        <v>43101</v>
      </c>
      <c r="P3165" s="1">
        <f t="shared" si="394"/>
        <v>45139</v>
      </c>
      <c r="Q3165" s="8">
        <f t="shared" si="395"/>
        <v>0</v>
      </c>
      <c r="R3165" s="8">
        <f t="shared" si="396"/>
        <v>68</v>
      </c>
      <c r="S3165" s="8">
        <f t="shared" ca="1" si="397"/>
        <v>61</v>
      </c>
      <c r="T3165">
        <f t="shared" ca="1" si="398"/>
        <v>1.417047199744</v>
      </c>
      <c r="U3165" s="8">
        <f t="shared" ca="1" si="399"/>
        <v>5.1373450772480016</v>
      </c>
      <c r="V3165" s="9">
        <f ca="1">RawData[[#This Row],[Z (smoothed demand size)]]/RawData[[#This Row],[X (smoothed interval)]]</f>
        <v>0.27583259026529922</v>
      </c>
    </row>
    <row r="3166" spans="1:22">
      <c r="A3166" t="s">
        <v>63</v>
      </c>
      <c r="B3166" t="s">
        <v>60</v>
      </c>
      <c r="C3166">
        <v>28</v>
      </c>
      <c r="D3166" t="s">
        <v>18</v>
      </c>
      <c r="E3166" t="s">
        <v>16</v>
      </c>
      <c r="F3166" s="1">
        <v>44935</v>
      </c>
      <c r="G3166">
        <v>0</v>
      </c>
      <c r="H3166">
        <v>0</v>
      </c>
      <c r="I3166">
        <v>19</v>
      </c>
      <c r="J3166">
        <v>19</v>
      </c>
      <c r="K3166">
        <v>0</v>
      </c>
      <c r="L3166">
        <v>564</v>
      </c>
      <c r="M3166">
        <v>15</v>
      </c>
      <c r="N3166" s="1">
        <f t="shared" si="392"/>
        <v>44938</v>
      </c>
      <c r="O3166" s="1">
        <f t="shared" si="393"/>
        <v>43101</v>
      </c>
      <c r="P3166" s="1">
        <f t="shared" si="394"/>
        <v>45170</v>
      </c>
      <c r="Q3166" s="8">
        <f t="shared" si="395"/>
        <v>0</v>
      </c>
      <c r="R3166" s="8">
        <f t="shared" si="396"/>
        <v>69</v>
      </c>
      <c r="S3166" s="8">
        <f t="shared" ca="1" si="397"/>
        <v>61</v>
      </c>
      <c r="T3166">
        <f t="shared" ca="1" si="398"/>
        <v>1.417047199744</v>
      </c>
      <c r="U3166" s="8">
        <f t="shared" ca="1" si="399"/>
        <v>5.1373450772480016</v>
      </c>
      <c r="V3166" s="9">
        <f ca="1">RawData[[#This Row],[Z (smoothed demand size)]]/RawData[[#This Row],[X (smoothed interval)]]</f>
        <v>0.27583259026529922</v>
      </c>
    </row>
    <row r="3167" spans="1:22">
      <c r="A3167" t="s">
        <v>63</v>
      </c>
      <c r="B3167" t="s">
        <v>60</v>
      </c>
      <c r="C3167">
        <v>28</v>
      </c>
      <c r="D3167" t="s">
        <v>18</v>
      </c>
      <c r="E3167" t="s">
        <v>16</v>
      </c>
      <c r="F3167" s="1">
        <v>44936</v>
      </c>
      <c r="G3167">
        <v>0</v>
      </c>
      <c r="H3167">
        <v>0</v>
      </c>
      <c r="I3167">
        <v>19</v>
      </c>
      <c r="J3167">
        <v>19</v>
      </c>
      <c r="K3167">
        <v>0</v>
      </c>
      <c r="L3167">
        <v>561</v>
      </c>
      <c r="M3167">
        <v>60</v>
      </c>
      <c r="N3167" s="1">
        <f t="shared" si="392"/>
        <v>44938</v>
      </c>
      <c r="O3167" s="1">
        <f t="shared" si="393"/>
        <v>43101</v>
      </c>
      <c r="P3167" s="1">
        <f t="shared" si="394"/>
        <v>45200</v>
      </c>
      <c r="Q3167" s="8">
        <f t="shared" si="395"/>
        <v>0</v>
      </c>
      <c r="R3167" s="8">
        <f t="shared" si="396"/>
        <v>70</v>
      </c>
      <c r="S3167" s="8">
        <f t="shared" ca="1" si="397"/>
        <v>61</v>
      </c>
      <c r="T3167">
        <f t="shared" ca="1" si="398"/>
        <v>1.417047199744</v>
      </c>
      <c r="U3167" s="8">
        <f t="shared" ca="1" si="399"/>
        <v>5.1373450772480016</v>
      </c>
      <c r="V3167" s="9">
        <f ca="1">RawData[[#This Row],[Z (smoothed demand size)]]/RawData[[#This Row],[X (smoothed interval)]]</f>
        <v>0.27583259026529922</v>
      </c>
    </row>
    <row r="3168" spans="1:22">
      <c r="A3168" t="s">
        <v>63</v>
      </c>
      <c r="B3168" t="s">
        <v>60</v>
      </c>
      <c r="C3168">
        <v>28</v>
      </c>
      <c r="D3168" t="s">
        <v>18</v>
      </c>
      <c r="E3168" t="s">
        <v>16</v>
      </c>
      <c r="F3168" s="1">
        <v>44937</v>
      </c>
      <c r="G3168">
        <v>0</v>
      </c>
      <c r="H3168">
        <v>0</v>
      </c>
      <c r="I3168">
        <v>19</v>
      </c>
      <c r="J3168">
        <v>19</v>
      </c>
      <c r="K3168">
        <v>0</v>
      </c>
      <c r="L3168">
        <v>559</v>
      </c>
      <c r="M3168">
        <v>45</v>
      </c>
      <c r="N3168" s="1">
        <f t="shared" si="392"/>
        <v>44938</v>
      </c>
      <c r="O3168" s="1">
        <f t="shared" si="393"/>
        <v>43101</v>
      </c>
      <c r="P3168" s="1">
        <f t="shared" si="394"/>
        <v>45231</v>
      </c>
      <c r="Q3168" s="8">
        <f t="shared" si="395"/>
        <v>0</v>
      </c>
      <c r="R3168" s="8">
        <f t="shared" si="396"/>
        <v>71</v>
      </c>
      <c r="S3168" s="8">
        <f t="shared" ca="1" si="397"/>
        <v>61</v>
      </c>
      <c r="T3168">
        <f t="shared" ca="1" si="398"/>
        <v>1.417047199744</v>
      </c>
      <c r="U3168" s="8">
        <f t="shared" ca="1" si="399"/>
        <v>5.1373450772480016</v>
      </c>
      <c r="V3168" s="9">
        <f ca="1">RawData[[#This Row],[Z (smoothed demand size)]]/RawData[[#This Row],[X (smoothed interval)]]</f>
        <v>0.27583259026529922</v>
      </c>
    </row>
    <row r="3169" spans="1:22">
      <c r="A3169" t="s">
        <v>63</v>
      </c>
      <c r="B3169" t="s">
        <v>60</v>
      </c>
      <c r="C3169">
        <v>28</v>
      </c>
      <c r="D3169" t="s">
        <v>18</v>
      </c>
      <c r="E3169" t="s">
        <v>16</v>
      </c>
      <c r="F3169" s="1">
        <v>44938</v>
      </c>
      <c r="G3169">
        <v>0</v>
      </c>
      <c r="H3169">
        <v>0</v>
      </c>
      <c r="I3169">
        <v>19</v>
      </c>
      <c r="J3169">
        <v>19</v>
      </c>
      <c r="K3169">
        <v>0</v>
      </c>
      <c r="L3169">
        <v>654</v>
      </c>
      <c r="M3169">
        <v>15</v>
      </c>
      <c r="N3169" s="1">
        <f t="shared" si="392"/>
        <v>44938</v>
      </c>
      <c r="O3169" s="1">
        <f t="shared" si="393"/>
        <v>43101</v>
      </c>
      <c r="P3169" s="1">
        <f t="shared" si="394"/>
        <v>45261</v>
      </c>
      <c r="Q3169" s="8">
        <f t="shared" si="395"/>
        <v>0</v>
      </c>
      <c r="R3169" s="8">
        <f t="shared" si="396"/>
        <v>72</v>
      </c>
      <c r="S3169" s="8">
        <f t="shared" ca="1" si="397"/>
        <v>61</v>
      </c>
      <c r="T3169">
        <f t="shared" ca="1" si="398"/>
        <v>1.417047199744</v>
      </c>
      <c r="U3169" s="8">
        <f t="shared" ca="1" si="399"/>
        <v>5.1373450772480016</v>
      </c>
      <c r="V3169" s="9">
        <f ca="1">RawData[[#This Row],[Z (smoothed demand size)]]/RawData[[#This Row],[X (smoothed interval)]]</f>
        <v>0.27583259026529922</v>
      </c>
    </row>
    <row r="3170" spans="1:22">
      <c r="A3170" t="s">
        <v>64</v>
      </c>
      <c r="B3170" t="s">
        <v>60</v>
      </c>
      <c r="C3170">
        <v>28</v>
      </c>
      <c r="D3170" t="s">
        <v>15</v>
      </c>
      <c r="E3170" t="s">
        <v>16</v>
      </c>
      <c r="F3170" s="1">
        <v>43101</v>
      </c>
      <c r="G3170">
        <v>0</v>
      </c>
      <c r="H3170">
        <v>0</v>
      </c>
      <c r="I3170">
        <v>26</v>
      </c>
      <c r="J3170">
        <v>26</v>
      </c>
      <c r="K3170">
        <v>0</v>
      </c>
      <c r="L3170">
        <v>659</v>
      </c>
      <c r="M3170">
        <v>15</v>
      </c>
      <c r="N3170" s="1">
        <f t="shared" si="392"/>
        <v>44938</v>
      </c>
      <c r="O3170" s="1">
        <f t="shared" si="393"/>
        <v>43101</v>
      </c>
      <c r="P3170" s="1">
        <f t="shared" si="394"/>
        <v>43101</v>
      </c>
      <c r="Q3170" s="8">
        <f t="shared" si="395"/>
        <v>1</v>
      </c>
      <c r="R3170" s="8">
        <f t="shared" si="396"/>
        <v>1</v>
      </c>
      <c r="S3170" s="8">
        <f t="shared" ca="1" si="397"/>
        <v>0</v>
      </c>
      <c r="T3170">
        <f t="shared" ca="1" si="398"/>
        <v>0</v>
      </c>
      <c r="U3170" s="8">
        <f t="shared" ca="1" si="399"/>
        <v>1</v>
      </c>
      <c r="V3170" s="9">
        <f ca="1">RawData[[#This Row],[Z (smoothed demand size)]]/RawData[[#This Row],[X (smoothed interval)]]</f>
        <v>0</v>
      </c>
    </row>
    <row r="3171" spans="1:22">
      <c r="A3171" t="s">
        <v>64</v>
      </c>
      <c r="B3171" t="s">
        <v>60</v>
      </c>
      <c r="C3171">
        <v>28</v>
      </c>
      <c r="D3171" t="s">
        <v>15</v>
      </c>
      <c r="E3171" t="s">
        <v>16</v>
      </c>
      <c r="F3171" s="1">
        <v>43102</v>
      </c>
      <c r="G3171">
        <v>0</v>
      </c>
      <c r="H3171">
        <v>0</v>
      </c>
      <c r="I3171">
        <v>26</v>
      </c>
      <c r="J3171">
        <v>26</v>
      </c>
      <c r="K3171">
        <v>0</v>
      </c>
      <c r="L3171">
        <v>649</v>
      </c>
      <c r="M3171">
        <v>60</v>
      </c>
      <c r="N3171" s="1">
        <f t="shared" si="392"/>
        <v>44938</v>
      </c>
      <c r="O3171" s="1">
        <f t="shared" si="393"/>
        <v>43101</v>
      </c>
      <c r="P3171" s="1">
        <f t="shared" si="394"/>
        <v>43132</v>
      </c>
      <c r="Q3171" s="8">
        <f t="shared" si="395"/>
        <v>0</v>
      </c>
      <c r="R3171" s="8">
        <f t="shared" si="396"/>
        <v>2</v>
      </c>
      <c r="S3171" s="8">
        <f t="shared" ca="1" si="397"/>
        <v>0</v>
      </c>
      <c r="T3171">
        <f t="shared" ca="1" si="398"/>
        <v>0</v>
      </c>
      <c r="U3171" s="8">
        <f t="shared" ca="1" si="399"/>
        <v>1</v>
      </c>
      <c r="V3171" s="9">
        <f ca="1">RawData[[#This Row],[Z (smoothed demand size)]]/RawData[[#This Row],[X (smoothed interval)]]</f>
        <v>0</v>
      </c>
    </row>
    <row r="3172" spans="1:22">
      <c r="A3172" t="s">
        <v>64</v>
      </c>
      <c r="B3172" t="s">
        <v>60</v>
      </c>
      <c r="C3172">
        <v>28</v>
      </c>
      <c r="D3172" t="s">
        <v>15</v>
      </c>
      <c r="E3172" t="s">
        <v>16</v>
      </c>
      <c r="F3172" s="1">
        <v>43103</v>
      </c>
      <c r="G3172">
        <v>0</v>
      </c>
      <c r="H3172">
        <v>0</v>
      </c>
      <c r="I3172">
        <v>26</v>
      </c>
      <c r="J3172">
        <v>26</v>
      </c>
      <c r="K3172">
        <v>0</v>
      </c>
      <c r="L3172">
        <v>650</v>
      </c>
      <c r="M3172">
        <v>15</v>
      </c>
      <c r="N3172" s="1">
        <f t="shared" si="392"/>
        <v>44938</v>
      </c>
      <c r="O3172" s="1">
        <f t="shared" si="393"/>
        <v>43101</v>
      </c>
      <c r="P3172" s="1">
        <f t="shared" si="394"/>
        <v>43160</v>
      </c>
      <c r="Q3172" s="8">
        <f t="shared" si="395"/>
        <v>0</v>
      </c>
      <c r="R3172" s="8">
        <f t="shared" si="396"/>
        <v>3</v>
      </c>
      <c r="S3172" s="8">
        <f t="shared" ca="1" si="397"/>
        <v>0</v>
      </c>
      <c r="T3172">
        <f t="shared" ca="1" si="398"/>
        <v>0</v>
      </c>
      <c r="U3172" s="8">
        <f t="shared" ca="1" si="399"/>
        <v>1</v>
      </c>
      <c r="V3172" s="9">
        <f ca="1">RawData[[#This Row],[Z (smoothed demand size)]]/RawData[[#This Row],[X (smoothed interval)]]</f>
        <v>0</v>
      </c>
    </row>
    <row r="3173" spans="1:22">
      <c r="A3173" t="s">
        <v>64</v>
      </c>
      <c r="B3173" t="s">
        <v>60</v>
      </c>
      <c r="C3173">
        <v>28</v>
      </c>
      <c r="D3173" t="s">
        <v>15</v>
      </c>
      <c r="E3173" t="s">
        <v>16</v>
      </c>
      <c r="F3173" s="1">
        <v>43104</v>
      </c>
      <c r="G3173">
        <v>0</v>
      </c>
      <c r="H3173">
        <v>0</v>
      </c>
      <c r="I3173">
        <v>26</v>
      </c>
      <c r="J3173">
        <v>26</v>
      </c>
      <c r="K3173">
        <v>0</v>
      </c>
      <c r="L3173">
        <v>639</v>
      </c>
      <c r="M3173">
        <v>30</v>
      </c>
      <c r="N3173" s="1">
        <f t="shared" si="392"/>
        <v>44938</v>
      </c>
      <c r="O3173" s="1">
        <f t="shared" si="393"/>
        <v>43101</v>
      </c>
      <c r="P3173" s="1">
        <f t="shared" si="394"/>
        <v>43191</v>
      </c>
      <c r="Q3173" s="8">
        <f t="shared" si="395"/>
        <v>0</v>
      </c>
      <c r="R3173" s="8">
        <f t="shared" si="396"/>
        <v>4</v>
      </c>
      <c r="S3173" s="8">
        <f t="shared" ca="1" si="397"/>
        <v>0</v>
      </c>
      <c r="T3173">
        <f t="shared" ca="1" si="398"/>
        <v>0</v>
      </c>
      <c r="U3173" s="8">
        <f t="shared" ca="1" si="399"/>
        <v>1</v>
      </c>
      <c r="V3173" s="9">
        <f ca="1">RawData[[#This Row],[Z (smoothed demand size)]]/RawData[[#This Row],[X (smoothed interval)]]</f>
        <v>0</v>
      </c>
    </row>
    <row r="3174" spans="1:22">
      <c r="A3174" t="s">
        <v>64</v>
      </c>
      <c r="B3174" t="s">
        <v>60</v>
      </c>
      <c r="C3174">
        <v>28</v>
      </c>
      <c r="D3174" t="s">
        <v>15</v>
      </c>
      <c r="E3174" t="s">
        <v>16</v>
      </c>
      <c r="F3174" s="1">
        <v>43105</v>
      </c>
      <c r="G3174">
        <v>0</v>
      </c>
      <c r="H3174">
        <v>0</v>
      </c>
      <c r="I3174">
        <v>26</v>
      </c>
      <c r="J3174">
        <v>26</v>
      </c>
      <c r="K3174">
        <v>0</v>
      </c>
      <c r="L3174">
        <v>648</v>
      </c>
      <c r="M3174">
        <v>60</v>
      </c>
      <c r="N3174" s="1">
        <f t="shared" si="392"/>
        <v>44938</v>
      </c>
      <c r="O3174" s="1">
        <f t="shared" si="393"/>
        <v>43101</v>
      </c>
      <c r="P3174" s="1">
        <f t="shared" si="394"/>
        <v>43221</v>
      </c>
      <c r="Q3174" s="8">
        <f t="shared" si="395"/>
        <v>0</v>
      </c>
      <c r="R3174" s="8">
        <f t="shared" si="396"/>
        <v>5</v>
      </c>
      <c r="S3174" s="8">
        <f t="shared" ca="1" si="397"/>
        <v>0</v>
      </c>
      <c r="T3174">
        <f t="shared" ca="1" si="398"/>
        <v>0</v>
      </c>
      <c r="U3174" s="8">
        <f t="shared" ca="1" si="399"/>
        <v>1</v>
      </c>
      <c r="V3174" s="9">
        <f ca="1">RawData[[#This Row],[Z (smoothed demand size)]]/RawData[[#This Row],[X (smoothed interval)]]</f>
        <v>0</v>
      </c>
    </row>
    <row r="3175" spans="1:22">
      <c r="A3175" t="s">
        <v>64</v>
      </c>
      <c r="B3175" t="s">
        <v>60</v>
      </c>
      <c r="C3175">
        <v>28</v>
      </c>
      <c r="D3175" t="s">
        <v>15</v>
      </c>
      <c r="E3175" t="s">
        <v>16</v>
      </c>
      <c r="F3175" s="1">
        <v>43106</v>
      </c>
      <c r="G3175">
        <v>2</v>
      </c>
      <c r="H3175">
        <v>2</v>
      </c>
      <c r="I3175">
        <v>26</v>
      </c>
      <c r="J3175">
        <v>24</v>
      </c>
      <c r="K3175">
        <v>0</v>
      </c>
      <c r="L3175">
        <v>741</v>
      </c>
      <c r="M3175">
        <v>30</v>
      </c>
      <c r="N3175" s="1">
        <f t="shared" si="392"/>
        <v>44938</v>
      </c>
      <c r="O3175" s="1">
        <f t="shared" si="393"/>
        <v>43101</v>
      </c>
      <c r="P3175" s="1">
        <f t="shared" si="394"/>
        <v>43252</v>
      </c>
      <c r="Q3175" s="8">
        <f t="shared" si="395"/>
        <v>0</v>
      </c>
      <c r="R3175" s="8">
        <f t="shared" si="396"/>
        <v>6</v>
      </c>
      <c r="S3175" s="8">
        <f t="shared" ca="1" si="397"/>
        <v>6</v>
      </c>
      <c r="T3175">
        <f t="shared" ca="1" si="398"/>
        <v>0.4</v>
      </c>
      <c r="U3175" s="8">
        <f t="shared" ca="1" si="399"/>
        <v>2</v>
      </c>
      <c r="V3175" s="9">
        <f ca="1">RawData[[#This Row],[Z (smoothed demand size)]]/RawData[[#This Row],[X (smoothed interval)]]</f>
        <v>0.2</v>
      </c>
    </row>
    <row r="3176" spans="1:22">
      <c r="A3176" t="s">
        <v>64</v>
      </c>
      <c r="B3176" t="s">
        <v>60</v>
      </c>
      <c r="C3176">
        <v>28</v>
      </c>
      <c r="D3176" t="s">
        <v>15</v>
      </c>
      <c r="E3176" t="s">
        <v>16</v>
      </c>
      <c r="F3176" s="1">
        <v>43107</v>
      </c>
      <c r="G3176">
        <v>0</v>
      </c>
      <c r="H3176">
        <v>0</v>
      </c>
      <c r="I3176">
        <v>24</v>
      </c>
      <c r="J3176">
        <v>24</v>
      </c>
      <c r="K3176">
        <v>0</v>
      </c>
      <c r="L3176">
        <v>755</v>
      </c>
      <c r="M3176">
        <v>60</v>
      </c>
      <c r="N3176" s="1">
        <f t="shared" si="392"/>
        <v>44938</v>
      </c>
      <c r="O3176" s="1">
        <f t="shared" si="393"/>
        <v>43101</v>
      </c>
      <c r="P3176" s="1">
        <f t="shared" si="394"/>
        <v>43282</v>
      </c>
      <c r="Q3176" s="8">
        <f t="shared" si="395"/>
        <v>0</v>
      </c>
      <c r="R3176" s="8">
        <f t="shared" si="396"/>
        <v>7</v>
      </c>
      <c r="S3176" s="8">
        <f t="shared" ca="1" si="397"/>
        <v>6</v>
      </c>
      <c r="T3176">
        <f t="shared" ca="1" si="398"/>
        <v>0.4</v>
      </c>
      <c r="U3176" s="8">
        <f t="shared" ca="1" si="399"/>
        <v>2</v>
      </c>
      <c r="V3176" s="9">
        <f ca="1">RawData[[#This Row],[Z (smoothed demand size)]]/RawData[[#This Row],[X (smoothed interval)]]</f>
        <v>0.2</v>
      </c>
    </row>
    <row r="3177" spans="1:22">
      <c r="A3177" t="s">
        <v>64</v>
      </c>
      <c r="B3177" t="s">
        <v>60</v>
      </c>
      <c r="C3177">
        <v>28</v>
      </c>
      <c r="D3177" t="s">
        <v>15</v>
      </c>
      <c r="E3177" t="s">
        <v>16</v>
      </c>
      <c r="F3177" s="1">
        <v>43108</v>
      </c>
      <c r="G3177">
        <v>0</v>
      </c>
      <c r="H3177">
        <v>0</v>
      </c>
      <c r="I3177">
        <v>24</v>
      </c>
      <c r="J3177">
        <v>24</v>
      </c>
      <c r="K3177">
        <v>0</v>
      </c>
      <c r="L3177">
        <v>758</v>
      </c>
      <c r="M3177">
        <v>15</v>
      </c>
      <c r="N3177" s="1">
        <f t="shared" si="392"/>
        <v>44938</v>
      </c>
      <c r="O3177" s="1">
        <f t="shared" si="393"/>
        <v>43101</v>
      </c>
      <c r="P3177" s="1">
        <f t="shared" si="394"/>
        <v>43313</v>
      </c>
      <c r="Q3177" s="8">
        <f t="shared" si="395"/>
        <v>0</v>
      </c>
      <c r="R3177" s="8">
        <f t="shared" si="396"/>
        <v>8</v>
      </c>
      <c r="S3177" s="8">
        <f t="shared" ca="1" si="397"/>
        <v>6</v>
      </c>
      <c r="T3177">
        <f t="shared" ca="1" si="398"/>
        <v>0.4</v>
      </c>
      <c r="U3177" s="8">
        <f t="shared" ca="1" si="399"/>
        <v>2</v>
      </c>
      <c r="V3177" s="9">
        <f ca="1">RawData[[#This Row],[Z (smoothed demand size)]]/RawData[[#This Row],[X (smoothed interval)]]</f>
        <v>0.2</v>
      </c>
    </row>
    <row r="3178" spans="1:22">
      <c r="A3178" t="s">
        <v>64</v>
      </c>
      <c r="B3178" t="s">
        <v>60</v>
      </c>
      <c r="C3178">
        <v>28</v>
      </c>
      <c r="D3178" t="s">
        <v>15</v>
      </c>
      <c r="E3178" t="s">
        <v>16</v>
      </c>
      <c r="F3178" s="1">
        <v>43109</v>
      </c>
      <c r="G3178">
        <v>0</v>
      </c>
      <c r="H3178">
        <v>0</v>
      </c>
      <c r="I3178">
        <v>24</v>
      </c>
      <c r="J3178">
        <v>24</v>
      </c>
      <c r="K3178">
        <v>0</v>
      </c>
      <c r="L3178">
        <v>668</v>
      </c>
      <c r="M3178">
        <v>45</v>
      </c>
      <c r="N3178" s="1">
        <f t="shared" si="392"/>
        <v>44938</v>
      </c>
      <c r="O3178" s="1">
        <f t="shared" si="393"/>
        <v>43101</v>
      </c>
      <c r="P3178" s="1">
        <f t="shared" si="394"/>
        <v>43344</v>
      </c>
      <c r="Q3178" s="8">
        <f t="shared" si="395"/>
        <v>0</v>
      </c>
      <c r="R3178" s="8">
        <f t="shared" si="396"/>
        <v>9</v>
      </c>
      <c r="S3178" s="8">
        <f t="shared" ca="1" si="397"/>
        <v>6</v>
      </c>
      <c r="T3178">
        <f t="shared" ca="1" si="398"/>
        <v>0.4</v>
      </c>
      <c r="U3178" s="8">
        <f t="shared" ca="1" si="399"/>
        <v>2</v>
      </c>
      <c r="V3178" s="9">
        <f ca="1">RawData[[#This Row],[Z (smoothed demand size)]]/RawData[[#This Row],[X (smoothed interval)]]</f>
        <v>0.2</v>
      </c>
    </row>
    <row r="3179" spans="1:22">
      <c r="A3179" t="s">
        <v>64</v>
      </c>
      <c r="B3179" t="s">
        <v>60</v>
      </c>
      <c r="C3179">
        <v>28</v>
      </c>
      <c r="D3179" t="s">
        <v>15</v>
      </c>
      <c r="E3179" t="s">
        <v>16</v>
      </c>
      <c r="F3179" s="1">
        <v>43110</v>
      </c>
      <c r="G3179">
        <v>0</v>
      </c>
      <c r="H3179">
        <v>0</v>
      </c>
      <c r="I3179">
        <v>24</v>
      </c>
      <c r="J3179">
        <v>24</v>
      </c>
      <c r="K3179">
        <v>0</v>
      </c>
      <c r="L3179">
        <v>673</v>
      </c>
      <c r="M3179">
        <v>60</v>
      </c>
      <c r="N3179" s="1">
        <f t="shared" si="392"/>
        <v>44938</v>
      </c>
      <c r="O3179" s="1">
        <f t="shared" si="393"/>
        <v>43101</v>
      </c>
      <c r="P3179" s="1">
        <f t="shared" si="394"/>
        <v>43374</v>
      </c>
      <c r="Q3179" s="8">
        <f t="shared" si="395"/>
        <v>0</v>
      </c>
      <c r="R3179" s="8">
        <f t="shared" si="396"/>
        <v>10</v>
      </c>
      <c r="S3179" s="8">
        <f t="shared" ca="1" si="397"/>
        <v>6</v>
      </c>
      <c r="T3179">
        <f t="shared" ca="1" si="398"/>
        <v>0.4</v>
      </c>
      <c r="U3179" s="8">
        <f t="shared" ca="1" si="399"/>
        <v>2</v>
      </c>
      <c r="V3179" s="9">
        <f ca="1">RawData[[#This Row],[Z (smoothed demand size)]]/RawData[[#This Row],[X (smoothed interval)]]</f>
        <v>0.2</v>
      </c>
    </row>
    <row r="3180" spans="1:22">
      <c r="A3180" t="s">
        <v>64</v>
      </c>
      <c r="B3180" t="s">
        <v>60</v>
      </c>
      <c r="C3180">
        <v>28</v>
      </c>
      <c r="D3180" t="s">
        <v>15</v>
      </c>
      <c r="E3180" t="s">
        <v>16</v>
      </c>
      <c r="F3180" s="1">
        <v>43111</v>
      </c>
      <c r="G3180">
        <v>0</v>
      </c>
      <c r="H3180">
        <v>0</v>
      </c>
      <c r="I3180">
        <v>24</v>
      </c>
      <c r="J3180">
        <v>24</v>
      </c>
      <c r="K3180">
        <v>0</v>
      </c>
      <c r="L3180">
        <v>655</v>
      </c>
      <c r="M3180">
        <v>30</v>
      </c>
      <c r="N3180" s="1">
        <f t="shared" si="392"/>
        <v>44938</v>
      </c>
      <c r="O3180" s="1">
        <f t="shared" si="393"/>
        <v>43101</v>
      </c>
      <c r="P3180" s="1">
        <f t="shared" si="394"/>
        <v>43405</v>
      </c>
      <c r="Q3180" s="8">
        <f t="shared" si="395"/>
        <v>0</v>
      </c>
      <c r="R3180" s="8">
        <f t="shared" si="396"/>
        <v>11</v>
      </c>
      <c r="S3180" s="8">
        <f t="shared" ca="1" si="397"/>
        <v>6</v>
      </c>
      <c r="T3180">
        <f t="shared" ca="1" si="398"/>
        <v>0.4</v>
      </c>
      <c r="U3180" s="8">
        <f t="shared" ca="1" si="399"/>
        <v>2</v>
      </c>
      <c r="V3180" s="9">
        <f ca="1">RawData[[#This Row],[Z (smoothed demand size)]]/RawData[[#This Row],[X (smoothed interval)]]</f>
        <v>0.2</v>
      </c>
    </row>
    <row r="3181" spans="1:22">
      <c r="A3181" t="s">
        <v>64</v>
      </c>
      <c r="B3181" t="s">
        <v>60</v>
      </c>
      <c r="C3181">
        <v>28</v>
      </c>
      <c r="D3181" t="s">
        <v>15</v>
      </c>
      <c r="E3181" t="s">
        <v>16</v>
      </c>
      <c r="F3181" s="1">
        <v>43112</v>
      </c>
      <c r="G3181">
        <v>3</v>
      </c>
      <c r="H3181">
        <v>3</v>
      </c>
      <c r="I3181">
        <v>24</v>
      </c>
      <c r="J3181">
        <v>21</v>
      </c>
      <c r="K3181">
        <v>0</v>
      </c>
      <c r="L3181">
        <v>747</v>
      </c>
      <c r="M3181">
        <v>30</v>
      </c>
      <c r="N3181" s="1">
        <f t="shared" si="392"/>
        <v>44938</v>
      </c>
      <c r="O3181" s="1">
        <f t="shared" si="393"/>
        <v>43101</v>
      </c>
      <c r="P3181" s="1">
        <f t="shared" si="394"/>
        <v>43435</v>
      </c>
      <c r="Q3181" s="8">
        <f t="shared" si="395"/>
        <v>0</v>
      </c>
      <c r="R3181" s="8">
        <f t="shared" si="396"/>
        <v>12</v>
      </c>
      <c r="S3181" s="8">
        <f t="shared" ca="1" si="397"/>
        <v>12</v>
      </c>
      <c r="T3181">
        <f t="shared" ca="1" si="398"/>
        <v>0.92000000000000015</v>
      </c>
      <c r="U3181" s="8">
        <f t="shared" ca="1" si="399"/>
        <v>2.8000000000000003</v>
      </c>
      <c r="V3181" s="9">
        <f ca="1">RawData[[#This Row],[Z (smoothed demand size)]]/RawData[[#This Row],[X (smoothed interval)]]</f>
        <v>0.32857142857142857</v>
      </c>
    </row>
    <row r="3182" spans="1:22">
      <c r="A3182" t="s">
        <v>64</v>
      </c>
      <c r="B3182" t="s">
        <v>60</v>
      </c>
      <c r="C3182">
        <v>28</v>
      </c>
      <c r="D3182" t="s">
        <v>15</v>
      </c>
      <c r="E3182" t="s">
        <v>16</v>
      </c>
      <c r="F3182" s="1">
        <v>43466</v>
      </c>
      <c r="G3182">
        <v>0</v>
      </c>
      <c r="H3182">
        <v>0</v>
      </c>
      <c r="I3182">
        <v>21</v>
      </c>
      <c r="J3182">
        <v>21</v>
      </c>
      <c r="K3182">
        <v>0</v>
      </c>
      <c r="L3182">
        <v>648</v>
      </c>
      <c r="M3182">
        <v>45</v>
      </c>
      <c r="N3182" s="1">
        <f t="shared" si="392"/>
        <v>44938</v>
      </c>
      <c r="O3182" s="1">
        <f t="shared" si="393"/>
        <v>43101</v>
      </c>
      <c r="P3182" s="1">
        <f t="shared" si="394"/>
        <v>43466</v>
      </c>
      <c r="Q3182" s="8">
        <f t="shared" si="395"/>
        <v>0</v>
      </c>
      <c r="R3182" s="8">
        <f t="shared" si="396"/>
        <v>13</v>
      </c>
      <c r="S3182" s="8">
        <f t="shared" ca="1" si="397"/>
        <v>12</v>
      </c>
      <c r="T3182">
        <f t="shared" ca="1" si="398"/>
        <v>0.92000000000000015</v>
      </c>
      <c r="U3182" s="8">
        <f t="shared" ca="1" si="399"/>
        <v>2.8000000000000003</v>
      </c>
      <c r="V3182" s="9">
        <f ca="1">RawData[[#This Row],[Z (smoothed demand size)]]/RawData[[#This Row],[X (smoothed interval)]]</f>
        <v>0.32857142857142857</v>
      </c>
    </row>
    <row r="3183" spans="1:22">
      <c r="A3183" t="s">
        <v>64</v>
      </c>
      <c r="B3183" t="s">
        <v>60</v>
      </c>
      <c r="C3183">
        <v>28</v>
      </c>
      <c r="D3183" t="s">
        <v>15</v>
      </c>
      <c r="E3183" t="s">
        <v>16</v>
      </c>
      <c r="F3183" s="1">
        <v>43467</v>
      </c>
      <c r="G3183">
        <v>0</v>
      </c>
      <c r="H3183">
        <v>0</v>
      </c>
      <c r="I3183">
        <v>21</v>
      </c>
      <c r="J3183">
        <v>21</v>
      </c>
      <c r="K3183">
        <v>0</v>
      </c>
      <c r="L3183">
        <v>647</v>
      </c>
      <c r="M3183">
        <v>15</v>
      </c>
      <c r="N3183" s="1">
        <f t="shared" si="392"/>
        <v>44938</v>
      </c>
      <c r="O3183" s="1">
        <f t="shared" si="393"/>
        <v>43101</v>
      </c>
      <c r="P3183" s="1">
        <f t="shared" si="394"/>
        <v>43497</v>
      </c>
      <c r="Q3183" s="8">
        <f t="shared" si="395"/>
        <v>0</v>
      </c>
      <c r="R3183" s="8">
        <f t="shared" si="396"/>
        <v>14</v>
      </c>
      <c r="S3183" s="8">
        <f t="shared" ca="1" si="397"/>
        <v>12</v>
      </c>
      <c r="T3183">
        <f t="shared" ca="1" si="398"/>
        <v>0.92000000000000015</v>
      </c>
      <c r="U3183" s="8">
        <f t="shared" ca="1" si="399"/>
        <v>2.8000000000000003</v>
      </c>
      <c r="V3183" s="9">
        <f ca="1">RawData[[#This Row],[Z (smoothed demand size)]]/RawData[[#This Row],[X (smoothed interval)]]</f>
        <v>0.32857142857142857</v>
      </c>
    </row>
    <row r="3184" spans="1:22">
      <c r="A3184" t="s">
        <v>64</v>
      </c>
      <c r="B3184" t="s">
        <v>60</v>
      </c>
      <c r="C3184">
        <v>28</v>
      </c>
      <c r="D3184" t="s">
        <v>15</v>
      </c>
      <c r="E3184" t="s">
        <v>16</v>
      </c>
      <c r="F3184" s="1">
        <v>43468</v>
      </c>
      <c r="G3184">
        <v>0</v>
      </c>
      <c r="H3184">
        <v>0</v>
      </c>
      <c r="I3184">
        <v>21</v>
      </c>
      <c r="J3184">
        <v>21</v>
      </c>
      <c r="K3184">
        <v>0</v>
      </c>
      <c r="L3184">
        <v>666</v>
      </c>
      <c r="M3184">
        <v>45</v>
      </c>
      <c r="N3184" s="1">
        <f t="shared" si="392"/>
        <v>44938</v>
      </c>
      <c r="O3184" s="1">
        <f t="shared" si="393"/>
        <v>43101</v>
      </c>
      <c r="P3184" s="1">
        <f t="shared" si="394"/>
        <v>43525</v>
      </c>
      <c r="Q3184" s="8">
        <f t="shared" si="395"/>
        <v>0</v>
      </c>
      <c r="R3184" s="8">
        <f t="shared" si="396"/>
        <v>15</v>
      </c>
      <c r="S3184" s="8">
        <f t="shared" ca="1" si="397"/>
        <v>12</v>
      </c>
      <c r="T3184">
        <f t="shared" ca="1" si="398"/>
        <v>0.92000000000000015</v>
      </c>
      <c r="U3184" s="8">
        <f t="shared" ca="1" si="399"/>
        <v>2.8000000000000003</v>
      </c>
      <c r="V3184" s="9">
        <f ca="1">RawData[[#This Row],[Z (smoothed demand size)]]/RawData[[#This Row],[X (smoothed interval)]]</f>
        <v>0.32857142857142857</v>
      </c>
    </row>
    <row r="3185" spans="1:22">
      <c r="A3185" t="s">
        <v>64</v>
      </c>
      <c r="B3185" t="s">
        <v>60</v>
      </c>
      <c r="C3185">
        <v>28</v>
      </c>
      <c r="D3185" t="s">
        <v>15</v>
      </c>
      <c r="E3185" t="s">
        <v>16</v>
      </c>
      <c r="F3185" s="1">
        <v>43469</v>
      </c>
      <c r="G3185">
        <v>0</v>
      </c>
      <c r="H3185">
        <v>0</v>
      </c>
      <c r="I3185">
        <v>21</v>
      </c>
      <c r="J3185">
        <v>21</v>
      </c>
      <c r="K3185">
        <v>0</v>
      </c>
      <c r="L3185">
        <v>633</v>
      </c>
      <c r="M3185">
        <v>45</v>
      </c>
      <c r="N3185" s="1">
        <f t="shared" si="392"/>
        <v>44938</v>
      </c>
      <c r="O3185" s="1">
        <f t="shared" si="393"/>
        <v>43101</v>
      </c>
      <c r="P3185" s="1">
        <f t="shared" si="394"/>
        <v>43556</v>
      </c>
      <c r="Q3185" s="8">
        <f t="shared" si="395"/>
        <v>0</v>
      </c>
      <c r="R3185" s="8">
        <f t="shared" si="396"/>
        <v>16</v>
      </c>
      <c r="S3185" s="8">
        <f t="shared" ca="1" si="397"/>
        <v>12</v>
      </c>
      <c r="T3185">
        <f t="shared" ca="1" si="398"/>
        <v>0.92000000000000015</v>
      </c>
      <c r="U3185" s="8">
        <f t="shared" ca="1" si="399"/>
        <v>2.8000000000000003</v>
      </c>
      <c r="V3185" s="9">
        <f ca="1">RawData[[#This Row],[Z (smoothed demand size)]]/RawData[[#This Row],[X (smoothed interval)]]</f>
        <v>0.32857142857142857</v>
      </c>
    </row>
    <row r="3186" spans="1:22">
      <c r="A3186" t="s">
        <v>64</v>
      </c>
      <c r="B3186" t="s">
        <v>60</v>
      </c>
      <c r="C3186">
        <v>28</v>
      </c>
      <c r="D3186" t="s">
        <v>15</v>
      </c>
      <c r="E3186" t="s">
        <v>16</v>
      </c>
      <c r="F3186" s="1">
        <v>43470</v>
      </c>
      <c r="G3186">
        <v>0</v>
      </c>
      <c r="H3186">
        <v>0</v>
      </c>
      <c r="I3186">
        <v>21</v>
      </c>
      <c r="J3186">
        <v>21</v>
      </c>
      <c r="K3186">
        <v>0</v>
      </c>
      <c r="L3186">
        <v>662</v>
      </c>
      <c r="M3186">
        <v>60</v>
      </c>
      <c r="N3186" s="1">
        <f t="shared" si="392"/>
        <v>44938</v>
      </c>
      <c r="O3186" s="1">
        <f t="shared" si="393"/>
        <v>43101</v>
      </c>
      <c r="P3186" s="1">
        <f t="shared" si="394"/>
        <v>43586</v>
      </c>
      <c r="Q3186" s="8">
        <f t="shared" si="395"/>
        <v>0</v>
      </c>
      <c r="R3186" s="8">
        <f t="shared" si="396"/>
        <v>17</v>
      </c>
      <c r="S3186" s="8">
        <f t="shared" ca="1" si="397"/>
        <v>12</v>
      </c>
      <c r="T3186">
        <f t="shared" ca="1" si="398"/>
        <v>0.92000000000000015</v>
      </c>
      <c r="U3186" s="8">
        <f t="shared" ca="1" si="399"/>
        <v>2.8000000000000003</v>
      </c>
      <c r="V3186" s="9">
        <f ca="1">RawData[[#This Row],[Z (smoothed demand size)]]/RawData[[#This Row],[X (smoothed interval)]]</f>
        <v>0.32857142857142857</v>
      </c>
    </row>
    <row r="3187" spans="1:22">
      <c r="A3187" t="s">
        <v>64</v>
      </c>
      <c r="B3187" t="s">
        <v>60</v>
      </c>
      <c r="C3187">
        <v>28</v>
      </c>
      <c r="D3187" t="s">
        <v>15</v>
      </c>
      <c r="E3187" t="s">
        <v>16</v>
      </c>
      <c r="F3187" s="1">
        <v>43471</v>
      </c>
      <c r="G3187">
        <v>6</v>
      </c>
      <c r="H3187">
        <v>6</v>
      </c>
      <c r="I3187">
        <v>21</v>
      </c>
      <c r="J3187">
        <v>15</v>
      </c>
      <c r="K3187">
        <v>0</v>
      </c>
      <c r="L3187">
        <v>742</v>
      </c>
      <c r="M3187">
        <v>60</v>
      </c>
      <c r="N3187" s="1">
        <f t="shared" si="392"/>
        <v>44938</v>
      </c>
      <c r="O3187" s="1">
        <f t="shared" si="393"/>
        <v>43101</v>
      </c>
      <c r="P3187" s="1">
        <f t="shared" si="394"/>
        <v>43617</v>
      </c>
      <c r="Q3187" s="8">
        <f t="shared" si="395"/>
        <v>0</v>
      </c>
      <c r="R3187" s="8">
        <f t="shared" si="396"/>
        <v>18</v>
      </c>
      <c r="S3187" s="8">
        <f t="shared" ca="1" si="397"/>
        <v>18</v>
      </c>
      <c r="T3187">
        <f t="shared" ca="1" si="398"/>
        <v>1.9360000000000004</v>
      </c>
      <c r="U3187" s="8">
        <f t="shared" ca="1" si="399"/>
        <v>3.4400000000000004</v>
      </c>
      <c r="V3187" s="9">
        <f ca="1">RawData[[#This Row],[Z (smoothed demand size)]]/RawData[[#This Row],[X (smoothed interval)]]</f>
        <v>0.56279069767441869</v>
      </c>
    </row>
    <row r="3188" spans="1:22">
      <c r="A3188" t="s">
        <v>64</v>
      </c>
      <c r="B3188" t="s">
        <v>60</v>
      </c>
      <c r="C3188">
        <v>28</v>
      </c>
      <c r="D3188" t="s">
        <v>15</v>
      </c>
      <c r="E3188" t="s">
        <v>16</v>
      </c>
      <c r="F3188" s="1">
        <v>43472</v>
      </c>
      <c r="G3188">
        <v>0</v>
      </c>
      <c r="H3188">
        <v>0</v>
      </c>
      <c r="I3188">
        <v>15</v>
      </c>
      <c r="J3188">
        <v>15</v>
      </c>
      <c r="K3188">
        <v>0</v>
      </c>
      <c r="L3188">
        <v>746</v>
      </c>
      <c r="M3188">
        <v>15</v>
      </c>
      <c r="N3188" s="1">
        <f t="shared" si="392"/>
        <v>44938</v>
      </c>
      <c r="O3188" s="1">
        <f t="shared" si="393"/>
        <v>43101</v>
      </c>
      <c r="P3188" s="1">
        <f t="shared" si="394"/>
        <v>43647</v>
      </c>
      <c r="Q3188" s="8">
        <f t="shared" si="395"/>
        <v>0</v>
      </c>
      <c r="R3188" s="8">
        <f t="shared" si="396"/>
        <v>19</v>
      </c>
      <c r="S3188" s="8">
        <f t="shared" ca="1" si="397"/>
        <v>18</v>
      </c>
      <c r="T3188">
        <f t="shared" ca="1" si="398"/>
        <v>1.9360000000000004</v>
      </c>
      <c r="U3188" s="8">
        <f t="shared" ca="1" si="399"/>
        <v>3.4400000000000004</v>
      </c>
      <c r="V3188" s="9">
        <f ca="1">RawData[[#This Row],[Z (smoothed demand size)]]/RawData[[#This Row],[X (smoothed interval)]]</f>
        <v>0.56279069767441869</v>
      </c>
    </row>
    <row r="3189" spans="1:22">
      <c r="A3189" t="s">
        <v>64</v>
      </c>
      <c r="B3189" t="s">
        <v>60</v>
      </c>
      <c r="C3189">
        <v>28</v>
      </c>
      <c r="D3189" t="s">
        <v>15</v>
      </c>
      <c r="E3189" t="s">
        <v>16</v>
      </c>
      <c r="F3189" s="1">
        <v>43473</v>
      </c>
      <c r="G3189">
        <v>0</v>
      </c>
      <c r="H3189">
        <v>0</v>
      </c>
      <c r="I3189">
        <v>15</v>
      </c>
      <c r="J3189">
        <v>15</v>
      </c>
      <c r="K3189">
        <v>0</v>
      </c>
      <c r="L3189">
        <v>729</v>
      </c>
      <c r="M3189">
        <v>60</v>
      </c>
      <c r="N3189" s="1">
        <f t="shared" si="392"/>
        <v>44938</v>
      </c>
      <c r="O3189" s="1">
        <f t="shared" si="393"/>
        <v>43101</v>
      </c>
      <c r="P3189" s="1">
        <f t="shared" si="394"/>
        <v>43678</v>
      </c>
      <c r="Q3189" s="8">
        <f t="shared" si="395"/>
        <v>0</v>
      </c>
      <c r="R3189" s="8">
        <f t="shared" si="396"/>
        <v>20</v>
      </c>
      <c r="S3189" s="8">
        <f t="shared" ca="1" si="397"/>
        <v>18</v>
      </c>
      <c r="T3189">
        <f t="shared" ca="1" si="398"/>
        <v>1.9360000000000004</v>
      </c>
      <c r="U3189" s="8">
        <f t="shared" ca="1" si="399"/>
        <v>3.4400000000000004</v>
      </c>
      <c r="V3189" s="9">
        <f ca="1">RawData[[#This Row],[Z (smoothed demand size)]]/RawData[[#This Row],[X (smoothed interval)]]</f>
        <v>0.56279069767441869</v>
      </c>
    </row>
    <row r="3190" spans="1:22">
      <c r="A3190" t="s">
        <v>64</v>
      </c>
      <c r="B3190" t="s">
        <v>60</v>
      </c>
      <c r="C3190">
        <v>28</v>
      </c>
      <c r="D3190" t="s">
        <v>15</v>
      </c>
      <c r="E3190" t="s">
        <v>16</v>
      </c>
      <c r="F3190" s="1">
        <v>43474</v>
      </c>
      <c r="G3190">
        <v>2</v>
      </c>
      <c r="H3190">
        <v>2</v>
      </c>
      <c r="I3190">
        <v>15</v>
      </c>
      <c r="J3190">
        <v>13</v>
      </c>
      <c r="K3190">
        <v>0</v>
      </c>
      <c r="L3190">
        <v>658</v>
      </c>
      <c r="M3190">
        <v>60</v>
      </c>
      <c r="N3190" s="1">
        <f t="shared" si="392"/>
        <v>44938</v>
      </c>
      <c r="O3190" s="1">
        <f t="shared" si="393"/>
        <v>43101</v>
      </c>
      <c r="P3190" s="1">
        <f t="shared" si="394"/>
        <v>43709</v>
      </c>
      <c r="Q3190" s="8">
        <f t="shared" si="395"/>
        <v>0</v>
      </c>
      <c r="R3190" s="8">
        <f t="shared" si="396"/>
        <v>21</v>
      </c>
      <c r="S3190" s="8">
        <f t="shared" ca="1" si="397"/>
        <v>21</v>
      </c>
      <c r="T3190">
        <f t="shared" ca="1" si="398"/>
        <v>1.9488000000000003</v>
      </c>
      <c r="U3190" s="8">
        <f t="shared" ca="1" si="399"/>
        <v>3.3520000000000008</v>
      </c>
      <c r="V3190" s="9">
        <f ca="1">RawData[[#This Row],[Z (smoothed demand size)]]/RawData[[#This Row],[X (smoothed interval)]]</f>
        <v>0.58138424821002388</v>
      </c>
    </row>
    <row r="3191" spans="1:22">
      <c r="A3191" t="s">
        <v>64</v>
      </c>
      <c r="B3191" t="s">
        <v>60</v>
      </c>
      <c r="C3191">
        <v>28</v>
      </c>
      <c r="D3191" t="s">
        <v>15</v>
      </c>
      <c r="E3191" t="s">
        <v>16</v>
      </c>
      <c r="F3191" s="1">
        <v>43475</v>
      </c>
      <c r="G3191">
        <v>0</v>
      </c>
      <c r="H3191">
        <v>0</v>
      </c>
      <c r="I3191">
        <v>13</v>
      </c>
      <c r="J3191">
        <v>13</v>
      </c>
      <c r="K3191">
        <v>0</v>
      </c>
      <c r="L3191">
        <v>656</v>
      </c>
      <c r="M3191">
        <v>30</v>
      </c>
      <c r="N3191" s="1">
        <f t="shared" si="392"/>
        <v>44938</v>
      </c>
      <c r="O3191" s="1">
        <f t="shared" si="393"/>
        <v>43101</v>
      </c>
      <c r="P3191" s="1">
        <f t="shared" si="394"/>
        <v>43739</v>
      </c>
      <c r="Q3191" s="8">
        <f t="shared" si="395"/>
        <v>0</v>
      </c>
      <c r="R3191" s="8">
        <f t="shared" si="396"/>
        <v>22</v>
      </c>
      <c r="S3191" s="8">
        <f t="shared" ca="1" si="397"/>
        <v>21</v>
      </c>
      <c r="T3191">
        <f t="shared" ca="1" si="398"/>
        <v>1.9488000000000003</v>
      </c>
      <c r="U3191" s="8">
        <f t="shared" ca="1" si="399"/>
        <v>3.3520000000000008</v>
      </c>
      <c r="V3191" s="9">
        <f ca="1">RawData[[#This Row],[Z (smoothed demand size)]]/RawData[[#This Row],[X (smoothed interval)]]</f>
        <v>0.58138424821002388</v>
      </c>
    </row>
    <row r="3192" spans="1:22">
      <c r="A3192" t="s">
        <v>64</v>
      </c>
      <c r="B3192" t="s">
        <v>60</v>
      </c>
      <c r="C3192">
        <v>28</v>
      </c>
      <c r="D3192" t="s">
        <v>15</v>
      </c>
      <c r="E3192" t="s">
        <v>16</v>
      </c>
      <c r="F3192" s="1">
        <v>43476</v>
      </c>
      <c r="G3192">
        <v>0</v>
      </c>
      <c r="H3192">
        <v>0</v>
      </c>
      <c r="I3192">
        <v>13</v>
      </c>
      <c r="J3192">
        <v>13</v>
      </c>
      <c r="K3192">
        <v>0</v>
      </c>
      <c r="L3192">
        <v>644</v>
      </c>
      <c r="M3192">
        <v>60</v>
      </c>
      <c r="N3192" s="1">
        <f t="shared" si="392"/>
        <v>44938</v>
      </c>
      <c r="O3192" s="1">
        <f t="shared" si="393"/>
        <v>43101</v>
      </c>
      <c r="P3192" s="1">
        <f t="shared" si="394"/>
        <v>43770</v>
      </c>
      <c r="Q3192" s="8">
        <f t="shared" si="395"/>
        <v>0</v>
      </c>
      <c r="R3192" s="8">
        <f t="shared" si="396"/>
        <v>23</v>
      </c>
      <c r="S3192" s="8">
        <f t="shared" ca="1" si="397"/>
        <v>21</v>
      </c>
      <c r="T3192">
        <f t="shared" ca="1" si="398"/>
        <v>1.9488000000000003</v>
      </c>
      <c r="U3192" s="8">
        <f t="shared" ca="1" si="399"/>
        <v>3.3520000000000008</v>
      </c>
      <c r="V3192" s="9">
        <f ca="1">RawData[[#This Row],[Z (smoothed demand size)]]/RawData[[#This Row],[X (smoothed interval)]]</f>
        <v>0.58138424821002388</v>
      </c>
    </row>
    <row r="3193" spans="1:22">
      <c r="A3193" t="s">
        <v>64</v>
      </c>
      <c r="B3193" t="s">
        <v>60</v>
      </c>
      <c r="C3193">
        <v>28</v>
      </c>
      <c r="D3193" t="s">
        <v>15</v>
      </c>
      <c r="E3193" t="s">
        <v>16</v>
      </c>
      <c r="F3193" s="1">
        <v>43477</v>
      </c>
      <c r="G3193">
        <v>0</v>
      </c>
      <c r="H3193">
        <v>0</v>
      </c>
      <c r="I3193">
        <v>13</v>
      </c>
      <c r="J3193">
        <v>13</v>
      </c>
      <c r="K3193">
        <v>0</v>
      </c>
      <c r="L3193">
        <v>757</v>
      </c>
      <c r="M3193">
        <v>45</v>
      </c>
      <c r="N3193" s="1">
        <f t="shared" si="392"/>
        <v>44938</v>
      </c>
      <c r="O3193" s="1">
        <f t="shared" si="393"/>
        <v>43101</v>
      </c>
      <c r="P3193" s="1">
        <f t="shared" si="394"/>
        <v>43800</v>
      </c>
      <c r="Q3193" s="8">
        <f t="shared" si="395"/>
        <v>0</v>
      </c>
      <c r="R3193" s="8">
        <f t="shared" si="396"/>
        <v>24</v>
      </c>
      <c r="S3193" s="8">
        <f t="shared" ca="1" si="397"/>
        <v>21</v>
      </c>
      <c r="T3193">
        <f t="shared" ca="1" si="398"/>
        <v>1.9488000000000003</v>
      </c>
      <c r="U3193" s="8">
        <f t="shared" ca="1" si="399"/>
        <v>3.3520000000000008</v>
      </c>
      <c r="V3193" s="9">
        <f ca="1">RawData[[#This Row],[Z (smoothed demand size)]]/RawData[[#This Row],[X (smoothed interval)]]</f>
        <v>0.58138424821002388</v>
      </c>
    </row>
    <row r="3194" spans="1:22">
      <c r="A3194" t="s">
        <v>64</v>
      </c>
      <c r="B3194" t="s">
        <v>60</v>
      </c>
      <c r="C3194">
        <v>28</v>
      </c>
      <c r="D3194" t="s">
        <v>15</v>
      </c>
      <c r="E3194" t="s">
        <v>16</v>
      </c>
      <c r="F3194" s="1">
        <v>43831</v>
      </c>
      <c r="G3194">
        <v>0</v>
      </c>
      <c r="H3194">
        <v>0</v>
      </c>
      <c r="I3194">
        <v>13</v>
      </c>
      <c r="J3194">
        <v>13</v>
      </c>
      <c r="K3194">
        <v>0</v>
      </c>
      <c r="L3194">
        <v>655</v>
      </c>
      <c r="M3194">
        <v>30</v>
      </c>
      <c r="N3194" s="1">
        <f t="shared" si="392"/>
        <v>44938</v>
      </c>
      <c r="O3194" s="1">
        <f t="shared" si="393"/>
        <v>43101</v>
      </c>
      <c r="P3194" s="1">
        <f t="shared" si="394"/>
        <v>43831</v>
      </c>
      <c r="Q3194" s="8">
        <f t="shared" si="395"/>
        <v>0</v>
      </c>
      <c r="R3194" s="8">
        <f t="shared" si="396"/>
        <v>25</v>
      </c>
      <c r="S3194" s="8">
        <f t="shared" ca="1" si="397"/>
        <v>21</v>
      </c>
      <c r="T3194">
        <f t="shared" ca="1" si="398"/>
        <v>1.9488000000000003</v>
      </c>
      <c r="U3194" s="8">
        <f t="shared" ca="1" si="399"/>
        <v>3.3520000000000008</v>
      </c>
      <c r="V3194" s="9">
        <f ca="1">RawData[[#This Row],[Z (smoothed demand size)]]/RawData[[#This Row],[X (smoothed interval)]]</f>
        <v>0.58138424821002388</v>
      </c>
    </row>
    <row r="3195" spans="1:22">
      <c r="A3195" t="s">
        <v>64</v>
      </c>
      <c r="B3195" t="s">
        <v>60</v>
      </c>
      <c r="C3195">
        <v>28</v>
      </c>
      <c r="D3195" t="s">
        <v>15</v>
      </c>
      <c r="E3195" t="s">
        <v>16</v>
      </c>
      <c r="F3195" s="1">
        <v>43832</v>
      </c>
      <c r="G3195">
        <v>0</v>
      </c>
      <c r="H3195">
        <v>0</v>
      </c>
      <c r="I3195">
        <v>13</v>
      </c>
      <c r="J3195">
        <v>13</v>
      </c>
      <c r="K3195">
        <v>0</v>
      </c>
      <c r="L3195">
        <v>646</v>
      </c>
      <c r="M3195">
        <v>30</v>
      </c>
      <c r="N3195" s="1">
        <f t="shared" si="392"/>
        <v>44938</v>
      </c>
      <c r="O3195" s="1">
        <f t="shared" si="393"/>
        <v>43101</v>
      </c>
      <c r="P3195" s="1">
        <f t="shared" si="394"/>
        <v>43862</v>
      </c>
      <c r="Q3195" s="8">
        <f t="shared" si="395"/>
        <v>0</v>
      </c>
      <c r="R3195" s="8">
        <f t="shared" si="396"/>
        <v>26</v>
      </c>
      <c r="S3195" s="8">
        <f t="shared" ca="1" si="397"/>
        <v>21</v>
      </c>
      <c r="T3195">
        <f t="shared" ca="1" si="398"/>
        <v>1.9488000000000003</v>
      </c>
      <c r="U3195" s="8">
        <f t="shared" ca="1" si="399"/>
        <v>3.3520000000000008</v>
      </c>
      <c r="V3195" s="9">
        <f ca="1">RawData[[#This Row],[Z (smoothed demand size)]]/RawData[[#This Row],[X (smoothed interval)]]</f>
        <v>0.58138424821002388</v>
      </c>
    </row>
    <row r="3196" spans="1:22">
      <c r="A3196" t="s">
        <v>64</v>
      </c>
      <c r="B3196" t="s">
        <v>60</v>
      </c>
      <c r="C3196">
        <v>28</v>
      </c>
      <c r="D3196" t="s">
        <v>15</v>
      </c>
      <c r="E3196" t="s">
        <v>16</v>
      </c>
      <c r="F3196" s="1">
        <v>43833</v>
      </c>
      <c r="G3196">
        <v>0</v>
      </c>
      <c r="H3196">
        <v>0</v>
      </c>
      <c r="I3196">
        <v>13</v>
      </c>
      <c r="J3196">
        <v>13</v>
      </c>
      <c r="K3196">
        <v>0</v>
      </c>
      <c r="L3196">
        <v>636</v>
      </c>
      <c r="M3196">
        <v>15</v>
      </c>
      <c r="N3196" s="1">
        <f t="shared" si="392"/>
        <v>44938</v>
      </c>
      <c r="O3196" s="1">
        <f t="shared" si="393"/>
        <v>43101</v>
      </c>
      <c r="P3196" s="1">
        <f t="shared" si="394"/>
        <v>43891</v>
      </c>
      <c r="Q3196" s="8">
        <f t="shared" si="395"/>
        <v>0</v>
      </c>
      <c r="R3196" s="8">
        <f t="shared" si="396"/>
        <v>27</v>
      </c>
      <c r="S3196" s="8">
        <f t="shared" ca="1" si="397"/>
        <v>21</v>
      </c>
      <c r="T3196">
        <f t="shared" ca="1" si="398"/>
        <v>1.9488000000000003</v>
      </c>
      <c r="U3196" s="8">
        <f t="shared" ca="1" si="399"/>
        <v>3.3520000000000008</v>
      </c>
      <c r="V3196" s="9">
        <f ca="1">RawData[[#This Row],[Z (smoothed demand size)]]/RawData[[#This Row],[X (smoothed interval)]]</f>
        <v>0.58138424821002388</v>
      </c>
    </row>
    <row r="3197" spans="1:22">
      <c r="A3197" t="s">
        <v>64</v>
      </c>
      <c r="B3197" t="s">
        <v>60</v>
      </c>
      <c r="C3197">
        <v>28</v>
      </c>
      <c r="D3197" t="s">
        <v>15</v>
      </c>
      <c r="E3197" t="s">
        <v>16</v>
      </c>
      <c r="F3197" s="1">
        <v>43834</v>
      </c>
      <c r="G3197">
        <v>0</v>
      </c>
      <c r="H3197">
        <v>0</v>
      </c>
      <c r="I3197">
        <v>13</v>
      </c>
      <c r="J3197">
        <v>13</v>
      </c>
      <c r="K3197">
        <v>0</v>
      </c>
      <c r="L3197">
        <v>648</v>
      </c>
      <c r="M3197">
        <v>30</v>
      </c>
      <c r="N3197" s="1">
        <f t="shared" si="392"/>
        <v>44938</v>
      </c>
      <c r="O3197" s="1">
        <f t="shared" si="393"/>
        <v>43101</v>
      </c>
      <c r="P3197" s="1">
        <f t="shared" si="394"/>
        <v>43922</v>
      </c>
      <c r="Q3197" s="8">
        <f t="shared" si="395"/>
        <v>0</v>
      </c>
      <c r="R3197" s="8">
        <f t="shared" si="396"/>
        <v>28</v>
      </c>
      <c r="S3197" s="8">
        <f t="shared" ca="1" si="397"/>
        <v>21</v>
      </c>
      <c r="T3197">
        <f t="shared" ca="1" si="398"/>
        <v>1.9488000000000003</v>
      </c>
      <c r="U3197" s="8">
        <f t="shared" ca="1" si="399"/>
        <v>3.3520000000000008</v>
      </c>
      <c r="V3197" s="9">
        <f ca="1">RawData[[#This Row],[Z (smoothed demand size)]]/RawData[[#This Row],[X (smoothed interval)]]</f>
        <v>0.58138424821002388</v>
      </c>
    </row>
    <row r="3198" spans="1:22">
      <c r="A3198" t="s">
        <v>64</v>
      </c>
      <c r="B3198" t="s">
        <v>60</v>
      </c>
      <c r="C3198">
        <v>28</v>
      </c>
      <c r="D3198" t="s">
        <v>15</v>
      </c>
      <c r="E3198" t="s">
        <v>16</v>
      </c>
      <c r="F3198" s="1">
        <v>43835</v>
      </c>
      <c r="G3198">
        <v>0</v>
      </c>
      <c r="H3198">
        <v>0</v>
      </c>
      <c r="I3198">
        <v>13</v>
      </c>
      <c r="J3198">
        <v>13</v>
      </c>
      <c r="K3198">
        <v>0</v>
      </c>
      <c r="L3198">
        <v>656</v>
      </c>
      <c r="M3198">
        <v>15</v>
      </c>
      <c r="N3198" s="1">
        <f t="shared" si="392"/>
        <v>44938</v>
      </c>
      <c r="O3198" s="1">
        <f t="shared" si="393"/>
        <v>43101</v>
      </c>
      <c r="P3198" s="1">
        <f t="shared" si="394"/>
        <v>43952</v>
      </c>
      <c r="Q3198" s="8">
        <f t="shared" si="395"/>
        <v>0</v>
      </c>
      <c r="R3198" s="8">
        <f t="shared" si="396"/>
        <v>29</v>
      </c>
      <c r="S3198" s="8">
        <f t="shared" ca="1" si="397"/>
        <v>21</v>
      </c>
      <c r="T3198">
        <f t="shared" ca="1" si="398"/>
        <v>1.9488000000000003</v>
      </c>
      <c r="U3198" s="8">
        <f t="shared" ca="1" si="399"/>
        <v>3.3520000000000008</v>
      </c>
      <c r="V3198" s="9">
        <f ca="1">RawData[[#This Row],[Z (smoothed demand size)]]/RawData[[#This Row],[X (smoothed interval)]]</f>
        <v>0.58138424821002388</v>
      </c>
    </row>
    <row r="3199" spans="1:22">
      <c r="A3199" t="s">
        <v>64</v>
      </c>
      <c r="B3199" t="s">
        <v>60</v>
      </c>
      <c r="C3199">
        <v>28</v>
      </c>
      <c r="D3199" t="s">
        <v>15</v>
      </c>
      <c r="E3199" t="s">
        <v>16</v>
      </c>
      <c r="F3199" s="1">
        <v>43836</v>
      </c>
      <c r="G3199">
        <v>1</v>
      </c>
      <c r="H3199">
        <v>1</v>
      </c>
      <c r="I3199">
        <v>13</v>
      </c>
      <c r="J3199">
        <v>12</v>
      </c>
      <c r="K3199">
        <v>0</v>
      </c>
      <c r="L3199">
        <v>740</v>
      </c>
      <c r="M3199">
        <v>15</v>
      </c>
      <c r="N3199" s="1">
        <f t="shared" si="392"/>
        <v>44938</v>
      </c>
      <c r="O3199" s="1">
        <f t="shared" si="393"/>
        <v>43101</v>
      </c>
      <c r="P3199" s="1">
        <f t="shared" si="394"/>
        <v>43983</v>
      </c>
      <c r="Q3199" s="8">
        <f t="shared" si="395"/>
        <v>0</v>
      </c>
      <c r="R3199" s="8">
        <f t="shared" si="396"/>
        <v>30</v>
      </c>
      <c r="S3199" s="8">
        <f t="shared" ca="1" si="397"/>
        <v>30</v>
      </c>
      <c r="T3199">
        <f t="shared" ca="1" si="398"/>
        <v>1.7590400000000004</v>
      </c>
      <c r="U3199" s="8">
        <f t="shared" ca="1" si="399"/>
        <v>4.4816000000000011</v>
      </c>
      <c r="V3199" s="9">
        <f ca="1">RawData[[#This Row],[Z (smoothed demand size)]]/RawData[[#This Row],[X (smoothed interval)]]</f>
        <v>0.39250267761513746</v>
      </c>
    </row>
    <row r="3200" spans="1:22">
      <c r="A3200" t="s">
        <v>64</v>
      </c>
      <c r="B3200" t="s">
        <v>60</v>
      </c>
      <c r="C3200">
        <v>28</v>
      </c>
      <c r="D3200" t="s">
        <v>15</v>
      </c>
      <c r="E3200" t="s">
        <v>16</v>
      </c>
      <c r="F3200" s="1">
        <v>43837</v>
      </c>
      <c r="G3200">
        <v>0</v>
      </c>
      <c r="H3200">
        <v>0</v>
      </c>
      <c r="I3200">
        <v>12</v>
      </c>
      <c r="J3200">
        <v>12</v>
      </c>
      <c r="K3200">
        <v>0</v>
      </c>
      <c r="L3200">
        <v>755</v>
      </c>
      <c r="M3200">
        <v>45</v>
      </c>
      <c r="N3200" s="1">
        <f t="shared" si="392"/>
        <v>44938</v>
      </c>
      <c r="O3200" s="1">
        <f t="shared" si="393"/>
        <v>43101</v>
      </c>
      <c r="P3200" s="1">
        <f t="shared" si="394"/>
        <v>44013</v>
      </c>
      <c r="Q3200" s="8">
        <f t="shared" si="395"/>
        <v>0</v>
      </c>
      <c r="R3200" s="8">
        <f t="shared" si="396"/>
        <v>31</v>
      </c>
      <c r="S3200" s="8">
        <f t="shared" ca="1" si="397"/>
        <v>30</v>
      </c>
      <c r="T3200">
        <f t="shared" ca="1" si="398"/>
        <v>1.7590400000000004</v>
      </c>
      <c r="U3200" s="8">
        <f t="shared" ca="1" si="399"/>
        <v>4.4816000000000011</v>
      </c>
      <c r="V3200" s="9">
        <f ca="1">RawData[[#This Row],[Z (smoothed demand size)]]/RawData[[#This Row],[X (smoothed interval)]]</f>
        <v>0.39250267761513746</v>
      </c>
    </row>
    <row r="3201" spans="1:22">
      <c r="A3201" t="s">
        <v>64</v>
      </c>
      <c r="B3201" t="s">
        <v>60</v>
      </c>
      <c r="C3201">
        <v>28</v>
      </c>
      <c r="D3201" t="s">
        <v>15</v>
      </c>
      <c r="E3201" t="s">
        <v>16</v>
      </c>
      <c r="F3201" s="1">
        <v>43838</v>
      </c>
      <c r="G3201">
        <v>0</v>
      </c>
      <c r="H3201">
        <v>0</v>
      </c>
      <c r="I3201">
        <v>12</v>
      </c>
      <c r="J3201">
        <v>12</v>
      </c>
      <c r="K3201">
        <v>0</v>
      </c>
      <c r="L3201">
        <v>740</v>
      </c>
      <c r="M3201">
        <v>30</v>
      </c>
      <c r="N3201" s="1">
        <f t="shared" si="392"/>
        <v>44938</v>
      </c>
      <c r="O3201" s="1">
        <f t="shared" si="393"/>
        <v>43101</v>
      </c>
      <c r="P3201" s="1">
        <f t="shared" si="394"/>
        <v>44044</v>
      </c>
      <c r="Q3201" s="8">
        <f t="shared" si="395"/>
        <v>0</v>
      </c>
      <c r="R3201" s="8">
        <f t="shared" si="396"/>
        <v>32</v>
      </c>
      <c r="S3201" s="8">
        <f t="shared" ca="1" si="397"/>
        <v>30</v>
      </c>
      <c r="T3201">
        <f t="shared" ca="1" si="398"/>
        <v>1.7590400000000004</v>
      </c>
      <c r="U3201" s="8">
        <f t="shared" ca="1" si="399"/>
        <v>4.4816000000000011</v>
      </c>
      <c r="V3201" s="9">
        <f ca="1">RawData[[#This Row],[Z (smoothed demand size)]]/RawData[[#This Row],[X (smoothed interval)]]</f>
        <v>0.39250267761513746</v>
      </c>
    </row>
    <row r="3202" spans="1:22">
      <c r="A3202" t="s">
        <v>64</v>
      </c>
      <c r="B3202" t="s">
        <v>60</v>
      </c>
      <c r="C3202">
        <v>28</v>
      </c>
      <c r="D3202" t="s">
        <v>15</v>
      </c>
      <c r="E3202" t="s">
        <v>16</v>
      </c>
      <c r="F3202" s="1">
        <v>43839</v>
      </c>
      <c r="G3202">
        <v>0</v>
      </c>
      <c r="H3202">
        <v>0</v>
      </c>
      <c r="I3202">
        <v>12</v>
      </c>
      <c r="J3202">
        <v>12</v>
      </c>
      <c r="K3202">
        <v>0</v>
      </c>
      <c r="L3202">
        <v>648</v>
      </c>
      <c r="M3202">
        <v>45</v>
      </c>
      <c r="N3202" s="1">
        <f t="shared" ref="N3202:N3265" si="400">MAX(F:F)</f>
        <v>44938</v>
      </c>
      <c r="O3202" s="1">
        <f t="shared" ref="O3202:O3265" si="401">MIN(F:F)</f>
        <v>43101</v>
      </c>
      <c r="P3202" s="1">
        <f t="shared" ref="P3202:P3265" si="402">DATE(YEAR(F3202), DAY(F3202), 1)</f>
        <v>44075</v>
      </c>
      <c r="Q3202" s="8">
        <f t="shared" ref="Q3202:Q3265" si="403" xml:space="preserve"> IF(A3202&lt;&gt;A3201, 1, 0)</f>
        <v>0</v>
      </c>
      <c r="R3202" s="8">
        <f t="shared" ref="R3202:R3265" si="404">IF(Q3202=1,1,R3201+1)</f>
        <v>33</v>
      </c>
      <c r="S3202" s="8">
        <f t="shared" ref="S3202:S3265" ca="1" si="405" xml:space="preserve"> IF(Q3202=1, IF(G3202&gt;0, R3202, 0), IF(G3202&gt;0, R3202, OFFSET(S3202,-1,0)))</f>
        <v>30</v>
      </c>
      <c r="T3202">
        <f t="shared" ref="T3202:T3265" ca="1" si="406" xml:space="preserve"> IF(Q3202=1, IF(G3202&gt;0, G3202, 0), IF(G3202&gt;0, $X$1*G3202+(1-$X$1)*OFFSET(T3202,-1,0), OFFSET(T3202,-1,0)))</f>
        <v>1.7590400000000004</v>
      </c>
      <c r="U3202" s="8">
        <f t="shared" ref="U3202:U3265" ca="1" si="407" xml:space="preserve"> IF(Q3202=1, 1, IF(G3202&gt;0, $X$1*(R3202-OFFSET(S3202,-1,0))+(1-$X$1)*OFFSET(U3202,-1,0), OFFSET(U3202,-1,0)))</f>
        <v>4.4816000000000011</v>
      </c>
      <c r="V3202" s="9">
        <f ca="1">RawData[[#This Row],[Z (smoothed demand size)]]/RawData[[#This Row],[X (smoothed interval)]]</f>
        <v>0.39250267761513746</v>
      </c>
    </row>
    <row r="3203" spans="1:22">
      <c r="A3203" t="s">
        <v>64</v>
      </c>
      <c r="B3203" t="s">
        <v>60</v>
      </c>
      <c r="C3203">
        <v>28</v>
      </c>
      <c r="D3203" t="s">
        <v>15</v>
      </c>
      <c r="E3203" t="s">
        <v>16</v>
      </c>
      <c r="F3203" s="1">
        <v>43840</v>
      </c>
      <c r="G3203">
        <v>2</v>
      </c>
      <c r="H3203">
        <v>2</v>
      </c>
      <c r="I3203">
        <v>12</v>
      </c>
      <c r="J3203">
        <v>10</v>
      </c>
      <c r="K3203">
        <v>0</v>
      </c>
      <c r="L3203">
        <v>644</v>
      </c>
      <c r="M3203">
        <v>45</v>
      </c>
      <c r="N3203" s="1">
        <f t="shared" si="400"/>
        <v>44938</v>
      </c>
      <c r="O3203" s="1">
        <f t="shared" si="401"/>
        <v>43101</v>
      </c>
      <c r="P3203" s="1">
        <f t="shared" si="402"/>
        <v>44105</v>
      </c>
      <c r="Q3203" s="8">
        <f t="shared" si="403"/>
        <v>0</v>
      </c>
      <c r="R3203" s="8">
        <f t="shared" si="404"/>
        <v>34</v>
      </c>
      <c r="S3203" s="8">
        <f t="shared" ca="1" si="405"/>
        <v>34</v>
      </c>
      <c r="T3203">
        <f t="shared" ca="1" si="406"/>
        <v>1.8072320000000004</v>
      </c>
      <c r="U3203" s="8">
        <f t="shared" ca="1" si="407"/>
        <v>4.3852800000000007</v>
      </c>
      <c r="V3203" s="9">
        <f ca="1">RawData[[#This Row],[Z (smoothed demand size)]]/RawData[[#This Row],[X (smoothed interval)]]</f>
        <v>0.41211325160537071</v>
      </c>
    </row>
    <row r="3204" spans="1:22">
      <c r="A3204" t="s">
        <v>64</v>
      </c>
      <c r="B3204" t="s">
        <v>60</v>
      </c>
      <c r="C3204">
        <v>28</v>
      </c>
      <c r="D3204" t="s">
        <v>15</v>
      </c>
      <c r="E3204" t="s">
        <v>16</v>
      </c>
      <c r="F3204" s="1">
        <v>43841</v>
      </c>
      <c r="G3204">
        <v>0</v>
      </c>
      <c r="H3204">
        <v>0</v>
      </c>
      <c r="I3204">
        <v>10</v>
      </c>
      <c r="J3204">
        <v>10</v>
      </c>
      <c r="K3204">
        <v>0</v>
      </c>
      <c r="L3204">
        <v>650</v>
      </c>
      <c r="M3204">
        <v>45</v>
      </c>
      <c r="N3204" s="1">
        <f t="shared" si="400"/>
        <v>44938</v>
      </c>
      <c r="O3204" s="1">
        <f t="shared" si="401"/>
        <v>43101</v>
      </c>
      <c r="P3204" s="1">
        <f t="shared" si="402"/>
        <v>44136</v>
      </c>
      <c r="Q3204" s="8">
        <f t="shared" si="403"/>
        <v>0</v>
      </c>
      <c r="R3204" s="8">
        <f t="shared" si="404"/>
        <v>35</v>
      </c>
      <c r="S3204" s="8">
        <f t="shared" ca="1" si="405"/>
        <v>34</v>
      </c>
      <c r="T3204">
        <f t="shared" ca="1" si="406"/>
        <v>1.8072320000000004</v>
      </c>
      <c r="U3204" s="8">
        <f t="shared" ca="1" si="407"/>
        <v>4.3852800000000007</v>
      </c>
      <c r="V3204" s="9">
        <f ca="1">RawData[[#This Row],[Z (smoothed demand size)]]/RawData[[#This Row],[X (smoothed interval)]]</f>
        <v>0.41211325160537071</v>
      </c>
    </row>
    <row r="3205" spans="1:22">
      <c r="A3205" t="s">
        <v>64</v>
      </c>
      <c r="B3205" t="s">
        <v>60</v>
      </c>
      <c r="C3205">
        <v>28</v>
      </c>
      <c r="D3205" t="s">
        <v>15</v>
      </c>
      <c r="E3205" t="s">
        <v>16</v>
      </c>
      <c r="F3205" s="1">
        <v>43842</v>
      </c>
      <c r="G3205">
        <v>3</v>
      </c>
      <c r="H3205">
        <v>3</v>
      </c>
      <c r="I3205">
        <v>10</v>
      </c>
      <c r="J3205">
        <v>7</v>
      </c>
      <c r="K3205">
        <v>0</v>
      </c>
      <c r="L3205">
        <v>753</v>
      </c>
      <c r="M3205">
        <v>15</v>
      </c>
      <c r="N3205" s="1">
        <f t="shared" si="400"/>
        <v>44938</v>
      </c>
      <c r="O3205" s="1">
        <f t="shared" si="401"/>
        <v>43101</v>
      </c>
      <c r="P3205" s="1">
        <f t="shared" si="402"/>
        <v>44166</v>
      </c>
      <c r="Q3205" s="8">
        <f t="shared" si="403"/>
        <v>0</v>
      </c>
      <c r="R3205" s="8">
        <f t="shared" si="404"/>
        <v>36</v>
      </c>
      <c r="S3205" s="8">
        <f t="shared" ca="1" si="405"/>
        <v>36</v>
      </c>
      <c r="T3205">
        <f t="shared" ca="1" si="406"/>
        <v>2.0457856000000003</v>
      </c>
      <c r="U3205" s="8">
        <f t="shared" ca="1" si="407"/>
        <v>3.9082240000000006</v>
      </c>
      <c r="V3205" s="9">
        <f ca="1">RawData[[#This Row],[Z (smoothed demand size)]]/RawData[[#This Row],[X (smoothed interval)]]</f>
        <v>0.52345658795401695</v>
      </c>
    </row>
    <row r="3206" spans="1:22">
      <c r="A3206" t="s">
        <v>64</v>
      </c>
      <c r="B3206" t="s">
        <v>60</v>
      </c>
      <c r="C3206">
        <v>28</v>
      </c>
      <c r="D3206" t="s">
        <v>15</v>
      </c>
      <c r="E3206" t="s">
        <v>16</v>
      </c>
      <c r="F3206" s="1">
        <v>44197</v>
      </c>
      <c r="G3206">
        <v>0</v>
      </c>
      <c r="H3206">
        <v>0</v>
      </c>
      <c r="I3206">
        <v>7</v>
      </c>
      <c r="J3206">
        <v>7</v>
      </c>
      <c r="K3206">
        <v>0</v>
      </c>
      <c r="L3206">
        <v>658</v>
      </c>
      <c r="M3206">
        <v>45</v>
      </c>
      <c r="N3206" s="1">
        <f t="shared" si="400"/>
        <v>44938</v>
      </c>
      <c r="O3206" s="1">
        <f t="shared" si="401"/>
        <v>43101</v>
      </c>
      <c r="P3206" s="1">
        <f t="shared" si="402"/>
        <v>44197</v>
      </c>
      <c r="Q3206" s="8">
        <f t="shared" si="403"/>
        <v>0</v>
      </c>
      <c r="R3206" s="8">
        <f t="shared" si="404"/>
        <v>37</v>
      </c>
      <c r="S3206" s="8">
        <f t="shared" ca="1" si="405"/>
        <v>36</v>
      </c>
      <c r="T3206">
        <f t="shared" ca="1" si="406"/>
        <v>2.0457856000000003</v>
      </c>
      <c r="U3206" s="8">
        <f t="shared" ca="1" si="407"/>
        <v>3.9082240000000006</v>
      </c>
      <c r="V3206" s="9">
        <f ca="1">RawData[[#This Row],[Z (smoothed demand size)]]/RawData[[#This Row],[X (smoothed interval)]]</f>
        <v>0.52345658795401695</v>
      </c>
    </row>
    <row r="3207" spans="1:22">
      <c r="A3207" t="s">
        <v>64</v>
      </c>
      <c r="B3207" t="s">
        <v>60</v>
      </c>
      <c r="C3207">
        <v>28</v>
      </c>
      <c r="D3207" t="s">
        <v>15</v>
      </c>
      <c r="E3207" t="s">
        <v>16</v>
      </c>
      <c r="F3207" s="1">
        <v>44198</v>
      </c>
      <c r="G3207">
        <v>0</v>
      </c>
      <c r="H3207">
        <v>0</v>
      </c>
      <c r="I3207">
        <v>7</v>
      </c>
      <c r="J3207">
        <v>7</v>
      </c>
      <c r="K3207">
        <v>0</v>
      </c>
      <c r="L3207">
        <v>648</v>
      </c>
      <c r="M3207">
        <v>45</v>
      </c>
      <c r="N3207" s="1">
        <f t="shared" si="400"/>
        <v>44938</v>
      </c>
      <c r="O3207" s="1">
        <f t="shared" si="401"/>
        <v>43101</v>
      </c>
      <c r="P3207" s="1">
        <f t="shared" si="402"/>
        <v>44228</v>
      </c>
      <c r="Q3207" s="8">
        <f t="shared" si="403"/>
        <v>0</v>
      </c>
      <c r="R3207" s="8">
        <f t="shared" si="404"/>
        <v>38</v>
      </c>
      <c r="S3207" s="8">
        <f t="shared" ca="1" si="405"/>
        <v>36</v>
      </c>
      <c r="T3207">
        <f t="shared" ca="1" si="406"/>
        <v>2.0457856000000003</v>
      </c>
      <c r="U3207" s="8">
        <f t="shared" ca="1" si="407"/>
        <v>3.9082240000000006</v>
      </c>
      <c r="V3207" s="9">
        <f ca="1">RawData[[#This Row],[Z (smoothed demand size)]]/RawData[[#This Row],[X (smoothed interval)]]</f>
        <v>0.52345658795401695</v>
      </c>
    </row>
    <row r="3208" spans="1:22">
      <c r="A3208" t="s">
        <v>64</v>
      </c>
      <c r="B3208" t="s">
        <v>60</v>
      </c>
      <c r="C3208">
        <v>28</v>
      </c>
      <c r="D3208" t="s">
        <v>15</v>
      </c>
      <c r="E3208" t="s">
        <v>16</v>
      </c>
      <c r="F3208" s="1">
        <v>44199</v>
      </c>
      <c r="G3208">
        <v>1</v>
      </c>
      <c r="H3208">
        <v>1</v>
      </c>
      <c r="I3208">
        <v>7</v>
      </c>
      <c r="J3208">
        <v>6</v>
      </c>
      <c r="K3208">
        <v>0</v>
      </c>
      <c r="L3208">
        <v>637</v>
      </c>
      <c r="M3208">
        <v>60</v>
      </c>
      <c r="N3208" s="1">
        <f t="shared" si="400"/>
        <v>44938</v>
      </c>
      <c r="O3208" s="1">
        <f t="shared" si="401"/>
        <v>43101</v>
      </c>
      <c r="P3208" s="1">
        <f t="shared" si="402"/>
        <v>44256</v>
      </c>
      <c r="Q3208" s="8">
        <f t="shared" si="403"/>
        <v>0</v>
      </c>
      <c r="R3208" s="8">
        <f t="shared" si="404"/>
        <v>39</v>
      </c>
      <c r="S3208" s="8">
        <f t="shared" ca="1" si="405"/>
        <v>39</v>
      </c>
      <c r="T3208">
        <f t="shared" ca="1" si="406"/>
        <v>1.8366284800000003</v>
      </c>
      <c r="U3208" s="8">
        <f t="shared" ca="1" si="407"/>
        <v>3.7265792000000006</v>
      </c>
      <c r="V3208" s="9">
        <f ca="1">RawData[[#This Row],[Z (smoothed demand size)]]/RawData[[#This Row],[X (smoothed interval)]]</f>
        <v>0.49284568539426188</v>
      </c>
    </row>
    <row r="3209" spans="1:22">
      <c r="A3209" t="s">
        <v>64</v>
      </c>
      <c r="B3209" t="s">
        <v>60</v>
      </c>
      <c r="C3209">
        <v>28</v>
      </c>
      <c r="D3209" t="s">
        <v>15</v>
      </c>
      <c r="E3209" t="s">
        <v>16</v>
      </c>
      <c r="F3209" s="1">
        <v>44200</v>
      </c>
      <c r="G3209">
        <v>0</v>
      </c>
      <c r="H3209">
        <v>0</v>
      </c>
      <c r="I3209">
        <v>6</v>
      </c>
      <c r="J3209">
        <v>6</v>
      </c>
      <c r="K3209">
        <v>0</v>
      </c>
      <c r="L3209">
        <v>651</v>
      </c>
      <c r="M3209">
        <v>30</v>
      </c>
      <c r="N3209" s="1">
        <f t="shared" si="400"/>
        <v>44938</v>
      </c>
      <c r="O3209" s="1">
        <f t="shared" si="401"/>
        <v>43101</v>
      </c>
      <c r="P3209" s="1">
        <f t="shared" si="402"/>
        <v>44287</v>
      </c>
      <c r="Q3209" s="8">
        <f t="shared" si="403"/>
        <v>0</v>
      </c>
      <c r="R3209" s="8">
        <f t="shared" si="404"/>
        <v>40</v>
      </c>
      <c r="S3209" s="8">
        <f t="shared" ca="1" si="405"/>
        <v>39</v>
      </c>
      <c r="T3209">
        <f t="shared" ca="1" si="406"/>
        <v>1.8366284800000003</v>
      </c>
      <c r="U3209" s="8">
        <f t="shared" ca="1" si="407"/>
        <v>3.7265792000000006</v>
      </c>
      <c r="V3209" s="9">
        <f ca="1">RawData[[#This Row],[Z (smoothed demand size)]]/RawData[[#This Row],[X (smoothed interval)]]</f>
        <v>0.49284568539426188</v>
      </c>
    </row>
    <row r="3210" spans="1:22">
      <c r="A3210" t="s">
        <v>64</v>
      </c>
      <c r="B3210" t="s">
        <v>60</v>
      </c>
      <c r="C3210">
        <v>28</v>
      </c>
      <c r="D3210" t="s">
        <v>15</v>
      </c>
      <c r="E3210" t="s">
        <v>16</v>
      </c>
      <c r="F3210" s="1">
        <v>44201</v>
      </c>
      <c r="G3210">
        <v>0</v>
      </c>
      <c r="H3210">
        <v>0</v>
      </c>
      <c r="I3210">
        <v>6</v>
      </c>
      <c r="J3210">
        <v>6</v>
      </c>
      <c r="K3210">
        <v>0</v>
      </c>
      <c r="L3210">
        <v>645</v>
      </c>
      <c r="M3210">
        <v>30</v>
      </c>
      <c r="N3210" s="1">
        <f t="shared" si="400"/>
        <v>44938</v>
      </c>
      <c r="O3210" s="1">
        <f t="shared" si="401"/>
        <v>43101</v>
      </c>
      <c r="P3210" s="1">
        <f t="shared" si="402"/>
        <v>44317</v>
      </c>
      <c r="Q3210" s="8">
        <f t="shared" si="403"/>
        <v>0</v>
      </c>
      <c r="R3210" s="8">
        <f t="shared" si="404"/>
        <v>41</v>
      </c>
      <c r="S3210" s="8">
        <f t="shared" ca="1" si="405"/>
        <v>39</v>
      </c>
      <c r="T3210">
        <f t="shared" ca="1" si="406"/>
        <v>1.8366284800000003</v>
      </c>
      <c r="U3210" s="8">
        <f t="shared" ca="1" si="407"/>
        <v>3.7265792000000006</v>
      </c>
      <c r="V3210" s="9">
        <f ca="1">RawData[[#This Row],[Z (smoothed demand size)]]/RawData[[#This Row],[X (smoothed interval)]]</f>
        <v>0.49284568539426188</v>
      </c>
    </row>
    <row r="3211" spans="1:22">
      <c r="A3211" t="s">
        <v>64</v>
      </c>
      <c r="B3211" t="s">
        <v>60</v>
      </c>
      <c r="C3211">
        <v>28</v>
      </c>
      <c r="D3211" t="s">
        <v>15</v>
      </c>
      <c r="E3211" t="s">
        <v>16</v>
      </c>
      <c r="F3211" s="1">
        <v>44202</v>
      </c>
      <c r="G3211">
        <v>0</v>
      </c>
      <c r="H3211">
        <v>0</v>
      </c>
      <c r="I3211">
        <v>6</v>
      </c>
      <c r="J3211">
        <v>6</v>
      </c>
      <c r="K3211">
        <v>0</v>
      </c>
      <c r="L3211">
        <v>742</v>
      </c>
      <c r="M3211">
        <v>45</v>
      </c>
      <c r="N3211" s="1">
        <f t="shared" si="400"/>
        <v>44938</v>
      </c>
      <c r="O3211" s="1">
        <f t="shared" si="401"/>
        <v>43101</v>
      </c>
      <c r="P3211" s="1">
        <f t="shared" si="402"/>
        <v>44348</v>
      </c>
      <c r="Q3211" s="8">
        <f t="shared" si="403"/>
        <v>0</v>
      </c>
      <c r="R3211" s="8">
        <f t="shared" si="404"/>
        <v>42</v>
      </c>
      <c r="S3211" s="8">
        <f t="shared" ca="1" si="405"/>
        <v>39</v>
      </c>
      <c r="T3211">
        <f t="shared" ca="1" si="406"/>
        <v>1.8366284800000003</v>
      </c>
      <c r="U3211" s="8">
        <f t="shared" ca="1" si="407"/>
        <v>3.7265792000000006</v>
      </c>
      <c r="V3211" s="9">
        <f ca="1">RawData[[#This Row],[Z (smoothed demand size)]]/RawData[[#This Row],[X (smoothed interval)]]</f>
        <v>0.49284568539426188</v>
      </c>
    </row>
    <row r="3212" spans="1:22">
      <c r="A3212" t="s">
        <v>64</v>
      </c>
      <c r="B3212" t="s">
        <v>60</v>
      </c>
      <c r="C3212">
        <v>28</v>
      </c>
      <c r="D3212" t="s">
        <v>15</v>
      </c>
      <c r="E3212" t="s">
        <v>16</v>
      </c>
      <c r="F3212" s="1">
        <v>44203</v>
      </c>
      <c r="G3212">
        <v>2</v>
      </c>
      <c r="H3212">
        <v>2</v>
      </c>
      <c r="I3212">
        <v>6</v>
      </c>
      <c r="J3212">
        <v>4</v>
      </c>
      <c r="K3212">
        <v>0</v>
      </c>
      <c r="L3212">
        <v>745</v>
      </c>
      <c r="M3212">
        <v>45</v>
      </c>
      <c r="N3212" s="1">
        <f t="shared" si="400"/>
        <v>44938</v>
      </c>
      <c r="O3212" s="1">
        <f t="shared" si="401"/>
        <v>43101</v>
      </c>
      <c r="P3212" s="1">
        <f t="shared" si="402"/>
        <v>44378</v>
      </c>
      <c r="Q3212" s="8">
        <f t="shared" si="403"/>
        <v>0</v>
      </c>
      <c r="R3212" s="8">
        <f t="shared" si="404"/>
        <v>43</v>
      </c>
      <c r="S3212" s="8">
        <f t="shared" ca="1" si="405"/>
        <v>43</v>
      </c>
      <c r="T3212">
        <f t="shared" ca="1" si="406"/>
        <v>1.8693027840000003</v>
      </c>
      <c r="U3212" s="8">
        <f t="shared" ca="1" si="407"/>
        <v>3.7812633600000005</v>
      </c>
      <c r="V3212" s="9">
        <f ca="1">RawData[[#This Row],[Z (smoothed demand size)]]/RawData[[#This Row],[X (smoothed interval)]]</f>
        <v>0.4943593201611855</v>
      </c>
    </row>
    <row r="3213" spans="1:22">
      <c r="A3213" t="s">
        <v>64</v>
      </c>
      <c r="B3213" t="s">
        <v>60</v>
      </c>
      <c r="C3213">
        <v>28</v>
      </c>
      <c r="D3213" t="s">
        <v>15</v>
      </c>
      <c r="E3213" t="s">
        <v>16</v>
      </c>
      <c r="F3213" s="1">
        <v>44204</v>
      </c>
      <c r="G3213">
        <v>0</v>
      </c>
      <c r="H3213">
        <v>0</v>
      </c>
      <c r="I3213">
        <v>4</v>
      </c>
      <c r="J3213">
        <v>4</v>
      </c>
      <c r="K3213">
        <v>0</v>
      </c>
      <c r="L3213">
        <v>748</v>
      </c>
      <c r="M3213">
        <v>45</v>
      </c>
      <c r="N3213" s="1">
        <f t="shared" si="400"/>
        <v>44938</v>
      </c>
      <c r="O3213" s="1">
        <f t="shared" si="401"/>
        <v>43101</v>
      </c>
      <c r="P3213" s="1">
        <f t="shared" si="402"/>
        <v>44409</v>
      </c>
      <c r="Q3213" s="8">
        <f t="shared" si="403"/>
        <v>0</v>
      </c>
      <c r="R3213" s="8">
        <f t="shared" si="404"/>
        <v>44</v>
      </c>
      <c r="S3213" s="8">
        <f t="shared" ca="1" si="405"/>
        <v>43</v>
      </c>
      <c r="T3213">
        <f t="shared" ca="1" si="406"/>
        <v>1.8693027840000003</v>
      </c>
      <c r="U3213" s="8">
        <f t="shared" ca="1" si="407"/>
        <v>3.7812633600000005</v>
      </c>
      <c r="V3213" s="9">
        <f ca="1">RawData[[#This Row],[Z (smoothed demand size)]]/RawData[[#This Row],[X (smoothed interval)]]</f>
        <v>0.4943593201611855</v>
      </c>
    </row>
    <row r="3214" spans="1:22">
      <c r="A3214" t="s">
        <v>64</v>
      </c>
      <c r="B3214" t="s">
        <v>60</v>
      </c>
      <c r="C3214">
        <v>28</v>
      </c>
      <c r="D3214" t="s">
        <v>15</v>
      </c>
      <c r="E3214" t="s">
        <v>16</v>
      </c>
      <c r="F3214" s="1">
        <v>44205</v>
      </c>
      <c r="G3214">
        <v>0</v>
      </c>
      <c r="H3214">
        <v>0</v>
      </c>
      <c r="I3214">
        <v>23</v>
      </c>
      <c r="J3214">
        <v>23</v>
      </c>
      <c r="K3214">
        <v>0</v>
      </c>
      <c r="L3214">
        <v>644</v>
      </c>
      <c r="M3214">
        <v>45</v>
      </c>
      <c r="N3214" s="1">
        <f t="shared" si="400"/>
        <v>44938</v>
      </c>
      <c r="O3214" s="1">
        <f t="shared" si="401"/>
        <v>43101</v>
      </c>
      <c r="P3214" s="1">
        <f t="shared" si="402"/>
        <v>44440</v>
      </c>
      <c r="Q3214" s="8">
        <f t="shared" si="403"/>
        <v>0</v>
      </c>
      <c r="R3214" s="8">
        <f t="shared" si="404"/>
        <v>45</v>
      </c>
      <c r="S3214" s="8">
        <f t="shared" ca="1" si="405"/>
        <v>43</v>
      </c>
      <c r="T3214">
        <f t="shared" ca="1" si="406"/>
        <v>1.8693027840000003</v>
      </c>
      <c r="U3214" s="8">
        <f t="shared" ca="1" si="407"/>
        <v>3.7812633600000005</v>
      </c>
      <c r="V3214" s="9">
        <f ca="1">RawData[[#This Row],[Z (smoothed demand size)]]/RawData[[#This Row],[X (smoothed interval)]]</f>
        <v>0.4943593201611855</v>
      </c>
    </row>
    <row r="3215" spans="1:22">
      <c r="A3215" t="s">
        <v>64</v>
      </c>
      <c r="B3215" t="s">
        <v>60</v>
      </c>
      <c r="C3215">
        <v>28</v>
      </c>
      <c r="D3215" t="s">
        <v>15</v>
      </c>
      <c r="E3215" t="s">
        <v>16</v>
      </c>
      <c r="F3215" s="1">
        <v>44206</v>
      </c>
      <c r="G3215">
        <v>0</v>
      </c>
      <c r="H3215">
        <v>0</v>
      </c>
      <c r="I3215">
        <v>23</v>
      </c>
      <c r="J3215">
        <v>23</v>
      </c>
      <c r="K3215">
        <v>0</v>
      </c>
      <c r="L3215">
        <v>651</v>
      </c>
      <c r="M3215">
        <v>45</v>
      </c>
      <c r="N3215" s="1">
        <f t="shared" si="400"/>
        <v>44938</v>
      </c>
      <c r="O3215" s="1">
        <f t="shared" si="401"/>
        <v>43101</v>
      </c>
      <c r="P3215" s="1">
        <f t="shared" si="402"/>
        <v>44470</v>
      </c>
      <c r="Q3215" s="8">
        <f t="shared" si="403"/>
        <v>0</v>
      </c>
      <c r="R3215" s="8">
        <f t="shared" si="404"/>
        <v>46</v>
      </c>
      <c r="S3215" s="8">
        <f t="shared" ca="1" si="405"/>
        <v>43</v>
      </c>
      <c r="T3215">
        <f t="shared" ca="1" si="406"/>
        <v>1.8693027840000003</v>
      </c>
      <c r="U3215" s="8">
        <f t="shared" ca="1" si="407"/>
        <v>3.7812633600000005</v>
      </c>
      <c r="V3215" s="9">
        <f ca="1">RawData[[#This Row],[Z (smoothed demand size)]]/RawData[[#This Row],[X (smoothed interval)]]</f>
        <v>0.4943593201611855</v>
      </c>
    </row>
    <row r="3216" spans="1:22">
      <c r="A3216" t="s">
        <v>64</v>
      </c>
      <c r="B3216" t="s">
        <v>60</v>
      </c>
      <c r="C3216">
        <v>28</v>
      </c>
      <c r="D3216" t="s">
        <v>15</v>
      </c>
      <c r="E3216" t="s">
        <v>16</v>
      </c>
      <c r="F3216" s="1">
        <v>44207</v>
      </c>
      <c r="G3216">
        <v>0</v>
      </c>
      <c r="H3216">
        <v>0</v>
      </c>
      <c r="I3216">
        <v>23</v>
      </c>
      <c r="J3216">
        <v>23</v>
      </c>
      <c r="K3216">
        <v>0</v>
      </c>
      <c r="L3216">
        <v>650</v>
      </c>
      <c r="M3216">
        <v>45</v>
      </c>
      <c r="N3216" s="1">
        <f t="shared" si="400"/>
        <v>44938</v>
      </c>
      <c r="O3216" s="1">
        <f t="shared" si="401"/>
        <v>43101</v>
      </c>
      <c r="P3216" s="1">
        <f t="shared" si="402"/>
        <v>44501</v>
      </c>
      <c r="Q3216" s="8">
        <f t="shared" si="403"/>
        <v>0</v>
      </c>
      <c r="R3216" s="8">
        <f t="shared" si="404"/>
        <v>47</v>
      </c>
      <c r="S3216" s="8">
        <f t="shared" ca="1" si="405"/>
        <v>43</v>
      </c>
      <c r="T3216">
        <f t="shared" ca="1" si="406"/>
        <v>1.8693027840000003</v>
      </c>
      <c r="U3216" s="8">
        <f t="shared" ca="1" si="407"/>
        <v>3.7812633600000005</v>
      </c>
      <c r="V3216" s="9">
        <f ca="1">RawData[[#This Row],[Z (smoothed demand size)]]/RawData[[#This Row],[X (smoothed interval)]]</f>
        <v>0.4943593201611855</v>
      </c>
    </row>
    <row r="3217" spans="1:22">
      <c r="A3217" t="s">
        <v>64</v>
      </c>
      <c r="B3217" t="s">
        <v>60</v>
      </c>
      <c r="C3217">
        <v>28</v>
      </c>
      <c r="D3217" t="s">
        <v>15</v>
      </c>
      <c r="E3217" t="s">
        <v>16</v>
      </c>
      <c r="F3217" s="1">
        <v>44208</v>
      </c>
      <c r="G3217">
        <v>0</v>
      </c>
      <c r="H3217">
        <v>0</v>
      </c>
      <c r="I3217">
        <v>23</v>
      </c>
      <c r="J3217">
        <v>23</v>
      </c>
      <c r="K3217">
        <v>0</v>
      </c>
      <c r="L3217">
        <v>749</v>
      </c>
      <c r="M3217">
        <v>60</v>
      </c>
      <c r="N3217" s="1">
        <f t="shared" si="400"/>
        <v>44938</v>
      </c>
      <c r="O3217" s="1">
        <f t="shared" si="401"/>
        <v>43101</v>
      </c>
      <c r="P3217" s="1">
        <f t="shared" si="402"/>
        <v>44531</v>
      </c>
      <c r="Q3217" s="8">
        <f t="shared" si="403"/>
        <v>0</v>
      </c>
      <c r="R3217" s="8">
        <f t="shared" si="404"/>
        <v>48</v>
      </c>
      <c r="S3217" s="8">
        <f t="shared" ca="1" si="405"/>
        <v>43</v>
      </c>
      <c r="T3217">
        <f t="shared" ca="1" si="406"/>
        <v>1.8693027840000003</v>
      </c>
      <c r="U3217" s="8">
        <f t="shared" ca="1" si="407"/>
        <v>3.7812633600000005</v>
      </c>
      <c r="V3217" s="9">
        <f ca="1">RawData[[#This Row],[Z (smoothed demand size)]]/RawData[[#This Row],[X (smoothed interval)]]</f>
        <v>0.4943593201611855</v>
      </c>
    </row>
    <row r="3218" spans="1:22">
      <c r="A3218" t="s">
        <v>64</v>
      </c>
      <c r="B3218" t="s">
        <v>60</v>
      </c>
      <c r="C3218">
        <v>28</v>
      </c>
      <c r="D3218" t="s">
        <v>15</v>
      </c>
      <c r="E3218" t="s">
        <v>16</v>
      </c>
      <c r="F3218" s="1">
        <v>44562</v>
      </c>
      <c r="G3218">
        <v>0</v>
      </c>
      <c r="H3218">
        <v>0</v>
      </c>
      <c r="I3218">
        <v>23</v>
      </c>
      <c r="J3218">
        <v>23</v>
      </c>
      <c r="K3218">
        <v>0</v>
      </c>
      <c r="L3218">
        <v>651</v>
      </c>
      <c r="M3218">
        <v>45</v>
      </c>
      <c r="N3218" s="1">
        <f t="shared" si="400"/>
        <v>44938</v>
      </c>
      <c r="O3218" s="1">
        <f t="shared" si="401"/>
        <v>43101</v>
      </c>
      <c r="P3218" s="1">
        <f t="shared" si="402"/>
        <v>44562</v>
      </c>
      <c r="Q3218" s="8">
        <f t="shared" si="403"/>
        <v>0</v>
      </c>
      <c r="R3218" s="8">
        <f t="shared" si="404"/>
        <v>49</v>
      </c>
      <c r="S3218" s="8">
        <f t="shared" ca="1" si="405"/>
        <v>43</v>
      </c>
      <c r="T3218">
        <f t="shared" ca="1" si="406"/>
        <v>1.8693027840000003</v>
      </c>
      <c r="U3218" s="8">
        <f t="shared" ca="1" si="407"/>
        <v>3.7812633600000005</v>
      </c>
      <c r="V3218" s="9">
        <f ca="1">RawData[[#This Row],[Z (smoothed demand size)]]/RawData[[#This Row],[X (smoothed interval)]]</f>
        <v>0.4943593201611855</v>
      </c>
    </row>
    <row r="3219" spans="1:22">
      <c r="A3219" t="s">
        <v>64</v>
      </c>
      <c r="B3219" t="s">
        <v>60</v>
      </c>
      <c r="C3219">
        <v>28</v>
      </c>
      <c r="D3219" t="s">
        <v>15</v>
      </c>
      <c r="E3219" t="s">
        <v>16</v>
      </c>
      <c r="F3219" s="1">
        <v>44563</v>
      </c>
      <c r="G3219">
        <v>0</v>
      </c>
      <c r="H3219">
        <v>0</v>
      </c>
      <c r="I3219">
        <v>23</v>
      </c>
      <c r="J3219">
        <v>23</v>
      </c>
      <c r="K3219">
        <v>0</v>
      </c>
      <c r="L3219">
        <v>631</v>
      </c>
      <c r="M3219">
        <v>60</v>
      </c>
      <c r="N3219" s="1">
        <f t="shared" si="400"/>
        <v>44938</v>
      </c>
      <c r="O3219" s="1">
        <f t="shared" si="401"/>
        <v>43101</v>
      </c>
      <c r="P3219" s="1">
        <f t="shared" si="402"/>
        <v>44593</v>
      </c>
      <c r="Q3219" s="8">
        <f t="shared" si="403"/>
        <v>0</v>
      </c>
      <c r="R3219" s="8">
        <f t="shared" si="404"/>
        <v>50</v>
      </c>
      <c r="S3219" s="8">
        <f t="shared" ca="1" si="405"/>
        <v>43</v>
      </c>
      <c r="T3219">
        <f t="shared" ca="1" si="406"/>
        <v>1.8693027840000003</v>
      </c>
      <c r="U3219" s="8">
        <f t="shared" ca="1" si="407"/>
        <v>3.7812633600000005</v>
      </c>
      <c r="V3219" s="9">
        <f ca="1">RawData[[#This Row],[Z (smoothed demand size)]]/RawData[[#This Row],[X (smoothed interval)]]</f>
        <v>0.4943593201611855</v>
      </c>
    </row>
    <row r="3220" spans="1:22">
      <c r="A3220" t="s">
        <v>64</v>
      </c>
      <c r="B3220" t="s">
        <v>60</v>
      </c>
      <c r="C3220">
        <v>28</v>
      </c>
      <c r="D3220" t="s">
        <v>15</v>
      </c>
      <c r="E3220" t="s">
        <v>16</v>
      </c>
      <c r="F3220" s="1">
        <v>44564</v>
      </c>
      <c r="G3220">
        <v>6</v>
      </c>
      <c r="H3220">
        <v>6</v>
      </c>
      <c r="I3220">
        <v>23</v>
      </c>
      <c r="J3220">
        <v>17</v>
      </c>
      <c r="K3220">
        <v>0</v>
      </c>
      <c r="L3220">
        <v>643</v>
      </c>
      <c r="M3220">
        <v>15</v>
      </c>
      <c r="N3220" s="1">
        <f t="shared" si="400"/>
        <v>44938</v>
      </c>
      <c r="O3220" s="1">
        <f t="shared" si="401"/>
        <v>43101</v>
      </c>
      <c r="P3220" s="1">
        <f t="shared" si="402"/>
        <v>44621</v>
      </c>
      <c r="Q3220" s="8">
        <f t="shared" si="403"/>
        <v>0</v>
      </c>
      <c r="R3220" s="8">
        <f t="shared" si="404"/>
        <v>51</v>
      </c>
      <c r="S3220" s="8">
        <f t="shared" ca="1" si="405"/>
        <v>51</v>
      </c>
      <c r="T3220">
        <f t="shared" ca="1" si="406"/>
        <v>2.6954422272000005</v>
      </c>
      <c r="U3220" s="8">
        <f t="shared" ca="1" si="407"/>
        <v>4.6250106880000006</v>
      </c>
      <c r="V3220" s="9">
        <f ca="1">RawData[[#This Row],[Z (smoothed demand size)]]/RawData[[#This Row],[X (smoothed interval)]]</f>
        <v>0.58279697259804475</v>
      </c>
    </row>
    <row r="3221" spans="1:22">
      <c r="A3221" t="s">
        <v>64</v>
      </c>
      <c r="B3221" t="s">
        <v>60</v>
      </c>
      <c r="C3221">
        <v>28</v>
      </c>
      <c r="D3221" t="s">
        <v>15</v>
      </c>
      <c r="E3221" t="s">
        <v>16</v>
      </c>
      <c r="F3221" s="1">
        <v>44565</v>
      </c>
      <c r="G3221">
        <v>0</v>
      </c>
      <c r="H3221">
        <v>0</v>
      </c>
      <c r="I3221">
        <v>17</v>
      </c>
      <c r="J3221">
        <v>17</v>
      </c>
      <c r="K3221">
        <v>0</v>
      </c>
      <c r="L3221">
        <v>644</v>
      </c>
      <c r="M3221">
        <v>45</v>
      </c>
      <c r="N3221" s="1">
        <f t="shared" si="400"/>
        <v>44938</v>
      </c>
      <c r="O3221" s="1">
        <f t="shared" si="401"/>
        <v>43101</v>
      </c>
      <c r="P3221" s="1">
        <f t="shared" si="402"/>
        <v>44652</v>
      </c>
      <c r="Q3221" s="8">
        <f t="shared" si="403"/>
        <v>0</v>
      </c>
      <c r="R3221" s="8">
        <f t="shared" si="404"/>
        <v>52</v>
      </c>
      <c r="S3221" s="8">
        <f t="shared" ca="1" si="405"/>
        <v>51</v>
      </c>
      <c r="T3221">
        <f t="shared" ca="1" si="406"/>
        <v>2.6954422272000005</v>
      </c>
      <c r="U3221" s="8">
        <f t="shared" ca="1" si="407"/>
        <v>4.6250106880000006</v>
      </c>
      <c r="V3221" s="9">
        <f ca="1">RawData[[#This Row],[Z (smoothed demand size)]]/RawData[[#This Row],[X (smoothed interval)]]</f>
        <v>0.58279697259804475</v>
      </c>
    </row>
    <row r="3222" spans="1:22">
      <c r="A3222" t="s">
        <v>64</v>
      </c>
      <c r="B3222" t="s">
        <v>60</v>
      </c>
      <c r="C3222">
        <v>28</v>
      </c>
      <c r="D3222" t="s">
        <v>15</v>
      </c>
      <c r="E3222" t="s">
        <v>16</v>
      </c>
      <c r="F3222" s="1">
        <v>44566</v>
      </c>
      <c r="G3222">
        <v>0</v>
      </c>
      <c r="H3222">
        <v>0</v>
      </c>
      <c r="I3222">
        <v>17</v>
      </c>
      <c r="J3222">
        <v>17</v>
      </c>
      <c r="K3222">
        <v>0</v>
      </c>
      <c r="L3222">
        <v>644</v>
      </c>
      <c r="M3222">
        <v>45</v>
      </c>
      <c r="N3222" s="1">
        <f t="shared" si="400"/>
        <v>44938</v>
      </c>
      <c r="O3222" s="1">
        <f t="shared" si="401"/>
        <v>43101</v>
      </c>
      <c r="P3222" s="1">
        <f t="shared" si="402"/>
        <v>44682</v>
      </c>
      <c r="Q3222" s="8">
        <f t="shared" si="403"/>
        <v>0</v>
      </c>
      <c r="R3222" s="8">
        <f t="shared" si="404"/>
        <v>53</v>
      </c>
      <c r="S3222" s="8">
        <f t="shared" ca="1" si="405"/>
        <v>51</v>
      </c>
      <c r="T3222">
        <f t="shared" ca="1" si="406"/>
        <v>2.6954422272000005</v>
      </c>
      <c r="U3222" s="8">
        <f t="shared" ca="1" si="407"/>
        <v>4.6250106880000006</v>
      </c>
      <c r="V3222" s="9">
        <f ca="1">RawData[[#This Row],[Z (smoothed demand size)]]/RawData[[#This Row],[X (smoothed interval)]]</f>
        <v>0.58279697259804475</v>
      </c>
    </row>
    <row r="3223" spans="1:22">
      <c r="A3223" t="s">
        <v>64</v>
      </c>
      <c r="B3223" t="s">
        <v>60</v>
      </c>
      <c r="C3223">
        <v>28</v>
      </c>
      <c r="D3223" t="s">
        <v>15</v>
      </c>
      <c r="E3223" t="s">
        <v>16</v>
      </c>
      <c r="F3223" s="1">
        <v>44567</v>
      </c>
      <c r="G3223">
        <v>0</v>
      </c>
      <c r="H3223">
        <v>0</v>
      </c>
      <c r="I3223">
        <v>17</v>
      </c>
      <c r="J3223">
        <v>17</v>
      </c>
      <c r="K3223">
        <v>0</v>
      </c>
      <c r="L3223">
        <v>736</v>
      </c>
      <c r="M3223">
        <v>30</v>
      </c>
      <c r="N3223" s="1">
        <f t="shared" si="400"/>
        <v>44938</v>
      </c>
      <c r="O3223" s="1">
        <f t="shared" si="401"/>
        <v>43101</v>
      </c>
      <c r="P3223" s="1">
        <f t="shared" si="402"/>
        <v>44713</v>
      </c>
      <c r="Q3223" s="8">
        <f t="shared" si="403"/>
        <v>0</v>
      </c>
      <c r="R3223" s="8">
        <f t="shared" si="404"/>
        <v>54</v>
      </c>
      <c r="S3223" s="8">
        <f t="shared" ca="1" si="405"/>
        <v>51</v>
      </c>
      <c r="T3223">
        <f t="shared" ca="1" si="406"/>
        <v>2.6954422272000005</v>
      </c>
      <c r="U3223" s="8">
        <f t="shared" ca="1" si="407"/>
        <v>4.6250106880000006</v>
      </c>
      <c r="V3223" s="9">
        <f ca="1">RawData[[#This Row],[Z (smoothed demand size)]]/RawData[[#This Row],[X (smoothed interval)]]</f>
        <v>0.58279697259804475</v>
      </c>
    </row>
    <row r="3224" spans="1:22">
      <c r="A3224" t="s">
        <v>64</v>
      </c>
      <c r="B3224" t="s">
        <v>60</v>
      </c>
      <c r="C3224">
        <v>28</v>
      </c>
      <c r="D3224" t="s">
        <v>15</v>
      </c>
      <c r="E3224" t="s">
        <v>16</v>
      </c>
      <c r="F3224" s="1">
        <v>44568</v>
      </c>
      <c r="G3224">
        <v>0</v>
      </c>
      <c r="H3224">
        <v>0</v>
      </c>
      <c r="I3224">
        <v>17</v>
      </c>
      <c r="J3224">
        <v>17</v>
      </c>
      <c r="K3224">
        <v>0</v>
      </c>
      <c r="L3224">
        <v>737</v>
      </c>
      <c r="M3224">
        <v>45</v>
      </c>
      <c r="N3224" s="1">
        <f t="shared" si="400"/>
        <v>44938</v>
      </c>
      <c r="O3224" s="1">
        <f t="shared" si="401"/>
        <v>43101</v>
      </c>
      <c r="P3224" s="1">
        <f t="shared" si="402"/>
        <v>44743</v>
      </c>
      <c r="Q3224" s="8">
        <f t="shared" si="403"/>
        <v>0</v>
      </c>
      <c r="R3224" s="8">
        <f t="shared" si="404"/>
        <v>55</v>
      </c>
      <c r="S3224" s="8">
        <f t="shared" ca="1" si="405"/>
        <v>51</v>
      </c>
      <c r="T3224">
        <f t="shared" ca="1" si="406"/>
        <v>2.6954422272000005</v>
      </c>
      <c r="U3224" s="8">
        <f t="shared" ca="1" si="407"/>
        <v>4.6250106880000006</v>
      </c>
      <c r="V3224" s="9">
        <f ca="1">RawData[[#This Row],[Z (smoothed demand size)]]/RawData[[#This Row],[X (smoothed interval)]]</f>
        <v>0.58279697259804475</v>
      </c>
    </row>
    <row r="3225" spans="1:22">
      <c r="A3225" t="s">
        <v>64</v>
      </c>
      <c r="B3225" t="s">
        <v>60</v>
      </c>
      <c r="C3225">
        <v>28</v>
      </c>
      <c r="D3225" t="s">
        <v>15</v>
      </c>
      <c r="E3225" t="s">
        <v>16</v>
      </c>
      <c r="F3225" s="1">
        <v>44569</v>
      </c>
      <c r="G3225">
        <v>1</v>
      </c>
      <c r="H3225">
        <v>1</v>
      </c>
      <c r="I3225">
        <v>17</v>
      </c>
      <c r="J3225">
        <v>16</v>
      </c>
      <c r="K3225">
        <v>0</v>
      </c>
      <c r="L3225">
        <v>746</v>
      </c>
      <c r="M3225">
        <v>30</v>
      </c>
      <c r="N3225" s="1">
        <f t="shared" si="400"/>
        <v>44938</v>
      </c>
      <c r="O3225" s="1">
        <f t="shared" si="401"/>
        <v>43101</v>
      </c>
      <c r="P3225" s="1">
        <f t="shared" si="402"/>
        <v>44774</v>
      </c>
      <c r="Q3225" s="8">
        <f t="shared" si="403"/>
        <v>0</v>
      </c>
      <c r="R3225" s="8">
        <f t="shared" si="404"/>
        <v>56</v>
      </c>
      <c r="S3225" s="8">
        <f t="shared" ca="1" si="405"/>
        <v>56</v>
      </c>
      <c r="T3225">
        <f t="shared" ca="1" si="406"/>
        <v>2.3563537817600007</v>
      </c>
      <c r="U3225" s="8">
        <f t="shared" ca="1" si="407"/>
        <v>4.7000085504000007</v>
      </c>
      <c r="V3225" s="9">
        <f ca="1">RawData[[#This Row],[Z (smoothed demand size)]]/RawData[[#This Row],[X (smoothed interval)]]</f>
        <v>0.50135095638484739</v>
      </c>
    </row>
    <row r="3226" spans="1:22">
      <c r="A3226" t="s">
        <v>64</v>
      </c>
      <c r="B3226" t="s">
        <v>60</v>
      </c>
      <c r="C3226">
        <v>28</v>
      </c>
      <c r="D3226" t="s">
        <v>15</v>
      </c>
      <c r="E3226" t="s">
        <v>16</v>
      </c>
      <c r="F3226" s="1">
        <v>44570</v>
      </c>
      <c r="G3226">
        <v>0</v>
      </c>
      <c r="H3226">
        <v>0</v>
      </c>
      <c r="I3226">
        <v>16</v>
      </c>
      <c r="J3226">
        <v>16</v>
      </c>
      <c r="K3226">
        <v>0</v>
      </c>
      <c r="L3226">
        <v>648</v>
      </c>
      <c r="M3226">
        <v>15</v>
      </c>
      <c r="N3226" s="1">
        <f t="shared" si="400"/>
        <v>44938</v>
      </c>
      <c r="O3226" s="1">
        <f t="shared" si="401"/>
        <v>43101</v>
      </c>
      <c r="P3226" s="1">
        <f t="shared" si="402"/>
        <v>44805</v>
      </c>
      <c r="Q3226" s="8">
        <f t="shared" si="403"/>
        <v>0</v>
      </c>
      <c r="R3226" s="8">
        <f t="shared" si="404"/>
        <v>57</v>
      </c>
      <c r="S3226" s="8">
        <f t="shared" ca="1" si="405"/>
        <v>56</v>
      </c>
      <c r="T3226">
        <f t="shared" ca="1" si="406"/>
        <v>2.3563537817600007</v>
      </c>
      <c r="U3226" s="8">
        <f t="shared" ca="1" si="407"/>
        <v>4.7000085504000007</v>
      </c>
      <c r="V3226" s="9">
        <f ca="1">RawData[[#This Row],[Z (smoothed demand size)]]/RawData[[#This Row],[X (smoothed interval)]]</f>
        <v>0.50135095638484739</v>
      </c>
    </row>
    <row r="3227" spans="1:22">
      <c r="A3227" t="s">
        <v>64</v>
      </c>
      <c r="B3227" t="s">
        <v>60</v>
      </c>
      <c r="C3227">
        <v>28</v>
      </c>
      <c r="D3227" t="s">
        <v>15</v>
      </c>
      <c r="E3227" t="s">
        <v>16</v>
      </c>
      <c r="F3227" s="1">
        <v>44571</v>
      </c>
      <c r="G3227">
        <v>1</v>
      </c>
      <c r="H3227">
        <v>1</v>
      </c>
      <c r="I3227">
        <v>16</v>
      </c>
      <c r="J3227">
        <v>15</v>
      </c>
      <c r="K3227">
        <v>0</v>
      </c>
      <c r="L3227">
        <v>645</v>
      </c>
      <c r="M3227">
        <v>30</v>
      </c>
      <c r="N3227" s="1">
        <f t="shared" si="400"/>
        <v>44938</v>
      </c>
      <c r="O3227" s="1">
        <f t="shared" si="401"/>
        <v>43101</v>
      </c>
      <c r="P3227" s="1">
        <f t="shared" si="402"/>
        <v>44835</v>
      </c>
      <c r="Q3227" s="8">
        <f t="shared" si="403"/>
        <v>0</v>
      </c>
      <c r="R3227" s="8">
        <f t="shared" si="404"/>
        <v>58</v>
      </c>
      <c r="S3227" s="8">
        <f t="shared" ca="1" si="405"/>
        <v>58</v>
      </c>
      <c r="T3227">
        <f t="shared" ca="1" si="406"/>
        <v>2.0850830254080006</v>
      </c>
      <c r="U3227" s="8">
        <f t="shared" ca="1" si="407"/>
        <v>4.1600068403200012</v>
      </c>
      <c r="V3227" s="9">
        <f ca="1">RawData[[#This Row],[Z (smoothed demand size)]]/RawData[[#This Row],[X (smoothed interval)]]</f>
        <v>0.50122105694605279</v>
      </c>
    </row>
    <row r="3228" spans="1:22">
      <c r="A3228" t="s">
        <v>64</v>
      </c>
      <c r="B3228" t="s">
        <v>60</v>
      </c>
      <c r="C3228">
        <v>28</v>
      </c>
      <c r="D3228" t="s">
        <v>15</v>
      </c>
      <c r="E3228" t="s">
        <v>16</v>
      </c>
      <c r="F3228" s="1">
        <v>44572</v>
      </c>
      <c r="G3228">
        <v>0</v>
      </c>
      <c r="H3228">
        <v>0</v>
      </c>
      <c r="I3228">
        <v>15</v>
      </c>
      <c r="J3228">
        <v>15</v>
      </c>
      <c r="K3228">
        <v>0</v>
      </c>
      <c r="L3228">
        <v>639</v>
      </c>
      <c r="M3228">
        <v>15</v>
      </c>
      <c r="N3228" s="1">
        <f t="shared" si="400"/>
        <v>44938</v>
      </c>
      <c r="O3228" s="1">
        <f t="shared" si="401"/>
        <v>43101</v>
      </c>
      <c r="P3228" s="1">
        <f t="shared" si="402"/>
        <v>44866</v>
      </c>
      <c r="Q3228" s="8">
        <f t="shared" si="403"/>
        <v>0</v>
      </c>
      <c r="R3228" s="8">
        <f t="shared" si="404"/>
        <v>59</v>
      </c>
      <c r="S3228" s="8">
        <f t="shared" ca="1" si="405"/>
        <v>58</v>
      </c>
      <c r="T3228">
        <f t="shared" ca="1" si="406"/>
        <v>2.0850830254080006</v>
      </c>
      <c r="U3228" s="8">
        <f t="shared" ca="1" si="407"/>
        <v>4.1600068403200012</v>
      </c>
      <c r="V3228" s="9">
        <f ca="1">RawData[[#This Row],[Z (smoothed demand size)]]/RawData[[#This Row],[X (smoothed interval)]]</f>
        <v>0.50122105694605279</v>
      </c>
    </row>
    <row r="3229" spans="1:22">
      <c r="A3229" t="s">
        <v>64</v>
      </c>
      <c r="B3229" t="s">
        <v>60</v>
      </c>
      <c r="C3229">
        <v>28</v>
      </c>
      <c r="D3229" t="s">
        <v>15</v>
      </c>
      <c r="E3229" t="s">
        <v>16</v>
      </c>
      <c r="F3229" s="1">
        <v>44573</v>
      </c>
      <c r="G3229">
        <v>0</v>
      </c>
      <c r="H3229">
        <v>0</v>
      </c>
      <c r="I3229">
        <v>15</v>
      </c>
      <c r="J3229">
        <v>15</v>
      </c>
      <c r="K3229">
        <v>0</v>
      </c>
      <c r="L3229">
        <v>748</v>
      </c>
      <c r="M3229">
        <v>60</v>
      </c>
      <c r="N3229" s="1">
        <f t="shared" si="400"/>
        <v>44938</v>
      </c>
      <c r="O3229" s="1">
        <f t="shared" si="401"/>
        <v>43101</v>
      </c>
      <c r="P3229" s="1">
        <f t="shared" si="402"/>
        <v>44896</v>
      </c>
      <c r="Q3229" s="8">
        <f t="shared" si="403"/>
        <v>0</v>
      </c>
      <c r="R3229" s="8">
        <f t="shared" si="404"/>
        <v>60</v>
      </c>
      <c r="S3229" s="8">
        <f t="shared" ca="1" si="405"/>
        <v>58</v>
      </c>
      <c r="T3229">
        <f t="shared" ca="1" si="406"/>
        <v>2.0850830254080006</v>
      </c>
      <c r="U3229" s="8">
        <f t="shared" ca="1" si="407"/>
        <v>4.1600068403200012</v>
      </c>
      <c r="V3229" s="9">
        <f ca="1">RawData[[#This Row],[Z (smoothed demand size)]]/RawData[[#This Row],[X (smoothed interval)]]</f>
        <v>0.50122105694605279</v>
      </c>
    </row>
    <row r="3230" spans="1:22">
      <c r="A3230" t="s">
        <v>64</v>
      </c>
      <c r="B3230" t="s">
        <v>60</v>
      </c>
      <c r="C3230">
        <v>28</v>
      </c>
      <c r="D3230" t="s">
        <v>15</v>
      </c>
      <c r="E3230" t="s">
        <v>16</v>
      </c>
      <c r="F3230" s="1">
        <v>44927</v>
      </c>
      <c r="G3230">
        <v>0</v>
      </c>
      <c r="H3230">
        <v>0</v>
      </c>
      <c r="I3230">
        <v>15</v>
      </c>
      <c r="J3230">
        <v>15</v>
      </c>
      <c r="K3230">
        <v>0</v>
      </c>
      <c r="L3230">
        <v>648</v>
      </c>
      <c r="M3230">
        <v>45</v>
      </c>
      <c r="N3230" s="1">
        <f t="shared" si="400"/>
        <v>44938</v>
      </c>
      <c r="O3230" s="1">
        <f t="shared" si="401"/>
        <v>43101</v>
      </c>
      <c r="P3230" s="1">
        <f t="shared" si="402"/>
        <v>44927</v>
      </c>
      <c r="Q3230" s="8">
        <f t="shared" si="403"/>
        <v>0</v>
      </c>
      <c r="R3230" s="8">
        <f t="shared" si="404"/>
        <v>61</v>
      </c>
      <c r="S3230" s="8">
        <f t="shared" ca="1" si="405"/>
        <v>58</v>
      </c>
      <c r="T3230">
        <f t="shared" ca="1" si="406"/>
        <v>2.0850830254080006</v>
      </c>
      <c r="U3230" s="8">
        <f t="shared" ca="1" si="407"/>
        <v>4.1600068403200012</v>
      </c>
      <c r="V3230" s="9">
        <f ca="1">RawData[[#This Row],[Z (smoothed demand size)]]/RawData[[#This Row],[X (smoothed interval)]]</f>
        <v>0.50122105694605279</v>
      </c>
    </row>
    <row r="3231" spans="1:22">
      <c r="A3231" t="s">
        <v>64</v>
      </c>
      <c r="B3231" t="s">
        <v>60</v>
      </c>
      <c r="C3231">
        <v>28</v>
      </c>
      <c r="D3231" t="s">
        <v>15</v>
      </c>
      <c r="E3231" t="s">
        <v>16</v>
      </c>
      <c r="F3231" s="1">
        <v>44928</v>
      </c>
      <c r="G3231">
        <v>0</v>
      </c>
      <c r="H3231">
        <v>0</v>
      </c>
      <c r="I3231">
        <v>15</v>
      </c>
      <c r="J3231">
        <v>15</v>
      </c>
      <c r="K3231">
        <v>0</v>
      </c>
      <c r="L3231">
        <v>650</v>
      </c>
      <c r="M3231">
        <v>45</v>
      </c>
      <c r="N3231" s="1">
        <f t="shared" si="400"/>
        <v>44938</v>
      </c>
      <c r="O3231" s="1">
        <f t="shared" si="401"/>
        <v>43101</v>
      </c>
      <c r="P3231" s="1">
        <f t="shared" si="402"/>
        <v>44958</v>
      </c>
      <c r="Q3231" s="8">
        <f t="shared" si="403"/>
        <v>0</v>
      </c>
      <c r="R3231" s="8">
        <f t="shared" si="404"/>
        <v>62</v>
      </c>
      <c r="S3231" s="8">
        <f t="shared" ca="1" si="405"/>
        <v>58</v>
      </c>
      <c r="T3231">
        <f t="shared" ca="1" si="406"/>
        <v>2.0850830254080006</v>
      </c>
      <c r="U3231" s="8">
        <f t="shared" ca="1" si="407"/>
        <v>4.1600068403200012</v>
      </c>
      <c r="V3231" s="9">
        <f ca="1">RawData[[#This Row],[Z (smoothed demand size)]]/RawData[[#This Row],[X (smoothed interval)]]</f>
        <v>0.50122105694605279</v>
      </c>
    </row>
    <row r="3232" spans="1:22">
      <c r="A3232" t="s">
        <v>64</v>
      </c>
      <c r="B3232" t="s">
        <v>60</v>
      </c>
      <c r="C3232">
        <v>28</v>
      </c>
      <c r="D3232" t="s">
        <v>15</v>
      </c>
      <c r="E3232" t="s">
        <v>16</v>
      </c>
      <c r="F3232" s="1">
        <v>44929</v>
      </c>
      <c r="G3232">
        <v>0</v>
      </c>
      <c r="H3232">
        <v>0</v>
      </c>
      <c r="I3232">
        <v>15</v>
      </c>
      <c r="J3232">
        <v>15</v>
      </c>
      <c r="K3232">
        <v>0</v>
      </c>
      <c r="L3232">
        <v>638</v>
      </c>
      <c r="M3232">
        <v>45</v>
      </c>
      <c r="N3232" s="1">
        <f t="shared" si="400"/>
        <v>44938</v>
      </c>
      <c r="O3232" s="1">
        <f t="shared" si="401"/>
        <v>43101</v>
      </c>
      <c r="P3232" s="1">
        <f t="shared" si="402"/>
        <v>44986</v>
      </c>
      <c r="Q3232" s="8">
        <f t="shared" si="403"/>
        <v>0</v>
      </c>
      <c r="R3232" s="8">
        <f t="shared" si="404"/>
        <v>63</v>
      </c>
      <c r="S3232" s="8">
        <f t="shared" ca="1" si="405"/>
        <v>58</v>
      </c>
      <c r="T3232">
        <f t="shared" ca="1" si="406"/>
        <v>2.0850830254080006</v>
      </c>
      <c r="U3232" s="8">
        <f t="shared" ca="1" si="407"/>
        <v>4.1600068403200012</v>
      </c>
      <c r="V3232" s="9">
        <f ca="1">RawData[[#This Row],[Z (smoothed demand size)]]/RawData[[#This Row],[X (smoothed interval)]]</f>
        <v>0.50122105694605279</v>
      </c>
    </row>
    <row r="3233" spans="1:22">
      <c r="A3233" t="s">
        <v>64</v>
      </c>
      <c r="B3233" t="s">
        <v>60</v>
      </c>
      <c r="C3233">
        <v>28</v>
      </c>
      <c r="D3233" t="s">
        <v>15</v>
      </c>
      <c r="E3233" t="s">
        <v>16</v>
      </c>
      <c r="F3233" s="1">
        <v>44930</v>
      </c>
      <c r="G3233">
        <v>0</v>
      </c>
      <c r="H3233">
        <v>0</v>
      </c>
      <c r="I3233">
        <v>15</v>
      </c>
      <c r="J3233">
        <v>15</v>
      </c>
      <c r="K3233">
        <v>0</v>
      </c>
      <c r="L3233">
        <v>667</v>
      </c>
      <c r="M3233">
        <v>30</v>
      </c>
      <c r="N3233" s="1">
        <f t="shared" si="400"/>
        <v>44938</v>
      </c>
      <c r="O3233" s="1">
        <f t="shared" si="401"/>
        <v>43101</v>
      </c>
      <c r="P3233" s="1">
        <f t="shared" si="402"/>
        <v>45017</v>
      </c>
      <c r="Q3233" s="8">
        <f t="shared" si="403"/>
        <v>0</v>
      </c>
      <c r="R3233" s="8">
        <f t="shared" si="404"/>
        <v>64</v>
      </c>
      <c r="S3233" s="8">
        <f t="shared" ca="1" si="405"/>
        <v>58</v>
      </c>
      <c r="T3233">
        <f t="shared" ca="1" si="406"/>
        <v>2.0850830254080006</v>
      </c>
      <c r="U3233" s="8">
        <f t="shared" ca="1" si="407"/>
        <v>4.1600068403200012</v>
      </c>
      <c r="V3233" s="9">
        <f ca="1">RawData[[#This Row],[Z (smoothed demand size)]]/RawData[[#This Row],[X (smoothed interval)]]</f>
        <v>0.50122105694605279</v>
      </c>
    </row>
    <row r="3234" spans="1:22">
      <c r="A3234" t="s">
        <v>64</v>
      </c>
      <c r="B3234" t="s">
        <v>60</v>
      </c>
      <c r="C3234">
        <v>28</v>
      </c>
      <c r="D3234" t="s">
        <v>15</v>
      </c>
      <c r="E3234" t="s">
        <v>16</v>
      </c>
      <c r="F3234" s="1">
        <v>44931</v>
      </c>
      <c r="G3234">
        <v>0</v>
      </c>
      <c r="H3234">
        <v>0</v>
      </c>
      <c r="I3234">
        <v>15</v>
      </c>
      <c r="J3234">
        <v>15</v>
      </c>
      <c r="K3234">
        <v>0</v>
      </c>
      <c r="L3234">
        <v>645</v>
      </c>
      <c r="M3234">
        <v>60</v>
      </c>
      <c r="N3234" s="1">
        <f t="shared" si="400"/>
        <v>44938</v>
      </c>
      <c r="O3234" s="1">
        <f t="shared" si="401"/>
        <v>43101</v>
      </c>
      <c r="P3234" s="1">
        <f t="shared" si="402"/>
        <v>45047</v>
      </c>
      <c r="Q3234" s="8">
        <f t="shared" si="403"/>
        <v>0</v>
      </c>
      <c r="R3234" s="8">
        <f t="shared" si="404"/>
        <v>65</v>
      </c>
      <c r="S3234" s="8">
        <f t="shared" ca="1" si="405"/>
        <v>58</v>
      </c>
      <c r="T3234">
        <f t="shared" ca="1" si="406"/>
        <v>2.0850830254080006</v>
      </c>
      <c r="U3234" s="8">
        <f t="shared" ca="1" si="407"/>
        <v>4.1600068403200012</v>
      </c>
      <c r="V3234" s="9">
        <f ca="1">RawData[[#This Row],[Z (smoothed demand size)]]/RawData[[#This Row],[X (smoothed interval)]]</f>
        <v>0.50122105694605279</v>
      </c>
    </row>
    <row r="3235" spans="1:22">
      <c r="A3235" t="s">
        <v>64</v>
      </c>
      <c r="B3235" t="s">
        <v>60</v>
      </c>
      <c r="C3235">
        <v>28</v>
      </c>
      <c r="D3235" t="s">
        <v>15</v>
      </c>
      <c r="E3235" t="s">
        <v>16</v>
      </c>
      <c r="F3235" s="1">
        <v>44932</v>
      </c>
      <c r="G3235">
        <v>0</v>
      </c>
      <c r="H3235">
        <v>0</v>
      </c>
      <c r="I3235">
        <v>15</v>
      </c>
      <c r="J3235">
        <v>15</v>
      </c>
      <c r="K3235">
        <v>0</v>
      </c>
      <c r="L3235">
        <v>734</v>
      </c>
      <c r="M3235">
        <v>30</v>
      </c>
      <c r="N3235" s="1">
        <f t="shared" si="400"/>
        <v>44938</v>
      </c>
      <c r="O3235" s="1">
        <f t="shared" si="401"/>
        <v>43101</v>
      </c>
      <c r="P3235" s="1">
        <f t="shared" si="402"/>
        <v>45078</v>
      </c>
      <c r="Q3235" s="8">
        <f t="shared" si="403"/>
        <v>0</v>
      </c>
      <c r="R3235" s="8">
        <f t="shared" si="404"/>
        <v>66</v>
      </c>
      <c r="S3235" s="8">
        <f t="shared" ca="1" si="405"/>
        <v>58</v>
      </c>
      <c r="T3235">
        <f t="shared" ca="1" si="406"/>
        <v>2.0850830254080006</v>
      </c>
      <c r="U3235" s="8">
        <f t="shared" ca="1" si="407"/>
        <v>4.1600068403200012</v>
      </c>
      <c r="V3235" s="9">
        <f ca="1">RawData[[#This Row],[Z (smoothed demand size)]]/RawData[[#This Row],[X (smoothed interval)]]</f>
        <v>0.50122105694605279</v>
      </c>
    </row>
    <row r="3236" spans="1:22">
      <c r="A3236" t="s">
        <v>64</v>
      </c>
      <c r="B3236" t="s">
        <v>60</v>
      </c>
      <c r="C3236">
        <v>28</v>
      </c>
      <c r="D3236" t="s">
        <v>15</v>
      </c>
      <c r="E3236" t="s">
        <v>16</v>
      </c>
      <c r="F3236" s="1">
        <v>44933</v>
      </c>
      <c r="G3236">
        <v>0</v>
      </c>
      <c r="H3236">
        <v>0</v>
      </c>
      <c r="I3236">
        <v>15</v>
      </c>
      <c r="J3236">
        <v>15</v>
      </c>
      <c r="K3236">
        <v>0</v>
      </c>
      <c r="L3236">
        <v>757</v>
      </c>
      <c r="M3236">
        <v>60</v>
      </c>
      <c r="N3236" s="1">
        <f t="shared" si="400"/>
        <v>44938</v>
      </c>
      <c r="O3236" s="1">
        <f t="shared" si="401"/>
        <v>43101</v>
      </c>
      <c r="P3236" s="1">
        <f t="shared" si="402"/>
        <v>45108</v>
      </c>
      <c r="Q3236" s="8">
        <f t="shared" si="403"/>
        <v>0</v>
      </c>
      <c r="R3236" s="8">
        <f t="shared" si="404"/>
        <v>67</v>
      </c>
      <c r="S3236" s="8">
        <f t="shared" ca="1" si="405"/>
        <v>58</v>
      </c>
      <c r="T3236">
        <f t="shared" ca="1" si="406"/>
        <v>2.0850830254080006</v>
      </c>
      <c r="U3236" s="8">
        <f t="shared" ca="1" si="407"/>
        <v>4.1600068403200012</v>
      </c>
      <c r="V3236" s="9">
        <f ca="1">RawData[[#This Row],[Z (smoothed demand size)]]/RawData[[#This Row],[X (smoothed interval)]]</f>
        <v>0.50122105694605279</v>
      </c>
    </row>
    <row r="3237" spans="1:22">
      <c r="A3237" t="s">
        <v>64</v>
      </c>
      <c r="B3237" t="s">
        <v>60</v>
      </c>
      <c r="C3237">
        <v>28</v>
      </c>
      <c r="D3237" t="s">
        <v>15</v>
      </c>
      <c r="E3237" t="s">
        <v>16</v>
      </c>
      <c r="F3237" s="1">
        <v>44934</v>
      </c>
      <c r="G3237">
        <v>0</v>
      </c>
      <c r="H3237">
        <v>0</v>
      </c>
      <c r="I3237">
        <v>15</v>
      </c>
      <c r="J3237">
        <v>15</v>
      </c>
      <c r="K3237">
        <v>0</v>
      </c>
      <c r="L3237">
        <v>745</v>
      </c>
      <c r="M3237">
        <v>30</v>
      </c>
      <c r="N3237" s="1">
        <f t="shared" si="400"/>
        <v>44938</v>
      </c>
      <c r="O3237" s="1">
        <f t="shared" si="401"/>
        <v>43101</v>
      </c>
      <c r="P3237" s="1">
        <f t="shared" si="402"/>
        <v>45139</v>
      </c>
      <c r="Q3237" s="8">
        <f t="shared" si="403"/>
        <v>0</v>
      </c>
      <c r="R3237" s="8">
        <f t="shared" si="404"/>
        <v>68</v>
      </c>
      <c r="S3237" s="8">
        <f t="shared" ca="1" si="405"/>
        <v>58</v>
      </c>
      <c r="T3237">
        <f t="shared" ca="1" si="406"/>
        <v>2.0850830254080006</v>
      </c>
      <c r="U3237" s="8">
        <f t="shared" ca="1" si="407"/>
        <v>4.1600068403200012</v>
      </c>
      <c r="V3237" s="9">
        <f ca="1">RawData[[#This Row],[Z (smoothed demand size)]]/RawData[[#This Row],[X (smoothed interval)]]</f>
        <v>0.50122105694605279</v>
      </c>
    </row>
    <row r="3238" spans="1:22">
      <c r="A3238" t="s">
        <v>64</v>
      </c>
      <c r="B3238" t="s">
        <v>60</v>
      </c>
      <c r="C3238">
        <v>28</v>
      </c>
      <c r="D3238" t="s">
        <v>15</v>
      </c>
      <c r="E3238" t="s">
        <v>16</v>
      </c>
      <c r="F3238" s="1">
        <v>44935</v>
      </c>
      <c r="G3238">
        <v>0</v>
      </c>
      <c r="H3238">
        <v>0</v>
      </c>
      <c r="I3238">
        <v>15</v>
      </c>
      <c r="J3238">
        <v>15</v>
      </c>
      <c r="K3238">
        <v>0</v>
      </c>
      <c r="L3238">
        <v>645</v>
      </c>
      <c r="M3238">
        <v>30</v>
      </c>
      <c r="N3238" s="1">
        <f t="shared" si="400"/>
        <v>44938</v>
      </c>
      <c r="O3238" s="1">
        <f t="shared" si="401"/>
        <v>43101</v>
      </c>
      <c r="P3238" s="1">
        <f t="shared" si="402"/>
        <v>45170</v>
      </c>
      <c r="Q3238" s="8">
        <f t="shared" si="403"/>
        <v>0</v>
      </c>
      <c r="R3238" s="8">
        <f t="shared" si="404"/>
        <v>69</v>
      </c>
      <c r="S3238" s="8">
        <f t="shared" ca="1" si="405"/>
        <v>58</v>
      </c>
      <c r="T3238">
        <f t="shared" ca="1" si="406"/>
        <v>2.0850830254080006</v>
      </c>
      <c r="U3238" s="8">
        <f t="shared" ca="1" si="407"/>
        <v>4.1600068403200012</v>
      </c>
      <c r="V3238" s="9">
        <f ca="1">RawData[[#This Row],[Z (smoothed demand size)]]/RawData[[#This Row],[X (smoothed interval)]]</f>
        <v>0.50122105694605279</v>
      </c>
    </row>
    <row r="3239" spans="1:22">
      <c r="A3239" t="s">
        <v>64</v>
      </c>
      <c r="B3239" t="s">
        <v>60</v>
      </c>
      <c r="C3239">
        <v>28</v>
      </c>
      <c r="D3239" t="s">
        <v>15</v>
      </c>
      <c r="E3239" t="s">
        <v>16</v>
      </c>
      <c r="F3239" s="1">
        <v>44936</v>
      </c>
      <c r="G3239">
        <v>0</v>
      </c>
      <c r="H3239">
        <v>0</v>
      </c>
      <c r="I3239">
        <v>15</v>
      </c>
      <c r="J3239">
        <v>15</v>
      </c>
      <c r="K3239">
        <v>0</v>
      </c>
      <c r="L3239">
        <v>645</v>
      </c>
      <c r="M3239">
        <v>30</v>
      </c>
      <c r="N3239" s="1">
        <f t="shared" si="400"/>
        <v>44938</v>
      </c>
      <c r="O3239" s="1">
        <f t="shared" si="401"/>
        <v>43101</v>
      </c>
      <c r="P3239" s="1">
        <f t="shared" si="402"/>
        <v>45200</v>
      </c>
      <c r="Q3239" s="8">
        <f t="shared" si="403"/>
        <v>0</v>
      </c>
      <c r="R3239" s="8">
        <f t="shared" si="404"/>
        <v>70</v>
      </c>
      <c r="S3239" s="8">
        <f t="shared" ca="1" si="405"/>
        <v>58</v>
      </c>
      <c r="T3239">
        <f t="shared" ca="1" si="406"/>
        <v>2.0850830254080006</v>
      </c>
      <c r="U3239" s="8">
        <f t="shared" ca="1" si="407"/>
        <v>4.1600068403200012</v>
      </c>
      <c r="V3239" s="9">
        <f ca="1">RawData[[#This Row],[Z (smoothed demand size)]]/RawData[[#This Row],[X (smoothed interval)]]</f>
        <v>0.50122105694605279</v>
      </c>
    </row>
    <row r="3240" spans="1:22">
      <c r="A3240" t="s">
        <v>64</v>
      </c>
      <c r="B3240" t="s">
        <v>60</v>
      </c>
      <c r="C3240">
        <v>28</v>
      </c>
      <c r="D3240" t="s">
        <v>15</v>
      </c>
      <c r="E3240" t="s">
        <v>16</v>
      </c>
      <c r="F3240" s="1">
        <v>44937</v>
      </c>
      <c r="G3240">
        <v>2</v>
      </c>
      <c r="H3240">
        <v>2</v>
      </c>
      <c r="I3240">
        <v>15</v>
      </c>
      <c r="J3240">
        <v>13</v>
      </c>
      <c r="K3240">
        <v>0</v>
      </c>
      <c r="L3240">
        <v>651</v>
      </c>
      <c r="M3240">
        <v>30</v>
      </c>
      <c r="N3240" s="1">
        <f t="shared" si="400"/>
        <v>44938</v>
      </c>
      <c r="O3240" s="1">
        <f t="shared" si="401"/>
        <v>43101</v>
      </c>
      <c r="P3240" s="1">
        <f t="shared" si="402"/>
        <v>45231</v>
      </c>
      <c r="Q3240" s="8">
        <f t="shared" si="403"/>
        <v>0</v>
      </c>
      <c r="R3240" s="8">
        <f t="shared" si="404"/>
        <v>71</v>
      </c>
      <c r="S3240" s="8">
        <f t="shared" ca="1" si="405"/>
        <v>71</v>
      </c>
      <c r="T3240">
        <f t="shared" ca="1" si="406"/>
        <v>2.0680664203264008</v>
      </c>
      <c r="U3240" s="8">
        <f t="shared" ca="1" si="407"/>
        <v>5.9280054722560012</v>
      </c>
      <c r="V3240" s="9">
        <f ca="1">RawData[[#This Row],[Z (smoothed demand size)]]/RawData[[#This Row],[X (smoothed interval)]]</f>
        <v>0.3488637839498086</v>
      </c>
    </row>
    <row r="3241" spans="1:22">
      <c r="A3241" t="s">
        <v>64</v>
      </c>
      <c r="B3241" t="s">
        <v>60</v>
      </c>
      <c r="C3241">
        <v>28</v>
      </c>
      <c r="D3241" t="s">
        <v>15</v>
      </c>
      <c r="E3241" t="s">
        <v>16</v>
      </c>
      <c r="F3241" s="1">
        <v>44938</v>
      </c>
      <c r="G3241">
        <v>0</v>
      </c>
      <c r="H3241">
        <v>0</v>
      </c>
      <c r="I3241">
        <v>13</v>
      </c>
      <c r="J3241">
        <v>13</v>
      </c>
      <c r="K3241">
        <v>0</v>
      </c>
      <c r="L3241">
        <v>742</v>
      </c>
      <c r="M3241">
        <v>15</v>
      </c>
      <c r="N3241" s="1">
        <f t="shared" si="400"/>
        <v>44938</v>
      </c>
      <c r="O3241" s="1">
        <f t="shared" si="401"/>
        <v>43101</v>
      </c>
      <c r="P3241" s="1">
        <f t="shared" si="402"/>
        <v>45261</v>
      </c>
      <c r="Q3241" s="8">
        <f t="shared" si="403"/>
        <v>0</v>
      </c>
      <c r="R3241" s="8">
        <f t="shared" si="404"/>
        <v>72</v>
      </c>
      <c r="S3241" s="8">
        <f t="shared" ca="1" si="405"/>
        <v>71</v>
      </c>
      <c r="T3241">
        <f t="shared" ca="1" si="406"/>
        <v>2.0680664203264008</v>
      </c>
      <c r="U3241" s="8">
        <f t="shared" ca="1" si="407"/>
        <v>5.9280054722560012</v>
      </c>
      <c r="V3241" s="9">
        <f ca="1">RawData[[#This Row],[Z (smoothed demand size)]]/RawData[[#This Row],[X (smoothed interval)]]</f>
        <v>0.3488637839498086</v>
      </c>
    </row>
    <row r="3242" spans="1:22">
      <c r="A3242" t="s">
        <v>65</v>
      </c>
      <c r="B3242" t="s">
        <v>60</v>
      </c>
      <c r="C3242">
        <v>28</v>
      </c>
      <c r="D3242" t="s">
        <v>15</v>
      </c>
      <c r="E3242" t="s">
        <v>16</v>
      </c>
      <c r="F3242" s="1">
        <v>43101</v>
      </c>
      <c r="G3242">
        <v>0</v>
      </c>
      <c r="H3242">
        <v>0</v>
      </c>
      <c r="I3242">
        <v>28</v>
      </c>
      <c r="J3242">
        <v>28</v>
      </c>
      <c r="K3242">
        <v>0</v>
      </c>
      <c r="L3242">
        <v>397</v>
      </c>
      <c r="M3242">
        <v>60</v>
      </c>
      <c r="N3242" s="1">
        <f t="shared" si="400"/>
        <v>44938</v>
      </c>
      <c r="O3242" s="1">
        <f t="shared" si="401"/>
        <v>43101</v>
      </c>
      <c r="P3242" s="1">
        <f t="shared" si="402"/>
        <v>43101</v>
      </c>
      <c r="Q3242" s="8">
        <f t="shared" si="403"/>
        <v>1</v>
      </c>
      <c r="R3242" s="8">
        <f t="shared" si="404"/>
        <v>1</v>
      </c>
      <c r="S3242" s="8">
        <f t="shared" ca="1" si="405"/>
        <v>0</v>
      </c>
      <c r="T3242">
        <f t="shared" ca="1" si="406"/>
        <v>0</v>
      </c>
      <c r="U3242" s="8">
        <f t="shared" ca="1" si="407"/>
        <v>1</v>
      </c>
      <c r="V3242" s="9">
        <f ca="1">RawData[[#This Row],[Z (smoothed demand size)]]/RawData[[#This Row],[X (smoothed interval)]]</f>
        <v>0</v>
      </c>
    </row>
    <row r="3243" spans="1:22">
      <c r="A3243" t="s">
        <v>65</v>
      </c>
      <c r="B3243" t="s">
        <v>60</v>
      </c>
      <c r="C3243">
        <v>28</v>
      </c>
      <c r="D3243" t="s">
        <v>15</v>
      </c>
      <c r="E3243" t="s">
        <v>16</v>
      </c>
      <c r="F3243" s="1">
        <v>43102</v>
      </c>
      <c r="G3243">
        <v>0</v>
      </c>
      <c r="H3243">
        <v>0</v>
      </c>
      <c r="I3243">
        <v>28</v>
      </c>
      <c r="J3243">
        <v>28</v>
      </c>
      <c r="K3243">
        <v>0</v>
      </c>
      <c r="L3243">
        <v>398</v>
      </c>
      <c r="M3243">
        <v>60</v>
      </c>
      <c r="N3243" s="1">
        <f t="shared" si="400"/>
        <v>44938</v>
      </c>
      <c r="O3243" s="1">
        <f t="shared" si="401"/>
        <v>43101</v>
      </c>
      <c r="P3243" s="1">
        <f t="shared" si="402"/>
        <v>43132</v>
      </c>
      <c r="Q3243" s="8">
        <f t="shared" si="403"/>
        <v>0</v>
      </c>
      <c r="R3243" s="8">
        <f t="shared" si="404"/>
        <v>2</v>
      </c>
      <c r="S3243" s="8">
        <f t="shared" ca="1" si="405"/>
        <v>0</v>
      </c>
      <c r="T3243">
        <f t="shared" ca="1" si="406"/>
        <v>0</v>
      </c>
      <c r="U3243" s="8">
        <f t="shared" ca="1" si="407"/>
        <v>1</v>
      </c>
      <c r="V3243" s="9">
        <f ca="1">RawData[[#This Row],[Z (smoothed demand size)]]/RawData[[#This Row],[X (smoothed interval)]]</f>
        <v>0</v>
      </c>
    </row>
    <row r="3244" spans="1:22">
      <c r="A3244" t="s">
        <v>65</v>
      </c>
      <c r="B3244" t="s">
        <v>60</v>
      </c>
      <c r="C3244">
        <v>28</v>
      </c>
      <c r="D3244" t="s">
        <v>15</v>
      </c>
      <c r="E3244" t="s">
        <v>16</v>
      </c>
      <c r="F3244" s="1">
        <v>43103</v>
      </c>
      <c r="G3244">
        <v>0</v>
      </c>
      <c r="H3244">
        <v>0</v>
      </c>
      <c r="I3244">
        <v>28</v>
      </c>
      <c r="J3244">
        <v>28</v>
      </c>
      <c r="K3244">
        <v>0</v>
      </c>
      <c r="L3244">
        <v>395</v>
      </c>
      <c r="M3244">
        <v>15</v>
      </c>
      <c r="N3244" s="1">
        <f t="shared" si="400"/>
        <v>44938</v>
      </c>
      <c r="O3244" s="1">
        <f t="shared" si="401"/>
        <v>43101</v>
      </c>
      <c r="P3244" s="1">
        <f t="shared" si="402"/>
        <v>43160</v>
      </c>
      <c r="Q3244" s="8">
        <f t="shared" si="403"/>
        <v>0</v>
      </c>
      <c r="R3244" s="8">
        <f t="shared" si="404"/>
        <v>3</v>
      </c>
      <c r="S3244" s="8">
        <f t="shared" ca="1" si="405"/>
        <v>0</v>
      </c>
      <c r="T3244">
        <f t="shared" ca="1" si="406"/>
        <v>0</v>
      </c>
      <c r="U3244" s="8">
        <f t="shared" ca="1" si="407"/>
        <v>1</v>
      </c>
      <c r="V3244" s="9">
        <f ca="1">RawData[[#This Row],[Z (smoothed demand size)]]/RawData[[#This Row],[X (smoothed interval)]]</f>
        <v>0</v>
      </c>
    </row>
    <row r="3245" spans="1:22">
      <c r="A3245" t="s">
        <v>65</v>
      </c>
      <c r="B3245" t="s">
        <v>60</v>
      </c>
      <c r="C3245">
        <v>28</v>
      </c>
      <c r="D3245" t="s">
        <v>15</v>
      </c>
      <c r="E3245" t="s">
        <v>16</v>
      </c>
      <c r="F3245" s="1">
        <v>43104</v>
      </c>
      <c r="G3245">
        <v>0</v>
      </c>
      <c r="H3245">
        <v>0</v>
      </c>
      <c r="I3245">
        <v>28</v>
      </c>
      <c r="J3245">
        <v>28</v>
      </c>
      <c r="K3245">
        <v>0</v>
      </c>
      <c r="L3245">
        <v>397</v>
      </c>
      <c r="M3245">
        <v>30</v>
      </c>
      <c r="N3245" s="1">
        <f t="shared" si="400"/>
        <v>44938</v>
      </c>
      <c r="O3245" s="1">
        <f t="shared" si="401"/>
        <v>43101</v>
      </c>
      <c r="P3245" s="1">
        <f t="shared" si="402"/>
        <v>43191</v>
      </c>
      <c r="Q3245" s="8">
        <f t="shared" si="403"/>
        <v>0</v>
      </c>
      <c r="R3245" s="8">
        <f t="shared" si="404"/>
        <v>4</v>
      </c>
      <c r="S3245" s="8">
        <f t="shared" ca="1" si="405"/>
        <v>0</v>
      </c>
      <c r="T3245">
        <f t="shared" ca="1" si="406"/>
        <v>0</v>
      </c>
      <c r="U3245" s="8">
        <f t="shared" ca="1" si="407"/>
        <v>1</v>
      </c>
      <c r="V3245" s="9">
        <f ca="1">RawData[[#This Row],[Z (smoothed demand size)]]/RawData[[#This Row],[X (smoothed interval)]]</f>
        <v>0</v>
      </c>
    </row>
    <row r="3246" spans="1:22">
      <c r="A3246" t="s">
        <v>65</v>
      </c>
      <c r="B3246" t="s">
        <v>60</v>
      </c>
      <c r="C3246">
        <v>28</v>
      </c>
      <c r="D3246" t="s">
        <v>15</v>
      </c>
      <c r="E3246" t="s">
        <v>16</v>
      </c>
      <c r="F3246" s="1">
        <v>43105</v>
      </c>
      <c r="G3246">
        <v>0</v>
      </c>
      <c r="H3246">
        <v>0</v>
      </c>
      <c r="I3246">
        <v>28</v>
      </c>
      <c r="J3246">
        <v>28</v>
      </c>
      <c r="K3246">
        <v>0</v>
      </c>
      <c r="L3246">
        <v>403</v>
      </c>
      <c r="M3246">
        <v>15</v>
      </c>
      <c r="N3246" s="1">
        <f t="shared" si="400"/>
        <v>44938</v>
      </c>
      <c r="O3246" s="1">
        <f t="shared" si="401"/>
        <v>43101</v>
      </c>
      <c r="P3246" s="1">
        <f t="shared" si="402"/>
        <v>43221</v>
      </c>
      <c r="Q3246" s="8">
        <f t="shared" si="403"/>
        <v>0</v>
      </c>
      <c r="R3246" s="8">
        <f t="shared" si="404"/>
        <v>5</v>
      </c>
      <c r="S3246" s="8">
        <f t="shared" ca="1" si="405"/>
        <v>0</v>
      </c>
      <c r="T3246">
        <f t="shared" ca="1" si="406"/>
        <v>0</v>
      </c>
      <c r="U3246" s="8">
        <f t="shared" ca="1" si="407"/>
        <v>1</v>
      </c>
      <c r="V3246" s="9">
        <f ca="1">RawData[[#This Row],[Z (smoothed demand size)]]/RawData[[#This Row],[X (smoothed interval)]]</f>
        <v>0</v>
      </c>
    </row>
    <row r="3247" spans="1:22">
      <c r="A3247" t="s">
        <v>65</v>
      </c>
      <c r="B3247" t="s">
        <v>60</v>
      </c>
      <c r="C3247">
        <v>28</v>
      </c>
      <c r="D3247" t="s">
        <v>15</v>
      </c>
      <c r="E3247" t="s">
        <v>16</v>
      </c>
      <c r="F3247" s="1">
        <v>43106</v>
      </c>
      <c r="G3247">
        <v>0</v>
      </c>
      <c r="H3247">
        <v>0</v>
      </c>
      <c r="I3247">
        <v>28</v>
      </c>
      <c r="J3247">
        <v>28</v>
      </c>
      <c r="K3247">
        <v>0</v>
      </c>
      <c r="L3247">
        <v>457</v>
      </c>
      <c r="M3247">
        <v>45</v>
      </c>
      <c r="N3247" s="1">
        <f t="shared" si="400"/>
        <v>44938</v>
      </c>
      <c r="O3247" s="1">
        <f t="shared" si="401"/>
        <v>43101</v>
      </c>
      <c r="P3247" s="1">
        <f t="shared" si="402"/>
        <v>43252</v>
      </c>
      <c r="Q3247" s="8">
        <f t="shared" si="403"/>
        <v>0</v>
      </c>
      <c r="R3247" s="8">
        <f t="shared" si="404"/>
        <v>6</v>
      </c>
      <c r="S3247" s="8">
        <f t="shared" ca="1" si="405"/>
        <v>0</v>
      </c>
      <c r="T3247">
        <f t="shared" ca="1" si="406"/>
        <v>0</v>
      </c>
      <c r="U3247" s="8">
        <f t="shared" ca="1" si="407"/>
        <v>1</v>
      </c>
      <c r="V3247" s="9">
        <f ca="1">RawData[[#This Row],[Z (smoothed demand size)]]/RawData[[#This Row],[X (smoothed interval)]]</f>
        <v>0</v>
      </c>
    </row>
    <row r="3248" spans="1:22">
      <c r="A3248" t="s">
        <v>65</v>
      </c>
      <c r="B3248" t="s">
        <v>60</v>
      </c>
      <c r="C3248">
        <v>28</v>
      </c>
      <c r="D3248" t="s">
        <v>15</v>
      </c>
      <c r="E3248" t="s">
        <v>16</v>
      </c>
      <c r="F3248" s="1">
        <v>43107</v>
      </c>
      <c r="G3248">
        <v>0</v>
      </c>
      <c r="H3248">
        <v>0</v>
      </c>
      <c r="I3248">
        <v>28</v>
      </c>
      <c r="J3248">
        <v>28</v>
      </c>
      <c r="K3248">
        <v>0</v>
      </c>
      <c r="L3248">
        <v>459</v>
      </c>
      <c r="M3248">
        <v>15</v>
      </c>
      <c r="N3248" s="1">
        <f t="shared" si="400"/>
        <v>44938</v>
      </c>
      <c r="O3248" s="1">
        <f t="shared" si="401"/>
        <v>43101</v>
      </c>
      <c r="P3248" s="1">
        <f t="shared" si="402"/>
        <v>43282</v>
      </c>
      <c r="Q3248" s="8">
        <f t="shared" si="403"/>
        <v>0</v>
      </c>
      <c r="R3248" s="8">
        <f t="shared" si="404"/>
        <v>7</v>
      </c>
      <c r="S3248" s="8">
        <f t="shared" ca="1" si="405"/>
        <v>0</v>
      </c>
      <c r="T3248">
        <f t="shared" ca="1" si="406"/>
        <v>0</v>
      </c>
      <c r="U3248" s="8">
        <f t="shared" ca="1" si="407"/>
        <v>1</v>
      </c>
      <c r="V3248" s="9">
        <f ca="1">RawData[[#This Row],[Z (smoothed demand size)]]/RawData[[#This Row],[X (smoothed interval)]]</f>
        <v>0</v>
      </c>
    </row>
    <row r="3249" spans="1:22">
      <c r="A3249" t="s">
        <v>65</v>
      </c>
      <c r="B3249" t="s">
        <v>60</v>
      </c>
      <c r="C3249">
        <v>28</v>
      </c>
      <c r="D3249" t="s">
        <v>15</v>
      </c>
      <c r="E3249" t="s">
        <v>16</v>
      </c>
      <c r="F3249" s="1">
        <v>43108</v>
      </c>
      <c r="G3249">
        <v>0</v>
      </c>
      <c r="H3249">
        <v>0</v>
      </c>
      <c r="I3249">
        <v>28</v>
      </c>
      <c r="J3249">
        <v>28</v>
      </c>
      <c r="K3249">
        <v>0</v>
      </c>
      <c r="L3249">
        <v>465</v>
      </c>
      <c r="M3249">
        <v>60</v>
      </c>
      <c r="N3249" s="1">
        <f t="shared" si="400"/>
        <v>44938</v>
      </c>
      <c r="O3249" s="1">
        <f t="shared" si="401"/>
        <v>43101</v>
      </c>
      <c r="P3249" s="1">
        <f t="shared" si="402"/>
        <v>43313</v>
      </c>
      <c r="Q3249" s="8">
        <f t="shared" si="403"/>
        <v>0</v>
      </c>
      <c r="R3249" s="8">
        <f t="shared" si="404"/>
        <v>8</v>
      </c>
      <c r="S3249" s="8">
        <f t="shared" ca="1" si="405"/>
        <v>0</v>
      </c>
      <c r="T3249">
        <f t="shared" ca="1" si="406"/>
        <v>0</v>
      </c>
      <c r="U3249" s="8">
        <f t="shared" ca="1" si="407"/>
        <v>1</v>
      </c>
      <c r="V3249" s="9">
        <f ca="1">RawData[[#This Row],[Z (smoothed demand size)]]/RawData[[#This Row],[X (smoothed interval)]]</f>
        <v>0</v>
      </c>
    </row>
    <row r="3250" spans="1:22">
      <c r="A3250" t="s">
        <v>65</v>
      </c>
      <c r="B3250" t="s">
        <v>60</v>
      </c>
      <c r="C3250">
        <v>28</v>
      </c>
      <c r="D3250" t="s">
        <v>15</v>
      </c>
      <c r="E3250" t="s">
        <v>16</v>
      </c>
      <c r="F3250" s="1">
        <v>43109</v>
      </c>
      <c r="G3250">
        <v>0</v>
      </c>
      <c r="H3250">
        <v>0</v>
      </c>
      <c r="I3250">
        <v>28</v>
      </c>
      <c r="J3250">
        <v>28</v>
      </c>
      <c r="K3250">
        <v>0</v>
      </c>
      <c r="L3250">
        <v>402</v>
      </c>
      <c r="M3250">
        <v>60</v>
      </c>
      <c r="N3250" s="1">
        <f t="shared" si="400"/>
        <v>44938</v>
      </c>
      <c r="O3250" s="1">
        <f t="shared" si="401"/>
        <v>43101</v>
      </c>
      <c r="P3250" s="1">
        <f t="shared" si="402"/>
        <v>43344</v>
      </c>
      <c r="Q3250" s="8">
        <f t="shared" si="403"/>
        <v>0</v>
      </c>
      <c r="R3250" s="8">
        <f t="shared" si="404"/>
        <v>9</v>
      </c>
      <c r="S3250" s="8">
        <f t="shared" ca="1" si="405"/>
        <v>0</v>
      </c>
      <c r="T3250">
        <f t="shared" ca="1" si="406"/>
        <v>0</v>
      </c>
      <c r="U3250" s="8">
        <f t="shared" ca="1" si="407"/>
        <v>1</v>
      </c>
      <c r="V3250" s="9">
        <f ca="1">RawData[[#This Row],[Z (smoothed demand size)]]/RawData[[#This Row],[X (smoothed interval)]]</f>
        <v>0</v>
      </c>
    </row>
    <row r="3251" spans="1:22">
      <c r="A3251" t="s">
        <v>65</v>
      </c>
      <c r="B3251" t="s">
        <v>60</v>
      </c>
      <c r="C3251">
        <v>28</v>
      </c>
      <c r="D3251" t="s">
        <v>15</v>
      </c>
      <c r="E3251" t="s">
        <v>16</v>
      </c>
      <c r="F3251" s="1">
        <v>43110</v>
      </c>
      <c r="G3251">
        <v>0</v>
      </c>
      <c r="H3251">
        <v>0</v>
      </c>
      <c r="I3251">
        <v>28</v>
      </c>
      <c r="J3251">
        <v>28</v>
      </c>
      <c r="K3251">
        <v>0</v>
      </c>
      <c r="L3251">
        <v>400</v>
      </c>
      <c r="M3251">
        <v>60</v>
      </c>
      <c r="N3251" s="1">
        <f t="shared" si="400"/>
        <v>44938</v>
      </c>
      <c r="O3251" s="1">
        <f t="shared" si="401"/>
        <v>43101</v>
      </c>
      <c r="P3251" s="1">
        <f t="shared" si="402"/>
        <v>43374</v>
      </c>
      <c r="Q3251" s="8">
        <f t="shared" si="403"/>
        <v>0</v>
      </c>
      <c r="R3251" s="8">
        <f t="shared" si="404"/>
        <v>10</v>
      </c>
      <c r="S3251" s="8">
        <f t="shared" ca="1" si="405"/>
        <v>0</v>
      </c>
      <c r="T3251">
        <f t="shared" ca="1" si="406"/>
        <v>0</v>
      </c>
      <c r="U3251" s="8">
        <f t="shared" ca="1" si="407"/>
        <v>1</v>
      </c>
      <c r="V3251" s="9">
        <f ca="1">RawData[[#This Row],[Z (smoothed demand size)]]/RawData[[#This Row],[X (smoothed interval)]]</f>
        <v>0</v>
      </c>
    </row>
    <row r="3252" spans="1:22">
      <c r="A3252" t="s">
        <v>65</v>
      </c>
      <c r="B3252" t="s">
        <v>60</v>
      </c>
      <c r="C3252">
        <v>28</v>
      </c>
      <c r="D3252" t="s">
        <v>15</v>
      </c>
      <c r="E3252" t="s">
        <v>16</v>
      </c>
      <c r="F3252" s="1">
        <v>43111</v>
      </c>
      <c r="G3252">
        <v>0</v>
      </c>
      <c r="H3252">
        <v>0</v>
      </c>
      <c r="I3252">
        <v>28</v>
      </c>
      <c r="J3252">
        <v>28</v>
      </c>
      <c r="K3252">
        <v>0</v>
      </c>
      <c r="L3252">
        <v>400</v>
      </c>
      <c r="M3252">
        <v>15</v>
      </c>
      <c r="N3252" s="1">
        <f t="shared" si="400"/>
        <v>44938</v>
      </c>
      <c r="O3252" s="1">
        <f t="shared" si="401"/>
        <v>43101</v>
      </c>
      <c r="P3252" s="1">
        <f t="shared" si="402"/>
        <v>43405</v>
      </c>
      <c r="Q3252" s="8">
        <f t="shared" si="403"/>
        <v>0</v>
      </c>
      <c r="R3252" s="8">
        <f t="shared" si="404"/>
        <v>11</v>
      </c>
      <c r="S3252" s="8">
        <f t="shared" ca="1" si="405"/>
        <v>0</v>
      </c>
      <c r="T3252">
        <f t="shared" ca="1" si="406"/>
        <v>0</v>
      </c>
      <c r="U3252" s="8">
        <f t="shared" ca="1" si="407"/>
        <v>1</v>
      </c>
      <c r="V3252" s="9">
        <f ca="1">RawData[[#This Row],[Z (smoothed demand size)]]/RawData[[#This Row],[X (smoothed interval)]]</f>
        <v>0</v>
      </c>
    </row>
    <row r="3253" spans="1:22">
      <c r="A3253" t="s">
        <v>65</v>
      </c>
      <c r="B3253" t="s">
        <v>60</v>
      </c>
      <c r="C3253">
        <v>28</v>
      </c>
      <c r="D3253" t="s">
        <v>15</v>
      </c>
      <c r="E3253" t="s">
        <v>16</v>
      </c>
      <c r="F3253" s="1">
        <v>43112</v>
      </c>
      <c r="G3253">
        <v>0</v>
      </c>
      <c r="H3253">
        <v>0</v>
      </c>
      <c r="I3253">
        <v>28</v>
      </c>
      <c r="J3253">
        <v>28</v>
      </c>
      <c r="K3253">
        <v>0</v>
      </c>
      <c r="L3253">
        <v>459</v>
      </c>
      <c r="M3253">
        <v>45</v>
      </c>
      <c r="N3253" s="1">
        <f t="shared" si="400"/>
        <v>44938</v>
      </c>
      <c r="O3253" s="1">
        <f t="shared" si="401"/>
        <v>43101</v>
      </c>
      <c r="P3253" s="1">
        <f t="shared" si="402"/>
        <v>43435</v>
      </c>
      <c r="Q3253" s="8">
        <f t="shared" si="403"/>
        <v>0</v>
      </c>
      <c r="R3253" s="8">
        <f t="shared" si="404"/>
        <v>12</v>
      </c>
      <c r="S3253" s="8">
        <f t="shared" ca="1" si="405"/>
        <v>0</v>
      </c>
      <c r="T3253">
        <f t="shared" ca="1" si="406"/>
        <v>0</v>
      </c>
      <c r="U3253" s="8">
        <f t="shared" ca="1" si="407"/>
        <v>1</v>
      </c>
      <c r="V3253" s="9">
        <f ca="1">RawData[[#This Row],[Z (smoothed demand size)]]/RawData[[#This Row],[X (smoothed interval)]]</f>
        <v>0</v>
      </c>
    </row>
    <row r="3254" spans="1:22">
      <c r="A3254" t="s">
        <v>65</v>
      </c>
      <c r="B3254" t="s">
        <v>60</v>
      </c>
      <c r="C3254">
        <v>28</v>
      </c>
      <c r="D3254" t="s">
        <v>15</v>
      </c>
      <c r="E3254" t="s">
        <v>16</v>
      </c>
      <c r="F3254" s="1">
        <v>43466</v>
      </c>
      <c r="G3254">
        <v>0</v>
      </c>
      <c r="H3254">
        <v>0</v>
      </c>
      <c r="I3254">
        <v>28</v>
      </c>
      <c r="J3254">
        <v>28</v>
      </c>
      <c r="K3254">
        <v>0</v>
      </c>
      <c r="L3254">
        <v>403</v>
      </c>
      <c r="M3254">
        <v>60</v>
      </c>
      <c r="N3254" s="1">
        <f t="shared" si="400"/>
        <v>44938</v>
      </c>
      <c r="O3254" s="1">
        <f t="shared" si="401"/>
        <v>43101</v>
      </c>
      <c r="P3254" s="1">
        <f t="shared" si="402"/>
        <v>43466</v>
      </c>
      <c r="Q3254" s="8">
        <f t="shared" si="403"/>
        <v>0</v>
      </c>
      <c r="R3254" s="8">
        <f t="shared" si="404"/>
        <v>13</v>
      </c>
      <c r="S3254" s="8">
        <f t="shared" ca="1" si="405"/>
        <v>0</v>
      </c>
      <c r="T3254">
        <f t="shared" ca="1" si="406"/>
        <v>0</v>
      </c>
      <c r="U3254" s="8">
        <f t="shared" ca="1" si="407"/>
        <v>1</v>
      </c>
      <c r="V3254" s="9">
        <f ca="1">RawData[[#This Row],[Z (smoothed demand size)]]/RawData[[#This Row],[X (smoothed interval)]]</f>
        <v>0</v>
      </c>
    </row>
    <row r="3255" spans="1:22">
      <c r="A3255" t="s">
        <v>65</v>
      </c>
      <c r="B3255" t="s">
        <v>60</v>
      </c>
      <c r="C3255">
        <v>28</v>
      </c>
      <c r="D3255" t="s">
        <v>15</v>
      </c>
      <c r="E3255" t="s">
        <v>16</v>
      </c>
      <c r="F3255" s="1">
        <v>43467</v>
      </c>
      <c r="G3255">
        <v>0</v>
      </c>
      <c r="H3255">
        <v>0</v>
      </c>
      <c r="I3255">
        <v>28</v>
      </c>
      <c r="J3255">
        <v>28</v>
      </c>
      <c r="K3255">
        <v>0</v>
      </c>
      <c r="L3255">
        <v>400</v>
      </c>
      <c r="M3255">
        <v>30</v>
      </c>
      <c r="N3255" s="1">
        <f t="shared" si="400"/>
        <v>44938</v>
      </c>
      <c r="O3255" s="1">
        <f t="shared" si="401"/>
        <v>43101</v>
      </c>
      <c r="P3255" s="1">
        <f t="shared" si="402"/>
        <v>43497</v>
      </c>
      <c r="Q3255" s="8">
        <f t="shared" si="403"/>
        <v>0</v>
      </c>
      <c r="R3255" s="8">
        <f t="shared" si="404"/>
        <v>14</v>
      </c>
      <c r="S3255" s="8">
        <f t="shared" ca="1" si="405"/>
        <v>0</v>
      </c>
      <c r="T3255">
        <f t="shared" ca="1" si="406"/>
        <v>0</v>
      </c>
      <c r="U3255" s="8">
        <f t="shared" ca="1" si="407"/>
        <v>1</v>
      </c>
      <c r="V3255" s="9">
        <f ca="1">RawData[[#This Row],[Z (smoothed demand size)]]/RawData[[#This Row],[X (smoothed interval)]]</f>
        <v>0</v>
      </c>
    </row>
    <row r="3256" spans="1:22">
      <c r="A3256" t="s">
        <v>65</v>
      </c>
      <c r="B3256" t="s">
        <v>60</v>
      </c>
      <c r="C3256">
        <v>28</v>
      </c>
      <c r="D3256" t="s">
        <v>15</v>
      </c>
      <c r="E3256" t="s">
        <v>16</v>
      </c>
      <c r="F3256" s="1">
        <v>43468</v>
      </c>
      <c r="G3256">
        <v>0</v>
      </c>
      <c r="H3256">
        <v>0</v>
      </c>
      <c r="I3256">
        <v>28</v>
      </c>
      <c r="J3256">
        <v>28</v>
      </c>
      <c r="K3256">
        <v>0</v>
      </c>
      <c r="L3256">
        <v>398</v>
      </c>
      <c r="M3256">
        <v>15</v>
      </c>
      <c r="N3256" s="1">
        <f t="shared" si="400"/>
        <v>44938</v>
      </c>
      <c r="O3256" s="1">
        <f t="shared" si="401"/>
        <v>43101</v>
      </c>
      <c r="P3256" s="1">
        <f t="shared" si="402"/>
        <v>43525</v>
      </c>
      <c r="Q3256" s="8">
        <f t="shared" si="403"/>
        <v>0</v>
      </c>
      <c r="R3256" s="8">
        <f t="shared" si="404"/>
        <v>15</v>
      </c>
      <c r="S3256" s="8">
        <f t="shared" ca="1" si="405"/>
        <v>0</v>
      </c>
      <c r="T3256">
        <f t="shared" ca="1" si="406"/>
        <v>0</v>
      </c>
      <c r="U3256" s="8">
        <f t="shared" ca="1" si="407"/>
        <v>1</v>
      </c>
      <c r="V3256" s="9">
        <f ca="1">RawData[[#This Row],[Z (smoothed demand size)]]/RawData[[#This Row],[X (smoothed interval)]]</f>
        <v>0</v>
      </c>
    </row>
    <row r="3257" spans="1:22">
      <c r="A3257" t="s">
        <v>65</v>
      </c>
      <c r="B3257" t="s">
        <v>60</v>
      </c>
      <c r="C3257">
        <v>28</v>
      </c>
      <c r="D3257" t="s">
        <v>15</v>
      </c>
      <c r="E3257" t="s">
        <v>16</v>
      </c>
      <c r="F3257" s="1">
        <v>43469</v>
      </c>
      <c r="G3257">
        <v>0</v>
      </c>
      <c r="H3257">
        <v>0</v>
      </c>
      <c r="I3257">
        <v>28</v>
      </c>
      <c r="J3257">
        <v>28</v>
      </c>
      <c r="K3257">
        <v>0</v>
      </c>
      <c r="L3257">
        <v>394</v>
      </c>
      <c r="M3257">
        <v>60</v>
      </c>
      <c r="N3257" s="1">
        <f t="shared" si="400"/>
        <v>44938</v>
      </c>
      <c r="O3257" s="1">
        <f t="shared" si="401"/>
        <v>43101</v>
      </c>
      <c r="P3257" s="1">
        <f t="shared" si="402"/>
        <v>43556</v>
      </c>
      <c r="Q3257" s="8">
        <f t="shared" si="403"/>
        <v>0</v>
      </c>
      <c r="R3257" s="8">
        <f t="shared" si="404"/>
        <v>16</v>
      </c>
      <c r="S3257" s="8">
        <f t="shared" ca="1" si="405"/>
        <v>0</v>
      </c>
      <c r="T3257">
        <f t="shared" ca="1" si="406"/>
        <v>0</v>
      </c>
      <c r="U3257" s="8">
        <f t="shared" ca="1" si="407"/>
        <v>1</v>
      </c>
      <c r="V3257" s="9">
        <f ca="1">RawData[[#This Row],[Z (smoothed demand size)]]/RawData[[#This Row],[X (smoothed interval)]]</f>
        <v>0</v>
      </c>
    </row>
    <row r="3258" spans="1:22">
      <c r="A3258" t="s">
        <v>65</v>
      </c>
      <c r="B3258" t="s">
        <v>60</v>
      </c>
      <c r="C3258">
        <v>28</v>
      </c>
      <c r="D3258" t="s">
        <v>15</v>
      </c>
      <c r="E3258" t="s">
        <v>16</v>
      </c>
      <c r="F3258" s="1">
        <v>43470</v>
      </c>
      <c r="G3258">
        <v>0</v>
      </c>
      <c r="H3258">
        <v>0</v>
      </c>
      <c r="I3258">
        <v>28</v>
      </c>
      <c r="J3258">
        <v>28</v>
      </c>
      <c r="K3258">
        <v>0</v>
      </c>
      <c r="L3258">
        <v>401</v>
      </c>
      <c r="M3258">
        <v>30</v>
      </c>
      <c r="N3258" s="1">
        <f t="shared" si="400"/>
        <v>44938</v>
      </c>
      <c r="O3258" s="1">
        <f t="shared" si="401"/>
        <v>43101</v>
      </c>
      <c r="P3258" s="1">
        <f t="shared" si="402"/>
        <v>43586</v>
      </c>
      <c r="Q3258" s="8">
        <f t="shared" si="403"/>
        <v>0</v>
      </c>
      <c r="R3258" s="8">
        <f t="shared" si="404"/>
        <v>17</v>
      </c>
      <c r="S3258" s="8">
        <f t="shared" ca="1" si="405"/>
        <v>0</v>
      </c>
      <c r="T3258">
        <f t="shared" ca="1" si="406"/>
        <v>0</v>
      </c>
      <c r="U3258" s="8">
        <f t="shared" ca="1" si="407"/>
        <v>1</v>
      </c>
      <c r="V3258" s="9">
        <f ca="1">RawData[[#This Row],[Z (smoothed demand size)]]/RawData[[#This Row],[X (smoothed interval)]]</f>
        <v>0</v>
      </c>
    </row>
    <row r="3259" spans="1:22">
      <c r="A3259" t="s">
        <v>65</v>
      </c>
      <c r="B3259" t="s">
        <v>60</v>
      </c>
      <c r="C3259">
        <v>28</v>
      </c>
      <c r="D3259" t="s">
        <v>15</v>
      </c>
      <c r="E3259" t="s">
        <v>16</v>
      </c>
      <c r="F3259" s="1">
        <v>43471</v>
      </c>
      <c r="G3259">
        <v>0</v>
      </c>
      <c r="H3259">
        <v>0</v>
      </c>
      <c r="I3259">
        <v>28</v>
      </c>
      <c r="J3259">
        <v>28</v>
      </c>
      <c r="K3259">
        <v>0</v>
      </c>
      <c r="L3259">
        <v>460</v>
      </c>
      <c r="M3259">
        <v>60</v>
      </c>
      <c r="N3259" s="1">
        <f t="shared" si="400"/>
        <v>44938</v>
      </c>
      <c r="O3259" s="1">
        <f t="shared" si="401"/>
        <v>43101</v>
      </c>
      <c r="P3259" s="1">
        <f t="shared" si="402"/>
        <v>43617</v>
      </c>
      <c r="Q3259" s="8">
        <f t="shared" si="403"/>
        <v>0</v>
      </c>
      <c r="R3259" s="8">
        <f t="shared" si="404"/>
        <v>18</v>
      </c>
      <c r="S3259" s="8">
        <f t="shared" ca="1" si="405"/>
        <v>0</v>
      </c>
      <c r="T3259">
        <f t="shared" ca="1" si="406"/>
        <v>0</v>
      </c>
      <c r="U3259" s="8">
        <f t="shared" ca="1" si="407"/>
        <v>1</v>
      </c>
      <c r="V3259" s="9">
        <f ca="1">RawData[[#This Row],[Z (smoothed demand size)]]/RawData[[#This Row],[X (smoothed interval)]]</f>
        <v>0</v>
      </c>
    </row>
    <row r="3260" spans="1:22">
      <c r="A3260" t="s">
        <v>65</v>
      </c>
      <c r="B3260" t="s">
        <v>60</v>
      </c>
      <c r="C3260">
        <v>28</v>
      </c>
      <c r="D3260" t="s">
        <v>15</v>
      </c>
      <c r="E3260" t="s">
        <v>16</v>
      </c>
      <c r="F3260" s="1">
        <v>43472</v>
      </c>
      <c r="G3260">
        <v>0</v>
      </c>
      <c r="H3260">
        <v>0</v>
      </c>
      <c r="I3260">
        <v>28</v>
      </c>
      <c r="J3260">
        <v>28</v>
      </c>
      <c r="K3260">
        <v>0</v>
      </c>
      <c r="L3260">
        <v>451</v>
      </c>
      <c r="M3260">
        <v>45</v>
      </c>
      <c r="N3260" s="1">
        <f t="shared" si="400"/>
        <v>44938</v>
      </c>
      <c r="O3260" s="1">
        <f t="shared" si="401"/>
        <v>43101</v>
      </c>
      <c r="P3260" s="1">
        <f t="shared" si="402"/>
        <v>43647</v>
      </c>
      <c r="Q3260" s="8">
        <f t="shared" si="403"/>
        <v>0</v>
      </c>
      <c r="R3260" s="8">
        <f t="shared" si="404"/>
        <v>19</v>
      </c>
      <c r="S3260" s="8">
        <f t="shared" ca="1" si="405"/>
        <v>0</v>
      </c>
      <c r="T3260">
        <f t="shared" ca="1" si="406"/>
        <v>0</v>
      </c>
      <c r="U3260" s="8">
        <f t="shared" ca="1" si="407"/>
        <v>1</v>
      </c>
      <c r="V3260" s="9">
        <f ca="1">RawData[[#This Row],[Z (smoothed demand size)]]/RawData[[#This Row],[X (smoothed interval)]]</f>
        <v>0</v>
      </c>
    </row>
    <row r="3261" spans="1:22">
      <c r="A3261" t="s">
        <v>65</v>
      </c>
      <c r="B3261" t="s">
        <v>60</v>
      </c>
      <c r="C3261">
        <v>28</v>
      </c>
      <c r="D3261" t="s">
        <v>15</v>
      </c>
      <c r="E3261" t="s">
        <v>16</v>
      </c>
      <c r="F3261" s="1">
        <v>43473</v>
      </c>
      <c r="G3261">
        <v>0</v>
      </c>
      <c r="H3261">
        <v>0</v>
      </c>
      <c r="I3261">
        <v>28</v>
      </c>
      <c r="J3261">
        <v>28</v>
      </c>
      <c r="K3261">
        <v>0</v>
      </c>
      <c r="L3261">
        <v>458</v>
      </c>
      <c r="M3261">
        <v>30</v>
      </c>
      <c r="N3261" s="1">
        <f t="shared" si="400"/>
        <v>44938</v>
      </c>
      <c r="O3261" s="1">
        <f t="shared" si="401"/>
        <v>43101</v>
      </c>
      <c r="P3261" s="1">
        <f t="shared" si="402"/>
        <v>43678</v>
      </c>
      <c r="Q3261" s="8">
        <f t="shared" si="403"/>
        <v>0</v>
      </c>
      <c r="R3261" s="8">
        <f t="shared" si="404"/>
        <v>20</v>
      </c>
      <c r="S3261" s="8">
        <f t="shared" ca="1" si="405"/>
        <v>0</v>
      </c>
      <c r="T3261">
        <f t="shared" ca="1" si="406"/>
        <v>0</v>
      </c>
      <c r="U3261" s="8">
        <f t="shared" ca="1" si="407"/>
        <v>1</v>
      </c>
      <c r="V3261" s="9">
        <f ca="1">RawData[[#This Row],[Z (smoothed demand size)]]/RawData[[#This Row],[X (smoothed interval)]]</f>
        <v>0</v>
      </c>
    </row>
    <row r="3262" spans="1:22">
      <c r="A3262" t="s">
        <v>65</v>
      </c>
      <c r="B3262" t="s">
        <v>60</v>
      </c>
      <c r="C3262">
        <v>28</v>
      </c>
      <c r="D3262" t="s">
        <v>15</v>
      </c>
      <c r="E3262" t="s">
        <v>16</v>
      </c>
      <c r="F3262" s="1">
        <v>43474</v>
      </c>
      <c r="G3262">
        <v>1</v>
      </c>
      <c r="H3262">
        <v>1</v>
      </c>
      <c r="I3262">
        <v>28</v>
      </c>
      <c r="J3262">
        <v>27</v>
      </c>
      <c r="K3262">
        <v>0</v>
      </c>
      <c r="L3262">
        <v>400</v>
      </c>
      <c r="M3262">
        <v>60</v>
      </c>
      <c r="N3262" s="1">
        <f t="shared" si="400"/>
        <v>44938</v>
      </c>
      <c r="O3262" s="1">
        <f t="shared" si="401"/>
        <v>43101</v>
      </c>
      <c r="P3262" s="1">
        <f t="shared" si="402"/>
        <v>43709</v>
      </c>
      <c r="Q3262" s="8">
        <f t="shared" si="403"/>
        <v>0</v>
      </c>
      <c r="R3262" s="8">
        <f t="shared" si="404"/>
        <v>21</v>
      </c>
      <c r="S3262" s="8">
        <f t="shared" ca="1" si="405"/>
        <v>21</v>
      </c>
      <c r="T3262">
        <f t="shared" ca="1" si="406"/>
        <v>0.2</v>
      </c>
      <c r="U3262" s="8">
        <f t="shared" ca="1" si="407"/>
        <v>5</v>
      </c>
      <c r="V3262" s="9">
        <f ca="1">RawData[[#This Row],[Z (smoothed demand size)]]/RawData[[#This Row],[X (smoothed interval)]]</f>
        <v>0.04</v>
      </c>
    </row>
    <row r="3263" spans="1:22">
      <c r="A3263" t="s">
        <v>65</v>
      </c>
      <c r="B3263" t="s">
        <v>60</v>
      </c>
      <c r="C3263">
        <v>28</v>
      </c>
      <c r="D3263" t="s">
        <v>15</v>
      </c>
      <c r="E3263" t="s">
        <v>16</v>
      </c>
      <c r="F3263" s="1">
        <v>43475</v>
      </c>
      <c r="G3263">
        <v>0</v>
      </c>
      <c r="H3263">
        <v>0</v>
      </c>
      <c r="I3263">
        <v>27</v>
      </c>
      <c r="J3263">
        <v>27</v>
      </c>
      <c r="K3263">
        <v>0</v>
      </c>
      <c r="L3263">
        <v>398</v>
      </c>
      <c r="M3263">
        <v>60</v>
      </c>
      <c r="N3263" s="1">
        <f t="shared" si="400"/>
        <v>44938</v>
      </c>
      <c r="O3263" s="1">
        <f t="shared" si="401"/>
        <v>43101</v>
      </c>
      <c r="P3263" s="1">
        <f t="shared" si="402"/>
        <v>43739</v>
      </c>
      <c r="Q3263" s="8">
        <f t="shared" si="403"/>
        <v>0</v>
      </c>
      <c r="R3263" s="8">
        <f t="shared" si="404"/>
        <v>22</v>
      </c>
      <c r="S3263" s="8">
        <f t="shared" ca="1" si="405"/>
        <v>21</v>
      </c>
      <c r="T3263">
        <f t="shared" ca="1" si="406"/>
        <v>0.2</v>
      </c>
      <c r="U3263" s="8">
        <f t="shared" ca="1" si="407"/>
        <v>5</v>
      </c>
      <c r="V3263" s="9">
        <f ca="1">RawData[[#This Row],[Z (smoothed demand size)]]/RawData[[#This Row],[X (smoothed interval)]]</f>
        <v>0.04</v>
      </c>
    </row>
    <row r="3264" spans="1:22">
      <c r="A3264" t="s">
        <v>65</v>
      </c>
      <c r="B3264" t="s">
        <v>60</v>
      </c>
      <c r="C3264">
        <v>28</v>
      </c>
      <c r="D3264" t="s">
        <v>15</v>
      </c>
      <c r="E3264" t="s">
        <v>16</v>
      </c>
      <c r="F3264" s="1">
        <v>43476</v>
      </c>
      <c r="G3264">
        <v>0</v>
      </c>
      <c r="H3264">
        <v>0</v>
      </c>
      <c r="I3264">
        <v>27</v>
      </c>
      <c r="J3264">
        <v>27</v>
      </c>
      <c r="K3264">
        <v>0</v>
      </c>
      <c r="L3264">
        <v>406</v>
      </c>
      <c r="M3264">
        <v>15</v>
      </c>
      <c r="N3264" s="1">
        <f t="shared" si="400"/>
        <v>44938</v>
      </c>
      <c r="O3264" s="1">
        <f t="shared" si="401"/>
        <v>43101</v>
      </c>
      <c r="P3264" s="1">
        <f t="shared" si="402"/>
        <v>43770</v>
      </c>
      <c r="Q3264" s="8">
        <f t="shared" si="403"/>
        <v>0</v>
      </c>
      <c r="R3264" s="8">
        <f t="shared" si="404"/>
        <v>23</v>
      </c>
      <c r="S3264" s="8">
        <f t="shared" ca="1" si="405"/>
        <v>21</v>
      </c>
      <c r="T3264">
        <f t="shared" ca="1" si="406"/>
        <v>0.2</v>
      </c>
      <c r="U3264" s="8">
        <f t="shared" ca="1" si="407"/>
        <v>5</v>
      </c>
      <c r="V3264" s="9">
        <f ca="1">RawData[[#This Row],[Z (smoothed demand size)]]/RawData[[#This Row],[X (smoothed interval)]]</f>
        <v>0.04</v>
      </c>
    </row>
    <row r="3265" spans="1:22">
      <c r="A3265" t="s">
        <v>65</v>
      </c>
      <c r="B3265" t="s">
        <v>60</v>
      </c>
      <c r="C3265">
        <v>28</v>
      </c>
      <c r="D3265" t="s">
        <v>15</v>
      </c>
      <c r="E3265" t="s">
        <v>16</v>
      </c>
      <c r="F3265" s="1">
        <v>43477</v>
      </c>
      <c r="G3265">
        <v>0</v>
      </c>
      <c r="H3265">
        <v>0</v>
      </c>
      <c r="I3265">
        <v>27</v>
      </c>
      <c r="J3265">
        <v>27</v>
      </c>
      <c r="K3265">
        <v>0</v>
      </c>
      <c r="L3265">
        <v>466</v>
      </c>
      <c r="M3265">
        <v>30</v>
      </c>
      <c r="N3265" s="1">
        <f t="shared" si="400"/>
        <v>44938</v>
      </c>
      <c r="O3265" s="1">
        <f t="shared" si="401"/>
        <v>43101</v>
      </c>
      <c r="P3265" s="1">
        <f t="shared" si="402"/>
        <v>43800</v>
      </c>
      <c r="Q3265" s="8">
        <f t="shared" si="403"/>
        <v>0</v>
      </c>
      <c r="R3265" s="8">
        <f t="shared" si="404"/>
        <v>24</v>
      </c>
      <c r="S3265" s="8">
        <f t="shared" ca="1" si="405"/>
        <v>21</v>
      </c>
      <c r="T3265">
        <f t="shared" ca="1" si="406"/>
        <v>0.2</v>
      </c>
      <c r="U3265" s="8">
        <f t="shared" ca="1" si="407"/>
        <v>5</v>
      </c>
      <c r="V3265" s="9">
        <f ca="1">RawData[[#This Row],[Z (smoothed demand size)]]/RawData[[#This Row],[X (smoothed interval)]]</f>
        <v>0.04</v>
      </c>
    </row>
    <row r="3266" spans="1:22">
      <c r="A3266" t="s">
        <v>65</v>
      </c>
      <c r="B3266" t="s">
        <v>60</v>
      </c>
      <c r="C3266">
        <v>28</v>
      </c>
      <c r="D3266" t="s">
        <v>15</v>
      </c>
      <c r="E3266" t="s">
        <v>16</v>
      </c>
      <c r="F3266" s="1">
        <v>43831</v>
      </c>
      <c r="G3266">
        <v>0</v>
      </c>
      <c r="H3266">
        <v>0</v>
      </c>
      <c r="I3266">
        <v>27</v>
      </c>
      <c r="J3266">
        <v>27</v>
      </c>
      <c r="K3266">
        <v>0</v>
      </c>
      <c r="L3266">
        <v>393</v>
      </c>
      <c r="M3266">
        <v>45</v>
      </c>
      <c r="N3266" s="1">
        <f t="shared" ref="N3266:N3329" si="408">MAX(F:F)</f>
        <v>44938</v>
      </c>
      <c r="O3266" s="1">
        <f t="shared" ref="O3266:O3329" si="409">MIN(F:F)</f>
        <v>43101</v>
      </c>
      <c r="P3266" s="1">
        <f t="shared" ref="P3266:P3329" si="410">DATE(YEAR(F3266), DAY(F3266), 1)</f>
        <v>43831</v>
      </c>
      <c r="Q3266" s="8">
        <f t="shared" ref="Q3266:Q3329" si="411" xml:space="preserve"> IF(A3266&lt;&gt;A3265, 1, 0)</f>
        <v>0</v>
      </c>
      <c r="R3266" s="8">
        <f t="shared" ref="R3266:R3329" si="412">IF(Q3266=1,1,R3265+1)</f>
        <v>25</v>
      </c>
      <c r="S3266" s="8">
        <f t="shared" ref="S3266:S3329" ca="1" si="413" xml:space="preserve"> IF(Q3266=1, IF(G3266&gt;0, R3266, 0), IF(G3266&gt;0, R3266, OFFSET(S3266,-1,0)))</f>
        <v>21</v>
      </c>
      <c r="T3266">
        <f t="shared" ref="T3266:T3329" ca="1" si="414" xml:space="preserve"> IF(Q3266=1, IF(G3266&gt;0, G3266, 0), IF(G3266&gt;0, $X$1*G3266+(1-$X$1)*OFFSET(T3266,-1,0), OFFSET(T3266,-1,0)))</f>
        <v>0.2</v>
      </c>
      <c r="U3266" s="8">
        <f t="shared" ref="U3266:U3329" ca="1" si="415" xml:space="preserve"> IF(Q3266=1, 1, IF(G3266&gt;0, $X$1*(R3266-OFFSET(S3266,-1,0))+(1-$X$1)*OFFSET(U3266,-1,0), OFFSET(U3266,-1,0)))</f>
        <v>5</v>
      </c>
      <c r="V3266" s="9">
        <f ca="1">RawData[[#This Row],[Z (smoothed demand size)]]/RawData[[#This Row],[X (smoothed interval)]]</f>
        <v>0.04</v>
      </c>
    </row>
    <row r="3267" spans="1:22">
      <c r="A3267" t="s">
        <v>65</v>
      </c>
      <c r="B3267" t="s">
        <v>60</v>
      </c>
      <c r="C3267">
        <v>28</v>
      </c>
      <c r="D3267" t="s">
        <v>15</v>
      </c>
      <c r="E3267" t="s">
        <v>16</v>
      </c>
      <c r="F3267" s="1">
        <v>43832</v>
      </c>
      <c r="G3267">
        <v>0</v>
      </c>
      <c r="H3267">
        <v>0</v>
      </c>
      <c r="I3267">
        <v>27</v>
      </c>
      <c r="J3267">
        <v>27</v>
      </c>
      <c r="K3267">
        <v>0</v>
      </c>
      <c r="L3267">
        <v>397</v>
      </c>
      <c r="M3267">
        <v>60</v>
      </c>
      <c r="N3267" s="1">
        <f t="shared" si="408"/>
        <v>44938</v>
      </c>
      <c r="O3267" s="1">
        <f t="shared" si="409"/>
        <v>43101</v>
      </c>
      <c r="P3267" s="1">
        <f t="shared" si="410"/>
        <v>43862</v>
      </c>
      <c r="Q3267" s="8">
        <f t="shared" si="411"/>
        <v>0</v>
      </c>
      <c r="R3267" s="8">
        <f t="shared" si="412"/>
        <v>26</v>
      </c>
      <c r="S3267" s="8">
        <f t="shared" ca="1" si="413"/>
        <v>21</v>
      </c>
      <c r="T3267">
        <f t="shared" ca="1" si="414"/>
        <v>0.2</v>
      </c>
      <c r="U3267" s="8">
        <f t="shared" ca="1" si="415"/>
        <v>5</v>
      </c>
      <c r="V3267" s="9">
        <f ca="1">RawData[[#This Row],[Z (smoothed demand size)]]/RawData[[#This Row],[X (smoothed interval)]]</f>
        <v>0.04</v>
      </c>
    </row>
    <row r="3268" spans="1:22">
      <c r="A3268" t="s">
        <v>65</v>
      </c>
      <c r="B3268" t="s">
        <v>60</v>
      </c>
      <c r="C3268">
        <v>28</v>
      </c>
      <c r="D3268" t="s">
        <v>15</v>
      </c>
      <c r="E3268" t="s">
        <v>16</v>
      </c>
      <c r="F3268" s="1">
        <v>43833</v>
      </c>
      <c r="G3268">
        <v>0</v>
      </c>
      <c r="H3268">
        <v>0</v>
      </c>
      <c r="I3268">
        <v>27</v>
      </c>
      <c r="J3268">
        <v>27</v>
      </c>
      <c r="K3268">
        <v>0</v>
      </c>
      <c r="L3268">
        <v>401</v>
      </c>
      <c r="M3268">
        <v>60</v>
      </c>
      <c r="N3268" s="1">
        <f t="shared" si="408"/>
        <v>44938</v>
      </c>
      <c r="O3268" s="1">
        <f t="shared" si="409"/>
        <v>43101</v>
      </c>
      <c r="P3268" s="1">
        <f t="shared" si="410"/>
        <v>43891</v>
      </c>
      <c r="Q3268" s="8">
        <f t="shared" si="411"/>
        <v>0</v>
      </c>
      <c r="R3268" s="8">
        <f t="shared" si="412"/>
        <v>27</v>
      </c>
      <c r="S3268" s="8">
        <f t="shared" ca="1" si="413"/>
        <v>21</v>
      </c>
      <c r="T3268">
        <f t="shared" ca="1" si="414"/>
        <v>0.2</v>
      </c>
      <c r="U3268" s="8">
        <f t="shared" ca="1" si="415"/>
        <v>5</v>
      </c>
      <c r="V3268" s="9">
        <f ca="1">RawData[[#This Row],[Z (smoothed demand size)]]/RawData[[#This Row],[X (smoothed interval)]]</f>
        <v>0.04</v>
      </c>
    </row>
    <row r="3269" spans="1:22">
      <c r="A3269" t="s">
        <v>65</v>
      </c>
      <c r="B3269" t="s">
        <v>60</v>
      </c>
      <c r="C3269">
        <v>28</v>
      </c>
      <c r="D3269" t="s">
        <v>15</v>
      </c>
      <c r="E3269" t="s">
        <v>16</v>
      </c>
      <c r="F3269" s="1">
        <v>43834</v>
      </c>
      <c r="G3269">
        <v>0</v>
      </c>
      <c r="H3269">
        <v>0</v>
      </c>
      <c r="I3269">
        <v>27</v>
      </c>
      <c r="J3269">
        <v>27</v>
      </c>
      <c r="K3269">
        <v>0</v>
      </c>
      <c r="L3269">
        <v>397</v>
      </c>
      <c r="M3269">
        <v>15</v>
      </c>
      <c r="N3269" s="1">
        <f t="shared" si="408"/>
        <v>44938</v>
      </c>
      <c r="O3269" s="1">
        <f t="shared" si="409"/>
        <v>43101</v>
      </c>
      <c r="P3269" s="1">
        <f t="shared" si="410"/>
        <v>43922</v>
      </c>
      <c r="Q3269" s="8">
        <f t="shared" si="411"/>
        <v>0</v>
      </c>
      <c r="R3269" s="8">
        <f t="shared" si="412"/>
        <v>28</v>
      </c>
      <c r="S3269" s="8">
        <f t="shared" ca="1" si="413"/>
        <v>21</v>
      </c>
      <c r="T3269">
        <f t="shared" ca="1" si="414"/>
        <v>0.2</v>
      </c>
      <c r="U3269" s="8">
        <f t="shared" ca="1" si="415"/>
        <v>5</v>
      </c>
      <c r="V3269" s="9">
        <f ca="1">RawData[[#This Row],[Z (smoothed demand size)]]/RawData[[#This Row],[X (smoothed interval)]]</f>
        <v>0.04</v>
      </c>
    </row>
    <row r="3270" spans="1:22">
      <c r="A3270" t="s">
        <v>65</v>
      </c>
      <c r="B3270" t="s">
        <v>60</v>
      </c>
      <c r="C3270">
        <v>28</v>
      </c>
      <c r="D3270" t="s">
        <v>15</v>
      </c>
      <c r="E3270" t="s">
        <v>16</v>
      </c>
      <c r="F3270" s="1">
        <v>43835</v>
      </c>
      <c r="G3270">
        <v>0</v>
      </c>
      <c r="H3270">
        <v>0</v>
      </c>
      <c r="I3270">
        <v>27</v>
      </c>
      <c r="J3270">
        <v>27</v>
      </c>
      <c r="K3270">
        <v>0</v>
      </c>
      <c r="L3270">
        <v>401</v>
      </c>
      <c r="M3270">
        <v>60</v>
      </c>
      <c r="N3270" s="1">
        <f t="shared" si="408"/>
        <v>44938</v>
      </c>
      <c r="O3270" s="1">
        <f t="shared" si="409"/>
        <v>43101</v>
      </c>
      <c r="P3270" s="1">
        <f t="shared" si="410"/>
        <v>43952</v>
      </c>
      <c r="Q3270" s="8">
        <f t="shared" si="411"/>
        <v>0</v>
      </c>
      <c r="R3270" s="8">
        <f t="shared" si="412"/>
        <v>29</v>
      </c>
      <c r="S3270" s="8">
        <f t="shared" ca="1" si="413"/>
        <v>21</v>
      </c>
      <c r="T3270">
        <f t="shared" ca="1" si="414"/>
        <v>0.2</v>
      </c>
      <c r="U3270" s="8">
        <f t="shared" ca="1" si="415"/>
        <v>5</v>
      </c>
      <c r="V3270" s="9">
        <f ca="1">RawData[[#This Row],[Z (smoothed demand size)]]/RawData[[#This Row],[X (smoothed interval)]]</f>
        <v>0.04</v>
      </c>
    </row>
    <row r="3271" spans="1:22">
      <c r="A3271" t="s">
        <v>65</v>
      </c>
      <c r="B3271" t="s">
        <v>60</v>
      </c>
      <c r="C3271">
        <v>28</v>
      </c>
      <c r="D3271" t="s">
        <v>15</v>
      </c>
      <c r="E3271" t="s">
        <v>16</v>
      </c>
      <c r="F3271" s="1">
        <v>43836</v>
      </c>
      <c r="G3271">
        <v>0</v>
      </c>
      <c r="H3271">
        <v>0</v>
      </c>
      <c r="I3271">
        <v>27</v>
      </c>
      <c r="J3271">
        <v>27</v>
      </c>
      <c r="K3271">
        <v>0</v>
      </c>
      <c r="L3271">
        <v>454</v>
      </c>
      <c r="M3271">
        <v>30</v>
      </c>
      <c r="N3271" s="1">
        <f t="shared" si="408"/>
        <v>44938</v>
      </c>
      <c r="O3271" s="1">
        <f t="shared" si="409"/>
        <v>43101</v>
      </c>
      <c r="P3271" s="1">
        <f t="shared" si="410"/>
        <v>43983</v>
      </c>
      <c r="Q3271" s="8">
        <f t="shared" si="411"/>
        <v>0</v>
      </c>
      <c r="R3271" s="8">
        <f t="shared" si="412"/>
        <v>30</v>
      </c>
      <c r="S3271" s="8">
        <f t="shared" ca="1" si="413"/>
        <v>21</v>
      </c>
      <c r="T3271">
        <f t="shared" ca="1" si="414"/>
        <v>0.2</v>
      </c>
      <c r="U3271" s="8">
        <f t="shared" ca="1" si="415"/>
        <v>5</v>
      </c>
      <c r="V3271" s="9">
        <f ca="1">RawData[[#This Row],[Z (smoothed demand size)]]/RawData[[#This Row],[X (smoothed interval)]]</f>
        <v>0.04</v>
      </c>
    </row>
    <row r="3272" spans="1:22">
      <c r="A3272" t="s">
        <v>65</v>
      </c>
      <c r="B3272" t="s">
        <v>60</v>
      </c>
      <c r="C3272">
        <v>28</v>
      </c>
      <c r="D3272" t="s">
        <v>15</v>
      </c>
      <c r="E3272" t="s">
        <v>16</v>
      </c>
      <c r="F3272" s="1">
        <v>43837</v>
      </c>
      <c r="G3272">
        <v>0</v>
      </c>
      <c r="H3272">
        <v>0</v>
      </c>
      <c r="I3272">
        <v>27</v>
      </c>
      <c r="J3272">
        <v>27</v>
      </c>
      <c r="K3272">
        <v>0</v>
      </c>
      <c r="L3272">
        <v>450</v>
      </c>
      <c r="M3272">
        <v>60</v>
      </c>
      <c r="N3272" s="1">
        <f t="shared" si="408"/>
        <v>44938</v>
      </c>
      <c r="O3272" s="1">
        <f t="shared" si="409"/>
        <v>43101</v>
      </c>
      <c r="P3272" s="1">
        <f t="shared" si="410"/>
        <v>44013</v>
      </c>
      <c r="Q3272" s="8">
        <f t="shared" si="411"/>
        <v>0</v>
      </c>
      <c r="R3272" s="8">
        <f t="shared" si="412"/>
        <v>31</v>
      </c>
      <c r="S3272" s="8">
        <f t="shared" ca="1" si="413"/>
        <v>21</v>
      </c>
      <c r="T3272">
        <f t="shared" ca="1" si="414"/>
        <v>0.2</v>
      </c>
      <c r="U3272" s="8">
        <f t="shared" ca="1" si="415"/>
        <v>5</v>
      </c>
      <c r="V3272" s="9">
        <f ca="1">RawData[[#This Row],[Z (smoothed demand size)]]/RawData[[#This Row],[X (smoothed interval)]]</f>
        <v>0.04</v>
      </c>
    </row>
    <row r="3273" spans="1:22">
      <c r="A3273" t="s">
        <v>65</v>
      </c>
      <c r="B3273" t="s">
        <v>60</v>
      </c>
      <c r="C3273">
        <v>28</v>
      </c>
      <c r="D3273" t="s">
        <v>15</v>
      </c>
      <c r="E3273" t="s">
        <v>16</v>
      </c>
      <c r="F3273" s="1">
        <v>43838</v>
      </c>
      <c r="G3273">
        <v>1</v>
      </c>
      <c r="H3273">
        <v>1</v>
      </c>
      <c r="I3273">
        <v>27</v>
      </c>
      <c r="J3273">
        <v>26</v>
      </c>
      <c r="K3273">
        <v>0</v>
      </c>
      <c r="L3273">
        <v>460</v>
      </c>
      <c r="M3273">
        <v>15</v>
      </c>
      <c r="N3273" s="1">
        <f t="shared" si="408"/>
        <v>44938</v>
      </c>
      <c r="O3273" s="1">
        <f t="shared" si="409"/>
        <v>43101</v>
      </c>
      <c r="P3273" s="1">
        <f t="shared" si="410"/>
        <v>44044</v>
      </c>
      <c r="Q3273" s="8">
        <f t="shared" si="411"/>
        <v>0</v>
      </c>
      <c r="R3273" s="8">
        <f t="shared" si="412"/>
        <v>32</v>
      </c>
      <c r="S3273" s="8">
        <f t="shared" ca="1" si="413"/>
        <v>32</v>
      </c>
      <c r="T3273">
        <f t="shared" ca="1" si="414"/>
        <v>0.36000000000000004</v>
      </c>
      <c r="U3273" s="8">
        <f t="shared" ca="1" si="415"/>
        <v>6.2</v>
      </c>
      <c r="V3273" s="9">
        <f ca="1">RawData[[#This Row],[Z (smoothed demand size)]]/RawData[[#This Row],[X (smoothed interval)]]</f>
        <v>5.8064516129032261E-2</v>
      </c>
    </row>
    <row r="3274" spans="1:22">
      <c r="A3274" t="s">
        <v>65</v>
      </c>
      <c r="B3274" t="s">
        <v>60</v>
      </c>
      <c r="C3274">
        <v>28</v>
      </c>
      <c r="D3274" t="s">
        <v>15</v>
      </c>
      <c r="E3274" t="s">
        <v>16</v>
      </c>
      <c r="F3274" s="1">
        <v>43839</v>
      </c>
      <c r="G3274">
        <v>0</v>
      </c>
      <c r="H3274">
        <v>0</v>
      </c>
      <c r="I3274">
        <v>26</v>
      </c>
      <c r="J3274">
        <v>26</v>
      </c>
      <c r="K3274">
        <v>0</v>
      </c>
      <c r="L3274">
        <v>396</v>
      </c>
      <c r="M3274">
        <v>60</v>
      </c>
      <c r="N3274" s="1">
        <f t="shared" si="408"/>
        <v>44938</v>
      </c>
      <c r="O3274" s="1">
        <f t="shared" si="409"/>
        <v>43101</v>
      </c>
      <c r="P3274" s="1">
        <f t="shared" si="410"/>
        <v>44075</v>
      </c>
      <c r="Q3274" s="8">
        <f t="shared" si="411"/>
        <v>0</v>
      </c>
      <c r="R3274" s="8">
        <f t="shared" si="412"/>
        <v>33</v>
      </c>
      <c r="S3274" s="8">
        <f t="shared" ca="1" si="413"/>
        <v>32</v>
      </c>
      <c r="T3274">
        <f t="shared" ca="1" si="414"/>
        <v>0.36000000000000004</v>
      </c>
      <c r="U3274" s="8">
        <f t="shared" ca="1" si="415"/>
        <v>6.2</v>
      </c>
      <c r="V3274" s="9">
        <f ca="1">RawData[[#This Row],[Z (smoothed demand size)]]/RawData[[#This Row],[X (smoothed interval)]]</f>
        <v>5.8064516129032261E-2</v>
      </c>
    </row>
    <row r="3275" spans="1:22">
      <c r="A3275" t="s">
        <v>65</v>
      </c>
      <c r="B3275" t="s">
        <v>60</v>
      </c>
      <c r="C3275">
        <v>28</v>
      </c>
      <c r="D3275" t="s">
        <v>15</v>
      </c>
      <c r="E3275" t="s">
        <v>16</v>
      </c>
      <c r="F3275" s="1">
        <v>43840</v>
      </c>
      <c r="G3275">
        <v>0</v>
      </c>
      <c r="H3275">
        <v>0</v>
      </c>
      <c r="I3275">
        <v>26</v>
      </c>
      <c r="J3275">
        <v>26</v>
      </c>
      <c r="K3275">
        <v>0</v>
      </c>
      <c r="L3275">
        <v>408</v>
      </c>
      <c r="M3275">
        <v>45</v>
      </c>
      <c r="N3275" s="1">
        <f t="shared" si="408"/>
        <v>44938</v>
      </c>
      <c r="O3275" s="1">
        <f t="shared" si="409"/>
        <v>43101</v>
      </c>
      <c r="P3275" s="1">
        <f t="shared" si="410"/>
        <v>44105</v>
      </c>
      <c r="Q3275" s="8">
        <f t="shared" si="411"/>
        <v>0</v>
      </c>
      <c r="R3275" s="8">
        <f t="shared" si="412"/>
        <v>34</v>
      </c>
      <c r="S3275" s="8">
        <f t="shared" ca="1" si="413"/>
        <v>32</v>
      </c>
      <c r="T3275">
        <f t="shared" ca="1" si="414"/>
        <v>0.36000000000000004</v>
      </c>
      <c r="U3275" s="8">
        <f t="shared" ca="1" si="415"/>
        <v>6.2</v>
      </c>
      <c r="V3275" s="9">
        <f ca="1">RawData[[#This Row],[Z (smoothed demand size)]]/RawData[[#This Row],[X (smoothed interval)]]</f>
        <v>5.8064516129032261E-2</v>
      </c>
    </row>
    <row r="3276" spans="1:22">
      <c r="A3276" t="s">
        <v>65</v>
      </c>
      <c r="B3276" t="s">
        <v>60</v>
      </c>
      <c r="C3276">
        <v>28</v>
      </c>
      <c r="D3276" t="s">
        <v>15</v>
      </c>
      <c r="E3276" t="s">
        <v>16</v>
      </c>
      <c r="F3276" s="1">
        <v>43841</v>
      </c>
      <c r="G3276">
        <v>1</v>
      </c>
      <c r="H3276">
        <v>1</v>
      </c>
      <c r="I3276">
        <v>26</v>
      </c>
      <c r="J3276">
        <v>25</v>
      </c>
      <c r="K3276">
        <v>0</v>
      </c>
      <c r="L3276">
        <v>401</v>
      </c>
      <c r="M3276">
        <v>30</v>
      </c>
      <c r="N3276" s="1">
        <f t="shared" si="408"/>
        <v>44938</v>
      </c>
      <c r="O3276" s="1">
        <f t="shared" si="409"/>
        <v>43101</v>
      </c>
      <c r="P3276" s="1">
        <f t="shared" si="410"/>
        <v>44136</v>
      </c>
      <c r="Q3276" s="8">
        <f t="shared" si="411"/>
        <v>0</v>
      </c>
      <c r="R3276" s="8">
        <f t="shared" si="412"/>
        <v>35</v>
      </c>
      <c r="S3276" s="8">
        <f t="shared" ca="1" si="413"/>
        <v>35</v>
      </c>
      <c r="T3276">
        <f t="shared" ca="1" si="414"/>
        <v>0.48800000000000004</v>
      </c>
      <c r="U3276" s="8">
        <f t="shared" ca="1" si="415"/>
        <v>5.5600000000000005</v>
      </c>
      <c r="V3276" s="9">
        <f ca="1">RawData[[#This Row],[Z (smoothed demand size)]]/RawData[[#This Row],[X (smoothed interval)]]</f>
        <v>8.7769784172661874E-2</v>
      </c>
    </row>
    <row r="3277" spans="1:22">
      <c r="A3277" t="s">
        <v>65</v>
      </c>
      <c r="B3277" t="s">
        <v>60</v>
      </c>
      <c r="C3277">
        <v>28</v>
      </c>
      <c r="D3277" t="s">
        <v>15</v>
      </c>
      <c r="E3277" t="s">
        <v>16</v>
      </c>
      <c r="F3277" s="1">
        <v>43842</v>
      </c>
      <c r="G3277">
        <v>0</v>
      </c>
      <c r="H3277">
        <v>0</v>
      </c>
      <c r="I3277">
        <v>25</v>
      </c>
      <c r="J3277">
        <v>25</v>
      </c>
      <c r="K3277">
        <v>0</v>
      </c>
      <c r="L3277">
        <v>452</v>
      </c>
      <c r="M3277">
        <v>30</v>
      </c>
      <c r="N3277" s="1">
        <f t="shared" si="408"/>
        <v>44938</v>
      </c>
      <c r="O3277" s="1">
        <f t="shared" si="409"/>
        <v>43101</v>
      </c>
      <c r="P3277" s="1">
        <f t="shared" si="410"/>
        <v>44166</v>
      </c>
      <c r="Q3277" s="8">
        <f t="shared" si="411"/>
        <v>0</v>
      </c>
      <c r="R3277" s="8">
        <f t="shared" si="412"/>
        <v>36</v>
      </c>
      <c r="S3277" s="8">
        <f t="shared" ca="1" si="413"/>
        <v>35</v>
      </c>
      <c r="T3277">
        <f t="shared" ca="1" si="414"/>
        <v>0.48800000000000004</v>
      </c>
      <c r="U3277" s="8">
        <f t="shared" ca="1" si="415"/>
        <v>5.5600000000000005</v>
      </c>
      <c r="V3277" s="9">
        <f ca="1">RawData[[#This Row],[Z (smoothed demand size)]]/RawData[[#This Row],[X (smoothed interval)]]</f>
        <v>8.7769784172661874E-2</v>
      </c>
    </row>
    <row r="3278" spans="1:22">
      <c r="A3278" t="s">
        <v>65</v>
      </c>
      <c r="B3278" t="s">
        <v>60</v>
      </c>
      <c r="C3278">
        <v>28</v>
      </c>
      <c r="D3278" t="s">
        <v>15</v>
      </c>
      <c r="E3278" t="s">
        <v>16</v>
      </c>
      <c r="F3278" s="1">
        <v>44197</v>
      </c>
      <c r="G3278">
        <v>0</v>
      </c>
      <c r="H3278">
        <v>0</v>
      </c>
      <c r="I3278">
        <v>25</v>
      </c>
      <c r="J3278">
        <v>25</v>
      </c>
      <c r="K3278">
        <v>0</v>
      </c>
      <c r="L3278">
        <v>399</v>
      </c>
      <c r="M3278">
        <v>15</v>
      </c>
      <c r="N3278" s="1">
        <f t="shared" si="408"/>
        <v>44938</v>
      </c>
      <c r="O3278" s="1">
        <f t="shared" si="409"/>
        <v>43101</v>
      </c>
      <c r="P3278" s="1">
        <f t="shared" si="410"/>
        <v>44197</v>
      </c>
      <c r="Q3278" s="8">
        <f t="shared" si="411"/>
        <v>0</v>
      </c>
      <c r="R3278" s="8">
        <f t="shared" si="412"/>
        <v>37</v>
      </c>
      <c r="S3278" s="8">
        <f t="shared" ca="1" si="413"/>
        <v>35</v>
      </c>
      <c r="T3278">
        <f t="shared" ca="1" si="414"/>
        <v>0.48800000000000004</v>
      </c>
      <c r="U3278" s="8">
        <f t="shared" ca="1" si="415"/>
        <v>5.5600000000000005</v>
      </c>
      <c r="V3278" s="9">
        <f ca="1">RawData[[#This Row],[Z (smoothed demand size)]]/RawData[[#This Row],[X (smoothed interval)]]</f>
        <v>8.7769784172661874E-2</v>
      </c>
    </row>
    <row r="3279" spans="1:22">
      <c r="A3279" t="s">
        <v>65</v>
      </c>
      <c r="B3279" t="s">
        <v>60</v>
      </c>
      <c r="C3279">
        <v>28</v>
      </c>
      <c r="D3279" t="s">
        <v>15</v>
      </c>
      <c r="E3279" t="s">
        <v>16</v>
      </c>
      <c r="F3279" s="1">
        <v>44198</v>
      </c>
      <c r="G3279">
        <v>0</v>
      </c>
      <c r="H3279">
        <v>0</v>
      </c>
      <c r="I3279">
        <v>25</v>
      </c>
      <c r="J3279">
        <v>25</v>
      </c>
      <c r="K3279">
        <v>0</v>
      </c>
      <c r="L3279">
        <v>396</v>
      </c>
      <c r="M3279">
        <v>60</v>
      </c>
      <c r="N3279" s="1">
        <f t="shared" si="408"/>
        <v>44938</v>
      </c>
      <c r="O3279" s="1">
        <f t="shared" si="409"/>
        <v>43101</v>
      </c>
      <c r="P3279" s="1">
        <f t="shared" si="410"/>
        <v>44228</v>
      </c>
      <c r="Q3279" s="8">
        <f t="shared" si="411"/>
        <v>0</v>
      </c>
      <c r="R3279" s="8">
        <f t="shared" si="412"/>
        <v>38</v>
      </c>
      <c r="S3279" s="8">
        <f t="shared" ca="1" si="413"/>
        <v>35</v>
      </c>
      <c r="T3279">
        <f t="shared" ca="1" si="414"/>
        <v>0.48800000000000004</v>
      </c>
      <c r="U3279" s="8">
        <f t="shared" ca="1" si="415"/>
        <v>5.5600000000000005</v>
      </c>
      <c r="V3279" s="9">
        <f ca="1">RawData[[#This Row],[Z (smoothed demand size)]]/RawData[[#This Row],[X (smoothed interval)]]</f>
        <v>8.7769784172661874E-2</v>
      </c>
    </row>
    <row r="3280" spans="1:22">
      <c r="A3280" t="s">
        <v>65</v>
      </c>
      <c r="B3280" t="s">
        <v>60</v>
      </c>
      <c r="C3280">
        <v>28</v>
      </c>
      <c r="D3280" t="s">
        <v>15</v>
      </c>
      <c r="E3280" t="s">
        <v>16</v>
      </c>
      <c r="F3280" s="1">
        <v>44199</v>
      </c>
      <c r="G3280">
        <v>0</v>
      </c>
      <c r="H3280">
        <v>0</v>
      </c>
      <c r="I3280">
        <v>25</v>
      </c>
      <c r="J3280">
        <v>25</v>
      </c>
      <c r="K3280">
        <v>0</v>
      </c>
      <c r="L3280">
        <v>398</v>
      </c>
      <c r="M3280">
        <v>30</v>
      </c>
      <c r="N3280" s="1">
        <f t="shared" si="408"/>
        <v>44938</v>
      </c>
      <c r="O3280" s="1">
        <f t="shared" si="409"/>
        <v>43101</v>
      </c>
      <c r="P3280" s="1">
        <f t="shared" si="410"/>
        <v>44256</v>
      </c>
      <c r="Q3280" s="8">
        <f t="shared" si="411"/>
        <v>0</v>
      </c>
      <c r="R3280" s="8">
        <f t="shared" si="412"/>
        <v>39</v>
      </c>
      <c r="S3280" s="8">
        <f t="shared" ca="1" si="413"/>
        <v>35</v>
      </c>
      <c r="T3280">
        <f t="shared" ca="1" si="414"/>
        <v>0.48800000000000004</v>
      </c>
      <c r="U3280" s="8">
        <f t="shared" ca="1" si="415"/>
        <v>5.5600000000000005</v>
      </c>
      <c r="V3280" s="9">
        <f ca="1">RawData[[#This Row],[Z (smoothed demand size)]]/RawData[[#This Row],[X (smoothed interval)]]</f>
        <v>8.7769784172661874E-2</v>
      </c>
    </row>
    <row r="3281" spans="1:22">
      <c r="A3281" t="s">
        <v>65</v>
      </c>
      <c r="B3281" t="s">
        <v>60</v>
      </c>
      <c r="C3281">
        <v>28</v>
      </c>
      <c r="D3281" t="s">
        <v>15</v>
      </c>
      <c r="E3281" t="s">
        <v>16</v>
      </c>
      <c r="F3281" s="1">
        <v>44200</v>
      </c>
      <c r="G3281">
        <v>0</v>
      </c>
      <c r="H3281">
        <v>0</v>
      </c>
      <c r="I3281">
        <v>25</v>
      </c>
      <c r="J3281">
        <v>25</v>
      </c>
      <c r="K3281">
        <v>0</v>
      </c>
      <c r="L3281">
        <v>394</v>
      </c>
      <c r="M3281">
        <v>45</v>
      </c>
      <c r="N3281" s="1">
        <f t="shared" si="408"/>
        <v>44938</v>
      </c>
      <c r="O3281" s="1">
        <f t="shared" si="409"/>
        <v>43101</v>
      </c>
      <c r="P3281" s="1">
        <f t="shared" si="410"/>
        <v>44287</v>
      </c>
      <c r="Q3281" s="8">
        <f t="shared" si="411"/>
        <v>0</v>
      </c>
      <c r="R3281" s="8">
        <f t="shared" si="412"/>
        <v>40</v>
      </c>
      <c r="S3281" s="8">
        <f t="shared" ca="1" si="413"/>
        <v>35</v>
      </c>
      <c r="T3281">
        <f t="shared" ca="1" si="414"/>
        <v>0.48800000000000004</v>
      </c>
      <c r="U3281" s="8">
        <f t="shared" ca="1" si="415"/>
        <v>5.5600000000000005</v>
      </c>
      <c r="V3281" s="9">
        <f ca="1">RawData[[#This Row],[Z (smoothed demand size)]]/RawData[[#This Row],[X (smoothed interval)]]</f>
        <v>8.7769784172661874E-2</v>
      </c>
    </row>
    <row r="3282" spans="1:22">
      <c r="A3282" t="s">
        <v>65</v>
      </c>
      <c r="B3282" t="s">
        <v>60</v>
      </c>
      <c r="C3282">
        <v>28</v>
      </c>
      <c r="D3282" t="s">
        <v>15</v>
      </c>
      <c r="E3282" t="s">
        <v>16</v>
      </c>
      <c r="F3282" s="1">
        <v>44201</v>
      </c>
      <c r="G3282">
        <v>0</v>
      </c>
      <c r="H3282">
        <v>0</v>
      </c>
      <c r="I3282">
        <v>25</v>
      </c>
      <c r="J3282">
        <v>25</v>
      </c>
      <c r="K3282">
        <v>0</v>
      </c>
      <c r="L3282">
        <v>398</v>
      </c>
      <c r="M3282">
        <v>15</v>
      </c>
      <c r="N3282" s="1">
        <f t="shared" si="408"/>
        <v>44938</v>
      </c>
      <c r="O3282" s="1">
        <f t="shared" si="409"/>
        <v>43101</v>
      </c>
      <c r="P3282" s="1">
        <f t="shared" si="410"/>
        <v>44317</v>
      </c>
      <c r="Q3282" s="8">
        <f t="shared" si="411"/>
        <v>0</v>
      </c>
      <c r="R3282" s="8">
        <f t="shared" si="412"/>
        <v>41</v>
      </c>
      <c r="S3282" s="8">
        <f t="shared" ca="1" si="413"/>
        <v>35</v>
      </c>
      <c r="T3282">
        <f t="shared" ca="1" si="414"/>
        <v>0.48800000000000004</v>
      </c>
      <c r="U3282" s="8">
        <f t="shared" ca="1" si="415"/>
        <v>5.5600000000000005</v>
      </c>
      <c r="V3282" s="9">
        <f ca="1">RawData[[#This Row],[Z (smoothed demand size)]]/RawData[[#This Row],[X (smoothed interval)]]</f>
        <v>8.7769784172661874E-2</v>
      </c>
    </row>
    <row r="3283" spans="1:22">
      <c r="A3283" t="s">
        <v>65</v>
      </c>
      <c r="B3283" t="s">
        <v>60</v>
      </c>
      <c r="C3283">
        <v>28</v>
      </c>
      <c r="D3283" t="s">
        <v>15</v>
      </c>
      <c r="E3283" t="s">
        <v>16</v>
      </c>
      <c r="F3283" s="1">
        <v>44202</v>
      </c>
      <c r="G3283">
        <v>0</v>
      </c>
      <c r="H3283">
        <v>0</v>
      </c>
      <c r="I3283">
        <v>25</v>
      </c>
      <c r="J3283">
        <v>25</v>
      </c>
      <c r="K3283">
        <v>0</v>
      </c>
      <c r="L3283">
        <v>461</v>
      </c>
      <c r="M3283">
        <v>30</v>
      </c>
      <c r="N3283" s="1">
        <f t="shared" si="408"/>
        <v>44938</v>
      </c>
      <c r="O3283" s="1">
        <f t="shared" si="409"/>
        <v>43101</v>
      </c>
      <c r="P3283" s="1">
        <f t="shared" si="410"/>
        <v>44348</v>
      </c>
      <c r="Q3283" s="8">
        <f t="shared" si="411"/>
        <v>0</v>
      </c>
      <c r="R3283" s="8">
        <f t="shared" si="412"/>
        <v>42</v>
      </c>
      <c r="S3283" s="8">
        <f t="shared" ca="1" si="413"/>
        <v>35</v>
      </c>
      <c r="T3283">
        <f t="shared" ca="1" si="414"/>
        <v>0.48800000000000004</v>
      </c>
      <c r="U3283" s="8">
        <f t="shared" ca="1" si="415"/>
        <v>5.5600000000000005</v>
      </c>
      <c r="V3283" s="9">
        <f ca="1">RawData[[#This Row],[Z (smoothed demand size)]]/RawData[[#This Row],[X (smoothed interval)]]</f>
        <v>8.7769784172661874E-2</v>
      </c>
    </row>
    <row r="3284" spans="1:22">
      <c r="A3284" t="s">
        <v>65</v>
      </c>
      <c r="B3284" t="s">
        <v>60</v>
      </c>
      <c r="C3284">
        <v>28</v>
      </c>
      <c r="D3284" t="s">
        <v>15</v>
      </c>
      <c r="E3284" t="s">
        <v>16</v>
      </c>
      <c r="F3284" s="1">
        <v>44203</v>
      </c>
      <c r="G3284">
        <v>0</v>
      </c>
      <c r="H3284">
        <v>0</v>
      </c>
      <c r="I3284">
        <v>25</v>
      </c>
      <c r="J3284">
        <v>25</v>
      </c>
      <c r="K3284">
        <v>0</v>
      </c>
      <c r="L3284">
        <v>460</v>
      </c>
      <c r="M3284">
        <v>60</v>
      </c>
      <c r="N3284" s="1">
        <f t="shared" si="408"/>
        <v>44938</v>
      </c>
      <c r="O3284" s="1">
        <f t="shared" si="409"/>
        <v>43101</v>
      </c>
      <c r="P3284" s="1">
        <f t="shared" si="410"/>
        <v>44378</v>
      </c>
      <c r="Q3284" s="8">
        <f t="shared" si="411"/>
        <v>0</v>
      </c>
      <c r="R3284" s="8">
        <f t="shared" si="412"/>
        <v>43</v>
      </c>
      <c r="S3284" s="8">
        <f t="shared" ca="1" si="413"/>
        <v>35</v>
      </c>
      <c r="T3284">
        <f t="shared" ca="1" si="414"/>
        <v>0.48800000000000004</v>
      </c>
      <c r="U3284" s="8">
        <f t="shared" ca="1" si="415"/>
        <v>5.5600000000000005</v>
      </c>
      <c r="V3284" s="9">
        <f ca="1">RawData[[#This Row],[Z (smoothed demand size)]]/RawData[[#This Row],[X (smoothed interval)]]</f>
        <v>8.7769784172661874E-2</v>
      </c>
    </row>
    <row r="3285" spans="1:22">
      <c r="A3285" t="s">
        <v>65</v>
      </c>
      <c r="B3285" t="s">
        <v>60</v>
      </c>
      <c r="C3285">
        <v>28</v>
      </c>
      <c r="D3285" t="s">
        <v>15</v>
      </c>
      <c r="E3285" t="s">
        <v>16</v>
      </c>
      <c r="F3285" s="1">
        <v>44204</v>
      </c>
      <c r="G3285">
        <v>0</v>
      </c>
      <c r="H3285">
        <v>0</v>
      </c>
      <c r="I3285">
        <v>25</v>
      </c>
      <c r="J3285">
        <v>25</v>
      </c>
      <c r="K3285">
        <v>0</v>
      </c>
      <c r="L3285">
        <v>461</v>
      </c>
      <c r="M3285">
        <v>15</v>
      </c>
      <c r="N3285" s="1">
        <f t="shared" si="408"/>
        <v>44938</v>
      </c>
      <c r="O3285" s="1">
        <f t="shared" si="409"/>
        <v>43101</v>
      </c>
      <c r="P3285" s="1">
        <f t="shared" si="410"/>
        <v>44409</v>
      </c>
      <c r="Q3285" s="8">
        <f t="shared" si="411"/>
        <v>0</v>
      </c>
      <c r="R3285" s="8">
        <f t="shared" si="412"/>
        <v>44</v>
      </c>
      <c r="S3285" s="8">
        <f t="shared" ca="1" si="413"/>
        <v>35</v>
      </c>
      <c r="T3285">
        <f t="shared" ca="1" si="414"/>
        <v>0.48800000000000004</v>
      </c>
      <c r="U3285" s="8">
        <f t="shared" ca="1" si="415"/>
        <v>5.5600000000000005</v>
      </c>
      <c r="V3285" s="9">
        <f ca="1">RawData[[#This Row],[Z (smoothed demand size)]]/RawData[[#This Row],[X (smoothed interval)]]</f>
        <v>8.7769784172661874E-2</v>
      </c>
    </row>
    <row r="3286" spans="1:22">
      <c r="A3286" t="s">
        <v>65</v>
      </c>
      <c r="B3286" t="s">
        <v>60</v>
      </c>
      <c r="C3286">
        <v>28</v>
      </c>
      <c r="D3286" t="s">
        <v>15</v>
      </c>
      <c r="E3286" t="s">
        <v>16</v>
      </c>
      <c r="F3286" s="1">
        <v>44205</v>
      </c>
      <c r="G3286">
        <v>0</v>
      </c>
      <c r="H3286">
        <v>0</v>
      </c>
      <c r="I3286">
        <v>25</v>
      </c>
      <c r="J3286">
        <v>25</v>
      </c>
      <c r="K3286">
        <v>0</v>
      </c>
      <c r="L3286">
        <v>409</v>
      </c>
      <c r="M3286">
        <v>30</v>
      </c>
      <c r="N3286" s="1">
        <f t="shared" si="408"/>
        <v>44938</v>
      </c>
      <c r="O3286" s="1">
        <f t="shared" si="409"/>
        <v>43101</v>
      </c>
      <c r="P3286" s="1">
        <f t="shared" si="410"/>
        <v>44440</v>
      </c>
      <c r="Q3286" s="8">
        <f t="shared" si="411"/>
        <v>0</v>
      </c>
      <c r="R3286" s="8">
        <f t="shared" si="412"/>
        <v>45</v>
      </c>
      <c r="S3286" s="8">
        <f t="shared" ca="1" si="413"/>
        <v>35</v>
      </c>
      <c r="T3286">
        <f t="shared" ca="1" si="414"/>
        <v>0.48800000000000004</v>
      </c>
      <c r="U3286" s="8">
        <f t="shared" ca="1" si="415"/>
        <v>5.5600000000000005</v>
      </c>
      <c r="V3286" s="9">
        <f ca="1">RawData[[#This Row],[Z (smoothed demand size)]]/RawData[[#This Row],[X (smoothed interval)]]</f>
        <v>8.7769784172661874E-2</v>
      </c>
    </row>
    <row r="3287" spans="1:22">
      <c r="A3287" t="s">
        <v>65</v>
      </c>
      <c r="B3287" t="s">
        <v>60</v>
      </c>
      <c r="C3287">
        <v>28</v>
      </c>
      <c r="D3287" t="s">
        <v>15</v>
      </c>
      <c r="E3287" t="s">
        <v>16</v>
      </c>
      <c r="F3287" s="1">
        <v>44206</v>
      </c>
      <c r="G3287">
        <v>0</v>
      </c>
      <c r="H3287">
        <v>0</v>
      </c>
      <c r="I3287">
        <v>25</v>
      </c>
      <c r="J3287">
        <v>25</v>
      </c>
      <c r="K3287">
        <v>0</v>
      </c>
      <c r="L3287">
        <v>395</v>
      </c>
      <c r="M3287">
        <v>45</v>
      </c>
      <c r="N3287" s="1">
        <f t="shared" si="408"/>
        <v>44938</v>
      </c>
      <c r="O3287" s="1">
        <f t="shared" si="409"/>
        <v>43101</v>
      </c>
      <c r="P3287" s="1">
        <f t="shared" si="410"/>
        <v>44470</v>
      </c>
      <c r="Q3287" s="8">
        <f t="shared" si="411"/>
        <v>0</v>
      </c>
      <c r="R3287" s="8">
        <f t="shared" si="412"/>
        <v>46</v>
      </c>
      <c r="S3287" s="8">
        <f t="shared" ca="1" si="413"/>
        <v>35</v>
      </c>
      <c r="T3287">
        <f t="shared" ca="1" si="414"/>
        <v>0.48800000000000004</v>
      </c>
      <c r="U3287" s="8">
        <f t="shared" ca="1" si="415"/>
        <v>5.5600000000000005</v>
      </c>
      <c r="V3287" s="9">
        <f ca="1">RawData[[#This Row],[Z (smoothed demand size)]]/RawData[[#This Row],[X (smoothed interval)]]</f>
        <v>8.7769784172661874E-2</v>
      </c>
    </row>
    <row r="3288" spans="1:22">
      <c r="A3288" t="s">
        <v>65</v>
      </c>
      <c r="B3288" t="s">
        <v>60</v>
      </c>
      <c r="C3288">
        <v>28</v>
      </c>
      <c r="D3288" t="s">
        <v>15</v>
      </c>
      <c r="E3288" t="s">
        <v>16</v>
      </c>
      <c r="F3288" s="1">
        <v>44207</v>
      </c>
      <c r="G3288">
        <v>0</v>
      </c>
      <c r="H3288">
        <v>0</v>
      </c>
      <c r="I3288">
        <v>25</v>
      </c>
      <c r="J3288">
        <v>25</v>
      </c>
      <c r="K3288">
        <v>0</v>
      </c>
      <c r="L3288">
        <v>404</v>
      </c>
      <c r="M3288">
        <v>30</v>
      </c>
      <c r="N3288" s="1">
        <f t="shared" si="408"/>
        <v>44938</v>
      </c>
      <c r="O3288" s="1">
        <f t="shared" si="409"/>
        <v>43101</v>
      </c>
      <c r="P3288" s="1">
        <f t="shared" si="410"/>
        <v>44501</v>
      </c>
      <c r="Q3288" s="8">
        <f t="shared" si="411"/>
        <v>0</v>
      </c>
      <c r="R3288" s="8">
        <f t="shared" si="412"/>
        <v>47</v>
      </c>
      <c r="S3288" s="8">
        <f t="shared" ca="1" si="413"/>
        <v>35</v>
      </c>
      <c r="T3288">
        <f t="shared" ca="1" si="414"/>
        <v>0.48800000000000004</v>
      </c>
      <c r="U3288" s="8">
        <f t="shared" ca="1" si="415"/>
        <v>5.5600000000000005</v>
      </c>
      <c r="V3288" s="9">
        <f ca="1">RawData[[#This Row],[Z (smoothed demand size)]]/RawData[[#This Row],[X (smoothed interval)]]</f>
        <v>8.7769784172661874E-2</v>
      </c>
    </row>
    <row r="3289" spans="1:22">
      <c r="A3289" t="s">
        <v>65</v>
      </c>
      <c r="B3289" t="s">
        <v>60</v>
      </c>
      <c r="C3289">
        <v>28</v>
      </c>
      <c r="D3289" t="s">
        <v>15</v>
      </c>
      <c r="E3289" t="s">
        <v>16</v>
      </c>
      <c r="F3289" s="1">
        <v>44208</v>
      </c>
      <c r="G3289">
        <v>0</v>
      </c>
      <c r="H3289">
        <v>0</v>
      </c>
      <c r="I3289">
        <v>25</v>
      </c>
      <c r="J3289">
        <v>25</v>
      </c>
      <c r="K3289">
        <v>0</v>
      </c>
      <c r="L3289">
        <v>457</v>
      </c>
      <c r="M3289">
        <v>45</v>
      </c>
      <c r="N3289" s="1">
        <f t="shared" si="408"/>
        <v>44938</v>
      </c>
      <c r="O3289" s="1">
        <f t="shared" si="409"/>
        <v>43101</v>
      </c>
      <c r="P3289" s="1">
        <f t="shared" si="410"/>
        <v>44531</v>
      </c>
      <c r="Q3289" s="8">
        <f t="shared" si="411"/>
        <v>0</v>
      </c>
      <c r="R3289" s="8">
        <f t="shared" si="412"/>
        <v>48</v>
      </c>
      <c r="S3289" s="8">
        <f t="shared" ca="1" si="413"/>
        <v>35</v>
      </c>
      <c r="T3289">
        <f t="shared" ca="1" si="414"/>
        <v>0.48800000000000004</v>
      </c>
      <c r="U3289" s="8">
        <f t="shared" ca="1" si="415"/>
        <v>5.5600000000000005</v>
      </c>
      <c r="V3289" s="9">
        <f ca="1">RawData[[#This Row],[Z (smoothed demand size)]]/RawData[[#This Row],[X (smoothed interval)]]</f>
        <v>8.7769784172661874E-2</v>
      </c>
    </row>
    <row r="3290" spans="1:22">
      <c r="A3290" t="s">
        <v>65</v>
      </c>
      <c r="B3290" t="s">
        <v>60</v>
      </c>
      <c r="C3290">
        <v>28</v>
      </c>
      <c r="D3290" t="s">
        <v>15</v>
      </c>
      <c r="E3290" t="s">
        <v>16</v>
      </c>
      <c r="F3290" s="1">
        <v>44562</v>
      </c>
      <c r="G3290">
        <v>1</v>
      </c>
      <c r="H3290">
        <v>1</v>
      </c>
      <c r="I3290">
        <v>25</v>
      </c>
      <c r="J3290">
        <v>24</v>
      </c>
      <c r="K3290">
        <v>0</v>
      </c>
      <c r="L3290">
        <v>394</v>
      </c>
      <c r="M3290">
        <v>60</v>
      </c>
      <c r="N3290" s="1">
        <f t="shared" si="408"/>
        <v>44938</v>
      </c>
      <c r="O3290" s="1">
        <f t="shared" si="409"/>
        <v>43101</v>
      </c>
      <c r="P3290" s="1">
        <f t="shared" si="410"/>
        <v>44562</v>
      </c>
      <c r="Q3290" s="8">
        <f t="shared" si="411"/>
        <v>0</v>
      </c>
      <c r="R3290" s="8">
        <f t="shared" si="412"/>
        <v>49</v>
      </c>
      <c r="S3290" s="8">
        <f t="shared" ca="1" si="413"/>
        <v>49</v>
      </c>
      <c r="T3290">
        <f t="shared" ca="1" si="414"/>
        <v>0.59040000000000004</v>
      </c>
      <c r="U3290" s="8">
        <f t="shared" ca="1" si="415"/>
        <v>7.2480000000000011</v>
      </c>
      <c r="V3290" s="9">
        <f ca="1">RawData[[#This Row],[Z (smoothed demand size)]]/RawData[[#This Row],[X (smoothed interval)]]</f>
        <v>8.1456953642384103E-2</v>
      </c>
    </row>
    <row r="3291" spans="1:22">
      <c r="A3291" t="s">
        <v>65</v>
      </c>
      <c r="B3291" t="s">
        <v>60</v>
      </c>
      <c r="C3291">
        <v>28</v>
      </c>
      <c r="D3291" t="s">
        <v>15</v>
      </c>
      <c r="E3291" t="s">
        <v>16</v>
      </c>
      <c r="F3291" s="1">
        <v>44563</v>
      </c>
      <c r="G3291">
        <v>0</v>
      </c>
      <c r="H3291">
        <v>0</v>
      </c>
      <c r="I3291">
        <v>24</v>
      </c>
      <c r="J3291">
        <v>24</v>
      </c>
      <c r="K3291">
        <v>0</v>
      </c>
      <c r="L3291">
        <v>395</v>
      </c>
      <c r="M3291">
        <v>30</v>
      </c>
      <c r="N3291" s="1">
        <f t="shared" si="408"/>
        <v>44938</v>
      </c>
      <c r="O3291" s="1">
        <f t="shared" si="409"/>
        <v>43101</v>
      </c>
      <c r="P3291" s="1">
        <f t="shared" si="410"/>
        <v>44593</v>
      </c>
      <c r="Q3291" s="8">
        <f t="shared" si="411"/>
        <v>0</v>
      </c>
      <c r="R3291" s="8">
        <f t="shared" si="412"/>
        <v>50</v>
      </c>
      <c r="S3291" s="8">
        <f t="shared" ca="1" si="413"/>
        <v>49</v>
      </c>
      <c r="T3291">
        <f t="shared" ca="1" si="414"/>
        <v>0.59040000000000004</v>
      </c>
      <c r="U3291" s="8">
        <f t="shared" ca="1" si="415"/>
        <v>7.2480000000000011</v>
      </c>
      <c r="V3291" s="9">
        <f ca="1">RawData[[#This Row],[Z (smoothed demand size)]]/RawData[[#This Row],[X (smoothed interval)]]</f>
        <v>8.1456953642384103E-2</v>
      </c>
    </row>
    <row r="3292" spans="1:22">
      <c r="A3292" t="s">
        <v>65</v>
      </c>
      <c r="B3292" t="s">
        <v>60</v>
      </c>
      <c r="C3292">
        <v>28</v>
      </c>
      <c r="D3292" t="s">
        <v>15</v>
      </c>
      <c r="E3292" t="s">
        <v>16</v>
      </c>
      <c r="F3292" s="1">
        <v>44564</v>
      </c>
      <c r="G3292">
        <v>0</v>
      </c>
      <c r="H3292">
        <v>0</v>
      </c>
      <c r="I3292">
        <v>24</v>
      </c>
      <c r="J3292">
        <v>24</v>
      </c>
      <c r="K3292">
        <v>0</v>
      </c>
      <c r="L3292">
        <v>399</v>
      </c>
      <c r="M3292">
        <v>30</v>
      </c>
      <c r="N3292" s="1">
        <f t="shared" si="408"/>
        <v>44938</v>
      </c>
      <c r="O3292" s="1">
        <f t="shared" si="409"/>
        <v>43101</v>
      </c>
      <c r="P3292" s="1">
        <f t="shared" si="410"/>
        <v>44621</v>
      </c>
      <c r="Q3292" s="8">
        <f t="shared" si="411"/>
        <v>0</v>
      </c>
      <c r="R3292" s="8">
        <f t="shared" si="412"/>
        <v>51</v>
      </c>
      <c r="S3292" s="8">
        <f t="shared" ca="1" si="413"/>
        <v>49</v>
      </c>
      <c r="T3292">
        <f t="shared" ca="1" si="414"/>
        <v>0.59040000000000004</v>
      </c>
      <c r="U3292" s="8">
        <f t="shared" ca="1" si="415"/>
        <v>7.2480000000000011</v>
      </c>
      <c r="V3292" s="9">
        <f ca="1">RawData[[#This Row],[Z (smoothed demand size)]]/RawData[[#This Row],[X (smoothed interval)]]</f>
        <v>8.1456953642384103E-2</v>
      </c>
    </row>
    <row r="3293" spans="1:22">
      <c r="A3293" t="s">
        <v>65</v>
      </c>
      <c r="B3293" t="s">
        <v>60</v>
      </c>
      <c r="C3293">
        <v>28</v>
      </c>
      <c r="D3293" t="s">
        <v>15</v>
      </c>
      <c r="E3293" t="s">
        <v>16</v>
      </c>
      <c r="F3293" s="1">
        <v>44565</v>
      </c>
      <c r="G3293">
        <v>0</v>
      </c>
      <c r="H3293">
        <v>0</v>
      </c>
      <c r="I3293">
        <v>24</v>
      </c>
      <c r="J3293">
        <v>24</v>
      </c>
      <c r="K3293">
        <v>0</v>
      </c>
      <c r="L3293">
        <v>394</v>
      </c>
      <c r="M3293">
        <v>15</v>
      </c>
      <c r="N3293" s="1">
        <f t="shared" si="408"/>
        <v>44938</v>
      </c>
      <c r="O3293" s="1">
        <f t="shared" si="409"/>
        <v>43101</v>
      </c>
      <c r="P3293" s="1">
        <f t="shared" si="410"/>
        <v>44652</v>
      </c>
      <c r="Q3293" s="8">
        <f t="shared" si="411"/>
        <v>0</v>
      </c>
      <c r="R3293" s="8">
        <f t="shared" si="412"/>
        <v>52</v>
      </c>
      <c r="S3293" s="8">
        <f t="shared" ca="1" si="413"/>
        <v>49</v>
      </c>
      <c r="T3293">
        <f t="shared" ca="1" si="414"/>
        <v>0.59040000000000004</v>
      </c>
      <c r="U3293" s="8">
        <f t="shared" ca="1" si="415"/>
        <v>7.2480000000000011</v>
      </c>
      <c r="V3293" s="9">
        <f ca="1">RawData[[#This Row],[Z (smoothed demand size)]]/RawData[[#This Row],[X (smoothed interval)]]</f>
        <v>8.1456953642384103E-2</v>
      </c>
    </row>
    <row r="3294" spans="1:22">
      <c r="A3294" t="s">
        <v>65</v>
      </c>
      <c r="B3294" t="s">
        <v>60</v>
      </c>
      <c r="C3294">
        <v>28</v>
      </c>
      <c r="D3294" t="s">
        <v>15</v>
      </c>
      <c r="E3294" t="s">
        <v>16</v>
      </c>
      <c r="F3294" s="1">
        <v>44566</v>
      </c>
      <c r="G3294">
        <v>0</v>
      </c>
      <c r="H3294">
        <v>0</v>
      </c>
      <c r="I3294">
        <v>24</v>
      </c>
      <c r="J3294">
        <v>24</v>
      </c>
      <c r="K3294">
        <v>0</v>
      </c>
      <c r="L3294">
        <v>387</v>
      </c>
      <c r="M3294">
        <v>30</v>
      </c>
      <c r="N3294" s="1">
        <f t="shared" si="408"/>
        <v>44938</v>
      </c>
      <c r="O3294" s="1">
        <f t="shared" si="409"/>
        <v>43101</v>
      </c>
      <c r="P3294" s="1">
        <f t="shared" si="410"/>
        <v>44682</v>
      </c>
      <c r="Q3294" s="8">
        <f t="shared" si="411"/>
        <v>0</v>
      </c>
      <c r="R3294" s="8">
        <f t="shared" si="412"/>
        <v>53</v>
      </c>
      <c r="S3294" s="8">
        <f t="shared" ca="1" si="413"/>
        <v>49</v>
      </c>
      <c r="T3294">
        <f t="shared" ca="1" si="414"/>
        <v>0.59040000000000004</v>
      </c>
      <c r="U3294" s="8">
        <f t="shared" ca="1" si="415"/>
        <v>7.2480000000000011</v>
      </c>
      <c r="V3294" s="9">
        <f ca="1">RawData[[#This Row],[Z (smoothed demand size)]]/RawData[[#This Row],[X (smoothed interval)]]</f>
        <v>8.1456953642384103E-2</v>
      </c>
    </row>
    <row r="3295" spans="1:22">
      <c r="A3295" t="s">
        <v>65</v>
      </c>
      <c r="B3295" t="s">
        <v>60</v>
      </c>
      <c r="C3295">
        <v>28</v>
      </c>
      <c r="D3295" t="s">
        <v>15</v>
      </c>
      <c r="E3295" t="s">
        <v>16</v>
      </c>
      <c r="F3295" s="1">
        <v>44567</v>
      </c>
      <c r="G3295">
        <v>0</v>
      </c>
      <c r="H3295">
        <v>0</v>
      </c>
      <c r="I3295">
        <v>24</v>
      </c>
      <c r="J3295">
        <v>24</v>
      </c>
      <c r="K3295">
        <v>0</v>
      </c>
      <c r="L3295">
        <v>458</v>
      </c>
      <c r="M3295">
        <v>60</v>
      </c>
      <c r="N3295" s="1">
        <f t="shared" si="408"/>
        <v>44938</v>
      </c>
      <c r="O3295" s="1">
        <f t="shared" si="409"/>
        <v>43101</v>
      </c>
      <c r="P3295" s="1">
        <f t="shared" si="410"/>
        <v>44713</v>
      </c>
      <c r="Q3295" s="8">
        <f t="shared" si="411"/>
        <v>0</v>
      </c>
      <c r="R3295" s="8">
        <f t="shared" si="412"/>
        <v>54</v>
      </c>
      <c r="S3295" s="8">
        <f t="shared" ca="1" si="413"/>
        <v>49</v>
      </c>
      <c r="T3295">
        <f t="shared" ca="1" si="414"/>
        <v>0.59040000000000004</v>
      </c>
      <c r="U3295" s="8">
        <f t="shared" ca="1" si="415"/>
        <v>7.2480000000000011</v>
      </c>
      <c r="V3295" s="9">
        <f ca="1">RawData[[#This Row],[Z (smoothed demand size)]]/RawData[[#This Row],[X (smoothed interval)]]</f>
        <v>8.1456953642384103E-2</v>
      </c>
    </row>
    <row r="3296" spans="1:22">
      <c r="A3296" t="s">
        <v>65</v>
      </c>
      <c r="B3296" t="s">
        <v>60</v>
      </c>
      <c r="C3296">
        <v>28</v>
      </c>
      <c r="D3296" t="s">
        <v>15</v>
      </c>
      <c r="E3296" t="s">
        <v>16</v>
      </c>
      <c r="F3296" s="1">
        <v>44568</v>
      </c>
      <c r="G3296">
        <v>0</v>
      </c>
      <c r="H3296">
        <v>0</v>
      </c>
      <c r="I3296">
        <v>24</v>
      </c>
      <c r="J3296">
        <v>24</v>
      </c>
      <c r="K3296">
        <v>0</v>
      </c>
      <c r="L3296">
        <v>456</v>
      </c>
      <c r="M3296">
        <v>30</v>
      </c>
      <c r="N3296" s="1">
        <f t="shared" si="408"/>
        <v>44938</v>
      </c>
      <c r="O3296" s="1">
        <f t="shared" si="409"/>
        <v>43101</v>
      </c>
      <c r="P3296" s="1">
        <f t="shared" si="410"/>
        <v>44743</v>
      </c>
      <c r="Q3296" s="8">
        <f t="shared" si="411"/>
        <v>0</v>
      </c>
      <c r="R3296" s="8">
        <f t="shared" si="412"/>
        <v>55</v>
      </c>
      <c r="S3296" s="8">
        <f t="shared" ca="1" si="413"/>
        <v>49</v>
      </c>
      <c r="T3296">
        <f t="shared" ca="1" si="414"/>
        <v>0.59040000000000004</v>
      </c>
      <c r="U3296" s="8">
        <f t="shared" ca="1" si="415"/>
        <v>7.2480000000000011</v>
      </c>
      <c r="V3296" s="9">
        <f ca="1">RawData[[#This Row],[Z (smoothed demand size)]]/RawData[[#This Row],[X (smoothed interval)]]</f>
        <v>8.1456953642384103E-2</v>
      </c>
    </row>
    <row r="3297" spans="1:22">
      <c r="A3297" t="s">
        <v>65</v>
      </c>
      <c r="B3297" t="s">
        <v>60</v>
      </c>
      <c r="C3297">
        <v>28</v>
      </c>
      <c r="D3297" t="s">
        <v>15</v>
      </c>
      <c r="E3297" t="s">
        <v>16</v>
      </c>
      <c r="F3297" s="1">
        <v>44569</v>
      </c>
      <c r="G3297">
        <v>0</v>
      </c>
      <c r="H3297">
        <v>0</v>
      </c>
      <c r="I3297">
        <v>24</v>
      </c>
      <c r="J3297">
        <v>24</v>
      </c>
      <c r="K3297">
        <v>0</v>
      </c>
      <c r="L3297">
        <v>452</v>
      </c>
      <c r="M3297">
        <v>45</v>
      </c>
      <c r="N3297" s="1">
        <f t="shared" si="408"/>
        <v>44938</v>
      </c>
      <c r="O3297" s="1">
        <f t="shared" si="409"/>
        <v>43101</v>
      </c>
      <c r="P3297" s="1">
        <f t="shared" si="410"/>
        <v>44774</v>
      </c>
      <c r="Q3297" s="8">
        <f t="shared" si="411"/>
        <v>0</v>
      </c>
      <c r="R3297" s="8">
        <f t="shared" si="412"/>
        <v>56</v>
      </c>
      <c r="S3297" s="8">
        <f t="shared" ca="1" si="413"/>
        <v>49</v>
      </c>
      <c r="T3297">
        <f t="shared" ca="1" si="414"/>
        <v>0.59040000000000004</v>
      </c>
      <c r="U3297" s="8">
        <f t="shared" ca="1" si="415"/>
        <v>7.2480000000000011</v>
      </c>
      <c r="V3297" s="9">
        <f ca="1">RawData[[#This Row],[Z (smoothed demand size)]]/RawData[[#This Row],[X (smoothed interval)]]</f>
        <v>8.1456953642384103E-2</v>
      </c>
    </row>
    <row r="3298" spans="1:22">
      <c r="A3298" t="s">
        <v>65</v>
      </c>
      <c r="B3298" t="s">
        <v>60</v>
      </c>
      <c r="C3298">
        <v>28</v>
      </c>
      <c r="D3298" t="s">
        <v>15</v>
      </c>
      <c r="E3298" t="s">
        <v>16</v>
      </c>
      <c r="F3298" s="1">
        <v>44570</v>
      </c>
      <c r="G3298">
        <v>0</v>
      </c>
      <c r="H3298">
        <v>0</v>
      </c>
      <c r="I3298">
        <v>24</v>
      </c>
      <c r="J3298">
        <v>24</v>
      </c>
      <c r="K3298">
        <v>0</v>
      </c>
      <c r="L3298">
        <v>390</v>
      </c>
      <c r="M3298">
        <v>60</v>
      </c>
      <c r="N3298" s="1">
        <f t="shared" si="408"/>
        <v>44938</v>
      </c>
      <c r="O3298" s="1">
        <f t="shared" si="409"/>
        <v>43101</v>
      </c>
      <c r="P3298" s="1">
        <f t="shared" si="410"/>
        <v>44805</v>
      </c>
      <c r="Q3298" s="8">
        <f t="shared" si="411"/>
        <v>0</v>
      </c>
      <c r="R3298" s="8">
        <f t="shared" si="412"/>
        <v>57</v>
      </c>
      <c r="S3298" s="8">
        <f t="shared" ca="1" si="413"/>
        <v>49</v>
      </c>
      <c r="T3298">
        <f t="shared" ca="1" si="414"/>
        <v>0.59040000000000004</v>
      </c>
      <c r="U3298" s="8">
        <f t="shared" ca="1" si="415"/>
        <v>7.2480000000000011</v>
      </c>
      <c r="V3298" s="9">
        <f ca="1">RawData[[#This Row],[Z (smoothed demand size)]]/RawData[[#This Row],[X (smoothed interval)]]</f>
        <v>8.1456953642384103E-2</v>
      </c>
    </row>
    <row r="3299" spans="1:22">
      <c r="A3299" t="s">
        <v>65</v>
      </c>
      <c r="B3299" t="s">
        <v>60</v>
      </c>
      <c r="C3299">
        <v>28</v>
      </c>
      <c r="D3299" t="s">
        <v>15</v>
      </c>
      <c r="E3299" t="s">
        <v>16</v>
      </c>
      <c r="F3299" s="1">
        <v>44571</v>
      </c>
      <c r="G3299">
        <v>0</v>
      </c>
      <c r="H3299">
        <v>0</v>
      </c>
      <c r="I3299">
        <v>24</v>
      </c>
      <c r="J3299">
        <v>24</v>
      </c>
      <c r="K3299">
        <v>0</v>
      </c>
      <c r="L3299">
        <v>397</v>
      </c>
      <c r="M3299">
        <v>15</v>
      </c>
      <c r="N3299" s="1">
        <f t="shared" si="408"/>
        <v>44938</v>
      </c>
      <c r="O3299" s="1">
        <f t="shared" si="409"/>
        <v>43101</v>
      </c>
      <c r="P3299" s="1">
        <f t="shared" si="410"/>
        <v>44835</v>
      </c>
      <c r="Q3299" s="8">
        <f t="shared" si="411"/>
        <v>0</v>
      </c>
      <c r="R3299" s="8">
        <f t="shared" si="412"/>
        <v>58</v>
      </c>
      <c r="S3299" s="8">
        <f t="shared" ca="1" si="413"/>
        <v>49</v>
      </c>
      <c r="T3299">
        <f t="shared" ca="1" si="414"/>
        <v>0.59040000000000004</v>
      </c>
      <c r="U3299" s="8">
        <f t="shared" ca="1" si="415"/>
        <v>7.2480000000000011</v>
      </c>
      <c r="V3299" s="9">
        <f ca="1">RawData[[#This Row],[Z (smoothed demand size)]]/RawData[[#This Row],[X (smoothed interval)]]</f>
        <v>8.1456953642384103E-2</v>
      </c>
    </row>
    <row r="3300" spans="1:22">
      <c r="A3300" t="s">
        <v>65</v>
      </c>
      <c r="B3300" t="s">
        <v>60</v>
      </c>
      <c r="C3300">
        <v>28</v>
      </c>
      <c r="D3300" t="s">
        <v>15</v>
      </c>
      <c r="E3300" t="s">
        <v>16</v>
      </c>
      <c r="F3300" s="1">
        <v>44572</v>
      </c>
      <c r="G3300">
        <v>0</v>
      </c>
      <c r="H3300">
        <v>0</v>
      </c>
      <c r="I3300">
        <v>24</v>
      </c>
      <c r="J3300">
        <v>24</v>
      </c>
      <c r="K3300">
        <v>0</v>
      </c>
      <c r="L3300">
        <v>400</v>
      </c>
      <c r="M3300">
        <v>30</v>
      </c>
      <c r="N3300" s="1">
        <f t="shared" si="408"/>
        <v>44938</v>
      </c>
      <c r="O3300" s="1">
        <f t="shared" si="409"/>
        <v>43101</v>
      </c>
      <c r="P3300" s="1">
        <f t="shared" si="410"/>
        <v>44866</v>
      </c>
      <c r="Q3300" s="8">
        <f t="shared" si="411"/>
        <v>0</v>
      </c>
      <c r="R3300" s="8">
        <f t="shared" si="412"/>
        <v>59</v>
      </c>
      <c r="S3300" s="8">
        <f t="shared" ca="1" si="413"/>
        <v>49</v>
      </c>
      <c r="T3300">
        <f t="shared" ca="1" si="414"/>
        <v>0.59040000000000004</v>
      </c>
      <c r="U3300" s="8">
        <f t="shared" ca="1" si="415"/>
        <v>7.2480000000000011</v>
      </c>
      <c r="V3300" s="9">
        <f ca="1">RawData[[#This Row],[Z (smoothed demand size)]]/RawData[[#This Row],[X (smoothed interval)]]</f>
        <v>8.1456953642384103E-2</v>
      </c>
    </row>
    <row r="3301" spans="1:22">
      <c r="A3301" t="s">
        <v>65</v>
      </c>
      <c r="B3301" t="s">
        <v>60</v>
      </c>
      <c r="C3301">
        <v>28</v>
      </c>
      <c r="D3301" t="s">
        <v>15</v>
      </c>
      <c r="E3301" t="s">
        <v>16</v>
      </c>
      <c r="F3301" s="1">
        <v>44573</v>
      </c>
      <c r="G3301">
        <v>1</v>
      </c>
      <c r="H3301">
        <v>1</v>
      </c>
      <c r="I3301">
        <v>24</v>
      </c>
      <c r="J3301">
        <v>23</v>
      </c>
      <c r="K3301">
        <v>0</v>
      </c>
      <c r="L3301">
        <v>450</v>
      </c>
      <c r="M3301">
        <v>60</v>
      </c>
      <c r="N3301" s="1">
        <f t="shared" si="408"/>
        <v>44938</v>
      </c>
      <c r="O3301" s="1">
        <f t="shared" si="409"/>
        <v>43101</v>
      </c>
      <c r="P3301" s="1">
        <f t="shared" si="410"/>
        <v>44896</v>
      </c>
      <c r="Q3301" s="8">
        <f t="shared" si="411"/>
        <v>0</v>
      </c>
      <c r="R3301" s="8">
        <f t="shared" si="412"/>
        <v>60</v>
      </c>
      <c r="S3301" s="8">
        <f t="shared" ca="1" si="413"/>
        <v>60</v>
      </c>
      <c r="T3301">
        <f t="shared" ca="1" si="414"/>
        <v>0.67232000000000003</v>
      </c>
      <c r="U3301" s="8">
        <f t="shared" ca="1" si="415"/>
        <v>7.9984000000000011</v>
      </c>
      <c r="V3301" s="9">
        <f ca="1">RawData[[#This Row],[Z (smoothed demand size)]]/RawData[[#This Row],[X (smoothed interval)]]</f>
        <v>8.4056811362272443E-2</v>
      </c>
    </row>
    <row r="3302" spans="1:22">
      <c r="A3302" t="s">
        <v>65</v>
      </c>
      <c r="B3302" t="s">
        <v>60</v>
      </c>
      <c r="C3302">
        <v>28</v>
      </c>
      <c r="D3302" t="s">
        <v>15</v>
      </c>
      <c r="E3302" t="s">
        <v>16</v>
      </c>
      <c r="F3302" s="1">
        <v>44927</v>
      </c>
      <c r="G3302">
        <v>0</v>
      </c>
      <c r="H3302">
        <v>0</v>
      </c>
      <c r="I3302">
        <v>23</v>
      </c>
      <c r="J3302">
        <v>23</v>
      </c>
      <c r="K3302">
        <v>0</v>
      </c>
      <c r="L3302">
        <v>395</v>
      </c>
      <c r="M3302">
        <v>30</v>
      </c>
      <c r="N3302" s="1">
        <f t="shared" si="408"/>
        <v>44938</v>
      </c>
      <c r="O3302" s="1">
        <f t="shared" si="409"/>
        <v>43101</v>
      </c>
      <c r="P3302" s="1">
        <f t="shared" si="410"/>
        <v>44927</v>
      </c>
      <c r="Q3302" s="8">
        <f t="shared" si="411"/>
        <v>0</v>
      </c>
      <c r="R3302" s="8">
        <f t="shared" si="412"/>
        <v>61</v>
      </c>
      <c r="S3302" s="8">
        <f t="shared" ca="1" si="413"/>
        <v>60</v>
      </c>
      <c r="T3302">
        <f t="shared" ca="1" si="414"/>
        <v>0.67232000000000003</v>
      </c>
      <c r="U3302" s="8">
        <f t="shared" ca="1" si="415"/>
        <v>7.9984000000000011</v>
      </c>
      <c r="V3302" s="9">
        <f ca="1">RawData[[#This Row],[Z (smoothed demand size)]]/RawData[[#This Row],[X (smoothed interval)]]</f>
        <v>8.4056811362272443E-2</v>
      </c>
    </row>
    <row r="3303" spans="1:22">
      <c r="A3303" t="s">
        <v>65</v>
      </c>
      <c r="B3303" t="s">
        <v>60</v>
      </c>
      <c r="C3303">
        <v>28</v>
      </c>
      <c r="D3303" t="s">
        <v>15</v>
      </c>
      <c r="E3303" t="s">
        <v>16</v>
      </c>
      <c r="F3303" s="1">
        <v>44928</v>
      </c>
      <c r="G3303">
        <v>0</v>
      </c>
      <c r="H3303">
        <v>0</v>
      </c>
      <c r="I3303">
        <v>23</v>
      </c>
      <c r="J3303">
        <v>23</v>
      </c>
      <c r="K3303">
        <v>0</v>
      </c>
      <c r="L3303">
        <v>403</v>
      </c>
      <c r="M3303">
        <v>30</v>
      </c>
      <c r="N3303" s="1">
        <f t="shared" si="408"/>
        <v>44938</v>
      </c>
      <c r="O3303" s="1">
        <f t="shared" si="409"/>
        <v>43101</v>
      </c>
      <c r="P3303" s="1">
        <f t="shared" si="410"/>
        <v>44958</v>
      </c>
      <c r="Q3303" s="8">
        <f t="shared" si="411"/>
        <v>0</v>
      </c>
      <c r="R3303" s="8">
        <f t="shared" si="412"/>
        <v>62</v>
      </c>
      <c r="S3303" s="8">
        <f t="shared" ca="1" si="413"/>
        <v>60</v>
      </c>
      <c r="T3303">
        <f t="shared" ca="1" si="414"/>
        <v>0.67232000000000003</v>
      </c>
      <c r="U3303" s="8">
        <f t="shared" ca="1" si="415"/>
        <v>7.9984000000000011</v>
      </c>
      <c r="V3303" s="9">
        <f ca="1">RawData[[#This Row],[Z (smoothed demand size)]]/RawData[[#This Row],[X (smoothed interval)]]</f>
        <v>8.4056811362272443E-2</v>
      </c>
    </row>
    <row r="3304" spans="1:22">
      <c r="A3304" t="s">
        <v>65</v>
      </c>
      <c r="B3304" t="s">
        <v>60</v>
      </c>
      <c r="C3304">
        <v>28</v>
      </c>
      <c r="D3304" t="s">
        <v>15</v>
      </c>
      <c r="E3304" t="s">
        <v>16</v>
      </c>
      <c r="F3304" s="1">
        <v>44929</v>
      </c>
      <c r="G3304">
        <v>0</v>
      </c>
      <c r="H3304">
        <v>0</v>
      </c>
      <c r="I3304">
        <v>23</v>
      </c>
      <c r="J3304">
        <v>23</v>
      </c>
      <c r="K3304">
        <v>0</v>
      </c>
      <c r="L3304">
        <v>398</v>
      </c>
      <c r="M3304">
        <v>15</v>
      </c>
      <c r="N3304" s="1">
        <f t="shared" si="408"/>
        <v>44938</v>
      </c>
      <c r="O3304" s="1">
        <f t="shared" si="409"/>
        <v>43101</v>
      </c>
      <c r="P3304" s="1">
        <f t="shared" si="410"/>
        <v>44986</v>
      </c>
      <c r="Q3304" s="8">
        <f t="shared" si="411"/>
        <v>0</v>
      </c>
      <c r="R3304" s="8">
        <f t="shared" si="412"/>
        <v>63</v>
      </c>
      <c r="S3304" s="8">
        <f t="shared" ca="1" si="413"/>
        <v>60</v>
      </c>
      <c r="T3304">
        <f t="shared" ca="1" si="414"/>
        <v>0.67232000000000003</v>
      </c>
      <c r="U3304" s="8">
        <f t="shared" ca="1" si="415"/>
        <v>7.9984000000000011</v>
      </c>
      <c r="V3304" s="9">
        <f ca="1">RawData[[#This Row],[Z (smoothed demand size)]]/RawData[[#This Row],[X (smoothed interval)]]</f>
        <v>8.4056811362272443E-2</v>
      </c>
    </row>
    <row r="3305" spans="1:22">
      <c r="A3305" t="s">
        <v>65</v>
      </c>
      <c r="B3305" t="s">
        <v>60</v>
      </c>
      <c r="C3305">
        <v>28</v>
      </c>
      <c r="D3305" t="s">
        <v>15</v>
      </c>
      <c r="E3305" t="s">
        <v>16</v>
      </c>
      <c r="F3305" s="1">
        <v>44930</v>
      </c>
      <c r="G3305">
        <v>0</v>
      </c>
      <c r="H3305">
        <v>0</v>
      </c>
      <c r="I3305">
        <v>23</v>
      </c>
      <c r="J3305">
        <v>23</v>
      </c>
      <c r="K3305">
        <v>0</v>
      </c>
      <c r="L3305">
        <v>394</v>
      </c>
      <c r="M3305">
        <v>15</v>
      </c>
      <c r="N3305" s="1">
        <f t="shared" si="408"/>
        <v>44938</v>
      </c>
      <c r="O3305" s="1">
        <f t="shared" si="409"/>
        <v>43101</v>
      </c>
      <c r="P3305" s="1">
        <f t="shared" si="410"/>
        <v>45017</v>
      </c>
      <c r="Q3305" s="8">
        <f t="shared" si="411"/>
        <v>0</v>
      </c>
      <c r="R3305" s="8">
        <f t="shared" si="412"/>
        <v>64</v>
      </c>
      <c r="S3305" s="8">
        <f t="shared" ca="1" si="413"/>
        <v>60</v>
      </c>
      <c r="T3305">
        <f t="shared" ca="1" si="414"/>
        <v>0.67232000000000003</v>
      </c>
      <c r="U3305" s="8">
        <f t="shared" ca="1" si="415"/>
        <v>7.9984000000000011</v>
      </c>
      <c r="V3305" s="9">
        <f ca="1">RawData[[#This Row],[Z (smoothed demand size)]]/RawData[[#This Row],[X (smoothed interval)]]</f>
        <v>8.4056811362272443E-2</v>
      </c>
    </row>
    <row r="3306" spans="1:22">
      <c r="A3306" t="s">
        <v>65</v>
      </c>
      <c r="B3306" t="s">
        <v>60</v>
      </c>
      <c r="C3306">
        <v>28</v>
      </c>
      <c r="D3306" t="s">
        <v>15</v>
      </c>
      <c r="E3306" t="s">
        <v>16</v>
      </c>
      <c r="F3306" s="1">
        <v>44931</v>
      </c>
      <c r="G3306">
        <v>0</v>
      </c>
      <c r="H3306">
        <v>0</v>
      </c>
      <c r="I3306">
        <v>23</v>
      </c>
      <c r="J3306">
        <v>23</v>
      </c>
      <c r="K3306">
        <v>0</v>
      </c>
      <c r="L3306">
        <v>394</v>
      </c>
      <c r="M3306">
        <v>45</v>
      </c>
      <c r="N3306" s="1">
        <f t="shared" si="408"/>
        <v>44938</v>
      </c>
      <c r="O3306" s="1">
        <f t="shared" si="409"/>
        <v>43101</v>
      </c>
      <c r="P3306" s="1">
        <f t="shared" si="410"/>
        <v>45047</v>
      </c>
      <c r="Q3306" s="8">
        <f t="shared" si="411"/>
        <v>0</v>
      </c>
      <c r="R3306" s="8">
        <f t="shared" si="412"/>
        <v>65</v>
      </c>
      <c r="S3306" s="8">
        <f t="shared" ca="1" si="413"/>
        <v>60</v>
      </c>
      <c r="T3306">
        <f t="shared" ca="1" si="414"/>
        <v>0.67232000000000003</v>
      </c>
      <c r="U3306" s="8">
        <f t="shared" ca="1" si="415"/>
        <v>7.9984000000000011</v>
      </c>
      <c r="V3306" s="9">
        <f ca="1">RawData[[#This Row],[Z (smoothed demand size)]]/RawData[[#This Row],[X (smoothed interval)]]</f>
        <v>8.4056811362272443E-2</v>
      </c>
    </row>
    <row r="3307" spans="1:22">
      <c r="A3307" t="s">
        <v>65</v>
      </c>
      <c r="B3307" t="s">
        <v>60</v>
      </c>
      <c r="C3307">
        <v>28</v>
      </c>
      <c r="D3307" t="s">
        <v>15</v>
      </c>
      <c r="E3307" t="s">
        <v>16</v>
      </c>
      <c r="F3307" s="1">
        <v>44932</v>
      </c>
      <c r="G3307">
        <v>0</v>
      </c>
      <c r="H3307">
        <v>0</v>
      </c>
      <c r="I3307">
        <v>23</v>
      </c>
      <c r="J3307">
        <v>23</v>
      </c>
      <c r="K3307">
        <v>0</v>
      </c>
      <c r="L3307">
        <v>451</v>
      </c>
      <c r="M3307">
        <v>60</v>
      </c>
      <c r="N3307" s="1">
        <f t="shared" si="408"/>
        <v>44938</v>
      </c>
      <c r="O3307" s="1">
        <f t="shared" si="409"/>
        <v>43101</v>
      </c>
      <c r="P3307" s="1">
        <f t="shared" si="410"/>
        <v>45078</v>
      </c>
      <c r="Q3307" s="8">
        <f t="shared" si="411"/>
        <v>0</v>
      </c>
      <c r="R3307" s="8">
        <f t="shared" si="412"/>
        <v>66</v>
      </c>
      <c r="S3307" s="8">
        <f t="shared" ca="1" si="413"/>
        <v>60</v>
      </c>
      <c r="T3307">
        <f t="shared" ca="1" si="414"/>
        <v>0.67232000000000003</v>
      </c>
      <c r="U3307" s="8">
        <f t="shared" ca="1" si="415"/>
        <v>7.9984000000000011</v>
      </c>
      <c r="V3307" s="9">
        <f ca="1">RawData[[#This Row],[Z (smoothed demand size)]]/RawData[[#This Row],[X (smoothed interval)]]</f>
        <v>8.4056811362272443E-2</v>
      </c>
    </row>
    <row r="3308" spans="1:22">
      <c r="A3308" t="s">
        <v>65</v>
      </c>
      <c r="B3308" t="s">
        <v>60</v>
      </c>
      <c r="C3308">
        <v>28</v>
      </c>
      <c r="D3308" t="s">
        <v>15</v>
      </c>
      <c r="E3308" t="s">
        <v>16</v>
      </c>
      <c r="F3308" s="1">
        <v>44933</v>
      </c>
      <c r="G3308">
        <v>0</v>
      </c>
      <c r="H3308">
        <v>0</v>
      </c>
      <c r="I3308">
        <v>23</v>
      </c>
      <c r="J3308">
        <v>23</v>
      </c>
      <c r="K3308">
        <v>0</v>
      </c>
      <c r="L3308">
        <v>453</v>
      </c>
      <c r="M3308">
        <v>45</v>
      </c>
      <c r="N3308" s="1">
        <f t="shared" si="408"/>
        <v>44938</v>
      </c>
      <c r="O3308" s="1">
        <f t="shared" si="409"/>
        <v>43101</v>
      </c>
      <c r="P3308" s="1">
        <f t="shared" si="410"/>
        <v>45108</v>
      </c>
      <c r="Q3308" s="8">
        <f t="shared" si="411"/>
        <v>0</v>
      </c>
      <c r="R3308" s="8">
        <f t="shared" si="412"/>
        <v>67</v>
      </c>
      <c r="S3308" s="8">
        <f t="shared" ca="1" si="413"/>
        <v>60</v>
      </c>
      <c r="T3308">
        <f t="shared" ca="1" si="414"/>
        <v>0.67232000000000003</v>
      </c>
      <c r="U3308" s="8">
        <f t="shared" ca="1" si="415"/>
        <v>7.9984000000000011</v>
      </c>
      <c r="V3308" s="9">
        <f ca="1">RawData[[#This Row],[Z (smoothed demand size)]]/RawData[[#This Row],[X (smoothed interval)]]</f>
        <v>8.4056811362272443E-2</v>
      </c>
    </row>
    <row r="3309" spans="1:22">
      <c r="A3309" t="s">
        <v>65</v>
      </c>
      <c r="B3309" t="s">
        <v>60</v>
      </c>
      <c r="C3309">
        <v>28</v>
      </c>
      <c r="D3309" t="s">
        <v>15</v>
      </c>
      <c r="E3309" t="s">
        <v>16</v>
      </c>
      <c r="F3309" s="1">
        <v>44934</v>
      </c>
      <c r="G3309">
        <v>0</v>
      </c>
      <c r="H3309">
        <v>0</v>
      </c>
      <c r="I3309">
        <v>23</v>
      </c>
      <c r="J3309">
        <v>23</v>
      </c>
      <c r="K3309">
        <v>0</v>
      </c>
      <c r="L3309">
        <v>451</v>
      </c>
      <c r="M3309">
        <v>45</v>
      </c>
      <c r="N3309" s="1">
        <f t="shared" si="408"/>
        <v>44938</v>
      </c>
      <c r="O3309" s="1">
        <f t="shared" si="409"/>
        <v>43101</v>
      </c>
      <c r="P3309" s="1">
        <f t="shared" si="410"/>
        <v>45139</v>
      </c>
      <c r="Q3309" s="8">
        <f t="shared" si="411"/>
        <v>0</v>
      </c>
      <c r="R3309" s="8">
        <f t="shared" si="412"/>
        <v>68</v>
      </c>
      <c r="S3309" s="8">
        <f t="shared" ca="1" si="413"/>
        <v>60</v>
      </c>
      <c r="T3309">
        <f t="shared" ca="1" si="414"/>
        <v>0.67232000000000003</v>
      </c>
      <c r="U3309" s="8">
        <f t="shared" ca="1" si="415"/>
        <v>7.9984000000000011</v>
      </c>
      <c r="V3309" s="9">
        <f ca="1">RawData[[#This Row],[Z (smoothed demand size)]]/RawData[[#This Row],[X (smoothed interval)]]</f>
        <v>8.4056811362272443E-2</v>
      </c>
    </row>
    <row r="3310" spans="1:22">
      <c r="A3310" t="s">
        <v>65</v>
      </c>
      <c r="B3310" t="s">
        <v>60</v>
      </c>
      <c r="C3310">
        <v>28</v>
      </c>
      <c r="D3310" t="s">
        <v>15</v>
      </c>
      <c r="E3310" t="s">
        <v>16</v>
      </c>
      <c r="F3310" s="1">
        <v>44935</v>
      </c>
      <c r="G3310">
        <v>0</v>
      </c>
      <c r="H3310">
        <v>0</v>
      </c>
      <c r="I3310">
        <v>23</v>
      </c>
      <c r="J3310">
        <v>23</v>
      </c>
      <c r="K3310">
        <v>0</v>
      </c>
      <c r="L3310">
        <v>393</v>
      </c>
      <c r="M3310">
        <v>30</v>
      </c>
      <c r="N3310" s="1">
        <f t="shared" si="408"/>
        <v>44938</v>
      </c>
      <c r="O3310" s="1">
        <f t="shared" si="409"/>
        <v>43101</v>
      </c>
      <c r="P3310" s="1">
        <f t="shared" si="410"/>
        <v>45170</v>
      </c>
      <c r="Q3310" s="8">
        <f t="shared" si="411"/>
        <v>0</v>
      </c>
      <c r="R3310" s="8">
        <f t="shared" si="412"/>
        <v>69</v>
      </c>
      <c r="S3310" s="8">
        <f t="shared" ca="1" si="413"/>
        <v>60</v>
      </c>
      <c r="T3310">
        <f t="shared" ca="1" si="414"/>
        <v>0.67232000000000003</v>
      </c>
      <c r="U3310" s="8">
        <f t="shared" ca="1" si="415"/>
        <v>7.9984000000000011</v>
      </c>
      <c r="V3310" s="9">
        <f ca="1">RawData[[#This Row],[Z (smoothed demand size)]]/RawData[[#This Row],[X (smoothed interval)]]</f>
        <v>8.4056811362272443E-2</v>
      </c>
    </row>
    <row r="3311" spans="1:22">
      <c r="A3311" t="s">
        <v>65</v>
      </c>
      <c r="B3311" t="s">
        <v>60</v>
      </c>
      <c r="C3311">
        <v>28</v>
      </c>
      <c r="D3311" t="s">
        <v>15</v>
      </c>
      <c r="E3311" t="s">
        <v>16</v>
      </c>
      <c r="F3311" s="1">
        <v>44936</v>
      </c>
      <c r="G3311">
        <v>1</v>
      </c>
      <c r="H3311">
        <v>1</v>
      </c>
      <c r="I3311">
        <v>23</v>
      </c>
      <c r="J3311">
        <v>22</v>
      </c>
      <c r="K3311">
        <v>0</v>
      </c>
      <c r="L3311">
        <v>394</v>
      </c>
      <c r="M3311">
        <v>45</v>
      </c>
      <c r="N3311" s="1">
        <f t="shared" si="408"/>
        <v>44938</v>
      </c>
      <c r="O3311" s="1">
        <f t="shared" si="409"/>
        <v>43101</v>
      </c>
      <c r="P3311" s="1">
        <f t="shared" si="410"/>
        <v>45200</v>
      </c>
      <c r="Q3311" s="8">
        <f t="shared" si="411"/>
        <v>0</v>
      </c>
      <c r="R3311" s="8">
        <f t="shared" si="412"/>
        <v>70</v>
      </c>
      <c r="S3311" s="8">
        <f t="shared" ca="1" si="413"/>
        <v>70</v>
      </c>
      <c r="T3311">
        <f t="shared" ca="1" si="414"/>
        <v>0.73785600000000007</v>
      </c>
      <c r="U3311" s="8">
        <f t="shared" ca="1" si="415"/>
        <v>8.3987200000000009</v>
      </c>
      <c r="V3311" s="9">
        <f ca="1">RawData[[#This Row],[Z (smoothed demand size)]]/RawData[[#This Row],[X (smoothed interval)]]</f>
        <v>8.7853387182808815E-2</v>
      </c>
    </row>
    <row r="3312" spans="1:22">
      <c r="A3312" t="s">
        <v>65</v>
      </c>
      <c r="B3312" t="s">
        <v>60</v>
      </c>
      <c r="C3312">
        <v>28</v>
      </c>
      <c r="D3312" t="s">
        <v>15</v>
      </c>
      <c r="E3312" t="s">
        <v>16</v>
      </c>
      <c r="F3312" s="1">
        <v>44937</v>
      </c>
      <c r="G3312">
        <v>0</v>
      </c>
      <c r="H3312">
        <v>0</v>
      </c>
      <c r="I3312">
        <v>22</v>
      </c>
      <c r="J3312">
        <v>22</v>
      </c>
      <c r="K3312">
        <v>0</v>
      </c>
      <c r="L3312">
        <v>388</v>
      </c>
      <c r="M3312">
        <v>45</v>
      </c>
      <c r="N3312" s="1">
        <f t="shared" si="408"/>
        <v>44938</v>
      </c>
      <c r="O3312" s="1">
        <f t="shared" si="409"/>
        <v>43101</v>
      </c>
      <c r="P3312" s="1">
        <f t="shared" si="410"/>
        <v>45231</v>
      </c>
      <c r="Q3312" s="8">
        <f t="shared" si="411"/>
        <v>0</v>
      </c>
      <c r="R3312" s="8">
        <f t="shared" si="412"/>
        <v>71</v>
      </c>
      <c r="S3312" s="8">
        <f t="shared" ca="1" si="413"/>
        <v>70</v>
      </c>
      <c r="T3312">
        <f t="shared" ca="1" si="414"/>
        <v>0.73785600000000007</v>
      </c>
      <c r="U3312" s="8">
        <f t="shared" ca="1" si="415"/>
        <v>8.3987200000000009</v>
      </c>
      <c r="V3312" s="9">
        <f ca="1">RawData[[#This Row],[Z (smoothed demand size)]]/RawData[[#This Row],[X (smoothed interval)]]</f>
        <v>8.7853387182808815E-2</v>
      </c>
    </row>
    <row r="3313" spans="1:22">
      <c r="A3313" t="s">
        <v>65</v>
      </c>
      <c r="B3313" t="s">
        <v>60</v>
      </c>
      <c r="C3313">
        <v>28</v>
      </c>
      <c r="D3313" t="s">
        <v>15</v>
      </c>
      <c r="E3313" t="s">
        <v>16</v>
      </c>
      <c r="F3313" s="1">
        <v>44938</v>
      </c>
      <c r="G3313">
        <v>0</v>
      </c>
      <c r="H3313">
        <v>0</v>
      </c>
      <c r="I3313">
        <v>22</v>
      </c>
      <c r="J3313">
        <v>22</v>
      </c>
      <c r="K3313">
        <v>0</v>
      </c>
      <c r="L3313">
        <v>453</v>
      </c>
      <c r="M3313">
        <v>15</v>
      </c>
      <c r="N3313" s="1">
        <f t="shared" si="408"/>
        <v>44938</v>
      </c>
      <c r="O3313" s="1">
        <f t="shared" si="409"/>
        <v>43101</v>
      </c>
      <c r="P3313" s="1">
        <f t="shared" si="410"/>
        <v>45261</v>
      </c>
      <c r="Q3313" s="8">
        <f t="shared" si="411"/>
        <v>0</v>
      </c>
      <c r="R3313" s="8">
        <f t="shared" si="412"/>
        <v>72</v>
      </c>
      <c r="S3313" s="8">
        <f t="shared" ca="1" si="413"/>
        <v>70</v>
      </c>
      <c r="T3313">
        <f t="shared" ca="1" si="414"/>
        <v>0.73785600000000007</v>
      </c>
      <c r="U3313" s="8">
        <f t="shared" ca="1" si="415"/>
        <v>8.3987200000000009</v>
      </c>
      <c r="V3313" s="9">
        <f ca="1">RawData[[#This Row],[Z (smoothed demand size)]]/RawData[[#This Row],[X (smoothed interval)]]</f>
        <v>8.7853387182808815E-2</v>
      </c>
    </row>
    <row r="3314" spans="1:22">
      <c r="A3314" t="s">
        <v>66</v>
      </c>
      <c r="B3314" t="s">
        <v>60</v>
      </c>
      <c r="C3314">
        <v>27</v>
      </c>
      <c r="D3314" t="s">
        <v>18</v>
      </c>
      <c r="E3314" t="s">
        <v>16</v>
      </c>
      <c r="F3314" s="1">
        <v>43101</v>
      </c>
      <c r="G3314">
        <v>0</v>
      </c>
      <c r="H3314">
        <v>0</v>
      </c>
      <c r="I3314">
        <v>24</v>
      </c>
      <c r="J3314">
        <v>24</v>
      </c>
      <c r="K3314">
        <v>0</v>
      </c>
      <c r="L3314">
        <v>718</v>
      </c>
      <c r="M3314">
        <v>30</v>
      </c>
      <c r="N3314" s="1">
        <f t="shared" si="408"/>
        <v>44938</v>
      </c>
      <c r="O3314" s="1">
        <f t="shared" si="409"/>
        <v>43101</v>
      </c>
      <c r="P3314" s="1">
        <f t="shared" si="410"/>
        <v>43101</v>
      </c>
      <c r="Q3314" s="8">
        <f t="shared" si="411"/>
        <v>1</v>
      </c>
      <c r="R3314" s="8">
        <f t="shared" si="412"/>
        <v>1</v>
      </c>
      <c r="S3314" s="8">
        <f t="shared" ca="1" si="413"/>
        <v>0</v>
      </c>
      <c r="T3314">
        <f t="shared" ca="1" si="414"/>
        <v>0</v>
      </c>
      <c r="U3314" s="8">
        <f t="shared" ca="1" si="415"/>
        <v>1</v>
      </c>
      <c r="V3314" s="9">
        <f ca="1">RawData[[#This Row],[Z (smoothed demand size)]]/RawData[[#This Row],[X (smoothed interval)]]</f>
        <v>0</v>
      </c>
    </row>
    <row r="3315" spans="1:22">
      <c r="A3315" t="s">
        <v>66</v>
      </c>
      <c r="B3315" t="s">
        <v>60</v>
      </c>
      <c r="C3315">
        <v>27</v>
      </c>
      <c r="D3315" t="s">
        <v>18</v>
      </c>
      <c r="E3315" t="s">
        <v>16</v>
      </c>
      <c r="F3315" s="1">
        <v>43102</v>
      </c>
      <c r="G3315">
        <v>0</v>
      </c>
      <c r="H3315">
        <v>0</v>
      </c>
      <c r="I3315">
        <v>24</v>
      </c>
      <c r="J3315">
        <v>24</v>
      </c>
      <c r="K3315">
        <v>0</v>
      </c>
      <c r="L3315">
        <v>709</v>
      </c>
      <c r="M3315">
        <v>60</v>
      </c>
      <c r="N3315" s="1">
        <f t="shared" si="408"/>
        <v>44938</v>
      </c>
      <c r="O3315" s="1">
        <f t="shared" si="409"/>
        <v>43101</v>
      </c>
      <c r="P3315" s="1">
        <f t="shared" si="410"/>
        <v>43132</v>
      </c>
      <c r="Q3315" s="8">
        <f t="shared" si="411"/>
        <v>0</v>
      </c>
      <c r="R3315" s="8">
        <f t="shared" si="412"/>
        <v>2</v>
      </c>
      <c r="S3315" s="8">
        <f t="shared" ca="1" si="413"/>
        <v>0</v>
      </c>
      <c r="T3315">
        <f t="shared" ca="1" si="414"/>
        <v>0</v>
      </c>
      <c r="U3315" s="8">
        <f t="shared" ca="1" si="415"/>
        <v>1</v>
      </c>
      <c r="V3315" s="9">
        <f ca="1">RawData[[#This Row],[Z (smoothed demand size)]]/RawData[[#This Row],[X (smoothed interval)]]</f>
        <v>0</v>
      </c>
    </row>
    <row r="3316" spans="1:22">
      <c r="A3316" t="s">
        <v>66</v>
      </c>
      <c r="B3316" t="s">
        <v>60</v>
      </c>
      <c r="C3316">
        <v>27</v>
      </c>
      <c r="D3316" t="s">
        <v>18</v>
      </c>
      <c r="E3316" t="s">
        <v>16</v>
      </c>
      <c r="F3316" s="1">
        <v>43103</v>
      </c>
      <c r="G3316">
        <v>0</v>
      </c>
      <c r="H3316">
        <v>0</v>
      </c>
      <c r="I3316">
        <v>24</v>
      </c>
      <c r="J3316">
        <v>24</v>
      </c>
      <c r="K3316">
        <v>0</v>
      </c>
      <c r="L3316">
        <v>706</v>
      </c>
      <c r="M3316">
        <v>30</v>
      </c>
      <c r="N3316" s="1">
        <f t="shared" si="408"/>
        <v>44938</v>
      </c>
      <c r="O3316" s="1">
        <f t="shared" si="409"/>
        <v>43101</v>
      </c>
      <c r="P3316" s="1">
        <f t="shared" si="410"/>
        <v>43160</v>
      </c>
      <c r="Q3316" s="8">
        <f t="shared" si="411"/>
        <v>0</v>
      </c>
      <c r="R3316" s="8">
        <f t="shared" si="412"/>
        <v>3</v>
      </c>
      <c r="S3316" s="8">
        <f t="shared" ca="1" si="413"/>
        <v>0</v>
      </c>
      <c r="T3316">
        <f t="shared" ca="1" si="414"/>
        <v>0</v>
      </c>
      <c r="U3316" s="8">
        <f t="shared" ca="1" si="415"/>
        <v>1</v>
      </c>
      <c r="V3316" s="9">
        <f ca="1">RawData[[#This Row],[Z (smoothed demand size)]]/RawData[[#This Row],[X (smoothed interval)]]</f>
        <v>0</v>
      </c>
    </row>
    <row r="3317" spans="1:22">
      <c r="A3317" t="s">
        <v>66</v>
      </c>
      <c r="B3317" t="s">
        <v>60</v>
      </c>
      <c r="C3317">
        <v>27</v>
      </c>
      <c r="D3317" t="s">
        <v>18</v>
      </c>
      <c r="E3317" t="s">
        <v>16</v>
      </c>
      <c r="F3317" s="1">
        <v>43104</v>
      </c>
      <c r="G3317">
        <v>0</v>
      </c>
      <c r="H3317">
        <v>0</v>
      </c>
      <c r="I3317">
        <v>24</v>
      </c>
      <c r="J3317">
        <v>24</v>
      </c>
      <c r="K3317">
        <v>0</v>
      </c>
      <c r="L3317">
        <v>707</v>
      </c>
      <c r="M3317">
        <v>30</v>
      </c>
      <c r="N3317" s="1">
        <f t="shared" si="408"/>
        <v>44938</v>
      </c>
      <c r="O3317" s="1">
        <f t="shared" si="409"/>
        <v>43101</v>
      </c>
      <c r="P3317" s="1">
        <f t="shared" si="410"/>
        <v>43191</v>
      </c>
      <c r="Q3317" s="8">
        <f t="shared" si="411"/>
        <v>0</v>
      </c>
      <c r="R3317" s="8">
        <f t="shared" si="412"/>
        <v>4</v>
      </c>
      <c r="S3317" s="8">
        <f t="shared" ca="1" si="413"/>
        <v>0</v>
      </c>
      <c r="T3317">
        <f t="shared" ca="1" si="414"/>
        <v>0</v>
      </c>
      <c r="U3317" s="8">
        <f t="shared" ca="1" si="415"/>
        <v>1</v>
      </c>
      <c r="V3317" s="9">
        <f ca="1">RawData[[#This Row],[Z (smoothed demand size)]]/RawData[[#This Row],[X (smoothed interval)]]</f>
        <v>0</v>
      </c>
    </row>
    <row r="3318" spans="1:22">
      <c r="A3318" t="s">
        <v>66</v>
      </c>
      <c r="B3318" t="s">
        <v>60</v>
      </c>
      <c r="C3318">
        <v>27</v>
      </c>
      <c r="D3318" t="s">
        <v>18</v>
      </c>
      <c r="E3318" t="s">
        <v>16</v>
      </c>
      <c r="F3318" s="1">
        <v>43105</v>
      </c>
      <c r="G3318">
        <v>0</v>
      </c>
      <c r="H3318">
        <v>0</v>
      </c>
      <c r="I3318">
        <v>24</v>
      </c>
      <c r="J3318">
        <v>24</v>
      </c>
      <c r="K3318">
        <v>0</v>
      </c>
      <c r="L3318">
        <v>724</v>
      </c>
      <c r="M3318">
        <v>45</v>
      </c>
      <c r="N3318" s="1">
        <f t="shared" si="408"/>
        <v>44938</v>
      </c>
      <c r="O3318" s="1">
        <f t="shared" si="409"/>
        <v>43101</v>
      </c>
      <c r="P3318" s="1">
        <f t="shared" si="410"/>
        <v>43221</v>
      </c>
      <c r="Q3318" s="8">
        <f t="shared" si="411"/>
        <v>0</v>
      </c>
      <c r="R3318" s="8">
        <f t="shared" si="412"/>
        <v>5</v>
      </c>
      <c r="S3318" s="8">
        <f t="shared" ca="1" si="413"/>
        <v>0</v>
      </c>
      <c r="T3318">
        <f t="shared" ca="1" si="414"/>
        <v>0</v>
      </c>
      <c r="U3318" s="8">
        <f t="shared" ca="1" si="415"/>
        <v>1</v>
      </c>
      <c r="V3318" s="9">
        <f ca="1">RawData[[#This Row],[Z (smoothed demand size)]]/RawData[[#This Row],[X (smoothed interval)]]</f>
        <v>0</v>
      </c>
    </row>
    <row r="3319" spans="1:22">
      <c r="A3319" t="s">
        <v>66</v>
      </c>
      <c r="B3319" t="s">
        <v>60</v>
      </c>
      <c r="C3319">
        <v>27</v>
      </c>
      <c r="D3319" t="s">
        <v>18</v>
      </c>
      <c r="E3319" t="s">
        <v>16</v>
      </c>
      <c r="F3319" s="1">
        <v>43106</v>
      </c>
      <c r="G3319">
        <v>0</v>
      </c>
      <c r="H3319">
        <v>0</v>
      </c>
      <c r="I3319">
        <v>24</v>
      </c>
      <c r="J3319">
        <v>24</v>
      </c>
      <c r="K3319">
        <v>0</v>
      </c>
      <c r="L3319">
        <v>829</v>
      </c>
      <c r="M3319">
        <v>60</v>
      </c>
      <c r="N3319" s="1">
        <f t="shared" si="408"/>
        <v>44938</v>
      </c>
      <c r="O3319" s="1">
        <f t="shared" si="409"/>
        <v>43101</v>
      </c>
      <c r="P3319" s="1">
        <f t="shared" si="410"/>
        <v>43252</v>
      </c>
      <c r="Q3319" s="8">
        <f t="shared" si="411"/>
        <v>0</v>
      </c>
      <c r="R3319" s="8">
        <f t="shared" si="412"/>
        <v>6</v>
      </c>
      <c r="S3319" s="8">
        <f t="shared" ca="1" si="413"/>
        <v>0</v>
      </c>
      <c r="T3319">
        <f t="shared" ca="1" si="414"/>
        <v>0</v>
      </c>
      <c r="U3319" s="8">
        <f t="shared" ca="1" si="415"/>
        <v>1</v>
      </c>
      <c r="V3319" s="9">
        <f ca="1">RawData[[#This Row],[Z (smoothed demand size)]]/RawData[[#This Row],[X (smoothed interval)]]</f>
        <v>0</v>
      </c>
    </row>
    <row r="3320" spans="1:22">
      <c r="A3320" t="s">
        <v>66</v>
      </c>
      <c r="B3320" t="s">
        <v>60</v>
      </c>
      <c r="C3320">
        <v>27</v>
      </c>
      <c r="D3320" t="s">
        <v>18</v>
      </c>
      <c r="E3320" t="s">
        <v>16</v>
      </c>
      <c r="F3320" s="1">
        <v>43107</v>
      </c>
      <c r="G3320">
        <v>0</v>
      </c>
      <c r="H3320">
        <v>0</v>
      </c>
      <c r="I3320">
        <v>24</v>
      </c>
      <c r="J3320">
        <v>24</v>
      </c>
      <c r="K3320">
        <v>0</v>
      </c>
      <c r="L3320">
        <v>823</v>
      </c>
      <c r="M3320">
        <v>30</v>
      </c>
      <c r="N3320" s="1">
        <f t="shared" si="408"/>
        <v>44938</v>
      </c>
      <c r="O3320" s="1">
        <f t="shared" si="409"/>
        <v>43101</v>
      </c>
      <c r="P3320" s="1">
        <f t="shared" si="410"/>
        <v>43282</v>
      </c>
      <c r="Q3320" s="8">
        <f t="shared" si="411"/>
        <v>0</v>
      </c>
      <c r="R3320" s="8">
        <f t="shared" si="412"/>
        <v>7</v>
      </c>
      <c r="S3320" s="8">
        <f t="shared" ca="1" si="413"/>
        <v>0</v>
      </c>
      <c r="T3320">
        <f t="shared" ca="1" si="414"/>
        <v>0</v>
      </c>
      <c r="U3320" s="8">
        <f t="shared" ca="1" si="415"/>
        <v>1</v>
      </c>
      <c r="V3320" s="9">
        <f ca="1">RawData[[#This Row],[Z (smoothed demand size)]]/RawData[[#This Row],[X (smoothed interval)]]</f>
        <v>0</v>
      </c>
    </row>
    <row r="3321" spans="1:22">
      <c r="A3321" t="s">
        <v>66</v>
      </c>
      <c r="B3321" t="s">
        <v>60</v>
      </c>
      <c r="C3321">
        <v>27</v>
      </c>
      <c r="D3321" t="s">
        <v>18</v>
      </c>
      <c r="E3321" t="s">
        <v>16</v>
      </c>
      <c r="F3321" s="1">
        <v>43108</v>
      </c>
      <c r="G3321">
        <v>0</v>
      </c>
      <c r="H3321">
        <v>0</v>
      </c>
      <c r="I3321">
        <v>24</v>
      </c>
      <c r="J3321">
        <v>24</v>
      </c>
      <c r="K3321">
        <v>0</v>
      </c>
      <c r="L3321">
        <v>811</v>
      </c>
      <c r="M3321">
        <v>15</v>
      </c>
      <c r="N3321" s="1">
        <f t="shared" si="408"/>
        <v>44938</v>
      </c>
      <c r="O3321" s="1">
        <f t="shared" si="409"/>
        <v>43101</v>
      </c>
      <c r="P3321" s="1">
        <f t="shared" si="410"/>
        <v>43313</v>
      </c>
      <c r="Q3321" s="8">
        <f t="shared" si="411"/>
        <v>0</v>
      </c>
      <c r="R3321" s="8">
        <f t="shared" si="412"/>
        <v>8</v>
      </c>
      <c r="S3321" s="8">
        <f t="shared" ca="1" si="413"/>
        <v>0</v>
      </c>
      <c r="T3321">
        <f t="shared" ca="1" si="414"/>
        <v>0</v>
      </c>
      <c r="U3321" s="8">
        <f t="shared" ca="1" si="415"/>
        <v>1</v>
      </c>
      <c r="V3321" s="9">
        <f ca="1">RawData[[#This Row],[Z (smoothed demand size)]]/RawData[[#This Row],[X (smoothed interval)]]</f>
        <v>0</v>
      </c>
    </row>
    <row r="3322" spans="1:22">
      <c r="A3322" t="s">
        <v>66</v>
      </c>
      <c r="B3322" t="s">
        <v>60</v>
      </c>
      <c r="C3322">
        <v>27</v>
      </c>
      <c r="D3322" t="s">
        <v>18</v>
      </c>
      <c r="E3322" t="s">
        <v>16</v>
      </c>
      <c r="F3322" s="1">
        <v>43109</v>
      </c>
      <c r="G3322">
        <v>0</v>
      </c>
      <c r="H3322">
        <v>0</v>
      </c>
      <c r="I3322">
        <v>24</v>
      </c>
      <c r="J3322">
        <v>24</v>
      </c>
      <c r="K3322">
        <v>0</v>
      </c>
      <c r="L3322">
        <v>721</v>
      </c>
      <c r="M3322">
        <v>45</v>
      </c>
      <c r="N3322" s="1">
        <f t="shared" si="408"/>
        <v>44938</v>
      </c>
      <c r="O3322" s="1">
        <f t="shared" si="409"/>
        <v>43101</v>
      </c>
      <c r="P3322" s="1">
        <f t="shared" si="410"/>
        <v>43344</v>
      </c>
      <c r="Q3322" s="8">
        <f t="shared" si="411"/>
        <v>0</v>
      </c>
      <c r="R3322" s="8">
        <f t="shared" si="412"/>
        <v>9</v>
      </c>
      <c r="S3322" s="8">
        <f t="shared" ca="1" si="413"/>
        <v>0</v>
      </c>
      <c r="T3322">
        <f t="shared" ca="1" si="414"/>
        <v>0</v>
      </c>
      <c r="U3322" s="8">
        <f t="shared" ca="1" si="415"/>
        <v>1</v>
      </c>
      <c r="V3322" s="9">
        <f ca="1">RawData[[#This Row],[Z (smoothed demand size)]]/RawData[[#This Row],[X (smoothed interval)]]</f>
        <v>0</v>
      </c>
    </row>
    <row r="3323" spans="1:22">
      <c r="A3323" t="s">
        <v>66</v>
      </c>
      <c r="B3323" t="s">
        <v>60</v>
      </c>
      <c r="C3323">
        <v>27</v>
      </c>
      <c r="D3323" t="s">
        <v>18</v>
      </c>
      <c r="E3323" t="s">
        <v>16</v>
      </c>
      <c r="F3323" s="1">
        <v>43110</v>
      </c>
      <c r="G3323">
        <v>2</v>
      </c>
      <c r="H3323">
        <v>2</v>
      </c>
      <c r="I3323">
        <v>24</v>
      </c>
      <c r="J3323">
        <v>22</v>
      </c>
      <c r="K3323">
        <v>0</v>
      </c>
      <c r="L3323">
        <v>716</v>
      </c>
      <c r="M3323">
        <v>30</v>
      </c>
      <c r="N3323" s="1">
        <f t="shared" si="408"/>
        <v>44938</v>
      </c>
      <c r="O3323" s="1">
        <f t="shared" si="409"/>
        <v>43101</v>
      </c>
      <c r="P3323" s="1">
        <f t="shared" si="410"/>
        <v>43374</v>
      </c>
      <c r="Q3323" s="8">
        <f t="shared" si="411"/>
        <v>0</v>
      </c>
      <c r="R3323" s="8">
        <f t="shared" si="412"/>
        <v>10</v>
      </c>
      <c r="S3323" s="8">
        <f t="shared" ca="1" si="413"/>
        <v>10</v>
      </c>
      <c r="T3323">
        <f t="shared" ca="1" si="414"/>
        <v>0.4</v>
      </c>
      <c r="U3323" s="8">
        <f t="shared" ca="1" si="415"/>
        <v>2.8</v>
      </c>
      <c r="V3323" s="9">
        <f ca="1">RawData[[#This Row],[Z (smoothed demand size)]]/RawData[[#This Row],[X (smoothed interval)]]</f>
        <v>0.14285714285714288</v>
      </c>
    </row>
    <row r="3324" spans="1:22">
      <c r="A3324" t="s">
        <v>66</v>
      </c>
      <c r="B3324" t="s">
        <v>60</v>
      </c>
      <c r="C3324">
        <v>27</v>
      </c>
      <c r="D3324" t="s">
        <v>18</v>
      </c>
      <c r="E3324" t="s">
        <v>16</v>
      </c>
      <c r="F3324" s="1">
        <v>43111</v>
      </c>
      <c r="G3324">
        <v>0</v>
      </c>
      <c r="H3324">
        <v>0</v>
      </c>
      <c r="I3324">
        <v>22</v>
      </c>
      <c r="J3324">
        <v>22</v>
      </c>
      <c r="K3324">
        <v>0</v>
      </c>
      <c r="L3324">
        <v>710</v>
      </c>
      <c r="M3324">
        <v>30</v>
      </c>
      <c r="N3324" s="1">
        <f t="shared" si="408"/>
        <v>44938</v>
      </c>
      <c r="O3324" s="1">
        <f t="shared" si="409"/>
        <v>43101</v>
      </c>
      <c r="P3324" s="1">
        <f t="shared" si="410"/>
        <v>43405</v>
      </c>
      <c r="Q3324" s="8">
        <f t="shared" si="411"/>
        <v>0</v>
      </c>
      <c r="R3324" s="8">
        <f t="shared" si="412"/>
        <v>11</v>
      </c>
      <c r="S3324" s="8">
        <f t="shared" ca="1" si="413"/>
        <v>10</v>
      </c>
      <c r="T3324">
        <f t="shared" ca="1" si="414"/>
        <v>0.4</v>
      </c>
      <c r="U3324" s="8">
        <f t="shared" ca="1" si="415"/>
        <v>2.8</v>
      </c>
      <c r="V3324" s="9">
        <f ca="1">RawData[[#This Row],[Z (smoothed demand size)]]/RawData[[#This Row],[X (smoothed interval)]]</f>
        <v>0.14285714285714288</v>
      </c>
    </row>
    <row r="3325" spans="1:22">
      <c r="A3325" t="s">
        <v>66</v>
      </c>
      <c r="B3325" t="s">
        <v>60</v>
      </c>
      <c r="C3325">
        <v>27</v>
      </c>
      <c r="D3325" t="s">
        <v>18</v>
      </c>
      <c r="E3325" t="s">
        <v>16</v>
      </c>
      <c r="F3325" s="1">
        <v>43112</v>
      </c>
      <c r="G3325">
        <v>0</v>
      </c>
      <c r="H3325">
        <v>0</v>
      </c>
      <c r="I3325">
        <v>22</v>
      </c>
      <c r="J3325">
        <v>22</v>
      </c>
      <c r="K3325">
        <v>0</v>
      </c>
      <c r="L3325">
        <v>822</v>
      </c>
      <c r="M3325">
        <v>45</v>
      </c>
      <c r="N3325" s="1">
        <f t="shared" si="408"/>
        <v>44938</v>
      </c>
      <c r="O3325" s="1">
        <f t="shared" si="409"/>
        <v>43101</v>
      </c>
      <c r="P3325" s="1">
        <f t="shared" si="410"/>
        <v>43435</v>
      </c>
      <c r="Q3325" s="8">
        <f t="shared" si="411"/>
        <v>0</v>
      </c>
      <c r="R3325" s="8">
        <f t="shared" si="412"/>
        <v>12</v>
      </c>
      <c r="S3325" s="8">
        <f t="shared" ca="1" si="413"/>
        <v>10</v>
      </c>
      <c r="T3325">
        <f t="shared" ca="1" si="414"/>
        <v>0.4</v>
      </c>
      <c r="U3325" s="8">
        <f t="shared" ca="1" si="415"/>
        <v>2.8</v>
      </c>
      <c r="V3325" s="9">
        <f ca="1">RawData[[#This Row],[Z (smoothed demand size)]]/RawData[[#This Row],[X (smoothed interval)]]</f>
        <v>0.14285714285714288</v>
      </c>
    </row>
    <row r="3326" spans="1:22">
      <c r="A3326" t="s">
        <v>66</v>
      </c>
      <c r="B3326" t="s">
        <v>60</v>
      </c>
      <c r="C3326">
        <v>27</v>
      </c>
      <c r="D3326" t="s">
        <v>18</v>
      </c>
      <c r="E3326" t="s">
        <v>16</v>
      </c>
      <c r="F3326" s="1">
        <v>43466</v>
      </c>
      <c r="G3326">
        <v>0</v>
      </c>
      <c r="H3326">
        <v>0</v>
      </c>
      <c r="I3326">
        <v>22</v>
      </c>
      <c r="J3326">
        <v>22</v>
      </c>
      <c r="K3326">
        <v>0</v>
      </c>
      <c r="L3326">
        <v>716</v>
      </c>
      <c r="M3326">
        <v>15</v>
      </c>
      <c r="N3326" s="1">
        <f t="shared" si="408"/>
        <v>44938</v>
      </c>
      <c r="O3326" s="1">
        <f t="shared" si="409"/>
        <v>43101</v>
      </c>
      <c r="P3326" s="1">
        <f t="shared" si="410"/>
        <v>43466</v>
      </c>
      <c r="Q3326" s="8">
        <f t="shared" si="411"/>
        <v>0</v>
      </c>
      <c r="R3326" s="8">
        <f t="shared" si="412"/>
        <v>13</v>
      </c>
      <c r="S3326" s="8">
        <f t="shared" ca="1" si="413"/>
        <v>10</v>
      </c>
      <c r="T3326">
        <f t="shared" ca="1" si="414"/>
        <v>0.4</v>
      </c>
      <c r="U3326" s="8">
        <f t="shared" ca="1" si="415"/>
        <v>2.8</v>
      </c>
      <c r="V3326" s="9">
        <f ca="1">RawData[[#This Row],[Z (smoothed demand size)]]/RawData[[#This Row],[X (smoothed interval)]]</f>
        <v>0.14285714285714288</v>
      </c>
    </row>
    <row r="3327" spans="1:22">
      <c r="A3327" t="s">
        <v>66</v>
      </c>
      <c r="B3327" t="s">
        <v>60</v>
      </c>
      <c r="C3327">
        <v>27</v>
      </c>
      <c r="D3327" t="s">
        <v>18</v>
      </c>
      <c r="E3327" t="s">
        <v>16</v>
      </c>
      <c r="F3327" s="1">
        <v>43467</v>
      </c>
      <c r="G3327">
        <v>0</v>
      </c>
      <c r="H3327">
        <v>0</v>
      </c>
      <c r="I3327">
        <v>22</v>
      </c>
      <c r="J3327">
        <v>22</v>
      </c>
      <c r="K3327">
        <v>0</v>
      </c>
      <c r="L3327">
        <v>710</v>
      </c>
      <c r="M3327">
        <v>60</v>
      </c>
      <c r="N3327" s="1">
        <f t="shared" si="408"/>
        <v>44938</v>
      </c>
      <c r="O3327" s="1">
        <f t="shared" si="409"/>
        <v>43101</v>
      </c>
      <c r="P3327" s="1">
        <f t="shared" si="410"/>
        <v>43497</v>
      </c>
      <c r="Q3327" s="8">
        <f t="shared" si="411"/>
        <v>0</v>
      </c>
      <c r="R3327" s="8">
        <f t="shared" si="412"/>
        <v>14</v>
      </c>
      <c r="S3327" s="8">
        <f t="shared" ca="1" si="413"/>
        <v>10</v>
      </c>
      <c r="T3327">
        <f t="shared" ca="1" si="414"/>
        <v>0.4</v>
      </c>
      <c r="U3327" s="8">
        <f t="shared" ca="1" si="415"/>
        <v>2.8</v>
      </c>
      <c r="V3327" s="9">
        <f ca="1">RawData[[#This Row],[Z (smoothed demand size)]]/RawData[[#This Row],[X (smoothed interval)]]</f>
        <v>0.14285714285714288</v>
      </c>
    </row>
    <row r="3328" spans="1:22">
      <c r="A3328" t="s">
        <v>66</v>
      </c>
      <c r="B3328" t="s">
        <v>60</v>
      </c>
      <c r="C3328">
        <v>27</v>
      </c>
      <c r="D3328" t="s">
        <v>18</v>
      </c>
      <c r="E3328" t="s">
        <v>16</v>
      </c>
      <c r="F3328" s="1">
        <v>43468</v>
      </c>
      <c r="G3328">
        <v>0</v>
      </c>
      <c r="H3328">
        <v>0</v>
      </c>
      <c r="I3328">
        <v>22</v>
      </c>
      <c r="J3328">
        <v>22</v>
      </c>
      <c r="K3328">
        <v>0</v>
      </c>
      <c r="L3328">
        <v>705</v>
      </c>
      <c r="M3328">
        <v>15</v>
      </c>
      <c r="N3328" s="1">
        <f t="shared" si="408"/>
        <v>44938</v>
      </c>
      <c r="O3328" s="1">
        <f t="shared" si="409"/>
        <v>43101</v>
      </c>
      <c r="P3328" s="1">
        <f t="shared" si="410"/>
        <v>43525</v>
      </c>
      <c r="Q3328" s="8">
        <f t="shared" si="411"/>
        <v>0</v>
      </c>
      <c r="R3328" s="8">
        <f t="shared" si="412"/>
        <v>15</v>
      </c>
      <c r="S3328" s="8">
        <f t="shared" ca="1" si="413"/>
        <v>10</v>
      </c>
      <c r="T3328">
        <f t="shared" ca="1" si="414"/>
        <v>0.4</v>
      </c>
      <c r="U3328" s="8">
        <f t="shared" ca="1" si="415"/>
        <v>2.8</v>
      </c>
      <c r="V3328" s="9">
        <f ca="1">RawData[[#This Row],[Z (smoothed demand size)]]/RawData[[#This Row],[X (smoothed interval)]]</f>
        <v>0.14285714285714288</v>
      </c>
    </row>
    <row r="3329" spans="1:22">
      <c r="A3329" t="s">
        <v>66</v>
      </c>
      <c r="B3329" t="s">
        <v>60</v>
      </c>
      <c r="C3329">
        <v>27</v>
      </c>
      <c r="D3329" t="s">
        <v>18</v>
      </c>
      <c r="E3329" t="s">
        <v>16</v>
      </c>
      <c r="F3329" s="1">
        <v>43469</v>
      </c>
      <c r="G3329">
        <v>0</v>
      </c>
      <c r="H3329">
        <v>0</v>
      </c>
      <c r="I3329">
        <v>22</v>
      </c>
      <c r="J3329">
        <v>22</v>
      </c>
      <c r="K3329">
        <v>0</v>
      </c>
      <c r="L3329">
        <v>714</v>
      </c>
      <c r="M3329">
        <v>45</v>
      </c>
      <c r="N3329" s="1">
        <f t="shared" si="408"/>
        <v>44938</v>
      </c>
      <c r="O3329" s="1">
        <f t="shared" si="409"/>
        <v>43101</v>
      </c>
      <c r="P3329" s="1">
        <f t="shared" si="410"/>
        <v>43556</v>
      </c>
      <c r="Q3329" s="8">
        <f t="shared" si="411"/>
        <v>0</v>
      </c>
      <c r="R3329" s="8">
        <f t="shared" si="412"/>
        <v>16</v>
      </c>
      <c r="S3329" s="8">
        <f t="shared" ca="1" si="413"/>
        <v>10</v>
      </c>
      <c r="T3329">
        <f t="shared" ca="1" si="414"/>
        <v>0.4</v>
      </c>
      <c r="U3329" s="8">
        <f t="shared" ca="1" si="415"/>
        <v>2.8</v>
      </c>
      <c r="V3329" s="9">
        <f ca="1">RawData[[#This Row],[Z (smoothed demand size)]]/RawData[[#This Row],[X (smoothed interval)]]</f>
        <v>0.14285714285714288</v>
      </c>
    </row>
    <row r="3330" spans="1:22">
      <c r="A3330" t="s">
        <v>66</v>
      </c>
      <c r="B3330" t="s">
        <v>60</v>
      </c>
      <c r="C3330">
        <v>27</v>
      </c>
      <c r="D3330" t="s">
        <v>18</v>
      </c>
      <c r="E3330" t="s">
        <v>16</v>
      </c>
      <c r="F3330" s="1">
        <v>43470</v>
      </c>
      <c r="G3330">
        <v>0</v>
      </c>
      <c r="H3330">
        <v>0</v>
      </c>
      <c r="I3330">
        <v>22</v>
      </c>
      <c r="J3330">
        <v>22</v>
      </c>
      <c r="K3330">
        <v>0</v>
      </c>
      <c r="L3330">
        <v>715</v>
      </c>
      <c r="M3330">
        <v>30</v>
      </c>
      <c r="N3330" s="1">
        <f t="shared" ref="N3330:N3393" si="416">MAX(F:F)</f>
        <v>44938</v>
      </c>
      <c r="O3330" s="1">
        <f t="shared" ref="O3330:O3393" si="417">MIN(F:F)</f>
        <v>43101</v>
      </c>
      <c r="P3330" s="1">
        <f t="shared" ref="P3330:P3393" si="418">DATE(YEAR(F3330), DAY(F3330), 1)</f>
        <v>43586</v>
      </c>
      <c r="Q3330" s="8">
        <f t="shared" ref="Q3330:Q3393" si="419" xml:space="preserve"> IF(A3330&lt;&gt;A3329, 1, 0)</f>
        <v>0</v>
      </c>
      <c r="R3330" s="8">
        <f t="shared" ref="R3330:R3393" si="420">IF(Q3330=1,1,R3329+1)</f>
        <v>17</v>
      </c>
      <c r="S3330" s="8">
        <f t="shared" ref="S3330:S3393" ca="1" si="421" xml:space="preserve"> IF(Q3330=1, IF(G3330&gt;0, R3330, 0), IF(G3330&gt;0, R3330, OFFSET(S3330,-1,0)))</f>
        <v>10</v>
      </c>
      <c r="T3330">
        <f t="shared" ref="T3330:T3393" ca="1" si="422" xml:space="preserve"> IF(Q3330=1, IF(G3330&gt;0, G3330, 0), IF(G3330&gt;0, $X$1*G3330+(1-$X$1)*OFFSET(T3330,-1,0), OFFSET(T3330,-1,0)))</f>
        <v>0.4</v>
      </c>
      <c r="U3330" s="8">
        <f t="shared" ref="U3330:U3393" ca="1" si="423" xml:space="preserve"> IF(Q3330=1, 1, IF(G3330&gt;0, $X$1*(R3330-OFFSET(S3330,-1,0))+(1-$X$1)*OFFSET(U3330,-1,0), OFFSET(U3330,-1,0)))</f>
        <v>2.8</v>
      </c>
      <c r="V3330" s="9">
        <f ca="1">RawData[[#This Row],[Z (smoothed demand size)]]/RawData[[#This Row],[X (smoothed interval)]]</f>
        <v>0.14285714285714288</v>
      </c>
    </row>
    <row r="3331" spans="1:22">
      <c r="A3331" t="s">
        <v>66</v>
      </c>
      <c r="B3331" t="s">
        <v>60</v>
      </c>
      <c r="C3331">
        <v>27</v>
      </c>
      <c r="D3331" t="s">
        <v>18</v>
      </c>
      <c r="E3331" t="s">
        <v>16</v>
      </c>
      <c r="F3331" s="1">
        <v>43471</v>
      </c>
      <c r="G3331">
        <v>0</v>
      </c>
      <c r="H3331">
        <v>0</v>
      </c>
      <c r="I3331">
        <v>22</v>
      </c>
      <c r="J3331">
        <v>22</v>
      </c>
      <c r="K3331">
        <v>0</v>
      </c>
      <c r="L3331">
        <v>804</v>
      </c>
      <c r="M3331">
        <v>30</v>
      </c>
      <c r="N3331" s="1">
        <f t="shared" si="416"/>
        <v>44938</v>
      </c>
      <c r="O3331" s="1">
        <f t="shared" si="417"/>
        <v>43101</v>
      </c>
      <c r="P3331" s="1">
        <f t="shared" si="418"/>
        <v>43617</v>
      </c>
      <c r="Q3331" s="8">
        <f t="shared" si="419"/>
        <v>0</v>
      </c>
      <c r="R3331" s="8">
        <f t="shared" si="420"/>
        <v>18</v>
      </c>
      <c r="S3331" s="8">
        <f t="shared" ca="1" si="421"/>
        <v>10</v>
      </c>
      <c r="T3331">
        <f t="shared" ca="1" si="422"/>
        <v>0.4</v>
      </c>
      <c r="U3331" s="8">
        <f t="shared" ca="1" si="423"/>
        <v>2.8</v>
      </c>
      <c r="V3331" s="9">
        <f ca="1">RawData[[#This Row],[Z (smoothed demand size)]]/RawData[[#This Row],[X (smoothed interval)]]</f>
        <v>0.14285714285714288</v>
      </c>
    </row>
    <row r="3332" spans="1:22">
      <c r="A3332" t="s">
        <v>66</v>
      </c>
      <c r="B3332" t="s">
        <v>60</v>
      </c>
      <c r="C3332">
        <v>27</v>
      </c>
      <c r="D3332" t="s">
        <v>18</v>
      </c>
      <c r="E3332" t="s">
        <v>16</v>
      </c>
      <c r="F3332" s="1">
        <v>43472</v>
      </c>
      <c r="G3332">
        <v>0</v>
      </c>
      <c r="H3332">
        <v>0</v>
      </c>
      <c r="I3332">
        <v>22</v>
      </c>
      <c r="J3332">
        <v>22</v>
      </c>
      <c r="K3332">
        <v>0</v>
      </c>
      <c r="L3332">
        <v>819</v>
      </c>
      <c r="M3332">
        <v>15</v>
      </c>
      <c r="N3332" s="1">
        <f t="shared" si="416"/>
        <v>44938</v>
      </c>
      <c r="O3332" s="1">
        <f t="shared" si="417"/>
        <v>43101</v>
      </c>
      <c r="P3332" s="1">
        <f t="shared" si="418"/>
        <v>43647</v>
      </c>
      <c r="Q3332" s="8">
        <f t="shared" si="419"/>
        <v>0</v>
      </c>
      <c r="R3332" s="8">
        <f t="shared" si="420"/>
        <v>19</v>
      </c>
      <c r="S3332" s="8">
        <f t="shared" ca="1" si="421"/>
        <v>10</v>
      </c>
      <c r="T3332">
        <f t="shared" ca="1" si="422"/>
        <v>0.4</v>
      </c>
      <c r="U3332" s="8">
        <f t="shared" ca="1" si="423"/>
        <v>2.8</v>
      </c>
      <c r="V3332" s="9">
        <f ca="1">RawData[[#This Row],[Z (smoothed demand size)]]/RawData[[#This Row],[X (smoothed interval)]]</f>
        <v>0.14285714285714288</v>
      </c>
    </row>
    <row r="3333" spans="1:22">
      <c r="A3333" t="s">
        <v>66</v>
      </c>
      <c r="B3333" t="s">
        <v>60</v>
      </c>
      <c r="C3333">
        <v>27</v>
      </c>
      <c r="D3333" t="s">
        <v>18</v>
      </c>
      <c r="E3333" t="s">
        <v>16</v>
      </c>
      <c r="F3333" s="1">
        <v>43473</v>
      </c>
      <c r="G3333">
        <v>0</v>
      </c>
      <c r="H3333">
        <v>0</v>
      </c>
      <c r="I3333">
        <v>22</v>
      </c>
      <c r="J3333">
        <v>22</v>
      </c>
      <c r="K3333">
        <v>0</v>
      </c>
      <c r="L3333">
        <v>813</v>
      </c>
      <c r="M3333">
        <v>30</v>
      </c>
      <c r="N3333" s="1">
        <f t="shared" si="416"/>
        <v>44938</v>
      </c>
      <c r="O3333" s="1">
        <f t="shared" si="417"/>
        <v>43101</v>
      </c>
      <c r="P3333" s="1">
        <f t="shared" si="418"/>
        <v>43678</v>
      </c>
      <c r="Q3333" s="8">
        <f t="shared" si="419"/>
        <v>0</v>
      </c>
      <c r="R3333" s="8">
        <f t="shared" si="420"/>
        <v>20</v>
      </c>
      <c r="S3333" s="8">
        <f t="shared" ca="1" si="421"/>
        <v>10</v>
      </c>
      <c r="T3333">
        <f t="shared" ca="1" si="422"/>
        <v>0.4</v>
      </c>
      <c r="U3333" s="8">
        <f t="shared" ca="1" si="423"/>
        <v>2.8</v>
      </c>
      <c r="V3333" s="9">
        <f ca="1">RawData[[#This Row],[Z (smoothed demand size)]]/RawData[[#This Row],[X (smoothed interval)]]</f>
        <v>0.14285714285714288</v>
      </c>
    </row>
    <row r="3334" spans="1:22">
      <c r="A3334" t="s">
        <v>66</v>
      </c>
      <c r="B3334" t="s">
        <v>60</v>
      </c>
      <c r="C3334">
        <v>27</v>
      </c>
      <c r="D3334" t="s">
        <v>18</v>
      </c>
      <c r="E3334" t="s">
        <v>16</v>
      </c>
      <c r="F3334" s="1">
        <v>43474</v>
      </c>
      <c r="G3334">
        <v>0</v>
      </c>
      <c r="H3334">
        <v>0</v>
      </c>
      <c r="I3334">
        <v>22</v>
      </c>
      <c r="J3334">
        <v>22</v>
      </c>
      <c r="K3334">
        <v>0</v>
      </c>
      <c r="L3334">
        <v>716</v>
      </c>
      <c r="M3334">
        <v>30</v>
      </c>
      <c r="N3334" s="1">
        <f t="shared" si="416"/>
        <v>44938</v>
      </c>
      <c r="O3334" s="1">
        <f t="shared" si="417"/>
        <v>43101</v>
      </c>
      <c r="P3334" s="1">
        <f t="shared" si="418"/>
        <v>43709</v>
      </c>
      <c r="Q3334" s="8">
        <f t="shared" si="419"/>
        <v>0</v>
      </c>
      <c r="R3334" s="8">
        <f t="shared" si="420"/>
        <v>21</v>
      </c>
      <c r="S3334" s="8">
        <f t="shared" ca="1" si="421"/>
        <v>10</v>
      </c>
      <c r="T3334">
        <f t="shared" ca="1" si="422"/>
        <v>0.4</v>
      </c>
      <c r="U3334" s="8">
        <f t="shared" ca="1" si="423"/>
        <v>2.8</v>
      </c>
      <c r="V3334" s="9">
        <f ca="1">RawData[[#This Row],[Z (smoothed demand size)]]/RawData[[#This Row],[X (smoothed interval)]]</f>
        <v>0.14285714285714288</v>
      </c>
    </row>
    <row r="3335" spans="1:22">
      <c r="A3335" t="s">
        <v>66</v>
      </c>
      <c r="B3335" t="s">
        <v>60</v>
      </c>
      <c r="C3335">
        <v>27</v>
      </c>
      <c r="D3335" t="s">
        <v>18</v>
      </c>
      <c r="E3335" t="s">
        <v>16</v>
      </c>
      <c r="F3335" s="1">
        <v>43475</v>
      </c>
      <c r="G3335">
        <v>1</v>
      </c>
      <c r="H3335">
        <v>1</v>
      </c>
      <c r="I3335">
        <v>22</v>
      </c>
      <c r="J3335">
        <v>21</v>
      </c>
      <c r="K3335">
        <v>0</v>
      </c>
      <c r="L3335">
        <v>701</v>
      </c>
      <c r="M3335">
        <v>15</v>
      </c>
      <c r="N3335" s="1">
        <f t="shared" si="416"/>
        <v>44938</v>
      </c>
      <c r="O3335" s="1">
        <f t="shared" si="417"/>
        <v>43101</v>
      </c>
      <c r="P3335" s="1">
        <f t="shared" si="418"/>
        <v>43739</v>
      </c>
      <c r="Q3335" s="8">
        <f t="shared" si="419"/>
        <v>0</v>
      </c>
      <c r="R3335" s="8">
        <f t="shared" si="420"/>
        <v>22</v>
      </c>
      <c r="S3335" s="8">
        <f t="shared" ca="1" si="421"/>
        <v>22</v>
      </c>
      <c r="T3335">
        <f t="shared" ca="1" si="422"/>
        <v>0.52</v>
      </c>
      <c r="U3335" s="8">
        <f t="shared" ca="1" si="423"/>
        <v>4.6400000000000006</v>
      </c>
      <c r="V3335" s="9">
        <f ca="1">RawData[[#This Row],[Z (smoothed demand size)]]/RawData[[#This Row],[X (smoothed interval)]]</f>
        <v>0.11206896551724137</v>
      </c>
    </row>
    <row r="3336" spans="1:22">
      <c r="A3336" t="s">
        <v>66</v>
      </c>
      <c r="B3336" t="s">
        <v>60</v>
      </c>
      <c r="C3336">
        <v>27</v>
      </c>
      <c r="D3336" t="s">
        <v>18</v>
      </c>
      <c r="E3336" t="s">
        <v>16</v>
      </c>
      <c r="F3336" s="1">
        <v>43476</v>
      </c>
      <c r="G3336">
        <v>0</v>
      </c>
      <c r="H3336">
        <v>0</v>
      </c>
      <c r="I3336">
        <v>21</v>
      </c>
      <c r="J3336">
        <v>21</v>
      </c>
      <c r="K3336">
        <v>0</v>
      </c>
      <c r="L3336">
        <v>704</v>
      </c>
      <c r="M3336">
        <v>45</v>
      </c>
      <c r="N3336" s="1">
        <f t="shared" si="416"/>
        <v>44938</v>
      </c>
      <c r="O3336" s="1">
        <f t="shared" si="417"/>
        <v>43101</v>
      </c>
      <c r="P3336" s="1">
        <f t="shared" si="418"/>
        <v>43770</v>
      </c>
      <c r="Q3336" s="8">
        <f t="shared" si="419"/>
        <v>0</v>
      </c>
      <c r="R3336" s="8">
        <f t="shared" si="420"/>
        <v>23</v>
      </c>
      <c r="S3336" s="8">
        <f t="shared" ca="1" si="421"/>
        <v>22</v>
      </c>
      <c r="T3336">
        <f t="shared" ca="1" si="422"/>
        <v>0.52</v>
      </c>
      <c r="U3336" s="8">
        <f t="shared" ca="1" si="423"/>
        <v>4.6400000000000006</v>
      </c>
      <c r="V3336" s="9">
        <f ca="1">RawData[[#This Row],[Z (smoothed demand size)]]/RawData[[#This Row],[X (smoothed interval)]]</f>
        <v>0.11206896551724137</v>
      </c>
    </row>
    <row r="3337" spans="1:22">
      <c r="A3337" t="s">
        <v>66</v>
      </c>
      <c r="B3337" t="s">
        <v>60</v>
      </c>
      <c r="C3337">
        <v>27</v>
      </c>
      <c r="D3337" t="s">
        <v>18</v>
      </c>
      <c r="E3337" t="s">
        <v>16</v>
      </c>
      <c r="F3337" s="1">
        <v>43477</v>
      </c>
      <c r="G3337">
        <v>0</v>
      </c>
      <c r="H3337">
        <v>0</v>
      </c>
      <c r="I3337">
        <v>21</v>
      </c>
      <c r="J3337">
        <v>21</v>
      </c>
      <c r="K3337">
        <v>0</v>
      </c>
      <c r="L3337">
        <v>801</v>
      </c>
      <c r="M3337">
        <v>45</v>
      </c>
      <c r="N3337" s="1">
        <f t="shared" si="416"/>
        <v>44938</v>
      </c>
      <c r="O3337" s="1">
        <f t="shared" si="417"/>
        <v>43101</v>
      </c>
      <c r="P3337" s="1">
        <f t="shared" si="418"/>
        <v>43800</v>
      </c>
      <c r="Q3337" s="8">
        <f t="shared" si="419"/>
        <v>0</v>
      </c>
      <c r="R3337" s="8">
        <f t="shared" si="420"/>
        <v>24</v>
      </c>
      <c r="S3337" s="8">
        <f t="shared" ca="1" si="421"/>
        <v>22</v>
      </c>
      <c r="T3337">
        <f t="shared" ca="1" si="422"/>
        <v>0.52</v>
      </c>
      <c r="U3337" s="8">
        <f t="shared" ca="1" si="423"/>
        <v>4.6400000000000006</v>
      </c>
      <c r="V3337" s="9">
        <f ca="1">RawData[[#This Row],[Z (smoothed demand size)]]/RawData[[#This Row],[X (smoothed interval)]]</f>
        <v>0.11206896551724137</v>
      </c>
    </row>
    <row r="3338" spans="1:22">
      <c r="A3338" t="s">
        <v>66</v>
      </c>
      <c r="B3338" t="s">
        <v>60</v>
      </c>
      <c r="C3338">
        <v>27</v>
      </c>
      <c r="D3338" t="s">
        <v>18</v>
      </c>
      <c r="E3338" t="s">
        <v>16</v>
      </c>
      <c r="F3338" s="1">
        <v>43831</v>
      </c>
      <c r="G3338">
        <v>0</v>
      </c>
      <c r="H3338">
        <v>0</v>
      </c>
      <c r="I3338">
        <v>21</v>
      </c>
      <c r="J3338">
        <v>21</v>
      </c>
      <c r="K3338">
        <v>0</v>
      </c>
      <c r="L3338">
        <v>714</v>
      </c>
      <c r="M3338">
        <v>45</v>
      </c>
      <c r="N3338" s="1">
        <f t="shared" si="416"/>
        <v>44938</v>
      </c>
      <c r="O3338" s="1">
        <f t="shared" si="417"/>
        <v>43101</v>
      </c>
      <c r="P3338" s="1">
        <f t="shared" si="418"/>
        <v>43831</v>
      </c>
      <c r="Q3338" s="8">
        <f t="shared" si="419"/>
        <v>0</v>
      </c>
      <c r="R3338" s="8">
        <f t="shared" si="420"/>
        <v>25</v>
      </c>
      <c r="S3338" s="8">
        <f t="shared" ca="1" si="421"/>
        <v>22</v>
      </c>
      <c r="T3338">
        <f t="shared" ca="1" si="422"/>
        <v>0.52</v>
      </c>
      <c r="U3338" s="8">
        <f t="shared" ca="1" si="423"/>
        <v>4.6400000000000006</v>
      </c>
      <c r="V3338" s="9">
        <f ca="1">RawData[[#This Row],[Z (smoothed demand size)]]/RawData[[#This Row],[X (smoothed interval)]]</f>
        <v>0.11206896551724137</v>
      </c>
    </row>
    <row r="3339" spans="1:22">
      <c r="A3339" t="s">
        <v>66</v>
      </c>
      <c r="B3339" t="s">
        <v>60</v>
      </c>
      <c r="C3339">
        <v>27</v>
      </c>
      <c r="D3339" t="s">
        <v>18</v>
      </c>
      <c r="E3339" t="s">
        <v>16</v>
      </c>
      <c r="F3339" s="1">
        <v>43832</v>
      </c>
      <c r="G3339">
        <v>0</v>
      </c>
      <c r="H3339">
        <v>0</v>
      </c>
      <c r="I3339">
        <v>21</v>
      </c>
      <c r="J3339">
        <v>21</v>
      </c>
      <c r="K3339">
        <v>0</v>
      </c>
      <c r="L3339">
        <v>700</v>
      </c>
      <c r="M3339">
        <v>15</v>
      </c>
      <c r="N3339" s="1">
        <f t="shared" si="416"/>
        <v>44938</v>
      </c>
      <c r="O3339" s="1">
        <f t="shared" si="417"/>
        <v>43101</v>
      </c>
      <c r="P3339" s="1">
        <f t="shared" si="418"/>
        <v>43862</v>
      </c>
      <c r="Q3339" s="8">
        <f t="shared" si="419"/>
        <v>0</v>
      </c>
      <c r="R3339" s="8">
        <f t="shared" si="420"/>
        <v>26</v>
      </c>
      <c r="S3339" s="8">
        <f t="shared" ca="1" si="421"/>
        <v>22</v>
      </c>
      <c r="T3339">
        <f t="shared" ca="1" si="422"/>
        <v>0.52</v>
      </c>
      <c r="U3339" s="8">
        <f t="shared" ca="1" si="423"/>
        <v>4.6400000000000006</v>
      </c>
      <c r="V3339" s="9">
        <f ca="1">RawData[[#This Row],[Z (smoothed demand size)]]/RawData[[#This Row],[X (smoothed interval)]]</f>
        <v>0.11206896551724137</v>
      </c>
    </row>
    <row r="3340" spans="1:22">
      <c r="A3340" t="s">
        <v>66</v>
      </c>
      <c r="B3340" t="s">
        <v>60</v>
      </c>
      <c r="C3340">
        <v>27</v>
      </c>
      <c r="D3340" t="s">
        <v>18</v>
      </c>
      <c r="E3340" t="s">
        <v>16</v>
      </c>
      <c r="F3340" s="1">
        <v>43833</v>
      </c>
      <c r="G3340">
        <v>0</v>
      </c>
      <c r="H3340">
        <v>0</v>
      </c>
      <c r="I3340">
        <v>21</v>
      </c>
      <c r="J3340">
        <v>21</v>
      </c>
      <c r="K3340">
        <v>0</v>
      </c>
      <c r="L3340">
        <v>701</v>
      </c>
      <c r="M3340">
        <v>45</v>
      </c>
      <c r="N3340" s="1">
        <f t="shared" si="416"/>
        <v>44938</v>
      </c>
      <c r="O3340" s="1">
        <f t="shared" si="417"/>
        <v>43101</v>
      </c>
      <c r="P3340" s="1">
        <f t="shared" si="418"/>
        <v>43891</v>
      </c>
      <c r="Q3340" s="8">
        <f t="shared" si="419"/>
        <v>0</v>
      </c>
      <c r="R3340" s="8">
        <f t="shared" si="420"/>
        <v>27</v>
      </c>
      <c r="S3340" s="8">
        <f t="shared" ca="1" si="421"/>
        <v>22</v>
      </c>
      <c r="T3340">
        <f t="shared" ca="1" si="422"/>
        <v>0.52</v>
      </c>
      <c r="U3340" s="8">
        <f t="shared" ca="1" si="423"/>
        <v>4.6400000000000006</v>
      </c>
      <c r="V3340" s="9">
        <f ca="1">RawData[[#This Row],[Z (smoothed demand size)]]/RawData[[#This Row],[X (smoothed interval)]]</f>
        <v>0.11206896551724137</v>
      </c>
    </row>
    <row r="3341" spans="1:22">
      <c r="A3341" t="s">
        <v>66</v>
      </c>
      <c r="B3341" t="s">
        <v>60</v>
      </c>
      <c r="C3341">
        <v>27</v>
      </c>
      <c r="D3341" t="s">
        <v>18</v>
      </c>
      <c r="E3341" t="s">
        <v>16</v>
      </c>
      <c r="F3341" s="1">
        <v>43834</v>
      </c>
      <c r="G3341">
        <v>2</v>
      </c>
      <c r="H3341">
        <v>2</v>
      </c>
      <c r="I3341">
        <v>21</v>
      </c>
      <c r="J3341">
        <v>19</v>
      </c>
      <c r="K3341">
        <v>0</v>
      </c>
      <c r="L3341">
        <v>710</v>
      </c>
      <c r="M3341">
        <v>60</v>
      </c>
      <c r="N3341" s="1">
        <f t="shared" si="416"/>
        <v>44938</v>
      </c>
      <c r="O3341" s="1">
        <f t="shared" si="417"/>
        <v>43101</v>
      </c>
      <c r="P3341" s="1">
        <f t="shared" si="418"/>
        <v>43922</v>
      </c>
      <c r="Q3341" s="8">
        <f t="shared" si="419"/>
        <v>0</v>
      </c>
      <c r="R3341" s="8">
        <f t="shared" si="420"/>
        <v>28</v>
      </c>
      <c r="S3341" s="8">
        <f t="shared" ca="1" si="421"/>
        <v>28</v>
      </c>
      <c r="T3341">
        <f t="shared" ca="1" si="422"/>
        <v>0.81600000000000006</v>
      </c>
      <c r="U3341" s="8">
        <f t="shared" ca="1" si="423"/>
        <v>4.9120000000000008</v>
      </c>
      <c r="V3341" s="9">
        <f ca="1">RawData[[#This Row],[Z (smoothed demand size)]]/RawData[[#This Row],[X (smoothed interval)]]</f>
        <v>0.16612377850162866</v>
      </c>
    </row>
    <row r="3342" spans="1:22">
      <c r="A3342" t="s">
        <v>66</v>
      </c>
      <c r="B3342" t="s">
        <v>60</v>
      </c>
      <c r="C3342">
        <v>27</v>
      </c>
      <c r="D3342" t="s">
        <v>18</v>
      </c>
      <c r="E3342" t="s">
        <v>16</v>
      </c>
      <c r="F3342" s="1">
        <v>43835</v>
      </c>
      <c r="G3342">
        <v>0</v>
      </c>
      <c r="H3342">
        <v>0</v>
      </c>
      <c r="I3342">
        <v>19</v>
      </c>
      <c r="J3342">
        <v>19</v>
      </c>
      <c r="K3342">
        <v>0</v>
      </c>
      <c r="L3342">
        <v>710</v>
      </c>
      <c r="M3342">
        <v>45</v>
      </c>
      <c r="N3342" s="1">
        <f t="shared" si="416"/>
        <v>44938</v>
      </c>
      <c r="O3342" s="1">
        <f t="shared" si="417"/>
        <v>43101</v>
      </c>
      <c r="P3342" s="1">
        <f t="shared" si="418"/>
        <v>43952</v>
      </c>
      <c r="Q3342" s="8">
        <f t="shared" si="419"/>
        <v>0</v>
      </c>
      <c r="R3342" s="8">
        <f t="shared" si="420"/>
        <v>29</v>
      </c>
      <c r="S3342" s="8">
        <f t="shared" ca="1" si="421"/>
        <v>28</v>
      </c>
      <c r="T3342">
        <f t="shared" ca="1" si="422"/>
        <v>0.81600000000000006</v>
      </c>
      <c r="U3342" s="8">
        <f t="shared" ca="1" si="423"/>
        <v>4.9120000000000008</v>
      </c>
      <c r="V3342" s="9">
        <f ca="1">RawData[[#This Row],[Z (smoothed demand size)]]/RawData[[#This Row],[X (smoothed interval)]]</f>
        <v>0.16612377850162866</v>
      </c>
    </row>
    <row r="3343" spans="1:22">
      <c r="A3343" t="s">
        <v>66</v>
      </c>
      <c r="B3343" t="s">
        <v>60</v>
      </c>
      <c r="C3343">
        <v>27</v>
      </c>
      <c r="D3343" t="s">
        <v>18</v>
      </c>
      <c r="E3343" t="s">
        <v>16</v>
      </c>
      <c r="F3343" s="1">
        <v>43836</v>
      </c>
      <c r="G3343">
        <v>0</v>
      </c>
      <c r="H3343">
        <v>0</v>
      </c>
      <c r="I3343">
        <v>19</v>
      </c>
      <c r="J3343">
        <v>19</v>
      </c>
      <c r="K3343">
        <v>0</v>
      </c>
      <c r="L3343">
        <v>823</v>
      </c>
      <c r="M3343">
        <v>30</v>
      </c>
      <c r="N3343" s="1">
        <f t="shared" si="416"/>
        <v>44938</v>
      </c>
      <c r="O3343" s="1">
        <f t="shared" si="417"/>
        <v>43101</v>
      </c>
      <c r="P3343" s="1">
        <f t="shared" si="418"/>
        <v>43983</v>
      </c>
      <c r="Q3343" s="8">
        <f t="shared" si="419"/>
        <v>0</v>
      </c>
      <c r="R3343" s="8">
        <f t="shared" si="420"/>
        <v>30</v>
      </c>
      <c r="S3343" s="8">
        <f t="shared" ca="1" si="421"/>
        <v>28</v>
      </c>
      <c r="T3343">
        <f t="shared" ca="1" si="422"/>
        <v>0.81600000000000006</v>
      </c>
      <c r="U3343" s="8">
        <f t="shared" ca="1" si="423"/>
        <v>4.9120000000000008</v>
      </c>
      <c r="V3343" s="9">
        <f ca="1">RawData[[#This Row],[Z (smoothed demand size)]]/RawData[[#This Row],[X (smoothed interval)]]</f>
        <v>0.16612377850162866</v>
      </c>
    </row>
    <row r="3344" spans="1:22">
      <c r="A3344" t="s">
        <v>66</v>
      </c>
      <c r="B3344" t="s">
        <v>60</v>
      </c>
      <c r="C3344">
        <v>27</v>
      </c>
      <c r="D3344" t="s">
        <v>18</v>
      </c>
      <c r="E3344" t="s">
        <v>16</v>
      </c>
      <c r="F3344" s="1">
        <v>43837</v>
      </c>
      <c r="G3344">
        <v>0</v>
      </c>
      <c r="H3344">
        <v>0</v>
      </c>
      <c r="I3344">
        <v>19</v>
      </c>
      <c r="J3344">
        <v>19</v>
      </c>
      <c r="K3344">
        <v>0</v>
      </c>
      <c r="L3344">
        <v>823</v>
      </c>
      <c r="M3344">
        <v>15</v>
      </c>
      <c r="N3344" s="1">
        <f t="shared" si="416"/>
        <v>44938</v>
      </c>
      <c r="O3344" s="1">
        <f t="shared" si="417"/>
        <v>43101</v>
      </c>
      <c r="P3344" s="1">
        <f t="shared" si="418"/>
        <v>44013</v>
      </c>
      <c r="Q3344" s="8">
        <f t="shared" si="419"/>
        <v>0</v>
      </c>
      <c r="R3344" s="8">
        <f t="shared" si="420"/>
        <v>31</v>
      </c>
      <c r="S3344" s="8">
        <f t="shared" ca="1" si="421"/>
        <v>28</v>
      </c>
      <c r="T3344">
        <f t="shared" ca="1" si="422"/>
        <v>0.81600000000000006</v>
      </c>
      <c r="U3344" s="8">
        <f t="shared" ca="1" si="423"/>
        <v>4.9120000000000008</v>
      </c>
      <c r="V3344" s="9">
        <f ca="1">RawData[[#This Row],[Z (smoothed demand size)]]/RawData[[#This Row],[X (smoothed interval)]]</f>
        <v>0.16612377850162866</v>
      </c>
    </row>
    <row r="3345" spans="1:22">
      <c r="A3345" t="s">
        <v>66</v>
      </c>
      <c r="B3345" t="s">
        <v>60</v>
      </c>
      <c r="C3345">
        <v>27</v>
      </c>
      <c r="D3345" t="s">
        <v>18</v>
      </c>
      <c r="E3345" t="s">
        <v>16</v>
      </c>
      <c r="F3345" s="1">
        <v>43838</v>
      </c>
      <c r="G3345">
        <v>0</v>
      </c>
      <c r="H3345">
        <v>0</v>
      </c>
      <c r="I3345">
        <v>19</v>
      </c>
      <c r="J3345">
        <v>19</v>
      </c>
      <c r="K3345">
        <v>0</v>
      </c>
      <c r="L3345">
        <v>827</v>
      </c>
      <c r="M3345">
        <v>30</v>
      </c>
      <c r="N3345" s="1">
        <f t="shared" si="416"/>
        <v>44938</v>
      </c>
      <c r="O3345" s="1">
        <f t="shared" si="417"/>
        <v>43101</v>
      </c>
      <c r="P3345" s="1">
        <f t="shared" si="418"/>
        <v>44044</v>
      </c>
      <c r="Q3345" s="8">
        <f t="shared" si="419"/>
        <v>0</v>
      </c>
      <c r="R3345" s="8">
        <f t="shared" si="420"/>
        <v>32</v>
      </c>
      <c r="S3345" s="8">
        <f t="shared" ca="1" si="421"/>
        <v>28</v>
      </c>
      <c r="T3345">
        <f t="shared" ca="1" si="422"/>
        <v>0.81600000000000006</v>
      </c>
      <c r="U3345" s="8">
        <f t="shared" ca="1" si="423"/>
        <v>4.9120000000000008</v>
      </c>
      <c r="V3345" s="9">
        <f ca="1">RawData[[#This Row],[Z (smoothed demand size)]]/RawData[[#This Row],[X (smoothed interval)]]</f>
        <v>0.16612377850162866</v>
      </c>
    </row>
    <row r="3346" spans="1:22">
      <c r="A3346" t="s">
        <v>66</v>
      </c>
      <c r="B3346" t="s">
        <v>60</v>
      </c>
      <c r="C3346">
        <v>27</v>
      </c>
      <c r="D3346" t="s">
        <v>18</v>
      </c>
      <c r="E3346" t="s">
        <v>16</v>
      </c>
      <c r="F3346" s="1">
        <v>43839</v>
      </c>
      <c r="G3346">
        <v>0</v>
      </c>
      <c r="H3346">
        <v>0</v>
      </c>
      <c r="I3346">
        <v>19</v>
      </c>
      <c r="J3346">
        <v>19</v>
      </c>
      <c r="K3346">
        <v>0</v>
      </c>
      <c r="L3346">
        <v>722</v>
      </c>
      <c r="M3346">
        <v>30</v>
      </c>
      <c r="N3346" s="1">
        <f t="shared" si="416"/>
        <v>44938</v>
      </c>
      <c r="O3346" s="1">
        <f t="shared" si="417"/>
        <v>43101</v>
      </c>
      <c r="P3346" s="1">
        <f t="shared" si="418"/>
        <v>44075</v>
      </c>
      <c r="Q3346" s="8">
        <f t="shared" si="419"/>
        <v>0</v>
      </c>
      <c r="R3346" s="8">
        <f t="shared" si="420"/>
        <v>33</v>
      </c>
      <c r="S3346" s="8">
        <f t="shared" ca="1" si="421"/>
        <v>28</v>
      </c>
      <c r="T3346">
        <f t="shared" ca="1" si="422"/>
        <v>0.81600000000000006</v>
      </c>
      <c r="U3346" s="8">
        <f t="shared" ca="1" si="423"/>
        <v>4.9120000000000008</v>
      </c>
      <c r="V3346" s="9">
        <f ca="1">RawData[[#This Row],[Z (smoothed demand size)]]/RawData[[#This Row],[X (smoothed interval)]]</f>
        <v>0.16612377850162866</v>
      </c>
    </row>
    <row r="3347" spans="1:22">
      <c r="A3347" t="s">
        <v>66</v>
      </c>
      <c r="B3347" t="s">
        <v>60</v>
      </c>
      <c r="C3347">
        <v>27</v>
      </c>
      <c r="D3347" t="s">
        <v>18</v>
      </c>
      <c r="E3347" t="s">
        <v>16</v>
      </c>
      <c r="F3347" s="1">
        <v>43840</v>
      </c>
      <c r="G3347">
        <v>0</v>
      </c>
      <c r="H3347">
        <v>0</v>
      </c>
      <c r="I3347">
        <v>19</v>
      </c>
      <c r="J3347">
        <v>19</v>
      </c>
      <c r="K3347">
        <v>0</v>
      </c>
      <c r="L3347">
        <v>718</v>
      </c>
      <c r="M3347">
        <v>60</v>
      </c>
      <c r="N3347" s="1">
        <f t="shared" si="416"/>
        <v>44938</v>
      </c>
      <c r="O3347" s="1">
        <f t="shared" si="417"/>
        <v>43101</v>
      </c>
      <c r="P3347" s="1">
        <f t="shared" si="418"/>
        <v>44105</v>
      </c>
      <c r="Q3347" s="8">
        <f t="shared" si="419"/>
        <v>0</v>
      </c>
      <c r="R3347" s="8">
        <f t="shared" si="420"/>
        <v>34</v>
      </c>
      <c r="S3347" s="8">
        <f t="shared" ca="1" si="421"/>
        <v>28</v>
      </c>
      <c r="T3347">
        <f t="shared" ca="1" si="422"/>
        <v>0.81600000000000006</v>
      </c>
      <c r="U3347" s="8">
        <f t="shared" ca="1" si="423"/>
        <v>4.9120000000000008</v>
      </c>
      <c r="V3347" s="9">
        <f ca="1">RawData[[#This Row],[Z (smoothed demand size)]]/RawData[[#This Row],[X (smoothed interval)]]</f>
        <v>0.16612377850162866</v>
      </c>
    </row>
    <row r="3348" spans="1:22">
      <c r="A3348" t="s">
        <v>66</v>
      </c>
      <c r="B3348" t="s">
        <v>60</v>
      </c>
      <c r="C3348">
        <v>27</v>
      </c>
      <c r="D3348" t="s">
        <v>18</v>
      </c>
      <c r="E3348" t="s">
        <v>16</v>
      </c>
      <c r="F3348" s="1">
        <v>43841</v>
      </c>
      <c r="G3348">
        <v>0</v>
      </c>
      <c r="H3348">
        <v>0</v>
      </c>
      <c r="I3348">
        <v>19</v>
      </c>
      <c r="J3348">
        <v>19</v>
      </c>
      <c r="K3348">
        <v>0</v>
      </c>
      <c r="L3348">
        <v>713</v>
      </c>
      <c r="M3348">
        <v>30</v>
      </c>
      <c r="N3348" s="1">
        <f t="shared" si="416"/>
        <v>44938</v>
      </c>
      <c r="O3348" s="1">
        <f t="shared" si="417"/>
        <v>43101</v>
      </c>
      <c r="P3348" s="1">
        <f t="shared" si="418"/>
        <v>44136</v>
      </c>
      <c r="Q3348" s="8">
        <f t="shared" si="419"/>
        <v>0</v>
      </c>
      <c r="R3348" s="8">
        <f t="shared" si="420"/>
        <v>35</v>
      </c>
      <c r="S3348" s="8">
        <f t="shared" ca="1" si="421"/>
        <v>28</v>
      </c>
      <c r="T3348">
        <f t="shared" ca="1" si="422"/>
        <v>0.81600000000000006</v>
      </c>
      <c r="U3348" s="8">
        <f t="shared" ca="1" si="423"/>
        <v>4.9120000000000008</v>
      </c>
      <c r="V3348" s="9">
        <f ca="1">RawData[[#This Row],[Z (smoothed demand size)]]/RawData[[#This Row],[X (smoothed interval)]]</f>
        <v>0.16612377850162866</v>
      </c>
    </row>
    <row r="3349" spans="1:22">
      <c r="A3349" t="s">
        <v>66</v>
      </c>
      <c r="B3349" t="s">
        <v>60</v>
      </c>
      <c r="C3349">
        <v>27</v>
      </c>
      <c r="D3349" t="s">
        <v>18</v>
      </c>
      <c r="E3349" t="s">
        <v>16</v>
      </c>
      <c r="F3349" s="1">
        <v>43842</v>
      </c>
      <c r="G3349">
        <v>0</v>
      </c>
      <c r="H3349">
        <v>0</v>
      </c>
      <c r="I3349">
        <v>19</v>
      </c>
      <c r="J3349">
        <v>19</v>
      </c>
      <c r="K3349">
        <v>0</v>
      </c>
      <c r="L3349">
        <v>819</v>
      </c>
      <c r="M3349">
        <v>45</v>
      </c>
      <c r="N3349" s="1">
        <f t="shared" si="416"/>
        <v>44938</v>
      </c>
      <c r="O3349" s="1">
        <f t="shared" si="417"/>
        <v>43101</v>
      </c>
      <c r="P3349" s="1">
        <f t="shared" si="418"/>
        <v>44166</v>
      </c>
      <c r="Q3349" s="8">
        <f t="shared" si="419"/>
        <v>0</v>
      </c>
      <c r="R3349" s="8">
        <f t="shared" si="420"/>
        <v>36</v>
      </c>
      <c r="S3349" s="8">
        <f t="shared" ca="1" si="421"/>
        <v>28</v>
      </c>
      <c r="T3349">
        <f t="shared" ca="1" si="422"/>
        <v>0.81600000000000006</v>
      </c>
      <c r="U3349" s="8">
        <f t="shared" ca="1" si="423"/>
        <v>4.9120000000000008</v>
      </c>
      <c r="V3349" s="9">
        <f ca="1">RawData[[#This Row],[Z (smoothed demand size)]]/RawData[[#This Row],[X (smoothed interval)]]</f>
        <v>0.16612377850162866</v>
      </c>
    </row>
    <row r="3350" spans="1:22">
      <c r="A3350" t="s">
        <v>66</v>
      </c>
      <c r="B3350" t="s">
        <v>60</v>
      </c>
      <c r="C3350">
        <v>27</v>
      </c>
      <c r="D3350" t="s">
        <v>18</v>
      </c>
      <c r="E3350" t="s">
        <v>16</v>
      </c>
      <c r="F3350" s="1">
        <v>44197</v>
      </c>
      <c r="G3350">
        <v>0</v>
      </c>
      <c r="H3350">
        <v>0</v>
      </c>
      <c r="I3350">
        <v>19</v>
      </c>
      <c r="J3350">
        <v>19</v>
      </c>
      <c r="K3350">
        <v>0</v>
      </c>
      <c r="L3350">
        <v>713</v>
      </c>
      <c r="M3350">
        <v>30</v>
      </c>
      <c r="N3350" s="1">
        <f t="shared" si="416"/>
        <v>44938</v>
      </c>
      <c r="O3350" s="1">
        <f t="shared" si="417"/>
        <v>43101</v>
      </c>
      <c r="P3350" s="1">
        <f t="shared" si="418"/>
        <v>44197</v>
      </c>
      <c r="Q3350" s="8">
        <f t="shared" si="419"/>
        <v>0</v>
      </c>
      <c r="R3350" s="8">
        <f t="shared" si="420"/>
        <v>37</v>
      </c>
      <c r="S3350" s="8">
        <f t="shared" ca="1" si="421"/>
        <v>28</v>
      </c>
      <c r="T3350">
        <f t="shared" ca="1" si="422"/>
        <v>0.81600000000000006</v>
      </c>
      <c r="U3350" s="8">
        <f t="shared" ca="1" si="423"/>
        <v>4.9120000000000008</v>
      </c>
      <c r="V3350" s="9">
        <f ca="1">RawData[[#This Row],[Z (smoothed demand size)]]/RawData[[#This Row],[X (smoothed interval)]]</f>
        <v>0.16612377850162866</v>
      </c>
    </row>
    <row r="3351" spans="1:22">
      <c r="A3351" t="s">
        <v>66</v>
      </c>
      <c r="B3351" t="s">
        <v>60</v>
      </c>
      <c r="C3351">
        <v>27</v>
      </c>
      <c r="D3351" t="s">
        <v>18</v>
      </c>
      <c r="E3351" t="s">
        <v>16</v>
      </c>
      <c r="F3351" s="1">
        <v>44198</v>
      </c>
      <c r="G3351">
        <v>3</v>
      </c>
      <c r="H3351">
        <v>3</v>
      </c>
      <c r="I3351">
        <v>19</v>
      </c>
      <c r="J3351">
        <v>16</v>
      </c>
      <c r="K3351">
        <v>0</v>
      </c>
      <c r="L3351">
        <v>694</v>
      </c>
      <c r="M3351">
        <v>15</v>
      </c>
      <c r="N3351" s="1">
        <f t="shared" si="416"/>
        <v>44938</v>
      </c>
      <c r="O3351" s="1">
        <f t="shared" si="417"/>
        <v>43101</v>
      </c>
      <c r="P3351" s="1">
        <f t="shared" si="418"/>
        <v>44228</v>
      </c>
      <c r="Q3351" s="8">
        <f t="shared" si="419"/>
        <v>0</v>
      </c>
      <c r="R3351" s="8">
        <f t="shared" si="420"/>
        <v>38</v>
      </c>
      <c r="S3351" s="8">
        <f t="shared" ca="1" si="421"/>
        <v>38</v>
      </c>
      <c r="T3351">
        <f t="shared" ca="1" si="422"/>
        <v>1.2528000000000001</v>
      </c>
      <c r="U3351" s="8">
        <f t="shared" ca="1" si="423"/>
        <v>5.9296000000000006</v>
      </c>
      <c r="V3351" s="9">
        <f ca="1">RawData[[#This Row],[Z (smoothed demand size)]]/RawData[[#This Row],[X (smoothed interval)]]</f>
        <v>0.21127900701565031</v>
      </c>
    </row>
    <row r="3352" spans="1:22">
      <c r="A3352" t="s">
        <v>66</v>
      </c>
      <c r="B3352" t="s">
        <v>60</v>
      </c>
      <c r="C3352">
        <v>27</v>
      </c>
      <c r="D3352" t="s">
        <v>18</v>
      </c>
      <c r="E3352" t="s">
        <v>16</v>
      </c>
      <c r="F3352" s="1">
        <v>44199</v>
      </c>
      <c r="G3352">
        <v>0</v>
      </c>
      <c r="H3352">
        <v>0</v>
      </c>
      <c r="I3352">
        <v>16</v>
      </c>
      <c r="J3352">
        <v>16</v>
      </c>
      <c r="K3352">
        <v>0</v>
      </c>
      <c r="L3352">
        <v>707</v>
      </c>
      <c r="M3352">
        <v>30</v>
      </c>
      <c r="N3352" s="1">
        <f t="shared" si="416"/>
        <v>44938</v>
      </c>
      <c r="O3352" s="1">
        <f t="shared" si="417"/>
        <v>43101</v>
      </c>
      <c r="P3352" s="1">
        <f t="shared" si="418"/>
        <v>44256</v>
      </c>
      <c r="Q3352" s="8">
        <f t="shared" si="419"/>
        <v>0</v>
      </c>
      <c r="R3352" s="8">
        <f t="shared" si="420"/>
        <v>39</v>
      </c>
      <c r="S3352" s="8">
        <f t="shared" ca="1" si="421"/>
        <v>38</v>
      </c>
      <c r="T3352">
        <f t="shared" ca="1" si="422"/>
        <v>1.2528000000000001</v>
      </c>
      <c r="U3352" s="8">
        <f t="shared" ca="1" si="423"/>
        <v>5.9296000000000006</v>
      </c>
      <c r="V3352" s="9">
        <f ca="1">RawData[[#This Row],[Z (smoothed demand size)]]/RawData[[#This Row],[X (smoothed interval)]]</f>
        <v>0.21127900701565031</v>
      </c>
    </row>
    <row r="3353" spans="1:22">
      <c r="A3353" t="s">
        <v>66</v>
      </c>
      <c r="B3353" t="s">
        <v>60</v>
      </c>
      <c r="C3353">
        <v>27</v>
      </c>
      <c r="D3353" t="s">
        <v>18</v>
      </c>
      <c r="E3353" t="s">
        <v>16</v>
      </c>
      <c r="F3353" s="1">
        <v>44200</v>
      </c>
      <c r="G3353">
        <v>0</v>
      </c>
      <c r="H3353">
        <v>0</v>
      </c>
      <c r="I3353">
        <v>16</v>
      </c>
      <c r="J3353">
        <v>16</v>
      </c>
      <c r="K3353">
        <v>0</v>
      </c>
      <c r="L3353">
        <v>696</v>
      </c>
      <c r="M3353">
        <v>45</v>
      </c>
      <c r="N3353" s="1">
        <f t="shared" si="416"/>
        <v>44938</v>
      </c>
      <c r="O3353" s="1">
        <f t="shared" si="417"/>
        <v>43101</v>
      </c>
      <c r="P3353" s="1">
        <f t="shared" si="418"/>
        <v>44287</v>
      </c>
      <c r="Q3353" s="8">
        <f t="shared" si="419"/>
        <v>0</v>
      </c>
      <c r="R3353" s="8">
        <f t="shared" si="420"/>
        <v>40</v>
      </c>
      <c r="S3353" s="8">
        <f t="shared" ca="1" si="421"/>
        <v>38</v>
      </c>
      <c r="T3353">
        <f t="shared" ca="1" si="422"/>
        <v>1.2528000000000001</v>
      </c>
      <c r="U3353" s="8">
        <f t="shared" ca="1" si="423"/>
        <v>5.9296000000000006</v>
      </c>
      <c r="V3353" s="9">
        <f ca="1">RawData[[#This Row],[Z (smoothed demand size)]]/RawData[[#This Row],[X (smoothed interval)]]</f>
        <v>0.21127900701565031</v>
      </c>
    </row>
    <row r="3354" spans="1:22">
      <c r="A3354" t="s">
        <v>66</v>
      </c>
      <c r="B3354" t="s">
        <v>60</v>
      </c>
      <c r="C3354">
        <v>27</v>
      </c>
      <c r="D3354" t="s">
        <v>18</v>
      </c>
      <c r="E3354" t="s">
        <v>16</v>
      </c>
      <c r="F3354" s="1">
        <v>44201</v>
      </c>
      <c r="G3354">
        <v>0</v>
      </c>
      <c r="H3354">
        <v>0</v>
      </c>
      <c r="I3354">
        <v>16</v>
      </c>
      <c r="J3354">
        <v>16</v>
      </c>
      <c r="K3354">
        <v>0</v>
      </c>
      <c r="L3354">
        <v>703</v>
      </c>
      <c r="M3354">
        <v>60</v>
      </c>
      <c r="N3354" s="1">
        <f t="shared" si="416"/>
        <v>44938</v>
      </c>
      <c r="O3354" s="1">
        <f t="shared" si="417"/>
        <v>43101</v>
      </c>
      <c r="P3354" s="1">
        <f t="shared" si="418"/>
        <v>44317</v>
      </c>
      <c r="Q3354" s="8">
        <f t="shared" si="419"/>
        <v>0</v>
      </c>
      <c r="R3354" s="8">
        <f t="shared" si="420"/>
        <v>41</v>
      </c>
      <c r="S3354" s="8">
        <f t="shared" ca="1" si="421"/>
        <v>38</v>
      </c>
      <c r="T3354">
        <f t="shared" ca="1" si="422"/>
        <v>1.2528000000000001</v>
      </c>
      <c r="U3354" s="8">
        <f t="shared" ca="1" si="423"/>
        <v>5.9296000000000006</v>
      </c>
      <c r="V3354" s="9">
        <f ca="1">RawData[[#This Row],[Z (smoothed demand size)]]/RawData[[#This Row],[X (smoothed interval)]]</f>
        <v>0.21127900701565031</v>
      </c>
    </row>
    <row r="3355" spans="1:22">
      <c r="A3355" t="s">
        <v>66</v>
      </c>
      <c r="B3355" t="s">
        <v>60</v>
      </c>
      <c r="C3355">
        <v>27</v>
      </c>
      <c r="D3355" t="s">
        <v>18</v>
      </c>
      <c r="E3355" t="s">
        <v>16</v>
      </c>
      <c r="F3355" s="1">
        <v>44202</v>
      </c>
      <c r="G3355">
        <v>3</v>
      </c>
      <c r="H3355">
        <v>3</v>
      </c>
      <c r="I3355">
        <v>16</v>
      </c>
      <c r="J3355">
        <v>13</v>
      </c>
      <c r="K3355">
        <v>0</v>
      </c>
      <c r="L3355">
        <v>803</v>
      </c>
      <c r="M3355">
        <v>60</v>
      </c>
      <c r="N3355" s="1">
        <f t="shared" si="416"/>
        <v>44938</v>
      </c>
      <c r="O3355" s="1">
        <f t="shared" si="417"/>
        <v>43101</v>
      </c>
      <c r="P3355" s="1">
        <f t="shared" si="418"/>
        <v>44348</v>
      </c>
      <c r="Q3355" s="8">
        <f t="shared" si="419"/>
        <v>0</v>
      </c>
      <c r="R3355" s="8">
        <f t="shared" si="420"/>
        <v>42</v>
      </c>
      <c r="S3355" s="8">
        <f t="shared" ca="1" si="421"/>
        <v>42</v>
      </c>
      <c r="T3355">
        <f t="shared" ca="1" si="422"/>
        <v>1.6022400000000003</v>
      </c>
      <c r="U3355" s="8">
        <f t="shared" ca="1" si="423"/>
        <v>5.5436800000000002</v>
      </c>
      <c r="V3355" s="9">
        <f ca="1">RawData[[#This Row],[Z (smoothed demand size)]]/RawData[[#This Row],[X (smoothed interval)]]</f>
        <v>0.28902101131378438</v>
      </c>
    </row>
    <row r="3356" spans="1:22">
      <c r="A3356" t="s">
        <v>66</v>
      </c>
      <c r="B3356" t="s">
        <v>60</v>
      </c>
      <c r="C3356">
        <v>27</v>
      </c>
      <c r="D3356" t="s">
        <v>18</v>
      </c>
      <c r="E3356" t="s">
        <v>16</v>
      </c>
      <c r="F3356" s="1">
        <v>44203</v>
      </c>
      <c r="G3356">
        <v>2</v>
      </c>
      <c r="H3356">
        <v>2</v>
      </c>
      <c r="I3356">
        <v>13</v>
      </c>
      <c r="J3356">
        <v>11</v>
      </c>
      <c r="K3356">
        <v>0</v>
      </c>
      <c r="L3356">
        <v>818</v>
      </c>
      <c r="M3356">
        <v>15</v>
      </c>
      <c r="N3356" s="1">
        <f t="shared" si="416"/>
        <v>44938</v>
      </c>
      <c r="O3356" s="1">
        <f t="shared" si="417"/>
        <v>43101</v>
      </c>
      <c r="P3356" s="1">
        <f t="shared" si="418"/>
        <v>44378</v>
      </c>
      <c r="Q3356" s="8">
        <f t="shared" si="419"/>
        <v>0</v>
      </c>
      <c r="R3356" s="8">
        <f t="shared" si="420"/>
        <v>43</v>
      </c>
      <c r="S3356" s="8">
        <f t="shared" ca="1" si="421"/>
        <v>43</v>
      </c>
      <c r="T3356">
        <f t="shared" ca="1" si="422"/>
        <v>1.6817920000000002</v>
      </c>
      <c r="U3356" s="8">
        <f t="shared" ca="1" si="423"/>
        <v>4.6349440000000008</v>
      </c>
      <c r="V3356" s="9">
        <f ca="1">RawData[[#This Row],[Z (smoothed demand size)]]/RawData[[#This Row],[X (smoothed interval)]]</f>
        <v>0.3628505543972052</v>
      </c>
    </row>
    <row r="3357" spans="1:22">
      <c r="A3357" t="s">
        <v>66</v>
      </c>
      <c r="B3357" t="s">
        <v>60</v>
      </c>
      <c r="C3357">
        <v>27</v>
      </c>
      <c r="D3357" t="s">
        <v>18</v>
      </c>
      <c r="E3357" t="s">
        <v>16</v>
      </c>
      <c r="F3357" s="1">
        <v>44204</v>
      </c>
      <c r="G3357">
        <v>0</v>
      </c>
      <c r="H3357">
        <v>0</v>
      </c>
      <c r="I3357">
        <v>11</v>
      </c>
      <c r="J3357">
        <v>11</v>
      </c>
      <c r="K3357">
        <v>0</v>
      </c>
      <c r="L3357">
        <v>820</v>
      </c>
      <c r="M3357">
        <v>45</v>
      </c>
      <c r="N3357" s="1">
        <f t="shared" si="416"/>
        <v>44938</v>
      </c>
      <c r="O3357" s="1">
        <f t="shared" si="417"/>
        <v>43101</v>
      </c>
      <c r="P3357" s="1">
        <f t="shared" si="418"/>
        <v>44409</v>
      </c>
      <c r="Q3357" s="8">
        <f t="shared" si="419"/>
        <v>0</v>
      </c>
      <c r="R3357" s="8">
        <f t="shared" si="420"/>
        <v>44</v>
      </c>
      <c r="S3357" s="8">
        <f t="shared" ca="1" si="421"/>
        <v>43</v>
      </c>
      <c r="T3357">
        <f t="shared" ca="1" si="422"/>
        <v>1.6817920000000002</v>
      </c>
      <c r="U3357" s="8">
        <f t="shared" ca="1" si="423"/>
        <v>4.6349440000000008</v>
      </c>
      <c r="V3357" s="9">
        <f ca="1">RawData[[#This Row],[Z (smoothed demand size)]]/RawData[[#This Row],[X (smoothed interval)]]</f>
        <v>0.3628505543972052</v>
      </c>
    </row>
    <row r="3358" spans="1:22">
      <c r="A3358" t="s">
        <v>66</v>
      </c>
      <c r="B3358" t="s">
        <v>60</v>
      </c>
      <c r="C3358">
        <v>27</v>
      </c>
      <c r="D3358" t="s">
        <v>18</v>
      </c>
      <c r="E3358" t="s">
        <v>16</v>
      </c>
      <c r="F3358" s="1">
        <v>44205</v>
      </c>
      <c r="G3358">
        <v>0</v>
      </c>
      <c r="H3358">
        <v>0</v>
      </c>
      <c r="I3358">
        <v>11</v>
      </c>
      <c r="J3358">
        <v>11</v>
      </c>
      <c r="K3358">
        <v>0</v>
      </c>
      <c r="L3358">
        <v>717</v>
      </c>
      <c r="M3358">
        <v>30</v>
      </c>
      <c r="N3358" s="1">
        <f t="shared" si="416"/>
        <v>44938</v>
      </c>
      <c r="O3358" s="1">
        <f t="shared" si="417"/>
        <v>43101</v>
      </c>
      <c r="P3358" s="1">
        <f t="shared" si="418"/>
        <v>44440</v>
      </c>
      <c r="Q3358" s="8">
        <f t="shared" si="419"/>
        <v>0</v>
      </c>
      <c r="R3358" s="8">
        <f t="shared" si="420"/>
        <v>45</v>
      </c>
      <c r="S3358" s="8">
        <f t="shared" ca="1" si="421"/>
        <v>43</v>
      </c>
      <c r="T3358">
        <f t="shared" ca="1" si="422"/>
        <v>1.6817920000000002</v>
      </c>
      <c r="U3358" s="8">
        <f t="shared" ca="1" si="423"/>
        <v>4.6349440000000008</v>
      </c>
      <c r="V3358" s="9">
        <f ca="1">RawData[[#This Row],[Z (smoothed demand size)]]/RawData[[#This Row],[X (smoothed interval)]]</f>
        <v>0.3628505543972052</v>
      </c>
    </row>
    <row r="3359" spans="1:22">
      <c r="A3359" t="s">
        <v>66</v>
      </c>
      <c r="B3359" t="s">
        <v>60</v>
      </c>
      <c r="C3359">
        <v>27</v>
      </c>
      <c r="D3359" t="s">
        <v>18</v>
      </c>
      <c r="E3359" t="s">
        <v>16</v>
      </c>
      <c r="F3359" s="1">
        <v>44206</v>
      </c>
      <c r="G3359">
        <v>0</v>
      </c>
      <c r="H3359">
        <v>0</v>
      </c>
      <c r="I3359">
        <v>11</v>
      </c>
      <c r="J3359">
        <v>11</v>
      </c>
      <c r="K3359">
        <v>0</v>
      </c>
      <c r="L3359">
        <v>702</v>
      </c>
      <c r="M3359">
        <v>15</v>
      </c>
      <c r="N3359" s="1">
        <f t="shared" si="416"/>
        <v>44938</v>
      </c>
      <c r="O3359" s="1">
        <f t="shared" si="417"/>
        <v>43101</v>
      </c>
      <c r="P3359" s="1">
        <f t="shared" si="418"/>
        <v>44470</v>
      </c>
      <c r="Q3359" s="8">
        <f t="shared" si="419"/>
        <v>0</v>
      </c>
      <c r="R3359" s="8">
        <f t="shared" si="420"/>
        <v>46</v>
      </c>
      <c r="S3359" s="8">
        <f t="shared" ca="1" si="421"/>
        <v>43</v>
      </c>
      <c r="T3359">
        <f t="shared" ca="1" si="422"/>
        <v>1.6817920000000002</v>
      </c>
      <c r="U3359" s="8">
        <f t="shared" ca="1" si="423"/>
        <v>4.6349440000000008</v>
      </c>
      <c r="V3359" s="9">
        <f ca="1">RawData[[#This Row],[Z (smoothed demand size)]]/RawData[[#This Row],[X (smoothed interval)]]</f>
        <v>0.3628505543972052</v>
      </c>
    </row>
    <row r="3360" spans="1:22">
      <c r="A3360" t="s">
        <v>66</v>
      </c>
      <c r="B3360" t="s">
        <v>60</v>
      </c>
      <c r="C3360">
        <v>27</v>
      </c>
      <c r="D3360" t="s">
        <v>18</v>
      </c>
      <c r="E3360" t="s">
        <v>16</v>
      </c>
      <c r="F3360" s="1">
        <v>44207</v>
      </c>
      <c r="G3360">
        <v>2</v>
      </c>
      <c r="H3360">
        <v>2</v>
      </c>
      <c r="I3360">
        <v>11</v>
      </c>
      <c r="J3360">
        <v>9</v>
      </c>
      <c r="K3360">
        <v>0</v>
      </c>
      <c r="L3360">
        <v>704</v>
      </c>
      <c r="M3360">
        <v>60</v>
      </c>
      <c r="N3360" s="1">
        <f t="shared" si="416"/>
        <v>44938</v>
      </c>
      <c r="O3360" s="1">
        <f t="shared" si="417"/>
        <v>43101</v>
      </c>
      <c r="P3360" s="1">
        <f t="shared" si="418"/>
        <v>44501</v>
      </c>
      <c r="Q3360" s="8">
        <f t="shared" si="419"/>
        <v>0</v>
      </c>
      <c r="R3360" s="8">
        <f t="shared" si="420"/>
        <v>47</v>
      </c>
      <c r="S3360" s="8">
        <f t="shared" ca="1" si="421"/>
        <v>47</v>
      </c>
      <c r="T3360">
        <f t="shared" ca="1" si="422"/>
        <v>1.7454336000000001</v>
      </c>
      <c r="U3360" s="8">
        <f t="shared" ca="1" si="423"/>
        <v>4.5079552000000005</v>
      </c>
      <c r="V3360" s="9">
        <f ca="1">RawData[[#This Row],[Z (smoothed demand size)]]/RawData[[#This Row],[X (smoothed interval)]]</f>
        <v>0.38718965086432089</v>
      </c>
    </row>
    <row r="3361" spans="1:22">
      <c r="A3361" t="s">
        <v>66</v>
      </c>
      <c r="B3361" t="s">
        <v>60</v>
      </c>
      <c r="C3361">
        <v>27</v>
      </c>
      <c r="D3361" t="s">
        <v>18</v>
      </c>
      <c r="E3361" t="s">
        <v>16</v>
      </c>
      <c r="F3361" s="1">
        <v>44208</v>
      </c>
      <c r="G3361">
        <v>0</v>
      </c>
      <c r="H3361">
        <v>0</v>
      </c>
      <c r="I3361">
        <v>9</v>
      </c>
      <c r="J3361">
        <v>9</v>
      </c>
      <c r="K3361">
        <v>0</v>
      </c>
      <c r="L3361">
        <v>824</v>
      </c>
      <c r="M3361">
        <v>15</v>
      </c>
      <c r="N3361" s="1">
        <f t="shared" si="416"/>
        <v>44938</v>
      </c>
      <c r="O3361" s="1">
        <f t="shared" si="417"/>
        <v>43101</v>
      </c>
      <c r="P3361" s="1">
        <f t="shared" si="418"/>
        <v>44531</v>
      </c>
      <c r="Q3361" s="8">
        <f t="shared" si="419"/>
        <v>0</v>
      </c>
      <c r="R3361" s="8">
        <f t="shared" si="420"/>
        <v>48</v>
      </c>
      <c r="S3361" s="8">
        <f t="shared" ca="1" si="421"/>
        <v>47</v>
      </c>
      <c r="T3361">
        <f t="shared" ca="1" si="422"/>
        <v>1.7454336000000001</v>
      </c>
      <c r="U3361" s="8">
        <f t="shared" ca="1" si="423"/>
        <v>4.5079552000000005</v>
      </c>
      <c r="V3361" s="9">
        <f ca="1">RawData[[#This Row],[Z (smoothed demand size)]]/RawData[[#This Row],[X (smoothed interval)]]</f>
        <v>0.38718965086432089</v>
      </c>
    </row>
    <row r="3362" spans="1:22">
      <c r="A3362" t="s">
        <v>66</v>
      </c>
      <c r="B3362" t="s">
        <v>60</v>
      </c>
      <c r="C3362">
        <v>27</v>
      </c>
      <c r="D3362" t="s">
        <v>18</v>
      </c>
      <c r="E3362" t="s">
        <v>16</v>
      </c>
      <c r="F3362" s="1">
        <v>44562</v>
      </c>
      <c r="G3362">
        <v>2</v>
      </c>
      <c r="H3362">
        <v>2</v>
      </c>
      <c r="I3362">
        <v>9</v>
      </c>
      <c r="J3362">
        <v>7</v>
      </c>
      <c r="K3362">
        <v>0</v>
      </c>
      <c r="L3362">
        <v>703</v>
      </c>
      <c r="M3362">
        <v>45</v>
      </c>
      <c r="N3362" s="1">
        <f t="shared" si="416"/>
        <v>44938</v>
      </c>
      <c r="O3362" s="1">
        <f t="shared" si="417"/>
        <v>43101</v>
      </c>
      <c r="P3362" s="1">
        <f t="shared" si="418"/>
        <v>44562</v>
      </c>
      <c r="Q3362" s="8">
        <f t="shared" si="419"/>
        <v>0</v>
      </c>
      <c r="R3362" s="8">
        <f t="shared" si="420"/>
        <v>49</v>
      </c>
      <c r="S3362" s="8">
        <f t="shared" ca="1" si="421"/>
        <v>49</v>
      </c>
      <c r="T3362">
        <f t="shared" ca="1" si="422"/>
        <v>1.7963468800000002</v>
      </c>
      <c r="U3362" s="8">
        <f t="shared" ca="1" si="423"/>
        <v>4.0063641600000004</v>
      </c>
      <c r="V3362" s="9">
        <f ca="1">RawData[[#This Row],[Z (smoothed demand size)]]/RawData[[#This Row],[X (smoothed interval)]]</f>
        <v>0.44837334008099755</v>
      </c>
    </row>
    <row r="3363" spans="1:22">
      <c r="A3363" t="s">
        <v>66</v>
      </c>
      <c r="B3363" t="s">
        <v>60</v>
      </c>
      <c r="C3363">
        <v>27</v>
      </c>
      <c r="D3363" t="s">
        <v>18</v>
      </c>
      <c r="E3363" t="s">
        <v>16</v>
      </c>
      <c r="F3363" s="1">
        <v>44563</v>
      </c>
      <c r="G3363">
        <v>0</v>
      </c>
      <c r="H3363">
        <v>0</v>
      </c>
      <c r="I3363">
        <v>7</v>
      </c>
      <c r="J3363">
        <v>7</v>
      </c>
      <c r="K3363">
        <v>0</v>
      </c>
      <c r="L3363">
        <v>701</v>
      </c>
      <c r="M3363">
        <v>60</v>
      </c>
      <c r="N3363" s="1">
        <f t="shared" si="416"/>
        <v>44938</v>
      </c>
      <c r="O3363" s="1">
        <f t="shared" si="417"/>
        <v>43101</v>
      </c>
      <c r="P3363" s="1">
        <f t="shared" si="418"/>
        <v>44593</v>
      </c>
      <c r="Q3363" s="8">
        <f t="shared" si="419"/>
        <v>0</v>
      </c>
      <c r="R3363" s="8">
        <f t="shared" si="420"/>
        <v>50</v>
      </c>
      <c r="S3363" s="8">
        <f t="shared" ca="1" si="421"/>
        <v>49</v>
      </c>
      <c r="T3363">
        <f t="shared" ca="1" si="422"/>
        <v>1.7963468800000002</v>
      </c>
      <c r="U3363" s="8">
        <f t="shared" ca="1" si="423"/>
        <v>4.0063641600000004</v>
      </c>
      <c r="V3363" s="9">
        <f ca="1">RawData[[#This Row],[Z (smoothed demand size)]]/RawData[[#This Row],[X (smoothed interval)]]</f>
        <v>0.44837334008099755</v>
      </c>
    </row>
    <row r="3364" spans="1:22">
      <c r="A3364" t="s">
        <v>66</v>
      </c>
      <c r="B3364" t="s">
        <v>60</v>
      </c>
      <c r="C3364">
        <v>27</v>
      </c>
      <c r="D3364" t="s">
        <v>18</v>
      </c>
      <c r="E3364" t="s">
        <v>16</v>
      </c>
      <c r="F3364" s="1">
        <v>44564</v>
      </c>
      <c r="G3364">
        <v>0</v>
      </c>
      <c r="H3364">
        <v>0</v>
      </c>
      <c r="I3364">
        <v>7</v>
      </c>
      <c r="J3364">
        <v>7</v>
      </c>
      <c r="K3364">
        <v>0</v>
      </c>
      <c r="L3364">
        <v>711</v>
      </c>
      <c r="M3364">
        <v>60</v>
      </c>
      <c r="N3364" s="1">
        <f t="shared" si="416"/>
        <v>44938</v>
      </c>
      <c r="O3364" s="1">
        <f t="shared" si="417"/>
        <v>43101</v>
      </c>
      <c r="P3364" s="1">
        <f t="shared" si="418"/>
        <v>44621</v>
      </c>
      <c r="Q3364" s="8">
        <f t="shared" si="419"/>
        <v>0</v>
      </c>
      <c r="R3364" s="8">
        <f t="shared" si="420"/>
        <v>51</v>
      </c>
      <c r="S3364" s="8">
        <f t="shared" ca="1" si="421"/>
        <v>49</v>
      </c>
      <c r="T3364">
        <f t="shared" ca="1" si="422"/>
        <v>1.7963468800000002</v>
      </c>
      <c r="U3364" s="8">
        <f t="shared" ca="1" si="423"/>
        <v>4.0063641600000004</v>
      </c>
      <c r="V3364" s="9">
        <f ca="1">RawData[[#This Row],[Z (smoothed demand size)]]/RawData[[#This Row],[X (smoothed interval)]]</f>
        <v>0.44837334008099755</v>
      </c>
    </row>
    <row r="3365" spans="1:22">
      <c r="A3365" t="s">
        <v>66</v>
      </c>
      <c r="B3365" t="s">
        <v>60</v>
      </c>
      <c r="C3365">
        <v>27</v>
      </c>
      <c r="D3365" t="s">
        <v>18</v>
      </c>
      <c r="E3365" t="s">
        <v>16</v>
      </c>
      <c r="F3365" s="1">
        <v>44565</v>
      </c>
      <c r="G3365">
        <v>0</v>
      </c>
      <c r="H3365">
        <v>0</v>
      </c>
      <c r="I3365">
        <v>7</v>
      </c>
      <c r="J3365">
        <v>7</v>
      </c>
      <c r="K3365">
        <v>0</v>
      </c>
      <c r="L3365">
        <v>710</v>
      </c>
      <c r="M3365">
        <v>30</v>
      </c>
      <c r="N3365" s="1">
        <f t="shared" si="416"/>
        <v>44938</v>
      </c>
      <c r="O3365" s="1">
        <f t="shared" si="417"/>
        <v>43101</v>
      </c>
      <c r="P3365" s="1">
        <f t="shared" si="418"/>
        <v>44652</v>
      </c>
      <c r="Q3365" s="8">
        <f t="shared" si="419"/>
        <v>0</v>
      </c>
      <c r="R3365" s="8">
        <f t="shared" si="420"/>
        <v>52</v>
      </c>
      <c r="S3365" s="8">
        <f t="shared" ca="1" si="421"/>
        <v>49</v>
      </c>
      <c r="T3365">
        <f t="shared" ca="1" si="422"/>
        <v>1.7963468800000002</v>
      </c>
      <c r="U3365" s="8">
        <f t="shared" ca="1" si="423"/>
        <v>4.0063641600000004</v>
      </c>
      <c r="V3365" s="9">
        <f ca="1">RawData[[#This Row],[Z (smoothed demand size)]]/RawData[[#This Row],[X (smoothed interval)]]</f>
        <v>0.44837334008099755</v>
      </c>
    </row>
    <row r="3366" spans="1:22">
      <c r="A3366" t="s">
        <v>66</v>
      </c>
      <c r="B3366" t="s">
        <v>60</v>
      </c>
      <c r="C3366">
        <v>27</v>
      </c>
      <c r="D3366" t="s">
        <v>18</v>
      </c>
      <c r="E3366" t="s">
        <v>16</v>
      </c>
      <c r="F3366" s="1">
        <v>44566</v>
      </c>
      <c r="G3366">
        <v>3</v>
      </c>
      <c r="H3366">
        <v>3</v>
      </c>
      <c r="I3366">
        <v>7</v>
      </c>
      <c r="J3366">
        <v>4</v>
      </c>
      <c r="K3366">
        <v>0</v>
      </c>
      <c r="L3366">
        <v>713</v>
      </c>
      <c r="M3366">
        <v>15</v>
      </c>
      <c r="N3366" s="1">
        <f t="shared" si="416"/>
        <v>44938</v>
      </c>
      <c r="O3366" s="1">
        <f t="shared" si="417"/>
        <v>43101</v>
      </c>
      <c r="P3366" s="1">
        <f t="shared" si="418"/>
        <v>44682</v>
      </c>
      <c r="Q3366" s="8">
        <f t="shared" si="419"/>
        <v>0</v>
      </c>
      <c r="R3366" s="8">
        <f t="shared" si="420"/>
        <v>53</v>
      </c>
      <c r="S3366" s="8">
        <f t="shared" ca="1" si="421"/>
        <v>53</v>
      </c>
      <c r="T3366">
        <f t="shared" ca="1" si="422"/>
        <v>2.0370775040000004</v>
      </c>
      <c r="U3366" s="8">
        <f t="shared" ca="1" si="423"/>
        <v>4.0050913280000007</v>
      </c>
      <c r="V3366" s="9">
        <f ca="1">RawData[[#This Row],[Z (smoothed demand size)]]/RawData[[#This Row],[X (smoothed interval)]]</f>
        <v>0.50862198566074746</v>
      </c>
    </row>
    <row r="3367" spans="1:22">
      <c r="A3367" t="s">
        <v>66</v>
      </c>
      <c r="B3367" t="s">
        <v>60</v>
      </c>
      <c r="C3367">
        <v>27</v>
      </c>
      <c r="D3367" t="s">
        <v>18</v>
      </c>
      <c r="E3367" t="s">
        <v>16</v>
      </c>
      <c r="F3367" s="1">
        <v>44567</v>
      </c>
      <c r="G3367">
        <v>0</v>
      </c>
      <c r="H3367">
        <v>0</v>
      </c>
      <c r="I3367">
        <v>23</v>
      </c>
      <c r="J3367">
        <v>23</v>
      </c>
      <c r="K3367">
        <v>0</v>
      </c>
      <c r="L3367">
        <v>816</v>
      </c>
      <c r="M3367">
        <v>60</v>
      </c>
      <c r="N3367" s="1">
        <f t="shared" si="416"/>
        <v>44938</v>
      </c>
      <c r="O3367" s="1">
        <f t="shared" si="417"/>
        <v>43101</v>
      </c>
      <c r="P3367" s="1">
        <f t="shared" si="418"/>
        <v>44713</v>
      </c>
      <c r="Q3367" s="8">
        <f t="shared" si="419"/>
        <v>0</v>
      </c>
      <c r="R3367" s="8">
        <f t="shared" si="420"/>
        <v>54</v>
      </c>
      <c r="S3367" s="8">
        <f t="shared" ca="1" si="421"/>
        <v>53</v>
      </c>
      <c r="T3367">
        <f t="shared" ca="1" si="422"/>
        <v>2.0370775040000004</v>
      </c>
      <c r="U3367" s="8">
        <f t="shared" ca="1" si="423"/>
        <v>4.0050913280000007</v>
      </c>
      <c r="V3367" s="9">
        <f ca="1">RawData[[#This Row],[Z (smoothed demand size)]]/RawData[[#This Row],[X (smoothed interval)]]</f>
        <v>0.50862198566074746</v>
      </c>
    </row>
    <row r="3368" spans="1:22">
      <c r="A3368" t="s">
        <v>66</v>
      </c>
      <c r="B3368" t="s">
        <v>60</v>
      </c>
      <c r="C3368">
        <v>27</v>
      </c>
      <c r="D3368" t="s">
        <v>18</v>
      </c>
      <c r="E3368" t="s">
        <v>16</v>
      </c>
      <c r="F3368" s="1">
        <v>44568</v>
      </c>
      <c r="G3368">
        <v>0</v>
      </c>
      <c r="H3368">
        <v>0</v>
      </c>
      <c r="I3368">
        <v>23</v>
      </c>
      <c r="J3368">
        <v>23</v>
      </c>
      <c r="K3368">
        <v>0</v>
      </c>
      <c r="L3368">
        <v>809</v>
      </c>
      <c r="M3368">
        <v>45</v>
      </c>
      <c r="N3368" s="1">
        <f t="shared" si="416"/>
        <v>44938</v>
      </c>
      <c r="O3368" s="1">
        <f t="shared" si="417"/>
        <v>43101</v>
      </c>
      <c r="P3368" s="1">
        <f t="shared" si="418"/>
        <v>44743</v>
      </c>
      <c r="Q3368" s="8">
        <f t="shared" si="419"/>
        <v>0</v>
      </c>
      <c r="R3368" s="8">
        <f t="shared" si="420"/>
        <v>55</v>
      </c>
      <c r="S3368" s="8">
        <f t="shared" ca="1" si="421"/>
        <v>53</v>
      </c>
      <c r="T3368">
        <f t="shared" ca="1" si="422"/>
        <v>2.0370775040000004</v>
      </c>
      <c r="U3368" s="8">
        <f t="shared" ca="1" si="423"/>
        <v>4.0050913280000007</v>
      </c>
      <c r="V3368" s="9">
        <f ca="1">RawData[[#This Row],[Z (smoothed demand size)]]/RawData[[#This Row],[X (smoothed interval)]]</f>
        <v>0.50862198566074746</v>
      </c>
    </row>
    <row r="3369" spans="1:22">
      <c r="A3369" t="s">
        <v>66</v>
      </c>
      <c r="B3369" t="s">
        <v>60</v>
      </c>
      <c r="C3369">
        <v>27</v>
      </c>
      <c r="D3369" t="s">
        <v>18</v>
      </c>
      <c r="E3369" t="s">
        <v>16</v>
      </c>
      <c r="F3369" s="1">
        <v>44569</v>
      </c>
      <c r="G3369">
        <v>0</v>
      </c>
      <c r="H3369">
        <v>0</v>
      </c>
      <c r="I3369">
        <v>23</v>
      </c>
      <c r="J3369">
        <v>23</v>
      </c>
      <c r="K3369">
        <v>0</v>
      </c>
      <c r="L3369">
        <v>824</v>
      </c>
      <c r="M3369">
        <v>60</v>
      </c>
      <c r="N3369" s="1">
        <f t="shared" si="416"/>
        <v>44938</v>
      </c>
      <c r="O3369" s="1">
        <f t="shared" si="417"/>
        <v>43101</v>
      </c>
      <c r="P3369" s="1">
        <f t="shared" si="418"/>
        <v>44774</v>
      </c>
      <c r="Q3369" s="8">
        <f t="shared" si="419"/>
        <v>0</v>
      </c>
      <c r="R3369" s="8">
        <f t="shared" si="420"/>
        <v>56</v>
      </c>
      <c r="S3369" s="8">
        <f t="shared" ca="1" si="421"/>
        <v>53</v>
      </c>
      <c r="T3369">
        <f t="shared" ca="1" si="422"/>
        <v>2.0370775040000004</v>
      </c>
      <c r="U3369" s="8">
        <f t="shared" ca="1" si="423"/>
        <v>4.0050913280000007</v>
      </c>
      <c r="V3369" s="9">
        <f ca="1">RawData[[#This Row],[Z (smoothed demand size)]]/RawData[[#This Row],[X (smoothed interval)]]</f>
        <v>0.50862198566074746</v>
      </c>
    </row>
    <row r="3370" spans="1:22">
      <c r="A3370" t="s">
        <v>66</v>
      </c>
      <c r="B3370" t="s">
        <v>60</v>
      </c>
      <c r="C3370">
        <v>27</v>
      </c>
      <c r="D3370" t="s">
        <v>18</v>
      </c>
      <c r="E3370" t="s">
        <v>16</v>
      </c>
      <c r="F3370" s="1">
        <v>44570</v>
      </c>
      <c r="G3370">
        <v>0</v>
      </c>
      <c r="H3370">
        <v>0</v>
      </c>
      <c r="I3370">
        <v>23</v>
      </c>
      <c r="J3370">
        <v>23</v>
      </c>
      <c r="K3370">
        <v>0</v>
      </c>
      <c r="L3370">
        <v>713</v>
      </c>
      <c r="M3370">
        <v>45</v>
      </c>
      <c r="N3370" s="1">
        <f t="shared" si="416"/>
        <v>44938</v>
      </c>
      <c r="O3370" s="1">
        <f t="shared" si="417"/>
        <v>43101</v>
      </c>
      <c r="P3370" s="1">
        <f t="shared" si="418"/>
        <v>44805</v>
      </c>
      <c r="Q3370" s="8">
        <f t="shared" si="419"/>
        <v>0</v>
      </c>
      <c r="R3370" s="8">
        <f t="shared" si="420"/>
        <v>57</v>
      </c>
      <c r="S3370" s="8">
        <f t="shared" ca="1" si="421"/>
        <v>53</v>
      </c>
      <c r="T3370">
        <f t="shared" ca="1" si="422"/>
        <v>2.0370775040000004</v>
      </c>
      <c r="U3370" s="8">
        <f t="shared" ca="1" si="423"/>
        <v>4.0050913280000007</v>
      </c>
      <c r="V3370" s="9">
        <f ca="1">RawData[[#This Row],[Z (smoothed demand size)]]/RawData[[#This Row],[X (smoothed interval)]]</f>
        <v>0.50862198566074746</v>
      </c>
    </row>
    <row r="3371" spans="1:22">
      <c r="A3371" t="s">
        <v>66</v>
      </c>
      <c r="B3371" t="s">
        <v>60</v>
      </c>
      <c r="C3371">
        <v>27</v>
      </c>
      <c r="D3371" t="s">
        <v>18</v>
      </c>
      <c r="E3371" t="s">
        <v>16</v>
      </c>
      <c r="F3371" s="1">
        <v>44571</v>
      </c>
      <c r="G3371">
        <v>0</v>
      </c>
      <c r="H3371">
        <v>0</v>
      </c>
      <c r="I3371">
        <v>23</v>
      </c>
      <c r="J3371">
        <v>23</v>
      </c>
      <c r="K3371">
        <v>0</v>
      </c>
      <c r="L3371">
        <v>706</v>
      </c>
      <c r="M3371">
        <v>60</v>
      </c>
      <c r="N3371" s="1">
        <f t="shared" si="416"/>
        <v>44938</v>
      </c>
      <c r="O3371" s="1">
        <f t="shared" si="417"/>
        <v>43101</v>
      </c>
      <c r="P3371" s="1">
        <f t="shared" si="418"/>
        <v>44835</v>
      </c>
      <c r="Q3371" s="8">
        <f t="shared" si="419"/>
        <v>0</v>
      </c>
      <c r="R3371" s="8">
        <f t="shared" si="420"/>
        <v>58</v>
      </c>
      <c r="S3371" s="8">
        <f t="shared" ca="1" si="421"/>
        <v>53</v>
      </c>
      <c r="T3371">
        <f t="shared" ca="1" si="422"/>
        <v>2.0370775040000004</v>
      </c>
      <c r="U3371" s="8">
        <f t="shared" ca="1" si="423"/>
        <v>4.0050913280000007</v>
      </c>
      <c r="V3371" s="9">
        <f ca="1">RawData[[#This Row],[Z (smoothed demand size)]]/RawData[[#This Row],[X (smoothed interval)]]</f>
        <v>0.50862198566074746</v>
      </c>
    </row>
    <row r="3372" spans="1:22">
      <c r="A3372" t="s">
        <v>66</v>
      </c>
      <c r="B3372" t="s">
        <v>60</v>
      </c>
      <c r="C3372">
        <v>27</v>
      </c>
      <c r="D3372" t="s">
        <v>18</v>
      </c>
      <c r="E3372" t="s">
        <v>16</v>
      </c>
      <c r="F3372" s="1">
        <v>44572</v>
      </c>
      <c r="G3372">
        <v>0</v>
      </c>
      <c r="H3372">
        <v>0</v>
      </c>
      <c r="I3372">
        <v>23</v>
      </c>
      <c r="J3372">
        <v>23</v>
      </c>
      <c r="K3372">
        <v>0</v>
      </c>
      <c r="L3372">
        <v>713</v>
      </c>
      <c r="M3372">
        <v>45</v>
      </c>
      <c r="N3372" s="1">
        <f t="shared" si="416"/>
        <v>44938</v>
      </c>
      <c r="O3372" s="1">
        <f t="shared" si="417"/>
        <v>43101</v>
      </c>
      <c r="P3372" s="1">
        <f t="shared" si="418"/>
        <v>44866</v>
      </c>
      <c r="Q3372" s="8">
        <f t="shared" si="419"/>
        <v>0</v>
      </c>
      <c r="R3372" s="8">
        <f t="shared" si="420"/>
        <v>59</v>
      </c>
      <c r="S3372" s="8">
        <f t="shared" ca="1" si="421"/>
        <v>53</v>
      </c>
      <c r="T3372">
        <f t="shared" ca="1" si="422"/>
        <v>2.0370775040000004</v>
      </c>
      <c r="U3372" s="8">
        <f t="shared" ca="1" si="423"/>
        <v>4.0050913280000007</v>
      </c>
      <c r="V3372" s="9">
        <f ca="1">RawData[[#This Row],[Z (smoothed demand size)]]/RawData[[#This Row],[X (smoothed interval)]]</f>
        <v>0.50862198566074746</v>
      </c>
    </row>
    <row r="3373" spans="1:22">
      <c r="A3373" t="s">
        <v>66</v>
      </c>
      <c r="B3373" t="s">
        <v>60</v>
      </c>
      <c r="C3373">
        <v>27</v>
      </c>
      <c r="D3373" t="s">
        <v>18</v>
      </c>
      <c r="E3373" t="s">
        <v>16</v>
      </c>
      <c r="F3373" s="1">
        <v>44573</v>
      </c>
      <c r="G3373">
        <v>2</v>
      </c>
      <c r="H3373">
        <v>2</v>
      </c>
      <c r="I3373">
        <v>23</v>
      </c>
      <c r="J3373">
        <v>21</v>
      </c>
      <c r="K3373">
        <v>0</v>
      </c>
      <c r="L3373">
        <v>812</v>
      </c>
      <c r="M3373">
        <v>15</v>
      </c>
      <c r="N3373" s="1">
        <f t="shared" si="416"/>
        <v>44938</v>
      </c>
      <c r="O3373" s="1">
        <f t="shared" si="417"/>
        <v>43101</v>
      </c>
      <c r="P3373" s="1">
        <f t="shared" si="418"/>
        <v>44896</v>
      </c>
      <c r="Q3373" s="8">
        <f t="shared" si="419"/>
        <v>0</v>
      </c>
      <c r="R3373" s="8">
        <f t="shared" si="420"/>
        <v>60</v>
      </c>
      <c r="S3373" s="8">
        <f t="shared" ca="1" si="421"/>
        <v>60</v>
      </c>
      <c r="T3373">
        <f t="shared" ca="1" si="422"/>
        <v>2.0296620032000003</v>
      </c>
      <c r="U3373" s="8">
        <f t="shared" ca="1" si="423"/>
        <v>4.6040730624000012</v>
      </c>
      <c r="V3373" s="9">
        <f ca="1">RawData[[#This Row],[Z (smoothed demand size)]]/RawData[[#This Row],[X (smoothed interval)]]</f>
        <v>0.4408405287430392</v>
      </c>
    </row>
    <row r="3374" spans="1:22">
      <c r="A3374" t="s">
        <v>66</v>
      </c>
      <c r="B3374" t="s">
        <v>60</v>
      </c>
      <c r="C3374">
        <v>27</v>
      </c>
      <c r="D3374" t="s">
        <v>18</v>
      </c>
      <c r="E3374" t="s">
        <v>16</v>
      </c>
      <c r="F3374" s="1">
        <v>44927</v>
      </c>
      <c r="G3374">
        <v>0</v>
      </c>
      <c r="H3374">
        <v>0</v>
      </c>
      <c r="I3374">
        <v>21</v>
      </c>
      <c r="J3374">
        <v>21</v>
      </c>
      <c r="K3374">
        <v>0</v>
      </c>
      <c r="L3374">
        <v>698</v>
      </c>
      <c r="M3374">
        <v>15</v>
      </c>
      <c r="N3374" s="1">
        <f t="shared" si="416"/>
        <v>44938</v>
      </c>
      <c r="O3374" s="1">
        <f t="shared" si="417"/>
        <v>43101</v>
      </c>
      <c r="P3374" s="1">
        <f t="shared" si="418"/>
        <v>44927</v>
      </c>
      <c r="Q3374" s="8">
        <f t="shared" si="419"/>
        <v>0</v>
      </c>
      <c r="R3374" s="8">
        <f t="shared" si="420"/>
        <v>61</v>
      </c>
      <c r="S3374" s="8">
        <f t="shared" ca="1" si="421"/>
        <v>60</v>
      </c>
      <c r="T3374">
        <f t="shared" ca="1" si="422"/>
        <v>2.0296620032000003</v>
      </c>
      <c r="U3374" s="8">
        <f t="shared" ca="1" si="423"/>
        <v>4.6040730624000012</v>
      </c>
      <c r="V3374" s="9">
        <f ca="1">RawData[[#This Row],[Z (smoothed demand size)]]/RawData[[#This Row],[X (smoothed interval)]]</f>
        <v>0.4408405287430392</v>
      </c>
    </row>
    <row r="3375" spans="1:22">
      <c r="A3375" t="s">
        <v>66</v>
      </c>
      <c r="B3375" t="s">
        <v>60</v>
      </c>
      <c r="C3375">
        <v>27</v>
      </c>
      <c r="D3375" t="s">
        <v>18</v>
      </c>
      <c r="E3375" t="s">
        <v>16</v>
      </c>
      <c r="F3375" s="1">
        <v>44928</v>
      </c>
      <c r="G3375">
        <v>0</v>
      </c>
      <c r="H3375">
        <v>0</v>
      </c>
      <c r="I3375">
        <v>21</v>
      </c>
      <c r="J3375">
        <v>21</v>
      </c>
      <c r="K3375">
        <v>0</v>
      </c>
      <c r="L3375">
        <v>705</v>
      </c>
      <c r="M3375">
        <v>45</v>
      </c>
      <c r="N3375" s="1">
        <f t="shared" si="416"/>
        <v>44938</v>
      </c>
      <c r="O3375" s="1">
        <f t="shared" si="417"/>
        <v>43101</v>
      </c>
      <c r="P3375" s="1">
        <f t="shared" si="418"/>
        <v>44958</v>
      </c>
      <c r="Q3375" s="8">
        <f t="shared" si="419"/>
        <v>0</v>
      </c>
      <c r="R3375" s="8">
        <f t="shared" si="420"/>
        <v>62</v>
      </c>
      <c r="S3375" s="8">
        <f t="shared" ca="1" si="421"/>
        <v>60</v>
      </c>
      <c r="T3375">
        <f t="shared" ca="1" si="422"/>
        <v>2.0296620032000003</v>
      </c>
      <c r="U3375" s="8">
        <f t="shared" ca="1" si="423"/>
        <v>4.6040730624000012</v>
      </c>
      <c r="V3375" s="9">
        <f ca="1">RawData[[#This Row],[Z (smoothed demand size)]]/RawData[[#This Row],[X (smoothed interval)]]</f>
        <v>0.4408405287430392</v>
      </c>
    </row>
    <row r="3376" spans="1:22">
      <c r="A3376" t="s">
        <v>66</v>
      </c>
      <c r="B3376" t="s">
        <v>60</v>
      </c>
      <c r="C3376">
        <v>27</v>
      </c>
      <c r="D3376" t="s">
        <v>18</v>
      </c>
      <c r="E3376" t="s">
        <v>16</v>
      </c>
      <c r="F3376" s="1">
        <v>44929</v>
      </c>
      <c r="G3376">
        <v>0</v>
      </c>
      <c r="H3376">
        <v>0</v>
      </c>
      <c r="I3376">
        <v>21</v>
      </c>
      <c r="J3376">
        <v>21</v>
      </c>
      <c r="K3376">
        <v>0</v>
      </c>
      <c r="L3376">
        <v>718</v>
      </c>
      <c r="M3376">
        <v>60</v>
      </c>
      <c r="N3376" s="1">
        <f t="shared" si="416"/>
        <v>44938</v>
      </c>
      <c r="O3376" s="1">
        <f t="shared" si="417"/>
        <v>43101</v>
      </c>
      <c r="P3376" s="1">
        <f t="shared" si="418"/>
        <v>44986</v>
      </c>
      <c r="Q3376" s="8">
        <f t="shared" si="419"/>
        <v>0</v>
      </c>
      <c r="R3376" s="8">
        <f t="shared" si="420"/>
        <v>63</v>
      </c>
      <c r="S3376" s="8">
        <f t="shared" ca="1" si="421"/>
        <v>60</v>
      </c>
      <c r="T3376">
        <f t="shared" ca="1" si="422"/>
        <v>2.0296620032000003</v>
      </c>
      <c r="U3376" s="8">
        <f t="shared" ca="1" si="423"/>
        <v>4.6040730624000012</v>
      </c>
      <c r="V3376" s="9">
        <f ca="1">RawData[[#This Row],[Z (smoothed demand size)]]/RawData[[#This Row],[X (smoothed interval)]]</f>
        <v>0.4408405287430392</v>
      </c>
    </row>
    <row r="3377" spans="1:22">
      <c r="A3377" t="s">
        <v>66</v>
      </c>
      <c r="B3377" t="s">
        <v>60</v>
      </c>
      <c r="C3377">
        <v>27</v>
      </c>
      <c r="D3377" t="s">
        <v>18</v>
      </c>
      <c r="E3377" t="s">
        <v>16</v>
      </c>
      <c r="F3377" s="1">
        <v>44930</v>
      </c>
      <c r="G3377">
        <v>3</v>
      </c>
      <c r="H3377">
        <v>3</v>
      </c>
      <c r="I3377">
        <v>21</v>
      </c>
      <c r="J3377">
        <v>18</v>
      </c>
      <c r="K3377">
        <v>0</v>
      </c>
      <c r="L3377">
        <v>712</v>
      </c>
      <c r="M3377">
        <v>30</v>
      </c>
      <c r="N3377" s="1">
        <f t="shared" si="416"/>
        <v>44938</v>
      </c>
      <c r="O3377" s="1">
        <f t="shared" si="417"/>
        <v>43101</v>
      </c>
      <c r="P3377" s="1">
        <f t="shared" si="418"/>
        <v>45017</v>
      </c>
      <c r="Q3377" s="8">
        <f t="shared" si="419"/>
        <v>0</v>
      </c>
      <c r="R3377" s="8">
        <f t="shared" si="420"/>
        <v>64</v>
      </c>
      <c r="S3377" s="8">
        <f t="shared" ca="1" si="421"/>
        <v>64</v>
      </c>
      <c r="T3377">
        <f t="shared" ca="1" si="422"/>
        <v>2.2237296025600006</v>
      </c>
      <c r="U3377" s="8">
        <f t="shared" ca="1" si="423"/>
        <v>4.483258449920001</v>
      </c>
      <c r="V3377" s="9">
        <f ca="1">RawData[[#This Row],[Z (smoothed demand size)]]/RawData[[#This Row],[X (smoothed interval)]]</f>
        <v>0.49600745248128192</v>
      </c>
    </row>
    <row r="3378" spans="1:22">
      <c r="A3378" t="s">
        <v>66</v>
      </c>
      <c r="B3378" t="s">
        <v>60</v>
      </c>
      <c r="C3378">
        <v>27</v>
      </c>
      <c r="D3378" t="s">
        <v>18</v>
      </c>
      <c r="E3378" t="s">
        <v>16</v>
      </c>
      <c r="F3378" s="1">
        <v>44931</v>
      </c>
      <c r="G3378">
        <v>0</v>
      </c>
      <c r="H3378">
        <v>0</v>
      </c>
      <c r="I3378">
        <v>18</v>
      </c>
      <c r="J3378">
        <v>18</v>
      </c>
      <c r="K3378">
        <v>0</v>
      </c>
      <c r="L3378">
        <v>707</v>
      </c>
      <c r="M3378">
        <v>15</v>
      </c>
      <c r="N3378" s="1">
        <f t="shared" si="416"/>
        <v>44938</v>
      </c>
      <c r="O3378" s="1">
        <f t="shared" si="417"/>
        <v>43101</v>
      </c>
      <c r="P3378" s="1">
        <f t="shared" si="418"/>
        <v>45047</v>
      </c>
      <c r="Q3378" s="8">
        <f t="shared" si="419"/>
        <v>0</v>
      </c>
      <c r="R3378" s="8">
        <f t="shared" si="420"/>
        <v>65</v>
      </c>
      <c r="S3378" s="8">
        <f t="shared" ca="1" si="421"/>
        <v>64</v>
      </c>
      <c r="T3378">
        <f t="shared" ca="1" si="422"/>
        <v>2.2237296025600006</v>
      </c>
      <c r="U3378" s="8">
        <f t="shared" ca="1" si="423"/>
        <v>4.483258449920001</v>
      </c>
      <c r="V3378" s="9">
        <f ca="1">RawData[[#This Row],[Z (smoothed demand size)]]/RawData[[#This Row],[X (smoothed interval)]]</f>
        <v>0.49600745248128192</v>
      </c>
    </row>
    <row r="3379" spans="1:22">
      <c r="A3379" t="s">
        <v>66</v>
      </c>
      <c r="B3379" t="s">
        <v>60</v>
      </c>
      <c r="C3379">
        <v>27</v>
      </c>
      <c r="D3379" t="s">
        <v>18</v>
      </c>
      <c r="E3379" t="s">
        <v>16</v>
      </c>
      <c r="F3379" s="1">
        <v>44932</v>
      </c>
      <c r="G3379">
        <v>0</v>
      </c>
      <c r="H3379">
        <v>0</v>
      </c>
      <c r="I3379">
        <v>18</v>
      </c>
      <c r="J3379">
        <v>18</v>
      </c>
      <c r="K3379">
        <v>0</v>
      </c>
      <c r="L3379">
        <v>803</v>
      </c>
      <c r="M3379">
        <v>45</v>
      </c>
      <c r="N3379" s="1">
        <f t="shared" si="416"/>
        <v>44938</v>
      </c>
      <c r="O3379" s="1">
        <f t="shared" si="417"/>
        <v>43101</v>
      </c>
      <c r="P3379" s="1">
        <f t="shared" si="418"/>
        <v>45078</v>
      </c>
      <c r="Q3379" s="8">
        <f t="shared" si="419"/>
        <v>0</v>
      </c>
      <c r="R3379" s="8">
        <f t="shared" si="420"/>
        <v>66</v>
      </c>
      <c r="S3379" s="8">
        <f t="shared" ca="1" si="421"/>
        <v>64</v>
      </c>
      <c r="T3379">
        <f t="shared" ca="1" si="422"/>
        <v>2.2237296025600006</v>
      </c>
      <c r="U3379" s="8">
        <f t="shared" ca="1" si="423"/>
        <v>4.483258449920001</v>
      </c>
      <c r="V3379" s="9">
        <f ca="1">RawData[[#This Row],[Z (smoothed demand size)]]/RawData[[#This Row],[X (smoothed interval)]]</f>
        <v>0.49600745248128192</v>
      </c>
    </row>
    <row r="3380" spans="1:22">
      <c r="A3380" t="s">
        <v>66</v>
      </c>
      <c r="B3380" t="s">
        <v>60</v>
      </c>
      <c r="C3380">
        <v>27</v>
      </c>
      <c r="D3380" t="s">
        <v>18</v>
      </c>
      <c r="E3380" t="s">
        <v>16</v>
      </c>
      <c r="F3380" s="1">
        <v>44933</v>
      </c>
      <c r="G3380">
        <v>0</v>
      </c>
      <c r="H3380">
        <v>0</v>
      </c>
      <c r="I3380">
        <v>18</v>
      </c>
      <c r="J3380">
        <v>18</v>
      </c>
      <c r="K3380">
        <v>0</v>
      </c>
      <c r="L3380">
        <v>800</v>
      </c>
      <c r="M3380">
        <v>45</v>
      </c>
      <c r="N3380" s="1">
        <f t="shared" si="416"/>
        <v>44938</v>
      </c>
      <c r="O3380" s="1">
        <f t="shared" si="417"/>
        <v>43101</v>
      </c>
      <c r="P3380" s="1">
        <f t="shared" si="418"/>
        <v>45108</v>
      </c>
      <c r="Q3380" s="8">
        <f t="shared" si="419"/>
        <v>0</v>
      </c>
      <c r="R3380" s="8">
        <f t="shared" si="420"/>
        <v>67</v>
      </c>
      <c r="S3380" s="8">
        <f t="shared" ca="1" si="421"/>
        <v>64</v>
      </c>
      <c r="T3380">
        <f t="shared" ca="1" si="422"/>
        <v>2.2237296025600006</v>
      </c>
      <c r="U3380" s="8">
        <f t="shared" ca="1" si="423"/>
        <v>4.483258449920001</v>
      </c>
      <c r="V3380" s="9">
        <f ca="1">RawData[[#This Row],[Z (smoothed demand size)]]/RawData[[#This Row],[X (smoothed interval)]]</f>
        <v>0.49600745248128192</v>
      </c>
    </row>
    <row r="3381" spans="1:22">
      <c r="A3381" t="s">
        <v>66</v>
      </c>
      <c r="B3381" t="s">
        <v>60</v>
      </c>
      <c r="C3381">
        <v>27</v>
      </c>
      <c r="D3381" t="s">
        <v>18</v>
      </c>
      <c r="E3381" t="s">
        <v>16</v>
      </c>
      <c r="F3381" s="1">
        <v>44934</v>
      </c>
      <c r="G3381">
        <v>0</v>
      </c>
      <c r="H3381">
        <v>0</v>
      </c>
      <c r="I3381">
        <v>18</v>
      </c>
      <c r="J3381">
        <v>18</v>
      </c>
      <c r="K3381">
        <v>0</v>
      </c>
      <c r="L3381">
        <v>808</v>
      </c>
      <c r="M3381">
        <v>15</v>
      </c>
      <c r="N3381" s="1">
        <f t="shared" si="416"/>
        <v>44938</v>
      </c>
      <c r="O3381" s="1">
        <f t="shared" si="417"/>
        <v>43101</v>
      </c>
      <c r="P3381" s="1">
        <f t="shared" si="418"/>
        <v>45139</v>
      </c>
      <c r="Q3381" s="8">
        <f t="shared" si="419"/>
        <v>0</v>
      </c>
      <c r="R3381" s="8">
        <f t="shared" si="420"/>
        <v>68</v>
      </c>
      <c r="S3381" s="8">
        <f t="shared" ca="1" si="421"/>
        <v>64</v>
      </c>
      <c r="T3381">
        <f t="shared" ca="1" si="422"/>
        <v>2.2237296025600006</v>
      </c>
      <c r="U3381" s="8">
        <f t="shared" ca="1" si="423"/>
        <v>4.483258449920001</v>
      </c>
      <c r="V3381" s="9">
        <f ca="1">RawData[[#This Row],[Z (smoothed demand size)]]/RawData[[#This Row],[X (smoothed interval)]]</f>
        <v>0.49600745248128192</v>
      </c>
    </row>
    <row r="3382" spans="1:22">
      <c r="A3382" t="s">
        <v>66</v>
      </c>
      <c r="B3382" t="s">
        <v>60</v>
      </c>
      <c r="C3382">
        <v>27</v>
      </c>
      <c r="D3382" t="s">
        <v>18</v>
      </c>
      <c r="E3382" t="s">
        <v>16</v>
      </c>
      <c r="F3382" s="1">
        <v>44935</v>
      </c>
      <c r="G3382">
        <v>2</v>
      </c>
      <c r="H3382">
        <v>2</v>
      </c>
      <c r="I3382">
        <v>18</v>
      </c>
      <c r="J3382">
        <v>16</v>
      </c>
      <c r="K3382">
        <v>0</v>
      </c>
      <c r="L3382">
        <v>700</v>
      </c>
      <c r="M3382">
        <v>45</v>
      </c>
      <c r="N3382" s="1">
        <f t="shared" si="416"/>
        <v>44938</v>
      </c>
      <c r="O3382" s="1">
        <f t="shared" si="417"/>
        <v>43101</v>
      </c>
      <c r="P3382" s="1">
        <f t="shared" si="418"/>
        <v>45170</v>
      </c>
      <c r="Q3382" s="8">
        <f t="shared" si="419"/>
        <v>0</v>
      </c>
      <c r="R3382" s="8">
        <f t="shared" si="420"/>
        <v>69</v>
      </c>
      <c r="S3382" s="8">
        <f t="shared" ca="1" si="421"/>
        <v>69</v>
      </c>
      <c r="T3382">
        <f t="shared" ca="1" si="422"/>
        <v>2.1789836820480004</v>
      </c>
      <c r="U3382" s="8">
        <f t="shared" ca="1" si="423"/>
        <v>4.586606759936001</v>
      </c>
      <c r="V3382" s="9">
        <f ca="1">RawData[[#This Row],[Z (smoothed demand size)]]/RawData[[#This Row],[X (smoothed interval)]]</f>
        <v>0.47507532171308375</v>
      </c>
    </row>
    <row r="3383" spans="1:22">
      <c r="A3383" t="s">
        <v>66</v>
      </c>
      <c r="B3383" t="s">
        <v>60</v>
      </c>
      <c r="C3383">
        <v>27</v>
      </c>
      <c r="D3383" t="s">
        <v>18</v>
      </c>
      <c r="E3383" t="s">
        <v>16</v>
      </c>
      <c r="F3383" s="1">
        <v>44936</v>
      </c>
      <c r="G3383">
        <v>0</v>
      </c>
      <c r="H3383">
        <v>0</v>
      </c>
      <c r="I3383">
        <v>16</v>
      </c>
      <c r="J3383">
        <v>16</v>
      </c>
      <c r="K3383">
        <v>0</v>
      </c>
      <c r="L3383">
        <v>704</v>
      </c>
      <c r="M3383">
        <v>30</v>
      </c>
      <c r="N3383" s="1">
        <f t="shared" si="416"/>
        <v>44938</v>
      </c>
      <c r="O3383" s="1">
        <f t="shared" si="417"/>
        <v>43101</v>
      </c>
      <c r="P3383" s="1">
        <f t="shared" si="418"/>
        <v>45200</v>
      </c>
      <c r="Q3383" s="8">
        <f t="shared" si="419"/>
        <v>0</v>
      </c>
      <c r="R3383" s="8">
        <f t="shared" si="420"/>
        <v>70</v>
      </c>
      <c r="S3383" s="8">
        <f t="shared" ca="1" si="421"/>
        <v>69</v>
      </c>
      <c r="T3383">
        <f t="shared" ca="1" si="422"/>
        <v>2.1789836820480004</v>
      </c>
      <c r="U3383" s="8">
        <f t="shared" ca="1" si="423"/>
        <v>4.586606759936001</v>
      </c>
      <c r="V3383" s="9">
        <f ca="1">RawData[[#This Row],[Z (smoothed demand size)]]/RawData[[#This Row],[X (smoothed interval)]]</f>
        <v>0.47507532171308375</v>
      </c>
    </row>
    <row r="3384" spans="1:22">
      <c r="A3384" t="s">
        <v>66</v>
      </c>
      <c r="B3384" t="s">
        <v>60</v>
      </c>
      <c r="C3384">
        <v>27</v>
      </c>
      <c r="D3384" t="s">
        <v>18</v>
      </c>
      <c r="E3384" t="s">
        <v>16</v>
      </c>
      <c r="F3384" s="1">
        <v>44937</v>
      </c>
      <c r="G3384">
        <v>0</v>
      </c>
      <c r="H3384">
        <v>0</v>
      </c>
      <c r="I3384">
        <v>16</v>
      </c>
      <c r="J3384">
        <v>16</v>
      </c>
      <c r="K3384">
        <v>0</v>
      </c>
      <c r="L3384">
        <v>705</v>
      </c>
      <c r="M3384">
        <v>15</v>
      </c>
      <c r="N3384" s="1">
        <f t="shared" si="416"/>
        <v>44938</v>
      </c>
      <c r="O3384" s="1">
        <f t="shared" si="417"/>
        <v>43101</v>
      </c>
      <c r="P3384" s="1">
        <f t="shared" si="418"/>
        <v>45231</v>
      </c>
      <c r="Q3384" s="8">
        <f t="shared" si="419"/>
        <v>0</v>
      </c>
      <c r="R3384" s="8">
        <f t="shared" si="420"/>
        <v>71</v>
      </c>
      <c r="S3384" s="8">
        <f t="shared" ca="1" si="421"/>
        <v>69</v>
      </c>
      <c r="T3384">
        <f t="shared" ca="1" si="422"/>
        <v>2.1789836820480004</v>
      </c>
      <c r="U3384" s="8">
        <f t="shared" ca="1" si="423"/>
        <v>4.586606759936001</v>
      </c>
      <c r="V3384" s="9">
        <f ca="1">RawData[[#This Row],[Z (smoothed demand size)]]/RawData[[#This Row],[X (smoothed interval)]]</f>
        <v>0.47507532171308375</v>
      </c>
    </row>
    <row r="3385" spans="1:22">
      <c r="A3385" t="s">
        <v>66</v>
      </c>
      <c r="B3385" t="s">
        <v>60</v>
      </c>
      <c r="C3385">
        <v>27</v>
      </c>
      <c r="D3385" t="s">
        <v>18</v>
      </c>
      <c r="E3385" t="s">
        <v>16</v>
      </c>
      <c r="F3385" s="1">
        <v>44938</v>
      </c>
      <c r="G3385">
        <v>0</v>
      </c>
      <c r="H3385">
        <v>0</v>
      </c>
      <c r="I3385">
        <v>16</v>
      </c>
      <c r="J3385">
        <v>16</v>
      </c>
      <c r="K3385">
        <v>0</v>
      </c>
      <c r="L3385">
        <v>798</v>
      </c>
      <c r="M3385">
        <v>15</v>
      </c>
      <c r="N3385" s="1">
        <f t="shared" si="416"/>
        <v>44938</v>
      </c>
      <c r="O3385" s="1">
        <f t="shared" si="417"/>
        <v>43101</v>
      </c>
      <c r="P3385" s="1">
        <f t="shared" si="418"/>
        <v>45261</v>
      </c>
      <c r="Q3385" s="8">
        <f t="shared" si="419"/>
        <v>0</v>
      </c>
      <c r="R3385" s="8">
        <f t="shared" si="420"/>
        <v>72</v>
      </c>
      <c r="S3385" s="8">
        <f t="shared" ca="1" si="421"/>
        <v>69</v>
      </c>
      <c r="T3385">
        <f t="shared" ca="1" si="422"/>
        <v>2.1789836820480004</v>
      </c>
      <c r="U3385" s="8">
        <f t="shared" ca="1" si="423"/>
        <v>4.586606759936001</v>
      </c>
      <c r="V3385" s="9">
        <f ca="1">RawData[[#This Row],[Z (smoothed demand size)]]/RawData[[#This Row],[X (smoothed interval)]]</f>
        <v>0.47507532171308375</v>
      </c>
    </row>
    <row r="3386" spans="1:22">
      <c r="A3386" t="s">
        <v>67</v>
      </c>
      <c r="B3386" t="s">
        <v>60</v>
      </c>
      <c r="C3386">
        <v>24</v>
      </c>
      <c r="D3386" t="s">
        <v>15</v>
      </c>
      <c r="E3386" t="s">
        <v>16</v>
      </c>
      <c r="F3386" s="1">
        <v>43101</v>
      </c>
      <c r="G3386">
        <v>0</v>
      </c>
      <c r="H3386">
        <v>0</v>
      </c>
      <c r="I3386">
        <v>18</v>
      </c>
      <c r="J3386">
        <v>18</v>
      </c>
      <c r="K3386">
        <v>0</v>
      </c>
      <c r="L3386">
        <v>523</v>
      </c>
      <c r="M3386">
        <v>15</v>
      </c>
      <c r="N3386" s="1">
        <f t="shared" si="416"/>
        <v>44938</v>
      </c>
      <c r="O3386" s="1">
        <f t="shared" si="417"/>
        <v>43101</v>
      </c>
      <c r="P3386" s="1">
        <f t="shared" si="418"/>
        <v>43101</v>
      </c>
      <c r="Q3386" s="8">
        <f t="shared" si="419"/>
        <v>1</v>
      </c>
      <c r="R3386" s="8">
        <f t="shared" si="420"/>
        <v>1</v>
      </c>
      <c r="S3386" s="8">
        <f t="shared" ca="1" si="421"/>
        <v>0</v>
      </c>
      <c r="T3386">
        <f t="shared" ca="1" si="422"/>
        <v>0</v>
      </c>
      <c r="U3386" s="8">
        <f t="shared" ca="1" si="423"/>
        <v>1</v>
      </c>
      <c r="V3386" s="9">
        <f ca="1">RawData[[#This Row],[Z (smoothed demand size)]]/RawData[[#This Row],[X (smoothed interval)]]</f>
        <v>0</v>
      </c>
    </row>
    <row r="3387" spans="1:22">
      <c r="A3387" t="s">
        <v>67</v>
      </c>
      <c r="B3387" t="s">
        <v>60</v>
      </c>
      <c r="C3387">
        <v>24</v>
      </c>
      <c r="D3387" t="s">
        <v>15</v>
      </c>
      <c r="E3387" t="s">
        <v>16</v>
      </c>
      <c r="F3387" s="1">
        <v>43102</v>
      </c>
      <c r="G3387">
        <v>0</v>
      </c>
      <c r="H3387">
        <v>0</v>
      </c>
      <c r="I3387">
        <v>18</v>
      </c>
      <c r="J3387">
        <v>18</v>
      </c>
      <c r="K3387">
        <v>0</v>
      </c>
      <c r="L3387">
        <v>519</v>
      </c>
      <c r="M3387">
        <v>15</v>
      </c>
      <c r="N3387" s="1">
        <f t="shared" si="416"/>
        <v>44938</v>
      </c>
      <c r="O3387" s="1">
        <f t="shared" si="417"/>
        <v>43101</v>
      </c>
      <c r="P3387" s="1">
        <f t="shared" si="418"/>
        <v>43132</v>
      </c>
      <c r="Q3387" s="8">
        <f t="shared" si="419"/>
        <v>0</v>
      </c>
      <c r="R3387" s="8">
        <f t="shared" si="420"/>
        <v>2</v>
      </c>
      <c r="S3387" s="8">
        <f t="shared" ca="1" si="421"/>
        <v>0</v>
      </c>
      <c r="T3387">
        <f t="shared" ca="1" si="422"/>
        <v>0</v>
      </c>
      <c r="U3387" s="8">
        <f t="shared" ca="1" si="423"/>
        <v>1</v>
      </c>
      <c r="V3387" s="9">
        <f ca="1">RawData[[#This Row],[Z (smoothed demand size)]]/RawData[[#This Row],[X (smoothed interval)]]</f>
        <v>0</v>
      </c>
    </row>
    <row r="3388" spans="1:22">
      <c r="A3388" t="s">
        <v>67</v>
      </c>
      <c r="B3388" t="s">
        <v>60</v>
      </c>
      <c r="C3388">
        <v>24</v>
      </c>
      <c r="D3388" t="s">
        <v>15</v>
      </c>
      <c r="E3388" t="s">
        <v>16</v>
      </c>
      <c r="F3388" s="1">
        <v>43103</v>
      </c>
      <c r="G3388">
        <v>0</v>
      </c>
      <c r="H3388">
        <v>0</v>
      </c>
      <c r="I3388">
        <v>18</v>
      </c>
      <c r="J3388">
        <v>18</v>
      </c>
      <c r="K3388">
        <v>0</v>
      </c>
      <c r="L3388">
        <v>528</v>
      </c>
      <c r="M3388">
        <v>30</v>
      </c>
      <c r="N3388" s="1">
        <f t="shared" si="416"/>
        <v>44938</v>
      </c>
      <c r="O3388" s="1">
        <f t="shared" si="417"/>
        <v>43101</v>
      </c>
      <c r="P3388" s="1">
        <f t="shared" si="418"/>
        <v>43160</v>
      </c>
      <c r="Q3388" s="8">
        <f t="shared" si="419"/>
        <v>0</v>
      </c>
      <c r="R3388" s="8">
        <f t="shared" si="420"/>
        <v>3</v>
      </c>
      <c r="S3388" s="8">
        <f t="shared" ca="1" si="421"/>
        <v>0</v>
      </c>
      <c r="T3388">
        <f t="shared" ca="1" si="422"/>
        <v>0</v>
      </c>
      <c r="U3388" s="8">
        <f t="shared" ca="1" si="423"/>
        <v>1</v>
      </c>
      <c r="V3388" s="9">
        <f ca="1">RawData[[#This Row],[Z (smoothed demand size)]]/RawData[[#This Row],[X (smoothed interval)]]</f>
        <v>0</v>
      </c>
    </row>
    <row r="3389" spans="1:22">
      <c r="A3389" t="s">
        <v>67</v>
      </c>
      <c r="B3389" t="s">
        <v>60</v>
      </c>
      <c r="C3389">
        <v>24</v>
      </c>
      <c r="D3389" t="s">
        <v>15</v>
      </c>
      <c r="E3389" t="s">
        <v>16</v>
      </c>
      <c r="F3389" s="1">
        <v>43104</v>
      </c>
      <c r="G3389">
        <v>0</v>
      </c>
      <c r="H3389">
        <v>0</v>
      </c>
      <c r="I3389">
        <v>18</v>
      </c>
      <c r="J3389">
        <v>18</v>
      </c>
      <c r="K3389">
        <v>0</v>
      </c>
      <c r="L3389">
        <v>515</v>
      </c>
      <c r="M3389">
        <v>60</v>
      </c>
      <c r="N3389" s="1">
        <f t="shared" si="416"/>
        <v>44938</v>
      </c>
      <c r="O3389" s="1">
        <f t="shared" si="417"/>
        <v>43101</v>
      </c>
      <c r="P3389" s="1">
        <f t="shared" si="418"/>
        <v>43191</v>
      </c>
      <c r="Q3389" s="8">
        <f t="shared" si="419"/>
        <v>0</v>
      </c>
      <c r="R3389" s="8">
        <f t="shared" si="420"/>
        <v>4</v>
      </c>
      <c r="S3389" s="8">
        <f t="shared" ca="1" si="421"/>
        <v>0</v>
      </c>
      <c r="T3389">
        <f t="shared" ca="1" si="422"/>
        <v>0</v>
      </c>
      <c r="U3389" s="8">
        <f t="shared" ca="1" si="423"/>
        <v>1</v>
      </c>
      <c r="V3389" s="9">
        <f ca="1">RawData[[#This Row],[Z (smoothed demand size)]]/RawData[[#This Row],[X (smoothed interval)]]</f>
        <v>0</v>
      </c>
    </row>
    <row r="3390" spans="1:22">
      <c r="A3390" t="s">
        <v>67</v>
      </c>
      <c r="B3390" t="s">
        <v>60</v>
      </c>
      <c r="C3390">
        <v>24</v>
      </c>
      <c r="D3390" t="s">
        <v>15</v>
      </c>
      <c r="E3390" t="s">
        <v>16</v>
      </c>
      <c r="F3390" s="1">
        <v>43105</v>
      </c>
      <c r="G3390">
        <v>0</v>
      </c>
      <c r="H3390">
        <v>0</v>
      </c>
      <c r="I3390">
        <v>18</v>
      </c>
      <c r="J3390">
        <v>18</v>
      </c>
      <c r="K3390">
        <v>0</v>
      </c>
      <c r="L3390">
        <v>521</v>
      </c>
      <c r="M3390">
        <v>45</v>
      </c>
      <c r="N3390" s="1">
        <f t="shared" si="416"/>
        <v>44938</v>
      </c>
      <c r="O3390" s="1">
        <f t="shared" si="417"/>
        <v>43101</v>
      </c>
      <c r="P3390" s="1">
        <f t="shared" si="418"/>
        <v>43221</v>
      </c>
      <c r="Q3390" s="8">
        <f t="shared" si="419"/>
        <v>0</v>
      </c>
      <c r="R3390" s="8">
        <f t="shared" si="420"/>
        <v>5</v>
      </c>
      <c r="S3390" s="8">
        <f t="shared" ca="1" si="421"/>
        <v>0</v>
      </c>
      <c r="T3390">
        <f t="shared" ca="1" si="422"/>
        <v>0</v>
      </c>
      <c r="U3390" s="8">
        <f t="shared" ca="1" si="423"/>
        <v>1</v>
      </c>
      <c r="V3390" s="9">
        <f ca="1">RawData[[#This Row],[Z (smoothed demand size)]]/RawData[[#This Row],[X (smoothed interval)]]</f>
        <v>0</v>
      </c>
    </row>
    <row r="3391" spans="1:22">
      <c r="A3391" t="s">
        <v>67</v>
      </c>
      <c r="B3391" t="s">
        <v>60</v>
      </c>
      <c r="C3391">
        <v>24</v>
      </c>
      <c r="D3391" t="s">
        <v>15</v>
      </c>
      <c r="E3391" t="s">
        <v>16</v>
      </c>
      <c r="F3391" s="1">
        <v>43106</v>
      </c>
      <c r="G3391">
        <v>0</v>
      </c>
      <c r="H3391">
        <v>0</v>
      </c>
      <c r="I3391">
        <v>18</v>
      </c>
      <c r="J3391">
        <v>18</v>
      </c>
      <c r="K3391">
        <v>0</v>
      </c>
      <c r="L3391">
        <v>608</v>
      </c>
      <c r="M3391">
        <v>30</v>
      </c>
      <c r="N3391" s="1">
        <f t="shared" si="416"/>
        <v>44938</v>
      </c>
      <c r="O3391" s="1">
        <f t="shared" si="417"/>
        <v>43101</v>
      </c>
      <c r="P3391" s="1">
        <f t="shared" si="418"/>
        <v>43252</v>
      </c>
      <c r="Q3391" s="8">
        <f t="shared" si="419"/>
        <v>0</v>
      </c>
      <c r="R3391" s="8">
        <f t="shared" si="420"/>
        <v>6</v>
      </c>
      <c r="S3391" s="8">
        <f t="shared" ca="1" si="421"/>
        <v>0</v>
      </c>
      <c r="T3391">
        <f t="shared" ca="1" si="422"/>
        <v>0</v>
      </c>
      <c r="U3391" s="8">
        <f t="shared" ca="1" si="423"/>
        <v>1</v>
      </c>
      <c r="V3391" s="9">
        <f ca="1">RawData[[#This Row],[Z (smoothed demand size)]]/RawData[[#This Row],[X (smoothed interval)]]</f>
        <v>0</v>
      </c>
    </row>
    <row r="3392" spans="1:22">
      <c r="A3392" t="s">
        <v>67</v>
      </c>
      <c r="B3392" t="s">
        <v>60</v>
      </c>
      <c r="C3392">
        <v>24</v>
      </c>
      <c r="D3392" t="s">
        <v>15</v>
      </c>
      <c r="E3392" t="s">
        <v>16</v>
      </c>
      <c r="F3392" s="1">
        <v>43107</v>
      </c>
      <c r="G3392">
        <v>0</v>
      </c>
      <c r="H3392">
        <v>0</v>
      </c>
      <c r="I3392">
        <v>18</v>
      </c>
      <c r="J3392">
        <v>18</v>
      </c>
      <c r="K3392">
        <v>0</v>
      </c>
      <c r="L3392">
        <v>607</v>
      </c>
      <c r="M3392">
        <v>45</v>
      </c>
      <c r="N3392" s="1">
        <f t="shared" si="416"/>
        <v>44938</v>
      </c>
      <c r="O3392" s="1">
        <f t="shared" si="417"/>
        <v>43101</v>
      </c>
      <c r="P3392" s="1">
        <f t="shared" si="418"/>
        <v>43282</v>
      </c>
      <c r="Q3392" s="8">
        <f t="shared" si="419"/>
        <v>0</v>
      </c>
      <c r="R3392" s="8">
        <f t="shared" si="420"/>
        <v>7</v>
      </c>
      <c r="S3392" s="8">
        <f t="shared" ca="1" si="421"/>
        <v>0</v>
      </c>
      <c r="T3392">
        <f t="shared" ca="1" si="422"/>
        <v>0</v>
      </c>
      <c r="U3392" s="8">
        <f t="shared" ca="1" si="423"/>
        <v>1</v>
      </c>
      <c r="V3392" s="9">
        <f ca="1">RawData[[#This Row],[Z (smoothed demand size)]]/RawData[[#This Row],[X (smoothed interval)]]</f>
        <v>0</v>
      </c>
    </row>
    <row r="3393" spans="1:22">
      <c r="A3393" t="s">
        <v>67</v>
      </c>
      <c r="B3393" t="s">
        <v>60</v>
      </c>
      <c r="C3393">
        <v>24</v>
      </c>
      <c r="D3393" t="s">
        <v>15</v>
      </c>
      <c r="E3393" t="s">
        <v>16</v>
      </c>
      <c r="F3393" s="1">
        <v>43108</v>
      </c>
      <c r="G3393">
        <v>0</v>
      </c>
      <c r="H3393">
        <v>0</v>
      </c>
      <c r="I3393">
        <v>18</v>
      </c>
      <c r="J3393">
        <v>18</v>
      </c>
      <c r="K3393">
        <v>0</v>
      </c>
      <c r="L3393">
        <v>602</v>
      </c>
      <c r="M3393">
        <v>15</v>
      </c>
      <c r="N3393" s="1">
        <f t="shared" si="416"/>
        <v>44938</v>
      </c>
      <c r="O3393" s="1">
        <f t="shared" si="417"/>
        <v>43101</v>
      </c>
      <c r="P3393" s="1">
        <f t="shared" si="418"/>
        <v>43313</v>
      </c>
      <c r="Q3393" s="8">
        <f t="shared" si="419"/>
        <v>0</v>
      </c>
      <c r="R3393" s="8">
        <f t="shared" si="420"/>
        <v>8</v>
      </c>
      <c r="S3393" s="8">
        <f t="shared" ca="1" si="421"/>
        <v>0</v>
      </c>
      <c r="T3393">
        <f t="shared" ca="1" si="422"/>
        <v>0</v>
      </c>
      <c r="U3393" s="8">
        <f t="shared" ca="1" si="423"/>
        <v>1</v>
      </c>
      <c r="V3393" s="9">
        <f ca="1">RawData[[#This Row],[Z (smoothed demand size)]]/RawData[[#This Row],[X (smoothed interval)]]</f>
        <v>0</v>
      </c>
    </row>
    <row r="3394" spans="1:22">
      <c r="A3394" t="s">
        <v>67</v>
      </c>
      <c r="B3394" t="s">
        <v>60</v>
      </c>
      <c r="C3394">
        <v>24</v>
      </c>
      <c r="D3394" t="s">
        <v>15</v>
      </c>
      <c r="E3394" t="s">
        <v>16</v>
      </c>
      <c r="F3394" s="1">
        <v>43109</v>
      </c>
      <c r="G3394">
        <v>0</v>
      </c>
      <c r="H3394">
        <v>0</v>
      </c>
      <c r="I3394">
        <v>18</v>
      </c>
      <c r="J3394">
        <v>18</v>
      </c>
      <c r="K3394">
        <v>0</v>
      </c>
      <c r="L3394">
        <v>530</v>
      </c>
      <c r="M3394">
        <v>15</v>
      </c>
      <c r="N3394" s="1">
        <f t="shared" ref="N3394:N3457" si="424">MAX(F:F)</f>
        <v>44938</v>
      </c>
      <c r="O3394" s="1">
        <f t="shared" ref="O3394:O3457" si="425">MIN(F:F)</f>
        <v>43101</v>
      </c>
      <c r="P3394" s="1">
        <f t="shared" ref="P3394:P3457" si="426">DATE(YEAR(F3394), DAY(F3394), 1)</f>
        <v>43344</v>
      </c>
      <c r="Q3394" s="8">
        <f t="shared" ref="Q3394:Q3457" si="427" xml:space="preserve"> IF(A3394&lt;&gt;A3393, 1, 0)</f>
        <v>0</v>
      </c>
      <c r="R3394" s="8">
        <f t="shared" ref="R3394:R3457" si="428">IF(Q3394=1,1,R3393+1)</f>
        <v>9</v>
      </c>
      <c r="S3394" s="8">
        <f t="shared" ref="S3394:S3457" ca="1" si="429" xml:space="preserve"> IF(Q3394=1, IF(G3394&gt;0, R3394, 0), IF(G3394&gt;0, R3394, OFFSET(S3394,-1,0)))</f>
        <v>0</v>
      </c>
      <c r="T3394">
        <f t="shared" ref="T3394:T3457" ca="1" si="430" xml:space="preserve"> IF(Q3394=1, IF(G3394&gt;0, G3394, 0), IF(G3394&gt;0, $X$1*G3394+(1-$X$1)*OFFSET(T3394,-1,0), OFFSET(T3394,-1,0)))</f>
        <v>0</v>
      </c>
      <c r="U3394" s="8">
        <f t="shared" ref="U3394:U3457" ca="1" si="431" xml:space="preserve"> IF(Q3394=1, 1, IF(G3394&gt;0, $X$1*(R3394-OFFSET(S3394,-1,0))+(1-$X$1)*OFFSET(U3394,-1,0), OFFSET(U3394,-1,0)))</f>
        <v>1</v>
      </c>
      <c r="V3394" s="9">
        <f ca="1">RawData[[#This Row],[Z (smoothed demand size)]]/RawData[[#This Row],[X (smoothed interval)]]</f>
        <v>0</v>
      </c>
    </row>
    <row r="3395" spans="1:22">
      <c r="A3395" t="s">
        <v>67</v>
      </c>
      <c r="B3395" t="s">
        <v>60</v>
      </c>
      <c r="C3395">
        <v>24</v>
      </c>
      <c r="D3395" t="s">
        <v>15</v>
      </c>
      <c r="E3395" t="s">
        <v>16</v>
      </c>
      <c r="F3395" s="1">
        <v>43110</v>
      </c>
      <c r="G3395">
        <v>0</v>
      </c>
      <c r="H3395">
        <v>0</v>
      </c>
      <c r="I3395">
        <v>18</v>
      </c>
      <c r="J3395">
        <v>18</v>
      </c>
      <c r="K3395">
        <v>0</v>
      </c>
      <c r="L3395">
        <v>526</v>
      </c>
      <c r="M3395">
        <v>30</v>
      </c>
      <c r="N3395" s="1">
        <f t="shared" si="424"/>
        <v>44938</v>
      </c>
      <c r="O3395" s="1">
        <f t="shared" si="425"/>
        <v>43101</v>
      </c>
      <c r="P3395" s="1">
        <f t="shared" si="426"/>
        <v>43374</v>
      </c>
      <c r="Q3395" s="8">
        <f t="shared" si="427"/>
        <v>0</v>
      </c>
      <c r="R3395" s="8">
        <f t="shared" si="428"/>
        <v>10</v>
      </c>
      <c r="S3395" s="8">
        <f t="shared" ca="1" si="429"/>
        <v>0</v>
      </c>
      <c r="T3395">
        <f t="shared" ca="1" si="430"/>
        <v>0</v>
      </c>
      <c r="U3395" s="8">
        <f t="shared" ca="1" si="431"/>
        <v>1</v>
      </c>
      <c r="V3395" s="9">
        <f ca="1">RawData[[#This Row],[Z (smoothed demand size)]]/RawData[[#This Row],[X (smoothed interval)]]</f>
        <v>0</v>
      </c>
    </row>
    <row r="3396" spans="1:22">
      <c r="A3396" t="s">
        <v>67</v>
      </c>
      <c r="B3396" t="s">
        <v>60</v>
      </c>
      <c r="C3396">
        <v>24</v>
      </c>
      <c r="D3396" t="s">
        <v>15</v>
      </c>
      <c r="E3396" t="s">
        <v>16</v>
      </c>
      <c r="F3396" s="1">
        <v>43111</v>
      </c>
      <c r="G3396">
        <v>0</v>
      </c>
      <c r="H3396">
        <v>0</v>
      </c>
      <c r="I3396">
        <v>18</v>
      </c>
      <c r="J3396">
        <v>18</v>
      </c>
      <c r="K3396">
        <v>0</v>
      </c>
      <c r="L3396">
        <v>525</v>
      </c>
      <c r="M3396">
        <v>15</v>
      </c>
      <c r="N3396" s="1">
        <f t="shared" si="424"/>
        <v>44938</v>
      </c>
      <c r="O3396" s="1">
        <f t="shared" si="425"/>
        <v>43101</v>
      </c>
      <c r="P3396" s="1">
        <f t="shared" si="426"/>
        <v>43405</v>
      </c>
      <c r="Q3396" s="8">
        <f t="shared" si="427"/>
        <v>0</v>
      </c>
      <c r="R3396" s="8">
        <f t="shared" si="428"/>
        <v>11</v>
      </c>
      <c r="S3396" s="8">
        <f t="shared" ca="1" si="429"/>
        <v>0</v>
      </c>
      <c r="T3396">
        <f t="shared" ca="1" si="430"/>
        <v>0</v>
      </c>
      <c r="U3396" s="8">
        <f t="shared" ca="1" si="431"/>
        <v>1</v>
      </c>
      <c r="V3396" s="9">
        <f ca="1">RawData[[#This Row],[Z (smoothed demand size)]]/RawData[[#This Row],[X (smoothed interval)]]</f>
        <v>0</v>
      </c>
    </row>
    <row r="3397" spans="1:22">
      <c r="A3397" t="s">
        <v>67</v>
      </c>
      <c r="B3397" t="s">
        <v>60</v>
      </c>
      <c r="C3397">
        <v>24</v>
      </c>
      <c r="D3397" t="s">
        <v>15</v>
      </c>
      <c r="E3397" t="s">
        <v>16</v>
      </c>
      <c r="F3397" s="1">
        <v>43112</v>
      </c>
      <c r="G3397">
        <v>0</v>
      </c>
      <c r="H3397">
        <v>0</v>
      </c>
      <c r="I3397">
        <v>18</v>
      </c>
      <c r="J3397">
        <v>18</v>
      </c>
      <c r="K3397">
        <v>0</v>
      </c>
      <c r="L3397">
        <v>607</v>
      </c>
      <c r="M3397">
        <v>60</v>
      </c>
      <c r="N3397" s="1">
        <f t="shared" si="424"/>
        <v>44938</v>
      </c>
      <c r="O3397" s="1">
        <f t="shared" si="425"/>
        <v>43101</v>
      </c>
      <c r="P3397" s="1">
        <f t="shared" si="426"/>
        <v>43435</v>
      </c>
      <c r="Q3397" s="8">
        <f t="shared" si="427"/>
        <v>0</v>
      </c>
      <c r="R3397" s="8">
        <f t="shared" si="428"/>
        <v>12</v>
      </c>
      <c r="S3397" s="8">
        <f t="shared" ca="1" si="429"/>
        <v>0</v>
      </c>
      <c r="T3397">
        <f t="shared" ca="1" si="430"/>
        <v>0</v>
      </c>
      <c r="U3397" s="8">
        <f t="shared" ca="1" si="431"/>
        <v>1</v>
      </c>
      <c r="V3397" s="9">
        <f ca="1">RawData[[#This Row],[Z (smoothed demand size)]]/RawData[[#This Row],[X (smoothed interval)]]</f>
        <v>0</v>
      </c>
    </row>
    <row r="3398" spans="1:22">
      <c r="A3398" t="s">
        <v>67</v>
      </c>
      <c r="B3398" t="s">
        <v>60</v>
      </c>
      <c r="C3398">
        <v>24</v>
      </c>
      <c r="D3398" t="s">
        <v>15</v>
      </c>
      <c r="E3398" t="s">
        <v>16</v>
      </c>
      <c r="F3398" s="1">
        <v>43466</v>
      </c>
      <c r="G3398">
        <v>0</v>
      </c>
      <c r="H3398">
        <v>0</v>
      </c>
      <c r="I3398">
        <v>18</v>
      </c>
      <c r="J3398">
        <v>18</v>
      </c>
      <c r="K3398">
        <v>0</v>
      </c>
      <c r="L3398">
        <v>526</v>
      </c>
      <c r="M3398">
        <v>30</v>
      </c>
      <c r="N3398" s="1">
        <f t="shared" si="424"/>
        <v>44938</v>
      </c>
      <c r="O3398" s="1">
        <f t="shared" si="425"/>
        <v>43101</v>
      </c>
      <c r="P3398" s="1">
        <f t="shared" si="426"/>
        <v>43466</v>
      </c>
      <c r="Q3398" s="8">
        <f t="shared" si="427"/>
        <v>0</v>
      </c>
      <c r="R3398" s="8">
        <f t="shared" si="428"/>
        <v>13</v>
      </c>
      <c r="S3398" s="8">
        <f t="shared" ca="1" si="429"/>
        <v>0</v>
      </c>
      <c r="T3398">
        <f t="shared" ca="1" si="430"/>
        <v>0</v>
      </c>
      <c r="U3398" s="8">
        <f t="shared" ca="1" si="431"/>
        <v>1</v>
      </c>
      <c r="V3398" s="9">
        <f ca="1">RawData[[#This Row],[Z (smoothed demand size)]]/RawData[[#This Row],[X (smoothed interval)]]</f>
        <v>0</v>
      </c>
    </row>
    <row r="3399" spans="1:22">
      <c r="A3399" t="s">
        <v>67</v>
      </c>
      <c r="B3399" t="s">
        <v>60</v>
      </c>
      <c r="C3399">
        <v>24</v>
      </c>
      <c r="D3399" t="s">
        <v>15</v>
      </c>
      <c r="E3399" t="s">
        <v>16</v>
      </c>
      <c r="F3399" s="1">
        <v>43467</v>
      </c>
      <c r="G3399">
        <v>0</v>
      </c>
      <c r="H3399">
        <v>0</v>
      </c>
      <c r="I3399">
        <v>18</v>
      </c>
      <c r="J3399">
        <v>18</v>
      </c>
      <c r="K3399">
        <v>0</v>
      </c>
      <c r="L3399">
        <v>530</v>
      </c>
      <c r="M3399">
        <v>45</v>
      </c>
      <c r="N3399" s="1">
        <f t="shared" si="424"/>
        <v>44938</v>
      </c>
      <c r="O3399" s="1">
        <f t="shared" si="425"/>
        <v>43101</v>
      </c>
      <c r="P3399" s="1">
        <f t="shared" si="426"/>
        <v>43497</v>
      </c>
      <c r="Q3399" s="8">
        <f t="shared" si="427"/>
        <v>0</v>
      </c>
      <c r="R3399" s="8">
        <f t="shared" si="428"/>
        <v>14</v>
      </c>
      <c r="S3399" s="8">
        <f t="shared" ca="1" si="429"/>
        <v>0</v>
      </c>
      <c r="T3399">
        <f t="shared" ca="1" si="430"/>
        <v>0</v>
      </c>
      <c r="U3399" s="8">
        <f t="shared" ca="1" si="431"/>
        <v>1</v>
      </c>
      <c r="V3399" s="9">
        <f ca="1">RawData[[#This Row],[Z (smoothed demand size)]]/RawData[[#This Row],[X (smoothed interval)]]</f>
        <v>0</v>
      </c>
    </row>
    <row r="3400" spans="1:22">
      <c r="A3400" t="s">
        <v>67</v>
      </c>
      <c r="B3400" t="s">
        <v>60</v>
      </c>
      <c r="C3400">
        <v>24</v>
      </c>
      <c r="D3400" t="s">
        <v>15</v>
      </c>
      <c r="E3400" t="s">
        <v>16</v>
      </c>
      <c r="F3400" s="1">
        <v>43468</v>
      </c>
      <c r="G3400">
        <v>0</v>
      </c>
      <c r="H3400">
        <v>0</v>
      </c>
      <c r="I3400">
        <v>18</v>
      </c>
      <c r="J3400">
        <v>18</v>
      </c>
      <c r="K3400">
        <v>0</v>
      </c>
      <c r="L3400">
        <v>522</v>
      </c>
      <c r="M3400">
        <v>60</v>
      </c>
      <c r="N3400" s="1">
        <f t="shared" si="424"/>
        <v>44938</v>
      </c>
      <c r="O3400" s="1">
        <f t="shared" si="425"/>
        <v>43101</v>
      </c>
      <c r="P3400" s="1">
        <f t="shared" si="426"/>
        <v>43525</v>
      </c>
      <c r="Q3400" s="8">
        <f t="shared" si="427"/>
        <v>0</v>
      </c>
      <c r="R3400" s="8">
        <f t="shared" si="428"/>
        <v>15</v>
      </c>
      <c r="S3400" s="8">
        <f t="shared" ca="1" si="429"/>
        <v>0</v>
      </c>
      <c r="T3400">
        <f t="shared" ca="1" si="430"/>
        <v>0</v>
      </c>
      <c r="U3400" s="8">
        <f t="shared" ca="1" si="431"/>
        <v>1</v>
      </c>
      <c r="V3400" s="9">
        <f ca="1">RawData[[#This Row],[Z (smoothed demand size)]]/RawData[[#This Row],[X (smoothed interval)]]</f>
        <v>0</v>
      </c>
    </row>
    <row r="3401" spans="1:22">
      <c r="A3401" t="s">
        <v>67</v>
      </c>
      <c r="B3401" t="s">
        <v>60</v>
      </c>
      <c r="C3401">
        <v>24</v>
      </c>
      <c r="D3401" t="s">
        <v>15</v>
      </c>
      <c r="E3401" t="s">
        <v>16</v>
      </c>
      <c r="F3401" s="1">
        <v>43469</v>
      </c>
      <c r="G3401">
        <v>0</v>
      </c>
      <c r="H3401">
        <v>0</v>
      </c>
      <c r="I3401">
        <v>18</v>
      </c>
      <c r="J3401">
        <v>18</v>
      </c>
      <c r="K3401">
        <v>0</v>
      </c>
      <c r="L3401">
        <v>522</v>
      </c>
      <c r="M3401">
        <v>45</v>
      </c>
      <c r="N3401" s="1">
        <f t="shared" si="424"/>
        <v>44938</v>
      </c>
      <c r="O3401" s="1">
        <f t="shared" si="425"/>
        <v>43101</v>
      </c>
      <c r="P3401" s="1">
        <f t="shared" si="426"/>
        <v>43556</v>
      </c>
      <c r="Q3401" s="8">
        <f t="shared" si="427"/>
        <v>0</v>
      </c>
      <c r="R3401" s="8">
        <f t="shared" si="428"/>
        <v>16</v>
      </c>
      <c r="S3401" s="8">
        <f t="shared" ca="1" si="429"/>
        <v>0</v>
      </c>
      <c r="T3401">
        <f t="shared" ca="1" si="430"/>
        <v>0</v>
      </c>
      <c r="U3401" s="8">
        <f t="shared" ca="1" si="431"/>
        <v>1</v>
      </c>
      <c r="V3401" s="9">
        <f ca="1">RawData[[#This Row],[Z (smoothed demand size)]]/RawData[[#This Row],[X (smoothed interval)]]</f>
        <v>0</v>
      </c>
    </row>
    <row r="3402" spans="1:22">
      <c r="A3402" t="s">
        <v>67</v>
      </c>
      <c r="B3402" t="s">
        <v>60</v>
      </c>
      <c r="C3402">
        <v>24</v>
      </c>
      <c r="D3402" t="s">
        <v>15</v>
      </c>
      <c r="E3402" t="s">
        <v>16</v>
      </c>
      <c r="F3402" s="1">
        <v>43470</v>
      </c>
      <c r="G3402">
        <v>0</v>
      </c>
      <c r="H3402">
        <v>0</v>
      </c>
      <c r="I3402">
        <v>18</v>
      </c>
      <c r="J3402">
        <v>18</v>
      </c>
      <c r="K3402">
        <v>0</v>
      </c>
      <c r="L3402">
        <v>524</v>
      </c>
      <c r="M3402">
        <v>15</v>
      </c>
      <c r="N3402" s="1">
        <f t="shared" si="424"/>
        <v>44938</v>
      </c>
      <c r="O3402" s="1">
        <f t="shared" si="425"/>
        <v>43101</v>
      </c>
      <c r="P3402" s="1">
        <f t="shared" si="426"/>
        <v>43586</v>
      </c>
      <c r="Q3402" s="8">
        <f t="shared" si="427"/>
        <v>0</v>
      </c>
      <c r="R3402" s="8">
        <f t="shared" si="428"/>
        <v>17</v>
      </c>
      <c r="S3402" s="8">
        <f t="shared" ca="1" si="429"/>
        <v>0</v>
      </c>
      <c r="T3402">
        <f t="shared" ca="1" si="430"/>
        <v>0</v>
      </c>
      <c r="U3402" s="8">
        <f t="shared" ca="1" si="431"/>
        <v>1</v>
      </c>
      <c r="V3402" s="9">
        <f ca="1">RawData[[#This Row],[Z (smoothed demand size)]]/RawData[[#This Row],[X (smoothed interval)]]</f>
        <v>0</v>
      </c>
    </row>
    <row r="3403" spans="1:22">
      <c r="A3403" t="s">
        <v>67</v>
      </c>
      <c r="B3403" t="s">
        <v>60</v>
      </c>
      <c r="C3403">
        <v>24</v>
      </c>
      <c r="D3403" t="s">
        <v>15</v>
      </c>
      <c r="E3403" t="s">
        <v>16</v>
      </c>
      <c r="F3403" s="1">
        <v>43471</v>
      </c>
      <c r="G3403">
        <v>0</v>
      </c>
      <c r="H3403">
        <v>0</v>
      </c>
      <c r="I3403">
        <v>18</v>
      </c>
      <c r="J3403">
        <v>18</v>
      </c>
      <c r="K3403">
        <v>0</v>
      </c>
      <c r="L3403">
        <v>602</v>
      </c>
      <c r="M3403">
        <v>30</v>
      </c>
      <c r="N3403" s="1">
        <f t="shared" si="424"/>
        <v>44938</v>
      </c>
      <c r="O3403" s="1">
        <f t="shared" si="425"/>
        <v>43101</v>
      </c>
      <c r="P3403" s="1">
        <f t="shared" si="426"/>
        <v>43617</v>
      </c>
      <c r="Q3403" s="8">
        <f t="shared" si="427"/>
        <v>0</v>
      </c>
      <c r="R3403" s="8">
        <f t="shared" si="428"/>
        <v>18</v>
      </c>
      <c r="S3403" s="8">
        <f t="shared" ca="1" si="429"/>
        <v>0</v>
      </c>
      <c r="T3403">
        <f t="shared" ca="1" si="430"/>
        <v>0</v>
      </c>
      <c r="U3403" s="8">
        <f t="shared" ca="1" si="431"/>
        <v>1</v>
      </c>
      <c r="V3403" s="9">
        <f ca="1">RawData[[#This Row],[Z (smoothed demand size)]]/RawData[[#This Row],[X (smoothed interval)]]</f>
        <v>0</v>
      </c>
    </row>
    <row r="3404" spans="1:22">
      <c r="A3404" t="s">
        <v>67</v>
      </c>
      <c r="B3404" t="s">
        <v>60</v>
      </c>
      <c r="C3404">
        <v>24</v>
      </c>
      <c r="D3404" t="s">
        <v>15</v>
      </c>
      <c r="E3404" t="s">
        <v>16</v>
      </c>
      <c r="F3404" s="1">
        <v>43472</v>
      </c>
      <c r="G3404">
        <v>0</v>
      </c>
      <c r="H3404">
        <v>0</v>
      </c>
      <c r="I3404">
        <v>18</v>
      </c>
      <c r="J3404">
        <v>18</v>
      </c>
      <c r="K3404">
        <v>0</v>
      </c>
      <c r="L3404">
        <v>613</v>
      </c>
      <c r="M3404">
        <v>60</v>
      </c>
      <c r="N3404" s="1">
        <f t="shared" si="424"/>
        <v>44938</v>
      </c>
      <c r="O3404" s="1">
        <f t="shared" si="425"/>
        <v>43101</v>
      </c>
      <c r="P3404" s="1">
        <f t="shared" si="426"/>
        <v>43647</v>
      </c>
      <c r="Q3404" s="8">
        <f t="shared" si="427"/>
        <v>0</v>
      </c>
      <c r="R3404" s="8">
        <f t="shared" si="428"/>
        <v>19</v>
      </c>
      <c r="S3404" s="8">
        <f t="shared" ca="1" si="429"/>
        <v>0</v>
      </c>
      <c r="T3404">
        <f t="shared" ca="1" si="430"/>
        <v>0</v>
      </c>
      <c r="U3404" s="8">
        <f t="shared" ca="1" si="431"/>
        <v>1</v>
      </c>
      <c r="V3404" s="9">
        <f ca="1">RawData[[#This Row],[Z (smoothed demand size)]]/RawData[[#This Row],[X (smoothed interval)]]</f>
        <v>0</v>
      </c>
    </row>
    <row r="3405" spans="1:22">
      <c r="A3405" t="s">
        <v>67</v>
      </c>
      <c r="B3405" t="s">
        <v>60</v>
      </c>
      <c r="C3405">
        <v>24</v>
      </c>
      <c r="D3405" t="s">
        <v>15</v>
      </c>
      <c r="E3405" t="s">
        <v>16</v>
      </c>
      <c r="F3405" s="1">
        <v>43473</v>
      </c>
      <c r="G3405">
        <v>0</v>
      </c>
      <c r="H3405">
        <v>0</v>
      </c>
      <c r="I3405">
        <v>18</v>
      </c>
      <c r="J3405">
        <v>18</v>
      </c>
      <c r="K3405">
        <v>0</v>
      </c>
      <c r="L3405">
        <v>605</v>
      </c>
      <c r="M3405">
        <v>30</v>
      </c>
      <c r="N3405" s="1">
        <f t="shared" si="424"/>
        <v>44938</v>
      </c>
      <c r="O3405" s="1">
        <f t="shared" si="425"/>
        <v>43101</v>
      </c>
      <c r="P3405" s="1">
        <f t="shared" si="426"/>
        <v>43678</v>
      </c>
      <c r="Q3405" s="8">
        <f t="shared" si="427"/>
        <v>0</v>
      </c>
      <c r="R3405" s="8">
        <f t="shared" si="428"/>
        <v>20</v>
      </c>
      <c r="S3405" s="8">
        <f t="shared" ca="1" si="429"/>
        <v>0</v>
      </c>
      <c r="T3405">
        <f t="shared" ca="1" si="430"/>
        <v>0</v>
      </c>
      <c r="U3405" s="8">
        <f t="shared" ca="1" si="431"/>
        <v>1</v>
      </c>
      <c r="V3405" s="9">
        <f ca="1">RawData[[#This Row],[Z (smoothed demand size)]]/RawData[[#This Row],[X (smoothed interval)]]</f>
        <v>0</v>
      </c>
    </row>
    <row r="3406" spans="1:22">
      <c r="A3406" t="s">
        <v>67</v>
      </c>
      <c r="B3406" t="s">
        <v>60</v>
      </c>
      <c r="C3406">
        <v>24</v>
      </c>
      <c r="D3406" t="s">
        <v>15</v>
      </c>
      <c r="E3406" t="s">
        <v>16</v>
      </c>
      <c r="F3406" s="1">
        <v>43474</v>
      </c>
      <c r="G3406">
        <v>0</v>
      </c>
      <c r="H3406">
        <v>0</v>
      </c>
      <c r="I3406">
        <v>18</v>
      </c>
      <c r="J3406">
        <v>18</v>
      </c>
      <c r="K3406">
        <v>0</v>
      </c>
      <c r="L3406">
        <v>520</v>
      </c>
      <c r="M3406">
        <v>60</v>
      </c>
      <c r="N3406" s="1">
        <f t="shared" si="424"/>
        <v>44938</v>
      </c>
      <c r="O3406" s="1">
        <f t="shared" si="425"/>
        <v>43101</v>
      </c>
      <c r="P3406" s="1">
        <f t="shared" si="426"/>
        <v>43709</v>
      </c>
      <c r="Q3406" s="8">
        <f t="shared" si="427"/>
        <v>0</v>
      </c>
      <c r="R3406" s="8">
        <f t="shared" si="428"/>
        <v>21</v>
      </c>
      <c r="S3406" s="8">
        <f t="shared" ca="1" si="429"/>
        <v>0</v>
      </c>
      <c r="T3406">
        <f t="shared" ca="1" si="430"/>
        <v>0</v>
      </c>
      <c r="U3406" s="8">
        <f t="shared" ca="1" si="431"/>
        <v>1</v>
      </c>
      <c r="V3406" s="9">
        <f ca="1">RawData[[#This Row],[Z (smoothed demand size)]]/RawData[[#This Row],[X (smoothed interval)]]</f>
        <v>0</v>
      </c>
    </row>
    <row r="3407" spans="1:22">
      <c r="A3407" t="s">
        <v>67</v>
      </c>
      <c r="B3407" t="s">
        <v>60</v>
      </c>
      <c r="C3407">
        <v>24</v>
      </c>
      <c r="D3407" t="s">
        <v>15</v>
      </c>
      <c r="E3407" t="s">
        <v>16</v>
      </c>
      <c r="F3407" s="1">
        <v>43475</v>
      </c>
      <c r="G3407">
        <v>0</v>
      </c>
      <c r="H3407">
        <v>0</v>
      </c>
      <c r="I3407">
        <v>18</v>
      </c>
      <c r="J3407">
        <v>18</v>
      </c>
      <c r="K3407">
        <v>0</v>
      </c>
      <c r="L3407">
        <v>516</v>
      </c>
      <c r="M3407">
        <v>45</v>
      </c>
      <c r="N3407" s="1">
        <f t="shared" si="424"/>
        <v>44938</v>
      </c>
      <c r="O3407" s="1">
        <f t="shared" si="425"/>
        <v>43101</v>
      </c>
      <c r="P3407" s="1">
        <f t="shared" si="426"/>
        <v>43739</v>
      </c>
      <c r="Q3407" s="8">
        <f t="shared" si="427"/>
        <v>0</v>
      </c>
      <c r="R3407" s="8">
        <f t="shared" si="428"/>
        <v>22</v>
      </c>
      <c r="S3407" s="8">
        <f t="shared" ca="1" si="429"/>
        <v>0</v>
      </c>
      <c r="T3407">
        <f t="shared" ca="1" si="430"/>
        <v>0</v>
      </c>
      <c r="U3407" s="8">
        <f t="shared" ca="1" si="431"/>
        <v>1</v>
      </c>
      <c r="V3407" s="9">
        <f ca="1">RawData[[#This Row],[Z (smoothed demand size)]]/RawData[[#This Row],[X (smoothed interval)]]</f>
        <v>0</v>
      </c>
    </row>
    <row r="3408" spans="1:22">
      <c r="A3408" t="s">
        <v>67</v>
      </c>
      <c r="B3408" t="s">
        <v>60</v>
      </c>
      <c r="C3408">
        <v>24</v>
      </c>
      <c r="D3408" t="s">
        <v>15</v>
      </c>
      <c r="E3408" t="s">
        <v>16</v>
      </c>
      <c r="F3408" s="1">
        <v>43476</v>
      </c>
      <c r="G3408">
        <v>0</v>
      </c>
      <c r="H3408">
        <v>0</v>
      </c>
      <c r="I3408">
        <v>18</v>
      </c>
      <c r="J3408">
        <v>18</v>
      </c>
      <c r="K3408">
        <v>0</v>
      </c>
      <c r="L3408">
        <v>532</v>
      </c>
      <c r="M3408">
        <v>45</v>
      </c>
      <c r="N3408" s="1">
        <f t="shared" si="424"/>
        <v>44938</v>
      </c>
      <c r="O3408" s="1">
        <f t="shared" si="425"/>
        <v>43101</v>
      </c>
      <c r="P3408" s="1">
        <f t="shared" si="426"/>
        <v>43770</v>
      </c>
      <c r="Q3408" s="8">
        <f t="shared" si="427"/>
        <v>0</v>
      </c>
      <c r="R3408" s="8">
        <f t="shared" si="428"/>
        <v>23</v>
      </c>
      <c r="S3408" s="8">
        <f t="shared" ca="1" si="429"/>
        <v>0</v>
      </c>
      <c r="T3408">
        <f t="shared" ca="1" si="430"/>
        <v>0</v>
      </c>
      <c r="U3408" s="8">
        <f t="shared" ca="1" si="431"/>
        <v>1</v>
      </c>
      <c r="V3408" s="9">
        <f ca="1">RawData[[#This Row],[Z (smoothed demand size)]]/RawData[[#This Row],[X (smoothed interval)]]</f>
        <v>0</v>
      </c>
    </row>
    <row r="3409" spans="1:22">
      <c r="A3409" t="s">
        <v>67</v>
      </c>
      <c r="B3409" t="s">
        <v>60</v>
      </c>
      <c r="C3409">
        <v>24</v>
      </c>
      <c r="D3409" t="s">
        <v>15</v>
      </c>
      <c r="E3409" t="s">
        <v>16</v>
      </c>
      <c r="F3409" s="1">
        <v>43477</v>
      </c>
      <c r="G3409">
        <v>0</v>
      </c>
      <c r="H3409">
        <v>0</v>
      </c>
      <c r="I3409">
        <v>18</v>
      </c>
      <c r="J3409">
        <v>18</v>
      </c>
      <c r="K3409">
        <v>0</v>
      </c>
      <c r="L3409">
        <v>600</v>
      </c>
      <c r="M3409">
        <v>45</v>
      </c>
      <c r="N3409" s="1">
        <f t="shared" si="424"/>
        <v>44938</v>
      </c>
      <c r="O3409" s="1">
        <f t="shared" si="425"/>
        <v>43101</v>
      </c>
      <c r="P3409" s="1">
        <f t="shared" si="426"/>
        <v>43800</v>
      </c>
      <c r="Q3409" s="8">
        <f t="shared" si="427"/>
        <v>0</v>
      </c>
      <c r="R3409" s="8">
        <f t="shared" si="428"/>
        <v>24</v>
      </c>
      <c r="S3409" s="8">
        <f t="shared" ca="1" si="429"/>
        <v>0</v>
      </c>
      <c r="T3409">
        <f t="shared" ca="1" si="430"/>
        <v>0</v>
      </c>
      <c r="U3409" s="8">
        <f t="shared" ca="1" si="431"/>
        <v>1</v>
      </c>
      <c r="V3409" s="9">
        <f ca="1">RawData[[#This Row],[Z (smoothed demand size)]]/RawData[[#This Row],[X (smoothed interval)]]</f>
        <v>0</v>
      </c>
    </row>
    <row r="3410" spans="1:22">
      <c r="A3410" t="s">
        <v>67</v>
      </c>
      <c r="B3410" t="s">
        <v>60</v>
      </c>
      <c r="C3410">
        <v>24</v>
      </c>
      <c r="D3410" t="s">
        <v>15</v>
      </c>
      <c r="E3410" t="s">
        <v>16</v>
      </c>
      <c r="F3410" s="1">
        <v>43831</v>
      </c>
      <c r="G3410">
        <v>0</v>
      </c>
      <c r="H3410">
        <v>0</v>
      </c>
      <c r="I3410">
        <v>18</v>
      </c>
      <c r="J3410">
        <v>18</v>
      </c>
      <c r="K3410">
        <v>0</v>
      </c>
      <c r="L3410">
        <v>524</v>
      </c>
      <c r="M3410">
        <v>60</v>
      </c>
      <c r="N3410" s="1">
        <f t="shared" si="424"/>
        <v>44938</v>
      </c>
      <c r="O3410" s="1">
        <f t="shared" si="425"/>
        <v>43101</v>
      </c>
      <c r="P3410" s="1">
        <f t="shared" si="426"/>
        <v>43831</v>
      </c>
      <c r="Q3410" s="8">
        <f t="shared" si="427"/>
        <v>0</v>
      </c>
      <c r="R3410" s="8">
        <f t="shared" si="428"/>
        <v>25</v>
      </c>
      <c r="S3410" s="8">
        <f t="shared" ca="1" si="429"/>
        <v>0</v>
      </c>
      <c r="T3410">
        <f t="shared" ca="1" si="430"/>
        <v>0</v>
      </c>
      <c r="U3410" s="8">
        <f t="shared" ca="1" si="431"/>
        <v>1</v>
      </c>
      <c r="V3410" s="9">
        <f ca="1">RawData[[#This Row],[Z (smoothed demand size)]]/RawData[[#This Row],[X (smoothed interval)]]</f>
        <v>0</v>
      </c>
    </row>
    <row r="3411" spans="1:22">
      <c r="A3411" t="s">
        <v>67</v>
      </c>
      <c r="B3411" t="s">
        <v>60</v>
      </c>
      <c r="C3411">
        <v>24</v>
      </c>
      <c r="D3411" t="s">
        <v>15</v>
      </c>
      <c r="E3411" t="s">
        <v>16</v>
      </c>
      <c r="F3411" s="1">
        <v>43832</v>
      </c>
      <c r="G3411">
        <v>1</v>
      </c>
      <c r="H3411">
        <v>1</v>
      </c>
      <c r="I3411">
        <v>18</v>
      </c>
      <c r="J3411">
        <v>17</v>
      </c>
      <c r="K3411">
        <v>0</v>
      </c>
      <c r="L3411">
        <v>522</v>
      </c>
      <c r="M3411">
        <v>45</v>
      </c>
      <c r="N3411" s="1">
        <f t="shared" si="424"/>
        <v>44938</v>
      </c>
      <c r="O3411" s="1">
        <f t="shared" si="425"/>
        <v>43101</v>
      </c>
      <c r="P3411" s="1">
        <f t="shared" si="426"/>
        <v>43862</v>
      </c>
      <c r="Q3411" s="8">
        <f t="shared" si="427"/>
        <v>0</v>
      </c>
      <c r="R3411" s="8">
        <f t="shared" si="428"/>
        <v>26</v>
      </c>
      <c r="S3411" s="8">
        <f t="shared" ca="1" si="429"/>
        <v>26</v>
      </c>
      <c r="T3411">
        <f t="shared" ca="1" si="430"/>
        <v>0.2</v>
      </c>
      <c r="U3411" s="8">
        <f t="shared" ca="1" si="431"/>
        <v>6</v>
      </c>
      <c r="V3411" s="9">
        <f ca="1">RawData[[#This Row],[Z (smoothed demand size)]]/RawData[[#This Row],[X (smoothed interval)]]</f>
        <v>3.3333333333333333E-2</v>
      </c>
    </row>
    <row r="3412" spans="1:22">
      <c r="A3412" t="s">
        <v>67</v>
      </c>
      <c r="B3412" t="s">
        <v>60</v>
      </c>
      <c r="C3412">
        <v>24</v>
      </c>
      <c r="D3412" t="s">
        <v>15</v>
      </c>
      <c r="E3412" t="s">
        <v>16</v>
      </c>
      <c r="F3412" s="1">
        <v>43833</v>
      </c>
      <c r="G3412">
        <v>2</v>
      </c>
      <c r="H3412">
        <v>2</v>
      </c>
      <c r="I3412">
        <v>17</v>
      </c>
      <c r="J3412">
        <v>15</v>
      </c>
      <c r="K3412">
        <v>0</v>
      </c>
      <c r="L3412">
        <v>526</v>
      </c>
      <c r="M3412">
        <v>30</v>
      </c>
      <c r="N3412" s="1">
        <f t="shared" si="424"/>
        <v>44938</v>
      </c>
      <c r="O3412" s="1">
        <f t="shared" si="425"/>
        <v>43101</v>
      </c>
      <c r="P3412" s="1">
        <f t="shared" si="426"/>
        <v>43891</v>
      </c>
      <c r="Q3412" s="8">
        <f t="shared" si="427"/>
        <v>0</v>
      </c>
      <c r="R3412" s="8">
        <f t="shared" si="428"/>
        <v>27</v>
      </c>
      <c r="S3412" s="8">
        <f t="shared" ca="1" si="429"/>
        <v>27</v>
      </c>
      <c r="T3412">
        <f t="shared" ca="1" si="430"/>
        <v>0.56000000000000005</v>
      </c>
      <c r="U3412" s="8">
        <f t="shared" ca="1" si="431"/>
        <v>5.0000000000000009</v>
      </c>
      <c r="V3412" s="9">
        <f ca="1">RawData[[#This Row],[Z (smoothed demand size)]]/RawData[[#This Row],[X (smoothed interval)]]</f>
        <v>0.11199999999999999</v>
      </c>
    </row>
    <row r="3413" spans="1:22">
      <c r="A3413" t="s">
        <v>67</v>
      </c>
      <c r="B3413" t="s">
        <v>60</v>
      </c>
      <c r="C3413">
        <v>24</v>
      </c>
      <c r="D3413" t="s">
        <v>15</v>
      </c>
      <c r="E3413" t="s">
        <v>16</v>
      </c>
      <c r="F3413" s="1">
        <v>43834</v>
      </c>
      <c r="G3413">
        <v>0</v>
      </c>
      <c r="H3413">
        <v>0</v>
      </c>
      <c r="I3413">
        <v>15</v>
      </c>
      <c r="J3413">
        <v>15</v>
      </c>
      <c r="K3413">
        <v>0</v>
      </c>
      <c r="L3413">
        <v>519</v>
      </c>
      <c r="M3413">
        <v>30</v>
      </c>
      <c r="N3413" s="1">
        <f t="shared" si="424"/>
        <v>44938</v>
      </c>
      <c r="O3413" s="1">
        <f t="shared" si="425"/>
        <v>43101</v>
      </c>
      <c r="P3413" s="1">
        <f t="shared" si="426"/>
        <v>43922</v>
      </c>
      <c r="Q3413" s="8">
        <f t="shared" si="427"/>
        <v>0</v>
      </c>
      <c r="R3413" s="8">
        <f t="shared" si="428"/>
        <v>28</v>
      </c>
      <c r="S3413" s="8">
        <f t="shared" ca="1" si="429"/>
        <v>27</v>
      </c>
      <c r="T3413">
        <f t="shared" ca="1" si="430"/>
        <v>0.56000000000000005</v>
      </c>
      <c r="U3413" s="8">
        <f t="shared" ca="1" si="431"/>
        <v>5.0000000000000009</v>
      </c>
      <c r="V3413" s="9">
        <f ca="1">RawData[[#This Row],[Z (smoothed demand size)]]/RawData[[#This Row],[X (smoothed interval)]]</f>
        <v>0.11199999999999999</v>
      </c>
    </row>
    <row r="3414" spans="1:22">
      <c r="A3414" t="s">
        <v>67</v>
      </c>
      <c r="B3414" t="s">
        <v>60</v>
      </c>
      <c r="C3414">
        <v>24</v>
      </c>
      <c r="D3414" t="s">
        <v>15</v>
      </c>
      <c r="E3414" t="s">
        <v>16</v>
      </c>
      <c r="F3414" s="1">
        <v>43835</v>
      </c>
      <c r="G3414">
        <v>4</v>
      </c>
      <c r="H3414">
        <v>4</v>
      </c>
      <c r="I3414">
        <v>15</v>
      </c>
      <c r="J3414">
        <v>11</v>
      </c>
      <c r="K3414">
        <v>0</v>
      </c>
      <c r="L3414">
        <v>522</v>
      </c>
      <c r="M3414">
        <v>45</v>
      </c>
      <c r="N3414" s="1">
        <f t="shared" si="424"/>
        <v>44938</v>
      </c>
      <c r="O3414" s="1">
        <f t="shared" si="425"/>
        <v>43101</v>
      </c>
      <c r="P3414" s="1">
        <f t="shared" si="426"/>
        <v>43952</v>
      </c>
      <c r="Q3414" s="8">
        <f t="shared" si="427"/>
        <v>0</v>
      </c>
      <c r="R3414" s="8">
        <f t="shared" si="428"/>
        <v>29</v>
      </c>
      <c r="S3414" s="8">
        <f t="shared" ca="1" si="429"/>
        <v>29</v>
      </c>
      <c r="T3414">
        <f t="shared" ca="1" si="430"/>
        <v>1.2480000000000002</v>
      </c>
      <c r="U3414" s="8">
        <f t="shared" ca="1" si="431"/>
        <v>4.4000000000000012</v>
      </c>
      <c r="V3414" s="9">
        <f ca="1">RawData[[#This Row],[Z (smoothed demand size)]]/RawData[[#This Row],[X (smoothed interval)]]</f>
        <v>0.28363636363636363</v>
      </c>
    </row>
    <row r="3415" spans="1:22">
      <c r="A3415" t="s">
        <v>67</v>
      </c>
      <c r="B3415" t="s">
        <v>60</v>
      </c>
      <c r="C3415">
        <v>24</v>
      </c>
      <c r="D3415" t="s">
        <v>15</v>
      </c>
      <c r="E3415" t="s">
        <v>16</v>
      </c>
      <c r="F3415" s="1">
        <v>43836</v>
      </c>
      <c r="G3415">
        <v>0</v>
      </c>
      <c r="H3415">
        <v>0</v>
      </c>
      <c r="I3415">
        <v>11</v>
      </c>
      <c r="J3415">
        <v>11</v>
      </c>
      <c r="K3415">
        <v>0</v>
      </c>
      <c r="L3415">
        <v>597</v>
      </c>
      <c r="M3415">
        <v>15</v>
      </c>
      <c r="N3415" s="1">
        <f t="shared" si="424"/>
        <v>44938</v>
      </c>
      <c r="O3415" s="1">
        <f t="shared" si="425"/>
        <v>43101</v>
      </c>
      <c r="P3415" s="1">
        <f t="shared" si="426"/>
        <v>43983</v>
      </c>
      <c r="Q3415" s="8">
        <f t="shared" si="427"/>
        <v>0</v>
      </c>
      <c r="R3415" s="8">
        <f t="shared" si="428"/>
        <v>30</v>
      </c>
      <c r="S3415" s="8">
        <f t="shared" ca="1" si="429"/>
        <v>29</v>
      </c>
      <c r="T3415">
        <f t="shared" ca="1" si="430"/>
        <v>1.2480000000000002</v>
      </c>
      <c r="U3415" s="8">
        <f t="shared" ca="1" si="431"/>
        <v>4.4000000000000012</v>
      </c>
      <c r="V3415" s="9">
        <f ca="1">RawData[[#This Row],[Z (smoothed demand size)]]/RawData[[#This Row],[X (smoothed interval)]]</f>
        <v>0.28363636363636363</v>
      </c>
    </row>
    <row r="3416" spans="1:22">
      <c r="A3416" t="s">
        <v>67</v>
      </c>
      <c r="B3416" t="s">
        <v>60</v>
      </c>
      <c r="C3416">
        <v>24</v>
      </c>
      <c r="D3416" t="s">
        <v>15</v>
      </c>
      <c r="E3416" t="s">
        <v>16</v>
      </c>
      <c r="F3416" s="1">
        <v>43837</v>
      </c>
      <c r="G3416">
        <v>0</v>
      </c>
      <c r="H3416">
        <v>0</v>
      </c>
      <c r="I3416">
        <v>11</v>
      </c>
      <c r="J3416">
        <v>11</v>
      </c>
      <c r="K3416">
        <v>0</v>
      </c>
      <c r="L3416">
        <v>617</v>
      </c>
      <c r="M3416">
        <v>45</v>
      </c>
      <c r="N3416" s="1">
        <f t="shared" si="424"/>
        <v>44938</v>
      </c>
      <c r="O3416" s="1">
        <f t="shared" si="425"/>
        <v>43101</v>
      </c>
      <c r="P3416" s="1">
        <f t="shared" si="426"/>
        <v>44013</v>
      </c>
      <c r="Q3416" s="8">
        <f t="shared" si="427"/>
        <v>0</v>
      </c>
      <c r="R3416" s="8">
        <f t="shared" si="428"/>
        <v>31</v>
      </c>
      <c r="S3416" s="8">
        <f t="shared" ca="1" si="429"/>
        <v>29</v>
      </c>
      <c r="T3416">
        <f t="shared" ca="1" si="430"/>
        <v>1.2480000000000002</v>
      </c>
      <c r="U3416" s="8">
        <f t="shared" ca="1" si="431"/>
        <v>4.4000000000000012</v>
      </c>
      <c r="V3416" s="9">
        <f ca="1">RawData[[#This Row],[Z (smoothed demand size)]]/RawData[[#This Row],[X (smoothed interval)]]</f>
        <v>0.28363636363636363</v>
      </c>
    </row>
    <row r="3417" spans="1:22">
      <c r="A3417" t="s">
        <v>67</v>
      </c>
      <c r="B3417" t="s">
        <v>60</v>
      </c>
      <c r="C3417">
        <v>24</v>
      </c>
      <c r="D3417" t="s">
        <v>15</v>
      </c>
      <c r="E3417" t="s">
        <v>16</v>
      </c>
      <c r="F3417" s="1">
        <v>43838</v>
      </c>
      <c r="G3417">
        <v>0</v>
      </c>
      <c r="H3417">
        <v>0</v>
      </c>
      <c r="I3417">
        <v>11</v>
      </c>
      <c r="J3417">
        <v>11</v>
      </c>
      <c r="K3417">
        <v>0</v>
      </c>
      <c r="L3417">
        <v>596</v>
      </c>
      <c r="M3417">
        <v>30</v>
      </c>
      <c r="N3417" s="1">
        <f t="shared" si="424"/>
        <v>44938</v>
      </c>
      <c r="O3417" s="1">
        <f t="shared" si="425"/>
        <v>43101</v>
      </c>
      <c r="P3417" s="1">
        <f t="shared" si="426"/>
        <v>44044</v>
      </c>
      <c r="Q3417" s="8">
        <f t="shared" si="427"/>
        <v>0</v>
      </c>
      <c r="R3417" s="8">
        <f t="shared" si="428"/>
        <v>32</v>
      </c>
      <c r="S3417" s="8">
        <f t="shared" ca="1" si="429"/>
        <v>29</v>
      </c>
      <c r="T3417">
        <f t="shared" ca="1" si="430"/>
        <v>1.2480000000000002</v>
      </c>
      <c r="U3417" s="8">
        <f t="shared" ca="1" si="431"/>
        <v>4.4000000000000012</v>
      </c>
      <c r="V3417" s="9">
        <f ca="1">RawData[[#This Row],[Z (smoothed demand size)]]/RawData[[#This Row],[X (smoothed interval)]]</f>
        <v>0.28363636363636363</v>
      </c>
    </row>
    <row r="3418" spans="1:22">
      <c r="A3418" t="s">
        <v>67</v>
      </c>
      <c r="B3418" t="s">
        <v>60</v>
      </c>
      <c r="C3418">
        <v>24</v>
      </c>
      <c r="D3418" t="s">
        <v>15</v>
      </c>
      <c r="E3418" t="s">
        <v>16</v>
      </c>
      <c r="F3418" s="1">
        <v>43839</v>
      </c>
      <c r="G3418">
        <v>2</v>
      </c>
      <c r="H3418">
        <v>2</v>
      </c>
      <c r="I3418">
        <v>11</v>
      </c>
      <c r="J3418">
        <v>9</v>
      </c>
      <c r="K3418">
        <v>0</v>
      </c>
      <c r="L3418">
        <v>525</v>
      </c>
      <c r="M3418">
        <v>15</v>
      </c>
      <c r="N3418" s="1">
        <f t="shared" si="424"/>
        <v>44938</v>
      </c>
      <c r="O3418" s="1">
        <f t="shared" si="425"/>
        <v>43101</v>
      </c>
      <c r="P3418" s="1">
        <f t="shared" si="426"/>
        <v>44075</v>
      </c>
      <c r="Q3418" s="8">
        <f t="shared" si="427"/>
        <v>0</v>
      </c>
      <c r="R3418" s="8">
        <f t="shared" si="428"/>
        <v>33</v>
      </c>
      <c r="S3418" s="8">
        <f t="shared" ca="1" si="429"/>
        <v>33</v>
      </c>
      <c r="T3418">
        <f t="shared" ca="1" si="430"/>
        <v>1.3984000000000001</v>
      </c>
      <c r="U3418" s="8">
        <f t="shared" ca="1" si="431"/>
        <v>4.3200000000000012</v>
      </c>
      <c r="V3418" s="9">
        <f ca="1">RawData[[#This Row],[Z (smoothed demand size)]]/RawData[[#This Row],[X (smoothed interval)]]</f>
        <v>0.32370370370370366</v>
      </c>
    </row>
    <row r="3419" spans="1:22">
      <c r="A3419" t="s">
        <v>67</v>
      </c>
      <c r="B3419" t="s">
        <v>60</v>
      </c>
      <c r="C3419">
        <v>24</v>
      </c>
      <c r="D3419" t="s">
        <v>15</v>
      </c>
      <c r="E3419" t="s">
        <v>16</v>
      </c>
      <c r="F3419" s="1">
        <v>43840</v>
      </c>
      <c r="G3419">
        <v>0</v>
      </c>
      <c r="H3419">
        <v>0</v>
      </c>
      <c r="I3419">
        <v>9</v>
      </c>
      <c r="J3419">
        <v>9</v>
      </c>
      <c r="K3419">
        <v>0</v>
      </c>
      <c r="L3419">
        <v>537</v>
      </c>
      <c r="M3419">
        <v>30</v>
      </c>
      <c r="N3419" s="1">
        <f t="shared" si="424"/>
        <v>44938</v>
      </c>
      <c r="O3419" s="1">
        <f t="shared" si="425"/>
        <v>43101</v>
      </c>
      <c r="P3419" s="1">
        <f t="shared" si="426"/>
        <v>44105</v>
      </c>
      <c r="Q3419" s="8">
        <f t="shared" si="427"/>
        <v>0</v>
      </c>
      <c r="R3419" s="8">
        <f t="shared" si="428"/>
        <v>34</v>
      </c>
      <c r="S3419" s="8">
        <f t="shared" ca="1" si="429"/>
        <v>33</v>
      </c>
      <c r="T3419">
        <f t="shared" ca="1" si="430"/>
        <v>1.3984000000000001</v>
      </c>
      <c r="U3419" s="8">
        <f t="shared" ca="1" si="431"/>
        <v>4.3200000000000012</v>
      </c>
      <c r="V3419" s="9">
        <f ca="1">RawData[[#This Row],[Z (smoothed demand size)]]/RawData[[#This Row],[X (smoothed interval)]]</f>
        <v>0.32370370370370366</v>
      </c>
    </row>
    <row r="3420" spans="1:22">
      <c r="A3420" t="s">
        <v>67</v>
      </c>
      <c r="B3420" t="s">
        <v>60</v>
      </c>
      <c r="C3420">
        <v>24</v>
      </c>
      <c r="D3420" t="s">
        <v>15</v>
      </c>
      <c r="E3420" t="s">
        <v>16</v>
      </c>
      <c r="F3420" s="1">
        <v>43841</v>
      </c>
      <c r="G3420">
        <v>0</v>
      </c>
      <c r="H3420">
        <v>0</v>
      </c>
      <c r="I3420">
        <v>9</v>
      </c>
      <c r="J3420">
        <v>9</v>
      </c>
      <c r="K3420">
        <v>0</v>
      </c>
      <c r="L3420">
        <v>528</v>
      </c>
      <c r="M3420">
        <v>60</v>
      </c>
      <c r="N3420" s="1">
        <f t="shared" si="424"/>
        <v>44938</v>
      </c>
      <c r="O3420" s="1">
        <f t="shared" si="425"/>
        <v>43101</v>
      </c>
      <c r="P3420" s="1">
        <f t="shared" si="426"/>
        <v>44136</v>
      </c>
      <c r="Q3420" s="8">
        <f t="shared" si="427"/>
        <v>0</v>
      </c>
      <c r="R3420" s="8">
        <f t="shared" si="428"/>
        <v>35</v>
      </c>
      <c r="S3420" s="8">
        <f t="shared" ca="1" si="429"/>
        <v>33</v>
      </c>
      <c r="T3420">
        <f t="shared" ca="1" si="430"/>
        <v>1.3984000000000001</v>
      </c>
      <c r="U3420" s="8">
        <f t="shared" ca="1" si="431"/>
        <v>4.3200000000000012</v>
      </c>
      <c r="V3420" s="9">
        <f ca="1">RawData[[#This Row],[Z (smoothed demand size)]]/RawData[[#This Row],[X (smoothed interval)]]</f>
        <v>0.32370370370370366</v>
      </c>
    </row>
    <row r="3421" spans="1:22">
      <c r="A3421" t="s">
        <v>67</v>
      </c>
      <c r="B3421" t="s">
        <v>60</v>
      </c>
      <c r="C3421">
        <v>24</v>
      </c>
      <c r="D3421" t="s">
        <v>15</v>
      </c>
      <c r="E3421" t="s">
        <v>16</v>
      </c>
      <c r="F3421" s="1">
        <v>43842</v>
      </c>
      <c r="G3421">
        <v>0</v>
      </c>
      <c r="H3421">
        <v>0</v>
      </c>
      <c r="I3421">
        <v>9</v>
      </c>
      <c r="J3421">
        <v>9</v>
      </c>
      <c r="K3421">
        <v>0</v>
      </c>
      <c r="L3421">
        <v>600</v>
      </c>
      <c r="M3421">
        <v>60</v>
      </c>
      <c r="N3421" s="1">
        <f t="shared" si="424"/>
        <v>44938</v>
      </c>
      <c r="O3421" s="1">
        <f t="shared" si="425"/>
        <v>43101</v>
      </c>
      <c r="P3421" s="1">
        <f t="shared" si="426"/>
        <v>44166</v>
      </c>
      <c r="Q3421" s="8">
        <f t="shared" si="427"/>
        <v>0</v>
      </c>
      <c r="R3421" s="8">
        <f t="shared" si="428"/>
        <v>36</v>
      </c>
      <c r="S3421" s="8">
        <f t="shared" ca="1" si="429"/>
        <v>33</v>
      </c>
      <c r="T3421">
        <f t="shared" ca="1" si="430"/>
        <v>1.3984000000000001</v>
      </c>
      <c r="U3421" s="8">
        <f t="shared" ca="1" si="431"/>
        <v>4.3200000000000012</v>
      </c>
      <c r="V3421" s="9">
        <f ca="1">RawData[[#This Row],[Z (smoothed demand size)]]/RawData[[#This Row],[X (smoothed interval)]]</f>
        <v>0.32370370370370366</v>
      </c>
    </row>
    <row r="3422" spans="1:22">
      <c r="A3422" t="s">
        <v>67</v>
      </c>
      <c r="B3422" t="s">
        <v>60</v>
      </c>
      <c r="C3422">
        <v>24</v>
      </c>
      <c r="D3422" t="s">
        <v>15</v>
      </c>
      <c r="E3422" t="s">
        <v>16</v>
      </c>
      <c r="F3422" s="1">
        <v>44197</v>
      </c>
      <c r="G3422">
        <v>0</v>
      </c>
      <c r="H3422">
        <v>0</v>
      </c>
      <c r="I3422">
        <v>9</v>
      </c>
      <c r="J3422">
        <v>9</v>
      </c>
      <c r="K3422">
        <v>0</v>
      </c>
      <c r="L3422">
        <v>521</v>
      </c>
      <c r="M3422">
        <v>60</v>
      </c>
      <c r="N3422" s="1">
        <f t="shared" si="424"/>
        <v>44938</v>
      </c>
      <c r="O3422" s="1">
        <f t="shared" si="425"/>
        <v>43101</v>
      </c>
      <c r="P3422" s="1">
        <f t="shared" si="426"/>
        <v>44197</v>
      </c>
      <c r="Q3422" s="8">
        <f t="shared" si="427"/>
        <v>0</v>
      </c>
      <c r="R3422" s="8">
        <f t="shared" si="428"/>
        <v>37</v>
      </c>
      <c r="S3422" s="8">
        <f t="shared" ca="1" si="429"/>
        <v>33</v>
      </c>
      <c r="T3422">
        <f t="shared" ca="1" si="430"/>
        <v>1.3984000000000001</v>
      </c>
      <c r="U3422" s="8">
        <f t="shared" ca="1" si="431"/>
        <v>4.3200000000000012</v>
      </c>
      <c r="V3422" s="9">
        <f ca="1">RawData[[#This Row],[Z (smoothed demand size)]]/RawData[[#This Row],[X (smoothed interval)]]</f>
        <v>0.32370370370370366</v>
      </c>
    </row>
    <row r="3423" spans="1:22">
      <c r="A3423" t="s">
        <v>67</v>
      </c>
      <c r="B3423" t="s">
        <v>60</v>
      </c>
      <c r="C3423">
        <v>24</v>
      </c>
      <c r="D3423" t="s">
        <v>15</v>
      </c>
      <c r="E3423" t="s">
        <v>16</v>
      </c>
      <c r="F3423" s="1">
        <v>44198</v>
      </c>
      <c r="G3423">
        <v>0</v>
      </c>
      <c r="H3423">
        <v>0</v>
      </c>
      <c r="I3423">
        <v>9</v>
      </c>
      <c r="J3423">
        <v>9</v>
      </c>
      <c r="K3423">
        <v>0</v>
      </c>
      <c r="L3423">
        <v>516</v>
      </c>
      <c r="M3423">
        <v>60</v>
      </c>
      <c r="N3423" s="1">
        <f t="shared" si="424"/>
        <v>44938</v>
      </c>
      <c r="O3423" s="1">
        <f t="shared" si="425"/>
        <v>43101</v>
      </c>
      <c r="P3423" s="1">
        <f t="shared" si="426"/>
        <v>44228</v>
      </c>
      <c r="Q3423" s="8">
        <f t="shared" si="427"/>
        <v>0</v>
      </c>
      <c r="R3423" s="8">
        <f t="shared" si="428"/>
        <v>38</v>
      </c>
      <c r="S3423" s="8">
        <f t="shared" ca="1" si="429"/>
        <v>33</v>
      </c>
      <c r="T3423">
        <f t="shared" ca="1" si="430"/>
        <v>1.3984000000000001</v>
      </c>
      <c r="U3423" s="8">
        <f t="shared" ca="1" si="431"/>
        <v>4.3200000000000012</v>
      </c>
      <c r="V3423" s="9">
        <f ca="1">RawData[[#This Row],[Z (smoothed demand size)]]/RawData[[#This Row],[X (smoothed interval)]]</f>
        <v>0.32370370370370366</v>
      </c>
    </row>
    <row r="3424" spans="1:22">
      <c r="A3424" t="s">
        <v>67</v>
      </c>
      <c r="B3424" t="s">
        <v>60</v>
      </c>
      <c r="C3424">
        <v>24</v>
      </c>
      <c r="D3424" t="s">
        <v>15</v>
      </c>
      <c r="E3424" t="s">
        <v>16</v>
      </c>
      <c r="F3424" s="1">
        <v>44199</v>
      </c>
      <c r="G3424">
        <v>0</v>
      </c>
      <c r="H3424">
        <v>0</v>
      </c>
      <c r="I3424">
        <v>9</v>
      </c>
      <c r="J3424">
        <v>9</v>
      </c>
      <c r="K3424">
        <v>0</v>
      </c>
      <c r="L3424">
        <v>529</v>
      </c>
      <c r="M3424">
        <v>45</v>
      </c>
      <c r="N3424" s="1">
        <f t="shared" si="424"/>
        <v>44938</v>
      </c>
      <c r="O3424" s="1">
        <f t="shared" si="425"/>
        <v>43101</v>
      </c>
      <c r="P3424" s="1">
        <f t="shared" si="426"/>
        <v>44256</v>
      </c>
      <c r="Q3424" s="8">
        <f t="shared" si="427"/>
        <v>0</v>
      </c>
      <c r="R3424" s="8">
        <f t="shared" si="428"/>
        <v>39</v>
      </c>
      <c r="S3424" s="8">
        <f t="shared" ca="1" si="429"/>
        <v>33</v>
      </c>
      <c r="T3424">
        <f t="shared" ca="1" si="430"/>
        <v>1.3984000000000001</v>
      </c>
      <c r="U3424" s="8">
        <f t="shared" ca="1" si="431"/>
        <v>4.3200000000000012</v>
      </c>
      <c r="V3424" s="9">
        <f ca="1">RawData[[#This Row],[Z (smoothed demand size)]]/RawData[[#This Row],[X (smoothed interval)]]</f>
        <v>0.32370370370370366</v>
      </c>
    </row>
    <row r="3425" spans="1:22">
      <c r="A3425" t="s">
        <v>67</v>
      </c>
      <c r="B3425" t="s">
        <v>60</v>
      </c>
      <c r="C3425">
        <v>24</v>
      </c>
      <c r="D3425" t="s">
        <v>15</v>
      </c>
      <c r="E3425" t="s">
        <v>16</v>
      </c>
      <c r="F3425" s="1">
        <v>44200</v>
      </c>
      <c r="G3425">
        <v>0</v>
      </c>
      <c r="H3425">
        <v>0</v>
      </c>
      <c r="I3425">
        <v>9</v>
      </c>
      <c r="J3425">
        <v>9</v>
      </c>
      <c r="K3425">
        <v>0</v>
      </c>
      <c r="L3425">
        <v>519</v>
      </c>
      <c r="M3425">
        <v>45</v>
      </c>
      <c r="N3425" s="1">
        <f t="shared" si="424"/>
        <v>44938</v>
      </c>
      <c r="O3425" s="1">
        <f t="shared" si="425"/>
        <v>43101</v>
      </c>
      <c r="P3425" s="1">
        <f t="shared" si="426"/>
        <v>44287</v>
      </c>
      <c r="Q3425" s="8">
        <f t="shared" si="427"/>
        <v>0</v>
      </c>
      <c r="R3425" s="8">
        <f t="shared" si="428"/>
        <v>40</v>
      </c>
      <c r="S3425" s="8">
        <f t="shared" ca="1" si="429"/>
        <v>33</v>
      </c>
      <c r="T3425">
        <f t="shared" ca="1" si="430"/>
        <v>1.3984000000000001</v>
      </c>
      <c r="U3425" s="8">
        <f t="shared" ca="1" si="431"/>
        <v>4.3200000000000012</v>
      </c>
      <c r="V3425" s="9">
        <f ca="1">RawData[[#This Row],[Z (smoothed demand size)]]/RawData[[#This Row],[X (smoothed interval)]]</f>
        <v>0.32370370370370366</v>
      </c>
    </row>
    <row r="3426" spans="1:22">
      <c r="A3426" t="s">
        <v>67</v>
      </c>
      <c r="B3426" t="s">
        <v>60</v>
      </c>
      <c r="C3426">
        <v>24</v>
      </c>
      <c r="D3426" t="s">
        <v>15</v>
      </c>
      <c r="E3426" t="s">
        <v>16</v>
      </c>
      <c r="F3426" s="1">
        <v>44201</v>
      </c>
      <c r="G3426">
        <v>0</v>
      </c>
      <c r="H3426">
        <v>0</v>
      </c>
      <c r="I3426">
        <v>9</v>
      </c>
      <c r="J3426">
        <v>9</v>
      </c>
      <c r="K3426">
        <v>0</v>
      </c>
      <c r="L3426">
        <v>520</v>
      </c>
      <c r="M3426">
        <v>15</v>
      </c>
      <c r="N3426" s="1">
        <f t="shared" si="424"/>
        <v>44938</v>
      </c>
      <c r="O3426" s="1">
        <f t="shared" si="425"/>
        <v>43101</v>
      </c>
      <c r="P3426" s="1">
        <f t="shared" si="426"/>
        <v>44317</v>
      </c>
      <c r="Q3426" s="8">
        <f t="shared" si="427"/>
        <v>0</v>
      </c>
      <c r="R3426" s="8">
        <f t="shared" si="428"/>
        <v>41</v>
      </c>
      <c r="S3426" s="8">
        <f t="shared" ca="1" si="429"/>
        <v>33</v>
      </c>
      <c r="T3426">
        <f t="shared" ca="1" si="430"/>
        <v>1.3984000000000001</v>
      </c>
      <c r="U3426" s="8">
        <f t="shared" ca="1" si="431"/>
        <v>4.3200000000000012</v>
      </c>
      <c r="V3426" s="9">
        <f ca="1">RawData[[#This Row],[Z (smoothed demand size)]]/RawData[[#This Row],[X (smoothed interval)]]</f>
        <v>0.32370370370370366</v>
      </c>
    </row>
    <row r="3427" spans="1:22">
      <c r="A3427" t="s">
        <v>67</v>
      </c>
      <c r="B3427" t="s">
        <v>60</v>
      </c>
      <c r="C3427">
        <v>24</v>
      </c>
      <c r="D3427" t="s">
        <v>15</v>
      </c>
      <c r="E3427" t="s">
        <v>16</v>
      </c>
      <c r="F3427" s="1">
        <v>44202</v>
      </c>
      <c r="G3427">
        <v>0</v>
      </c>
      <c r="H3427">
        <v>0</v>
      </c>
      <c r="I3427">
        <v>9</v>
      </c>
      <c r="J3427">
        <v>9</v>
      </c>
      <c r="K3427">
        <v>0</v>
      </c>
      <c r="L3427">
        <v>593</v>
      </c>
      <c r="M3427">
        <v>60</v>
      </c>
      <c r="N3427" s="1">
        <f t="shared" si="424"/>
        <v>44938</v>
      </c>
      <c r="O3427" s="1">
        <f t="shared" si="425"/>
        <v>43101</v>
      </c>
      <c r="P3427" s="1">
        <f t="shared" si="426"/>
        <v>44348</v>
      </c>
      <c r="Q3427" s="8">
        <f t="shared" si="427"/>
        <v>0</v>
      </c>
      <c r="R3427" s="8">
        <f t="shared" si="428"/>
        <v>42</v>
      </c>
      <c r="S3427" s="8">
        <f t="shared" ca="1" si="429"/>
        <v>33</v>
      </c>
      <c r="T3427">
        <f t="shared" ca="1" si="430"/>
        <v>1.3984000000000001</v>
      </c>
      <c r="U3427" s="8">
        <f t="shared" ca="1" si="431"/>
        <v>4.3200000000000012</v>
      </c>
      <c r="V3427" s="9">
        <f ca="1">RawData[[#This Row],[Z (smoothed demand size)]]/RawData[[#This Row],[X (smoothed interval)]]</f>
        <v>0.32370370370370366</v>
      </c>
    </row>
    <row r="3428" spans="1:22">
      <c r="A3428" t="s">
        <v>67</v>
      </c>
      <c r="B3428" t="s">
        <v>60</v>
      </c>
      <c r="C3428">
        <v>24</v>
      </c>
      <c r="D3428" t="s">
        <v>15</v>
      </c>
      <c r="E3428" t="s">
        <v>16</v>
      </c>
      <c r="F3428" s="1">
        <v>44203</v>
      </c>
      <c r="G3428">
        <v>0</v>
      </c>
      <c r="H3428">
        <v>0</v>
      </c>
      <c r="I3428">
        <v>9</v>
      </c>
      <c r="J3428">
        <v>9</v>
      </c>
      <c r="K3428">
        <v>0</v>
      </c>
      <c r="L3428">
        <v>596</v>
      </c>
      <c r="M3428">
        <v>15</v>
      </c>
      <c r="N3428" s="1">
        <f t="shared" si="424"/>
        <v>44938</v>
      </c>
      <c r="O3428" s="1">
        <f t="shared" si="425"/>
        <v>43101</v>
      </c>
      <c r="P3428" s="1">
        <f t="shared" si="426"/>
        <v>44378</v>
      </c>
      <c r="Q3428" s="8">
        <f t="shared" si="427"/>
        <v>0</v>
      </c>
      <c r="R3428" s="8">
        <f t="shared" si="428"/>
        <v>43</v>
      </c>
      <c r="S3428" s="8">
        <f t="shared" ca="1" si="429"/>
        <v>33</v>
      </c>
      <c r="T3428">
        <f t="shared" ca="1" si="430"/>
        <v>1.3984000000000001</v>
      </c>
      <c r="U3428" s="8">
        <f t="shared" ca="1" si="431"/>
        <v>4.3200000000000012</v>
      </c>
      <c r="V3428" s="9">
        <f ca="1">RawData[[#This Row],[Z (smoothed demand size)]]/RawData[[#This Row],[X (smoothed interval)]]</f>
        <v>0.32370370370370366</v>
      </c>
    </row>
    <row r="3429" spans="1:22">
      <c r="A3429" t="s">
        <v>67</v>
      </c>
      <c r="B3429" t="s">
        <v>60</v>
      </c>
      <c r="C3429">
        <v>24</v>
      </c>
      <c r="D3429" t="s">
        <v>15</v>
      </c>
      <c r="E3429" t="s">
        <v>16</v>
      </c>
      <c r="F3429" s="1">
        <v>44204</v>
      </c>
      <c r="G3429">
        <v>0</v>
      </c>
      <c r="H3429">
        <v>0</v>
      </c>
      <c r="I3429">
        <v>9</v>
      </c>
      <c r="J3429">
        <v>9</v>
      </c>
      <c r="K3429">
        <v>0</v>
      </c>
      <c r="L3429">
        <v>599</v>
      </c>
      <c r="M3429">
        <v>60</v>
      </c>
      <c r="N3429" s="1">
        <f t="shared" si="424"/>
        <v>44938</v>
      </c>
      <c r="O3429" s="1">
        <f t="shared" si="425"/>
        <v>43101</v>
      </c>
      <c r="P3429" s="1">
        <f t="shared" si="426"/>
        <v>44409</v>
      </c>
      <c r="Q3429" s="8">
        <f t="shared" si="427"/>
        <v>0</v>
      </c>
      <c r="R3429" s="8">
        <f t="shared" si="428"/>
        <v>44</v>
      </c>
      <c r="S3429" s="8">
        <f t="shared" ca="1" si="429"/>
        <v>33</v>
      </c>
      <c r="T3429">
        <f t="shared" ca="1" si="430"/>
        <v>1.3984000000000001</v>
      </c>
      <c r="U3429" s="8">
        <f t="shared" ca="1" si="431"/>
        <v>4.3200000000000012</v>
      </c>
      <c r="V3429" s="9">
        <f ca="1">RawData[[#This Row],[Z (smoothed demand size)]]/RawData[[#This Row],[X (smoothed interval)]]</f>
        <v>0.32370370370370366</v>
      </c>
    </row>
    <row r="3430" spans="1:22">
      <c r="A3430" t="s">
        <v>67</v>
      </c>
      <c r="B3430" t="s">
        <v>60</v>
      </c>
      <c r="C3430">
        <v>24</v>
      </c>
      <c r="D3430" t="s">
        <v>15</v>
      </c>
      <c r="E3430" t="s">
        <v>16</v>
      </c>
      <c r="F3430" s="1">
        <v>44205</v>
      </c>
      <c r="G3430">
        <v>0</v>
      </c>
      <c r="H3430">
        <v>0</v>
      </c>
      <c r="I3430">
        <v>9</v>
      </c>
      <c r="J3430">
        <v>9</v>
      </c>
      <c r="K3430">
        <v>0</v>
      </c>
      <c r="L3430">
        <v>526</v>
      </c>
      <c r="M3430">
        <v>15</v>
      </c>
      <c r="N3430" s="1">
        <f t="shared" si="424"/>
        <v>44938</v>
      </c>
      <c r="O3430" s="1">
        <f t="shared" si="425"/>
        <v>43101</v>
      </c>
      <c r="P3430" s="1">
        <f t="shared" si="426"/>
        <v>44440</v>
      </c>
      <c r="Q3430" s="8">
        <f t="shared" si="427"/>
        <v>0</v>
      </c>
      <c r="R3430" s="8">
        <f t="shared" si="428"/>
        <v>45</v>
      </c>
      <c r="S3430" s="8">
        <f t="shared" ca="1" si="429"/>
        <v>33</v>
      </c>
      <c r="T3430">
        <f t="shared" ca="1" si="430"/>
        <v>1.3984000000000001</v>
      </c>
      <c r="U3430" s="8">
        <f t="shared" ca="1" si="431"/>
        <v>4.3200000000000012</v>
      </c>
      <c r="V3430" s="9">
        <f ca="1">RawData[[#This Row],[Z (smoothed demand size)]]/RawData[[#This Row],[X (smoothed interval)]]</f>
        <v>0.32370370370370366</v>
      </c>
    </row>
    <row r="3431" spans="1:22">
      <c r="A3431" t="s">
        <v>67</v>
      </c>
      <c r="B3431" t="s">
        <v>60</v>
      </c>
      <c r="C3431">
        <v>24</v>
      </c>
      <c r="D3431" t="s">
        <v>15</v>
      </c>
      <c r="E3431" t="s">
        <v>16</v>
      </c>
      <c r="F3431" s="1">
        <v>44206</v>
      </c>
      <c r="G3431">
        <v>0</v>
      </c>
      <c r="H3431">
        <v>0</v>
      </c>
      <c r="I3431">
        <v>9</v>
      </c>
      <c r="J3431">
        <v>9</v>
      </c>
      <c r="K3431">
        <v>0</v>
      </c>
      <c r="L3431">
        <v>522</v>
      </c>
      <c r="M3431">
        <v>60</v>
      </c>
      <c r="N3431" s="1">
        <f t="shared" si="424"/>
        <v>44938</v>
      </c>
      <c r="O3431" s="1">
        <f t="shared" si="425"/>
        <v>43101</v>
      </c>
      <c r="P3431" s="1">
        <f t="shared" si="426"/>
        <v>44470</v>
      </c>
      <c r="Q3431" s="8">
        <f t="shared" si="427"/>
        <v>0</v>
      </c>
      <c r="R3431" s="8">
        <f t="shared" si="428"/>
        <v>46</v>
      </c>
      <c r="S3431" s="8">
        <f t="shared" ca="1" si="429"/>
        <v>33</v>
      </c>
      <c r="T3431">
        <f t="shared" ca="1" si="430"/>
        <v>1.3984000000000001</v>
      </c>
      <c r="U3431" s="8">
        <f t="shared" ca="1" si="431"/>
        <v>4.3200000000000012</v>
      </c>
      <c r="V3431" s="9">
        <f ca="1">RawData[[#This Row],[Z (smoothed demand size)]]/RawData[[#This Row],[X (smoothed interval)]]</f>
        <v>0.32370370370370366</v>
      </c>
    </row>
    <row r="3432" spans="1:22">
      <c r="A3432" t="s">
        <v>67</v>
      </c>
      <c r="B3432" t="s">
        <v>60</v>
      </c>
      <c r="C3432">
        <v>24</v>
      </c>
      <c r="D3432" t="s">
        <v>15</v>
      </c>
      <c r="E3432" t="s">
        <v>16</v>
      </c>
      <c r="F3432" s="1">
        <v>44207</v>
      </c>
      <c r="G3432">
        <v>1</v>
      </c>
      <c r="H3432">
        <v>1</v>
      </c>
      <c r="I3432">
        <v>9</v>
      </c>
      <c r="J3432">
        <v>8</v>
      </c>
      <c r="K3432">
        <v>0</v>
      </c>
      <c r="L3432">
        <v>526</v>
      </c>
      <c r="M3432">
        <v>15</v>
      </c>
      <c r="N3432" s="1">
        <f t="shared" si="424"/>
        <v>44938</v>
      </c>
      <c r="O3432" s="1">
        <f t="shared" si="425"/>
        <v>43101</v>
      </c>
      <c r="P3432" s="1">
        <f t="shared" si="426"/>
        <v>44501</v>
      </c>
      <c r="Q3432" s="8">
        <f t="shared" si="427"/>
        <v>0</v>
      </c>
      <c r="R3432" s="8">
        <f t="shared" si="428"/>
        <v>47</v>
      </c>
      <c r="S3432" s="8">
        <f t="shared" ca="1" si="429"/>
        <v>47</v>
      </c>
      <c r="T3432">
        <f t="shared" ca="1" si="430"/>
        <v>1.3187200000000001</v>
      </c>
      <c r="U3432" s="8">
        <f t="shared" ca="1" si="431"/>
        <v>6.256000000000002</v>
      </c>
      <c r="V3432" s="9">
        <f ca="1">RawData[[#This Row],[Z (smoothed demand size)]]/RawData[[#This Row],[X (smoothed interval)]]</f>
        <v>0.21079283887468026</v>
      </c>
    </row>
    <row r="3433" spans="1:22">
      <c r="A3433" t="s">
        <v>67</v>
      </c>
      <c r="B3433" t="s">
        <v>60</v>
      </c>
      <c r="C3433">
        <v>24</v>
      </c>
      <c r="D3433" t="s">
        <v>15</v>
      </c>
      <c r="E3433" t="s">
        <v>16</v>
      </c>
      <c r="F3433" s="1">
        <v>44208</v>
      </c>
      <c r="G3433">
        <v>0</v>
      </c>
      <c r="H3433">
        <v>0</v>
      </c>
      <c r="I3433">
        <v>8</v>
      </c>
      <c r="J3433">
        <v>8</v>
      </c>
      <c r="K3433">
        <v>0</v>
      </c>
      <c r="L3433">
        <v>585</v>
      </c>
      <c r="M3433">
        <v>45</v>
      </c>
      <c r="N3433" s="1">
        <f t="shared" si="424"/>
        <v>44938</v>
      </c>
      <c r="O3433" s="1">
        <f t="shared" si="425"/>
        <v>43101</v>
      </c>
      <c r="P3433" s="1">
        <f t="shared" si="426"/>
        <v>44531</v>
      </c>
      <c r="Q3433" s="8">
        <f t="shared" si="427"/>
        <v>0</v>
      </c>
      <c r="R3433" s="8">
        <f t="shared" si="428"/>
        <v>48</v>
      </c>
      <c r="S3433" s="8">
        <f t="shared" ca="1" si="429"/>
        <v>47</v>
      </c>
      <c r="T3433">
        <f t="shared" ca="1" si="430"/>
        <v>1.3187200000000001</v>
      </c>
      <c r="U3433" s="8">
        <f t="shared" ca="1" si="431"/>
        <v>6.256000000000002</v>
      </c>
      <c r="V3433" s="9">
        <f ca="1">RawData[[#This Row],[Z (smoothed demand size)]]/RawData[[#This Row],[X (smoothed interval)]]</f>
        <v>0.21079283887468026</v>
      </c>
    </row>
    <row r="3434" spans="1:22">
      <c r="A3434" t="s">
        <v>67</v>
      </c>
      <c r="B3434" t="s">
        <v>60</v>
      </c>
      <c r="C3434">
        <v>24</v>
      </c>
      <c r="D3434" t="s">
        <v>15</v>
      </c>
      <c r="E3434" t="s">
        <v>16</v>
      </c>
      <c r="F3434" s="1">
        <v>44562</v>
      </c>
      <c r="G3434">
        <v>0</v>
      </c>
      <c r="H3434">
        <v>0</v>
      </c>
      <c r="I3434">
        <v>8</v>
      </c>
      <c r="J3434">
        <v>8</v>
      </c>
      <c r="K3434">
        <v>0</v>
      </c>
      <c r="L3434">
        <v>526</v>
      </c>
      <c r="M3434">
        <v>60</v>
      </c>
      <c r="N3434" s="1">
        <f t="shared" si="424"/>
        <v>44938</v>
      </c>
      <c r="O3434" s="1">
        <f t="shared" si="425"/>
        <v>43101</v>
      </c>
      <c r="P3434" s="1">
        <f t="shared" si="426"/>
        <v>44562</v>
      </c>
      <c r="Q3434" s="8">
        <f t="shared" si="427"/>
        <v>0</v>
      </c>
      <c r="R3434" s="8">
        <f t="shared" si="428"/>
        <v>49</v>
      </c>
      <c r="S3434" s="8">
        <f t="shared" ca="1" si="429"/>
        <v>47</v>
      </c>
      <c r="T3434">
        <f t="shared" ca="1" si="430"/>
        <v>1.3187200000000001</v>
      </c>
      <c r="U3434" s="8">
        <f t="shared" ca="1" si="431"/>
        <v>6.256000000000002</v>
      </c>
      <c r="V3434" s="9">
        <f ca="1">RawData[[#This Row],[Z (smoothed demand size)]]/RawData[[#This Row],[X (smoothed interval)]]</f>
        <v>0.21079283887468026</v>
      </c>
    </row>
    <row r="3435" spans="1:22">
      <c r="A3435" t="s">
        <v>67</v>
      </c>
      <c r="B3435" t="s">
        <v>60</v>
      </c>
      <c r="C3435">
        <v>24</v>
      </c>
      <c r="D3435" t="s">
        <v>15</v>
      </c>
      <c r="E3435" t="s">
        <v>16</v>
      </c>
      <c r="F3435" s="1">
        <v>44563</v>
      </c>
      <c r="G3435">
        <v>0</v>
      </c>
      <c r="H3435">
        <v>0</v>
      </c>
      <c r="I3435">
        <v>8</v>
      </c>
      <c r="J3435">
        <v>8</v>
      </c>
      <c r="K3435">
        <v>0</v>
      </c>
      <c r="L3435">
        <v>512</v>
      </c>
      <c r="M3435">
        <v>45</v>
      </c>
      <c r="N3435" s="1">
        <f t="shared" si="424"/>
        <v>44938</v>
      </c>
      <c r="O3435" s="1">
        <f t="shared" si="425"/>
        <v>43101</v>
      </c>
      <c r="P3435" s="1">
        <f t="shared" si="426"/>
        <v>44593</v>
      </c>
      <c r="Q3435" s="8">
        <f t="shared" si="427"/>
        <v>0</v>
      </c>
      <c r="R3435" s="8">
        <f t="shared" si="428"/>
        <v>50</v>
      </c>
      <c r="S3435" s="8">
        <f t="shared" ca="1" si="429"/>
        <v>47</v>
      </c>
      <c r="T3435">
        <f t="shared" ca="1" si="430"/>
        <v>1.3187200000000001</v>
      </c>
      <c r="U3435" s="8">
        <f t="shared" ca="1" si="431"/>
        <v>6.256000000000002</v>
      </c>
      <c r="V3435" s="9">
        <f ca="1">RawData[[#This Row],[Z (smoothed demand size)]]/RawData[[#This Row],[X (smoothed interval)]]</f>
        <v>0.21079283887468026</v>
      </c>
    </row>
    <row r="3436" spans="1:22">
      <c r="A3436" t="s">
        <v>67</v>
      </c>
      <c r="B3436" t="s">
        <v>60</v>
      </c>
      <c r="C3436">
        <v>24</v>
      </c>
      <c r="D3436" t="s">
        <v>15</v>
      </c>
      <c r="E3436" t="s">
        <v>16</v>
      </c>
      <c r="F3436" s="1">
        <v>44564</v>
      </c>
      <c r="G3436">
        <v>0</v>
      </c>
      <c r="H3436">
        <v>0</v>
      </c>
      <c r="I3436">
        <v>8</v>
      </c>
      <c r="J3436">
        <v>8</v>
      </c>
      <c r="K3436">
        <v>0</v>
      </c>
      <c r="L3436">
        <v>523</v>
      </c>
      <c r="M3436">
        <v>15</v>
      </c>
      <c r="N3436" s="1">
        <f t="shared" si="424"/>
        <v>44938</v>
      </c>
      <c r="O3436" s="1">
        <f t="shared" si="425"/>
        <v>43101</v>
      </c>
      <c r="P3436" s="1">
        <f t="shared" si="426"/>
        <v>44621</v>
      </c>
      <c r="Q3436" s="8">
        <f t="shared" si="427"/>
        <v>0</v>
      </c>
      <c r="R3436" s="8">
        <f t="shared" si="428"/>
        <v>51</v>
      </c>
      <c r="S3436" s="8">
        <f t="shared" ca="1" si="429"/>
        <v>47</v>
      </c>
      <c r="T3436">
        <f t="shared" ca="1" si="430"/>
        <v>1.3187200000000001</v>
      </c>
      <c r="U3436" s="8">
        <f t="shared" ca="1" si="431"/>
        <v>6.256000000000002</v>
      </c>
      <c r="V3436" s="9">
        <f ca="1">RawData[[#This Row],[Z (smoothed demand size)]]/RawData[[#This Row],[X (smoothed interval)]]</f>
        <v>0.21079283887468026</v>
      </c>
    </row>
    <row r="3437" spans="1:22">
      <c r="A3437" t="s">
        <v>67</v>
      </c>
      <c r="B3437" t="s">
        <v>60</v>
      </c>
      <c r="C3437">
        <v>24</v>
      </c>
      <c r="D3437" t="s">
        <v>15</v>
      </c>
      <c r="E3437" t="s">
        <v>16</v>
      </c>
      <c r="F3437" s="1">
        <v>44565</v>
      </c>
      <c r="G3437">
        <v>0</v>
      </c>
      <c r="H3437">
        <v>0</v>
      </c>
      <c r="I3437">
        <v>8</v>
      </c>
      <c r="J3437">
        <v>8</v>
      </c>
      <c r="K3437">
        <v>0</v>
      </c>
      <c r="L3437">
        <v>503</v>
      </c>
      <c r="M3437">
        <v>60</v>
      </c>
      <c r="N3437" s="1">
        <f t="shared" si="424"/>
        <v>44938</v>
      </c>
      <c r="O3437" s="1">
        <f t="shared" si="425"/>
        <v>43101</v>
      </c>
      <c r="P3437" s="1">
        <f t="shared" si="426"/>
        <v>44652</v>
      </c>
      <c r="Q3437" s="8">
        <f t="shared" si="427"/>
        <v>0</v>
      </c>
      <c r="R3437" s="8">
        <f t="shared" si="428"/>
        <v>52</v>
      </c>
      <c r="S3437" s="8">
        <f t="shared" ca="1" si="429"/>
        <v>47</v>
      </c>
      <c r="T3437">
        <f t="shared" ca="1" si="430"/>
        <v>1.3187200000000001</v>
      </c>
      <c r="U3437" s="8">
        <f t="shared" ca="1" si="431"/>
        <v>6.256000000000002</v>
      </c>
      <c r="V3437" s="9">
        <f ca="1">RawData[[#This Row],[Z (smoothed demand size)]]/RawData[[#This Row],[X (smoothed interval)]]</f>
        <v>0.21079283887468026</v>
      </c>
    </row>
    <row r="3438" spans="1:22">
      <c r="A3438" t="s">
        <v>67</v>
      </c>
      <c r="B3438" t="s">
        <v>60</v>
      </c>
      <c r="C3438">
        <v>24</v>
      </c>
      <c r="D3438" t="s">
        <v>15</v>
      </c>
      <c r="E3438" t="s">
        <v>16</v>
      </c>
      <c r="F3438" s="1">
        <v>44566</v>
      </c>
      <c r="G3438">
        <v>0</v>
      </c>
      <c r="H3438">
        <v>0</v>
      </c>
      <c r="I3438">
        <v>8</v>
      </c>
      <c r="J3438">
        <v>8</v>
      </c>
      <c r="K3438">
        <v>0</v>
      </c>
      <c r="L3438">
        <v>519</v>
      </c>
      <c r="M3438">
        <v>60</v>
      </c>
      <c r="N3438" s="1">
        <f t="shared" si="424"/>
        <v>44938</v>
      </c>
      <c r="O3438" s="1">
        <f t="shared" si="425"/>
        <v>43101</v>
      </c>
      <c r="P3438" s="1">
        <f t="shared" si="426"/>
        <v>44682</v>
      </c>
      <c r="Q3438" s="8">
        <f t="shared" si="427"/>
        <v>0</v>
      </c>
      <c r="R3438" s="8">
        <f t="shared" si="428"/>
        <v>53</v>
      </c>
      <c r="S3438" s="8">
        <f t="shared" ca="1" si="429"/>
        <v>47</v>
      </c>
      <c r="T3438">
        <f t="shared" ca="1" si="430"/>
        <v>1.3187200000000001</v>
      </c>
      <c r="U3438" s="8">
        <f t="shared" ca="1" si="431"/>
        <v>6.256000000000002</v>
      </c>
      <c r="V3438" s="9">
        <f ca="1">RawData[[#This Row],[Z (smoothed demand size)]]/RawData[[#This Row],[X (smoothed interval)]]</f>
        <v>0.21079283887468026</v>
      </c>
    </row>
    <row r="3439" spans="1:22">
      <c r="A3439" t="s">
        <v>67</v>
      </c>
      <c r="B3439" t="s">
        <v>60</v>
      </c>
      <c r="C3439">
        <v>24</v>
      </c>
      <c r="D3439" t="s">
        <v>15</v>
      </c>
      <c r="E3439" t="s">
        <v>16</v>
      </c>
      <c r="F3439" s="1">
        <v>44567</v>
      </c>
      <c r="G3439">
        <v>0</v>
      </c>
      <c r="H3439">
        <v>0</v>
      </c>
      <c r="I3439">
        <v>8</v>
      </c>
      <c r="J3439">
        <v>8</v>
      </c>
      <c r="K3439">
        <v>0</v>
      </c>
      <c r="L3439">
        <v>602</v>
      </c>
      <c r="M3439">
        <v>45</v>
      </c>
      <c r="N3439" s="1">
        <f t="shared" si="424"/>
        <v>44938</v>
      </c>
      <c r="O3439" s="1">
        <f t="shared" si="425"/>
        <v>43101</v>
      </c>
      <c r="P3439" s="1">
        <f t="shared" si="426"/>
        <v>44713</v>
      </c>
      <c r="Q3439" s="8">
        <f t="shared" si="427"/>
        <v>0</v>
      </c>
      <c r="R3439" s="8">
        <f t="shared" si="428"/>
        <v>54</v>
      </c>
      <c r="S3439" s="8">
        <f t="shared" ca="1" si="429"/>
        <v>47</v>
      </c>
      <c r="T3439">
        <f t="shared" ca="1" si="430"/>
        <v>1.3187200000000001</v>
      </c>
      <c r="U3439" s="8">
        <f t="shared" ca="1" si="431"/>
        <v>6.256000000000002</v>
      </c>
      <c r="V3439" s="9">
        <f ca="1">RawData[[#This Row],[Z (smoothed demand size)]]/RawData[[#This Row],[X (smoothed interval)]]</f>
        <v>0.21079283887468026</v>
      </c>
    </row>
    <row r="3440" spans="1:22">
      <c r="A3440" t="s">
        <v>67</v>
      </c>
      <c r="B3440" t="s">
        <v>60</v>
      </c>
      <c r="C3440">
        <v>24</v>
      </c>
      <c r="D3440" t="s">
        <v>15</v>
      </c>
      <c r="E3440" t="s">
        <v>16</v>
      </c>
      <c r="F3440" s="1">
        <v>44568</v>
      </c>
      <c r="G3440">
        <v>0</v>
      </c>
      <c r="H3440">
        <v>0</v>
      </c>
      <c r="I3440">
        <v>8</v>
      </c>
      <c r="J3440">
        <v>8</v>
      </c>
      <c r="K3440">
        <v>0</v>
      </c>
      <c r="L3440">
        <v>591</v>
      </c>
      <c r="M3440">
        <v>60</v>
      </c>
      <c r="N3440" s="1">
        <f t="shared" si="424"/>
        <v>44938</v>
      </c>
      <c r="O3440" s="1">
        <f t="shared" si="425"/>
        <v>43101</v>
      </c>
      <c r="P3440" s="1">
        <f t="shared" si="426"/>
        <v>44743</v>
      </c>
      <c r="Q3440" s="8">
        <f t="shared" si="427"/>
        <v>0</v>
      </c>
      <c r="R3440" s="8">
        <f t="shared" si="428"/>
        <v>55</v>
      </c>
      <c r="S3440" s="8">
        <f t="shared" ca="1" si="429"/>
        <v>47</v>
      </c>
      <c r="T3440">
        <f t="shared" ca="1" si="430"/>
        <v>1.3187200000000001</v>
      </c>
      <c r="U3440" s="8">
        <f t="shared" ca="1" si="431"/>
        <v>6.256000000000002</v>
      </c>
      <c r="V3440" s="9">
        <f ca="1">RawData[[#This Row],[Z (smoothed demand size)]]/RawData[[#This Row],[X (smoothed interval)]]</f>
        <v>0.21079283887468026</v>
      </c>
    </row>
    <row r="3441" spans="1:22">
      <c r="A3441" t="s">
        <v>67</v>
      </c>
      <c r="B3441" t="s">
        <v>60</v>
      </c>
      <c r="C3441">
        <v>24</v>
      </c>
      <c r="D3441" t="s">
        <v>15</v>
      </c>
      <c r="E3441" t="s">
        <v>16</v>
      </c>
      <c r="F3441" s="1">
        <v>44569</v>
      </c>
      <c r="G3441">
        <v>0</v>
      </c>
      <c r="H3441">
        <v>0</v>
      </c>
      <c r="I3441">
        <v>8</v>
      </c>
      <c r="J3441">
        <v>8</v>
      </c>
      <c r="K3441">
        <v>0</v>
      </c>
      <c r="L3441">
        <v>597</v>
      </c>
      <c r="M3441">
        <v>30</v>
      </c>
      <c r="N3441" s="1">
        <f t="shared" si="424"/>
        <v>44938</v>
      </c>
      <c r="O3441" s="1">
        <f t="shared" si="425"/>
        <v>43101</v>
      </c>
      <c r="P3441" s="1">
        <f t="shared" si="426"/>
        <v>44774</v>
      </c>
      <c r="Q3441" s="8">
        <f t="shared" si="427"/>
        <v>0</v>
      </c>
      <c r="R3441" s="8">
        <f t="shared" si="428"/>
        <v>56</v>
      </c>
      <c r="S3441" s="8">
        <f t="shared" ca="1" si="429"/>
        <v>47</v>
      </c>
      <c r="T3441">
        <f t="shared" ca="1" si="430"/>
        <v>1.3187200000000001</v>
      </c>
      <c r="U3441" s="8">
        <f t="shared" ca="1" si="431"/>
        <v>6.256000000000002</v>
      </c>
      <c r="V3441" s="9">
        <f ca="1">RawData[[#This Row],[Z (smoothed demand size)]]/RawData[[#This Row],[X (smoothed interval)]]</f>
        <v>0.21079283887468026</v>
      </c>
    </row>
    <row r="3442" spans="1:22">
      <c r="A3442" t="s">
        <v>67</v>
      </c>
      <c r="B3442" t="s">
        <v>60</v>
      </c>
      <c r="C3442">
        <v>24</v>
      </c>
      <c r="D3442" t="s">
        <v>15</v>
      </c>
      <c r="E3442" t="s">
        <v>16</v>
      </c>
      <c r="F3442" s="1">
        <v>44570</v>
      </c>
      <c r="G3442">
        <v>0</v>
      </c>
      <c r="H3442">
        <v>0</v>
      </c>
      <c r="I3442">
        <v>8</v>
      </c>
      <c r="J3442">
        <v>8</v>
      </c>
      <c r="K3442">
        <v>0</v>
      </c>
      <c r="L3442">
        <v>524</v>
      </c>
      <c r="M3442">
        <v>45</v>
      </c>
      <c r="N3442" s="1">
        <f t="shared" si="424"/>
        <v>44938</v>
      </c>
      <c r="O3442" s="1">
        <f t="shared" si="425"/>
        <v>43101</v>
      </c>
      <c r="P3442" s="1">
        <f t="shared" si="426"/>
        <v>44805</v>
      </c>
      <c r="Q3442" s="8">
        <f t="shared" si="427"/>
        <v>0</v>
      </c>
      <c r="R3442" s="8">
        <f t="shared" si="428"/>
        <v>57</v>
      </c>
      <c r="S3442" s="8">
        <f t="shared" ca="1" si="429"/>
        <v>47</v>
      </c>
      <c r="T3442">
        <f t="shared" ca="1" si="430"/>
        <v>1.3187200000000001</v>
      </c>
      <c r="U3442" s="8">
        <f t="shared" ca="1" si="431"/>
        <v>6.256000000000002</v>
      </c>
      <c r="V3442" s="9">
        <f ca="1">RawData[[#This Row],[Z (smoothed demand size)]]/RawData[[#This Row],[X (smoothed interval)]]</f>
        <v>0.21079283887468026</v>
      </c>
    </row>
    <row r="3443" spans="1:22">
      <c r="A3443" t="s">
        <v>67</v>
      </c>
      <c r="B3443" t="s">
        <v>60</v>
      </c>
      <c r="C3443">
        <v>24</v>
      </c>
      <c r="D3443" t="s">
        <v>15</v>
      </c>
      <c r="E3443" t="s">
        <v>16</v>
      </c>
      <c r="F3443" s="1">
        <v>44571</v>
      </c>
      <c r="G3443">
        <v>0</v>
      </c>
      <c r="H3443">
        <v>0</v>
      </c>
      <c r="I3443">
        <v>8</v>
      </c>
      <c r="J3443">
        <v>8</v>
      </c>
      <c r="K3443">
        <v>0</v>
      </c>
      <c r="L3443">
        <v>523</v>
      </c>
      <c r="M3443">
        <v>60</v>
      </c>
      <c r="N3443" s="1">
        <f t="shared" si="424"/>
        <v>44938</v>
      </c>
      <c r="O3443" s="1">
        <f t="shared" si="425"/>
        <v>43101</v>
      </c>
      <c r="P3443" s="1">
        <f t="shared" si="426"/>
        <v>44835</v>
      </c>
      <c r="Q3443" s="8">
        <f t="shared" si="427"/>
        <v>0</v>
      </c>
      <c r="R3443" s="8">
        <f t="shared" si="428"/>
        <v>58</v>
      </c>
      <c r="S3443" s="8">
        <f t="shared" ca="1" si="429"/>
        <v>47</v>
      </c>
      <c r="T3443">
        <f t="shared" ca="1" si="430"/>
        <v>1.3187200000000001</v>
      </c>
      <c r="U3443" s="8">
        <f t="shared" ca="1" si="431"/>
        <v>6.256000000000002</v>
      </c>
      <c r="V3443" s="9">
        <f ca="1">RawData[[#This Row],[Z (smoothed demand size)]]/RawData[[#This Row],[X (smoothed interval)]]</f>
        <v>0.21079283887468026</v>
      </c>
    </row>
    <row r="3444" spans="1:22">
      <c r="A3444" t="s">
        <v>67</v>
      </c>
      <c r="B3444" t="s">
        <v>60</v>
      </c>
      <c r="C3444">
        <v>24</v>
      </c>
      <c r="D3444" t="s">
        <v>15</v>
      </c>
      <c r="E3444" t="s">
        <v>16</v>
      </c>
      <c r="F3444" s="1">
        <v>44572</v>
      </c>
      <c r="G3444">
        <v>0</v>
      </c>
      <c r="H3444">
        <v>0</v>
      </c>
      <c r="I3444">
        <v>8</v>
      </c>
      <c r="J3444">
        <v>8</v>
      </c>
      <c r="K3444">
        <v>0</v>
      </c>
      <c r="L3444">
        <v>511</v>
      </c>
      <c r="M3444">
        <v>45</v>
      </c>
      <c r="N3444" s="1">
        <f t="shared" si="424"/>
        <v>44938</v>
      </c>
      <c r="O3444" s="1">
        <f t="shared" si="425"/>
        <v>43101</v>
      </c>
      <c r="P3444" s="1">
        <f t="shared" si="426"/>
        <v>44866</v>
      </c>
      <c r="Q3444" s="8">
        <f t="shared" si="427"/>
        <v>0</v>
      </c>
      <c r="R3444" s="8">
        <f t="shared" si="428"/>
        <v>59</v>
      </c>
      <c r="S3444" s="8">
        <f t="shared" ca="1" si="429"/>
        <v>47</v>
      </c>
      <c r="T3444">
        <f t="shared" ca="1" si="430"/>
        <v>1.3187200000000001</v>
      </c>
      <c r="U3444" s="8">
        <f t="shared" ca="1" si="431"/>
        <v>6.256000000000002</v>
      </c>
      <c r="V3444" s="9">
        <f ca="1">RawData[[#This Row],[Z (smoothed demand size)]]/RawData[[#This Row],[X (smoothed interval)]]</f>
        <v>0.21079283887468026</v>
      </c>
    </row>
    <row r="3445" spans="1:22">
      <c r="A3445" t="s">
        <v>67</v>
      </c>
      <c r="B3445" t="s">
        <v>60</v>
      </c>
      <c r="C3445">
        <v>24</v>
      </c>
      <c r="D3445" t="s">
        <v>15</v>
      </c>
      <c r="E3445" t="s">
        <v>16</v>
      </c>
      <c r="F3445" s="1">
        <v>44573</v>
      </c>
      <c r="G3445">
        <v>0</v>
      </c>
      <c r="H3445">
        <v>0</v>
      </c>
      <c r="I3445">
        <v>8</v>
      </c>
      <c r="J3445">
        <v>8</v>
      </c>
      <c r="K3445">
        <v>0</v>
      </c>
      <c r="L3445">
        <v>602</v>
      </c>
      <c r="M3445">
        <v>30</v>
      </c>
      <c r="N3445" s="1">
        <f t="shared" si="424"/>
        <v>44938</v>
      </c>
      <c r="O3445" s="1">
        <f t="shared" si="425"/>
        <v>43101</v>
      </c>
      <c r="P3445" s="1">
        <f t="shared" si="426"/>
        <v>44896</v>
      </c>
      <c r="Q3445" s="8">
        <f t="shared" si="427"/>
        <v>0</v>
      </c>
      <c r="R3445" s="8">
        <f t="shared" si="428"/>
        <v>60</v>
      </c>
      <c r="S3445" s="8">
        <f t="shared" ca="1" si="429"/>
        <v>47</v>
      </c>
      <c r="T3445">
        <f t="shared" ca="1" si="430"/>
        <v>1.3187200000000001</v>
      </c>
      <c r="U3445" s="8">
        <f t="shared" ca="1" si="431"/>
        <v>6.256000000000002</v>
      </c>
      <c r="V3445" s="9">
        <f ca="1">RawData[[#This Row],[Z (smoothed demand size)]]/RawData[[#This Row],[X (smoothed interval)]]</f>
        <v>0.21079283887468026</v>
      </c>
    </row>
    <row r="3446" spans="1:22">
      <c r="A3446" t="s">
        <v>67</v>
      </c>
      <c r="B3446" t="s">
        <v>60</v>
      </c>
      <c r="C3446">
        <v>24</v>
      </c>
      <c r="D3446" t="s">
        <v>15</v>
      </c>
      <c r="E3446" t="s">
        <v>16</v>
      </c>
      <c r="F3446" s="1">
        <v>44927</v>
      </c>
      <c r="G3446">
        <v>0</v>
      </c>
      <c r="H3446">
        <v>0</v>
      </c>
      <c r="I3446">
        <v>8</v>
      </c>
      <c r="J3446">
        <v>8</v>
      </c>
      <c r="K3446">
        <v>0</v>
      </c>
      <c r="L3446">
        <v>526</v>
      </c>
      <c r="M3446">
        <v>15</v>
      </c>
      <c r="N3446" s="1">
        <f t="shared" si="424"/>
        <v>44938</v>
      </c>
      <c r="O3446" s="1">
        <f t="shared" si="425"/>
        <v>43101</v>
      </c>
      <c r="P3446" s="1">
        <f t="shared" si="426"/>
        <v>44927</v>
      </c>
      <c r="Q3446" s="8">
        <f t="shared" si="427"/>
        <v>0</v>
      </c>
      <c r="R3446" s="8">
        <f t="shared" si="428"/>
        <v>61</v>
      </c>
      <c r="S3446" s="8">
        <f t="shared" ca="1" si="429"/>
        <v>47</v>
      </c>
      <c r="T3446">
        <f t="shared" ca="1" si="430"/>
        <v>1.3187200000000001</v>
      </c>
      <c r="U3446" s="8">
        <f t="shared" ca="1" si="431"/>
        <v>6.256000000000002</v>
      </c>
      <c r="V3446" s="9">
        <f ca="1">RawData[[#This Row],[Z (smoothed demand size)]]/RawData[[#This Row],[X (smoothed interval)]]</f>
        <v>0.21079283887468026</v>
      </c>
    </row>
    <row r="3447" spans="1:22">
      <c r="A3447" t="s">
        <v>67</v>
      </c>
      <c r="B3447" t="s">
        <v>60</v>
      </c>
      <c r="C3447">
        <v>24</v>
      </c>
      <c r="D3447" t="s">
        <v>15</v>
      </c>
      <c r="E3447" t="s">
        <v>16</v>
      </c>
      <c r="F3447" s="1">
        <v>44928</v>
      </c>
      <c r="G3447">
        <v>1</v>
      </c>
      <c r="H3447">
        <v>1</v>
      </c>
      <c r="I3447">
        <v>8</v>
      </c>
      <c r="J3447">
        <v>7</v>
      </c>
      <c r="K3447">
        <v>0</v>
      </c>
      <c r="L3447">
        <v>523</v>
      </c>
      <c r="M3447">
        <v>45</v>
      </c>
      <c r="N3447" s="1">
        <f t="shared" si="424"/>
        <v>44938</v>
      </c>
      <c r="O3447" s="1">
        <f t="shared" si="425"/>
        <v>43101</v>
      </c>
      <c r="P3447" s="1">
        <f t="shared" si="426"/>
        <v>44958</v>
      </c>
      <c r="Q3447" s="8">
        <f t="shared" si="427"/>
        <v>0</v>
      </c>
      <c r="R3447" s="8">
        <f t="shared" si="428"/>
        <v>62</v>
      </c>
      <c r="S3447" s="8">
        <f t="shared" ca="1" si="429"/>
        <v>62</v>
      </c>
      <c r="T3447">
        <f t="shared" ca="1" si="430"/>
        <v>1.2549760000000001</v>
      </c>
      <c r="U3447" s="8">
        <f t="shared" ca="1" si="431"/>
        <v>8.004800000000003</v>
      </c>
      <c r="V3447" s="9">
        <f ca="1">RawData[[#This Row],[Z (smoothed demand size)]]/RawData[[#This Row],[X (smoothed interval)]]</f>
        <v>0.15677793324005593</v>
      </c>
    </row>
    <row r="3448" spans="1:22">
      <c r="A3448" t="s">
        <v>67</v>
      </c>
      <c r="B3448" t="s">
        <v>60</v>
      </c>
      <c r="C3448">
        <v>24</v>
      </c>
      <c r="D3448" t="s">
        <v>15</v>
      </c>
      <c r="E3448" t="s">
        <v>16</v>
      </c>
      <c r="F3448" s="1">
        <v>44929</v>
      </c>
      <c r="G3448">
        <v>2</v>
      </c>
      <c r="H3448">
        <v>2</v>
      </c>
      <c r="I3448">
        <v>7</v>
      </c>
      <c r="J3448">
        <v>5</v>
      </c>
      <c r="K3448">
        <v>0</v>
      </c>
      <c r="L3448">
        <v>511</v>
      </c>
      <c r="M3448">
        <v>45</v>
      </c>
      <c r="N3448" s="1">
        <f t="shared" si="424"/>
        <v>44938</v>
      </c>
      <c r="O3448" s="1">
        <f t="shared" si="425"/>
        <v>43101</v>
      </c>
      <c r="P3448" s="1">
        <f t="shared" si="426"/>
        <v>44986</v>
      </c>
      <c r="Q3448" s="8">
        <f t="shared" si="427"/>
        <v>0</v>
      </c>
      <c r="R3448" s="8">
        <f t="shared" si="428"/>
        <v>63</v>
      </c>
      <c r="S3448" s="8">
        <f t="shared" ca="1" si="429"/>
        <v>63</v>
      </c>
      <c r="T3448">
        <f t="shared" ca="1" si="430"/>
        <v>1.4039808000000003</v>
      </c>
      <c r="U3448" s="8">
        <f t="shared" ca="1" si="431"/>
        <v>6.6038400000000026</v>
      </c>
      <c r="V3448" s="9">
        <f ca="1">RawData[[#This Row],[Z (smoothed demand size)]]/RawData[[#This Row],[X (smoothed interval)]]</f>
        <v>0.21260066870184616</v>
      </c>
    </row>
    <row r="3449" spans="1:22">
      <c r="A3449" t="s">
        <v>67</v>
      </c>
      <c r="B3449" t="s">
        <v>60</v>
      </c>
      <c r="C3449">
        <v>24</v>
      </c>
      <c r="D3449" t="s">
        <v>15</v>
      </c>
      <c r="E3449" t="s">
        <v>16</v>
      </c>
      <c r="F3449" s="1">
        <v>44930</v>
      </c>
      <c r="G3449">
        <v>0</v>
      </c>
      <c r="H3449">
        <v>0</v>
      </c>
      <c r="I3449">
        <v>5</v>
      </c>
      <c r="J3449">
        <v>5</v>
      </c>
      <c r="K3449">
        <v>0</v>
      </c>
      <c r="L3449">
        <v>512</v>
      </c>
      <c r="M3449">
        <v>60</v>
      </c>
      <c r="N3449" s="1">
        <f t="shared" si="424"/>
        <v>44938</v>
      </c>
      <c r="O3449" s="1">
        <f t="shared" si="425"/>
        <v>43101</v>
      </c>
      <c r="P3449" s="1">
        <f t="shared" si="426"/>
        <v>45017</v>
      </c>
      <c r="Q3449" s="8">
        <f t="shared" si="427"/>
        <v>0</v>
      </c>
      <c r="R3449" s="8">
        <f t="shared" si="428"/>
        <v>64</v>
      </c>
      <c r="S3449" s="8">
        <f t="shared" ca="1" si="429"/>
        <v>63</v>
      </c>
      <c r="T3449">
        <f t="shared" ca="1" si="430"/>
        <v>1.4039808000000003</v>
      </c>
      <c r="U3449" s="8">
        <f t="shared" ca="1" si="431"/>
        <v>6.6038400000000026</v>
      </c>
      <c r="V3449" s="9">
        <f ca="1">RawData[[#This Row],[Z (smoothed demand size)]]/RawData[[#This Row],[X (smoothed interval)]]</f>
        <v>0.21260066870184616</v>
      </c>
    </row>
    <row r="3450" spans="1:22">
      <c r="A3450" t="s">
        <v>67</v>
      </c>
      <c r="B3450" t="s">
        <v>60</v>
      </c>
      <c r="C3450">
        <v>24</v>
      </c>
      <c r="D3450" t="s">
        <v>15</v>
      </c>
      <c r="E3450" t="s">
        <v>16</v>
      </c>
      <c r="F3450" s="1">
        <v>44931</v>
      </c>
      <c r="G3450">
        <v>1</v>
      </c>
      <c r="H3450">
        <v>1</v>
      </c>
      <c r="I3450">
        <v>5</v>
      </c>
      <c r="J3450">
        <v>4</v>
      </c>
      <c r="K3450">
        <v>0</v>
      </c>
      <c r="L3450">
        <v>518</v>
      </c>
      <c r="M3450">
        <v>30</v>
      </c>
      <c r="N3450" s="1">
        <f t="shared" si="424"/>
        <v>44938</v>
      </c>
      <c r="O3450" s="1">
        <f t="shared" si="425"/>
        <v>43101</v>
      </c>
      <c r="P3450" s="1">
        <f t="shared" si="426"/>
        <v>45047</v>
      </c>
      <c r="Q3450" s="8">
        <f t="shared" si="427"/>
        <v>0</v>
      </c>
      <c r="R3450" s="8">
        <f t="shared" si="428"/>
        <v>65</v>
      </c>
      <c r="S3450" s="8">
        <f t="shared" ca="1" si="429"/>
        <v>65</v>
      </c>
      <c r="T3450">
        <f t="shared" ca="1" si="430"/>
        <v>1.3231846400000002</v>
      </c>
      <c r="U3450" s="8">
        <f t="shared" ca="1" si="431"/>
        <v>5.6830720000000028</v>
      </c>
      <c r="V3450" s="9">
        <f ca="1">RawData[[#This Row],[Z (smoothed demand size)]]/RawData[[#This Row],[X (smoothed interval)]]</f>
        <v>0.23282911777292276</v>
      </c>
    </row>
    <row r="3451" spans="1:22">
      <c r="A3451" t="s">
        <v>67</v>
      </c>
      <c r="B3451" t="s">
        <v>60</v>
      </c>
      <c r="C3451">
        <v>24</v>
      </c>
      <c r="D3451" t="s">
        <v>15</v>
      </c>
      <c r="E3451" t="s">
        <v>16</v>
      </c>
      <c r="F3451" s="1">
        <v>44932</v>
      </c>
      <c r="G3451">
        <v>0</v>
      </c>
      <c r="H3451">
        <v>0</v>
      </c>
      <c r="I3451">
        <v>26</v>
      </c>
      <c r="J3451">
        <v>26</v>
      </c>
      <c r="K3451">
        <v>0</v>
      </c>
      <c r="L3451">
        <v>598</v>
      </c>
      <c r="M3451">
        <v>15</v>
      </c>
      <c r="N3451" s="1">
        <f t="shared" si="424"/>
        <v>44938</v>
      </c>
      <c r="O3451" s="1">
        <f t="shared" si="425"/>
        <v>43101</v>
      </c>
      <c r="P3451" s="1">
        <f t="shared" si="426"/>
        <v>45078</v>
      </c>
      <c r="Q3451" s="8">
        <f t="shared" si="427"/>
        <v>0</v>
      </c>
      <c r="R3451" s="8">
        <f t="shared" si="428"/>
        <v>66</v>
      </c>
      <c r="S3451" s="8">
        <f t="shared" ca="1" si="429"/>
        <v>65</v>
      </c>
      <c r="T3451">
        <f t="shared" ca="1" si="430"/>
        <v>1.3231846400000002</v>
      </c>
      <c r="U3451" s="8">
        <f t="shared" ca="1" si="431"/>
        <v>5.6830720000000028</v>
      </c>
      <c r="V3451" s="9">
        <f ca="1">RawData[[#This Row],[Z (smoothed demand size)]]/RawData[[#This Row],[X (smoothed interval)]]</f>
        <v>0.23282911777292276</v>
      </c>
    </row>
    <row r="3452" spans="1:22">
      <c r="A3452" t="s">
        <v>67</v>
      </c>
      <c r="B3452" t="s">
        <v>60</v>
      </c>
      <c r="C3452">
        <v>24</v>
      </c>
      <c r="D3452" t="s">
        <v>15</v>
      </c>
      <c r="E3452" t="s">
        <v>16</v>
      </c>
      <c r="F3452" s="1">
        <v>44933</v>
      </c>
      <c r="G3452">
        <v>0</v>
      </c>
      <c r="H3452">
        <v>0</v>
      </c>
      <c r="I3452">
        <v>26</v>
      </c>
      <c r="J3452">
        <v>26</v>
      </c>
      <c r="K3452">
        <v>0</v>
      </c>
      <c r="L3452">
        <v>600</v>
      </c>
      <c r="M3452">
        <v>60</v>
      </c>
      <c r="N3452" s="1">
        <f t="shared" si="424"/>
        <v>44938</v>
      </c>
      <c r="O3452" s="1">
        <f t="shared" si="425"/>
        <v>43101</v>
      </c>
      <c r="P3452" s="1">
        <f t="shared" si="426"/>
        <v>45108</v>
      </c>
      <c r="Q3452" s="8">
        <f t="shared" si="427"/>
        <v>0</v>
      </c>
      <c r="R3452" s="8">
        <f t="shared" si="428"/>
        <v>67</v>
      </c>
      <c r="S3452" s="8">
        <f t="shared" ca="1" si="429"/>
        <v>65</v>
      </c>
      <c r="T3452">
        <f t="shared" ca="1" si="430"/>
        <v>1.3231846400000002</v>
      </c>
      <c r="U3452" s="8">
        <f t="shared" ca="1" si="431"/>
        <v>5.6830720000000028</v>
      </c>
      <c r="V3452" s="9">
        <f ca="1">RawData[[#This Row],[Z (smoothed demand size)]]/RawData[[#This Row],[X (smoothed interval)]]</f>
        <v>0.23282911777292276</v>
      </c>
    </row>
    <row r="3453" spans="1:22">
      <c r="A3453" t="s">
        <v>67</v>
      </c>
      <c r="B3453" t="s">
        <v>60</v>
      </c>
      <c r="C3453">
        <v>24</v>
      </c>
      <c r="D3453" t="s">
        <v>15</v>
      </c>
      <c r="E3453" t="s">
        <v>16</v>
      </c>
      <c r="F3453" s="1">
        <v>44934</v>
      </c>
      <c r="G3453">
        <v>0</v>
      </c>
      <c r="H3453">
        <v>0</v>
      </c>
      <c r="I3453">
        <v>26</v>
      </c>
      <c r="J3453">
        <v>26</v>
      </c>
      <c r="K3453">
        <v>0</v>
      </c>
      <c r="L3453">
        <v>590</v>
      </c>
      <c r="M3453">
        <v>60</v>
      </c>
      <c r="N3453" s="1">
        <f t="shared" si="424"/>
        <v>44938</v>
      </c>
      <c r="O3453" s="1">
        <f t="shared" si="425"/>
        <v>43101</v>
      </c>
      <c r="P3453" s="1">
        <f t="shared" si="426"/>
        <v>45139</v>
      </c>
      <c r="Q3453" s="8">
        <f t="shared" si="427"/>
        <v>0</v>
      </c>
      <c r="R3453" s="8">
        <f t="shared" si="428"/>
        <v>68</v>
      </c>
      <c r="S3453" s="8">
        <f t="shared" ca="1" si="429"/>
        <v>65</v>
      </c>
      <c r="T3453">
        <f t="shared" ca="1" si="430"/>
        <v>1.3231846400000002</v>
      </c>
      <c r="U3453" s="8">
        <f t="shared" ca="1" si="431"/>
        <v>5.6830720000000028</v>
      </c>
      <c r="V3453" s="9">
        <f ca="1">RawData[[#This Row],[Z (smoothed demand size)]]/RawData[[#This Row],[X (smoothed interval)]]</f>
        <v>0.23282911777292276</v>
      </c>
    </row>
    <row r="3454" spans="1:22">
      <c r="A3454" t="s">
        <v>67</v>
      </c>
      <c r="B3454" t="s">
        <v>60</v>
      </c>
      <c r="C3454">
        <v>24</v>
      </c>
      <c r="D3454" t="s">
        <v>15</v>
      </c>
      <c r="E3454" t="s">
        <v>16</v>
      </c>
      <c r="F3454" s="1">
        <v>44935</v>
      </c>
      <c r="G3454">
        <v>0</v>
      </c>
      <c r="H3454">
        <v>0</v>
      </c>
      <c r="I3454">
        <v>26</v>
      </c>
      <c r="J3454">
        <v>26</v>
      </c>
      <c r="K3454">
        <v>0</v>
      </c>
      <c r="L3454">
        <v>517</v>
      </c>
      <c r="M3454">
        <v>30</v>
      </c>
      <c r="N3454" s="1">
        <f t="shared" si="424"/>
        <v>44938</v>
      </c>
      <c r="O3454" s="1">
        <f t="shared" si="425"/>
        <v>43101</v>
      </c>
      <c r="P3454" s="1">
        <f t="shared" si="426"/>
        <v>45170</v>
      </c>
      <c r="Q3454" s="8">
        <f t="shared" si="427"/>
        <v>0</v>
      </c>
      <c r="R3454" s="8">
        <f t="shared" si="428"/>
        <v>69</v>
      </c>
      <c r="S3454" s="8">
        <f t="shared" ca="1" si="429"/>
        <v>65</v>
      </c>
      <c r="T3454">
        <f t="shared" ca="1" si="430"/>
        <v>1.3231846400000002</v>
      </c>
      <c r="U3454" s="8">
        <f t="shared" ca="1" si="431"/>
        <v>5.6830720000000028</v>
      </c>
      <c r="V3454" s="9">
        <f ca="1">RawData[[#This Row],[Z (smoothed demand size)]]/RawData[[#This Row],[X (smoothed interval)]]</f>
        <v>0.23282911777292276</v>
      </c>
    </row>
    <row r="3455" spans="1:22">
      <c r="A3455" t="s">
        <v>67</v>
      </c>
      <c r="B3455" t="s">
        <v>60</v>
      </c>
      <c r="C3455">
        <v>24</v>
      </c>
      <c r="D3455" t="s">
        <v>15</v>
      </c>
      <c r="E3455" t="s">
        <v>16</v>
      </c>
      <c r="F3455" s="1">
        <v>44936</v>
      </c>
      <c r="G3455">
        <v>0</v>
      </c>
      <c r="H3455">
        <v>0</v>
      </c>
      <c r="I3455">
        <v>26</v>
      </c>
      <c r="J3455">
        <v>26</v>
      </c>
      <c r="K3455">
        <v>0</v>
      </c>
      <c r="L3455">
        <v>513</v>
      </c>
      <c r="M3455">
        <v>30</v>
      </c>
      <c r="N3455" s="1">
        <f t="shared" si="424"/>
        <v>44938</v>
      </c>
      <c r="O3455" s="1">
        <f t="shared" si="425"/>
        <v>43101</v>
      </c>
      <c r="P3455" s="1">
        <f t="shared" si="426"/>
        <v>45200</v>
      </c>
      <c r="Q3455" s="8">
        <f t="shared" si="427"/>
        <v>0</v>
      </c>
      <c r="R3455" s="8">
        <f t="shared" si="428"/>
        <v>70</v>
      </c>
      <c r="S3455" s="8">
        <f t="shared" ca="1" si="429"/>
        <v>65</v>
      </c>
      <c r="T3455">
        <f t="shared" ca="1" si="430"/>
        <v>1.3231846400000002</v>
      </c>
      <c r="U3455" s="8">
        <f t="shared" ca="1" si="431"/>
        <v>5.6830720000000028</v>
      </c>
      <c r="V3455" s="9">
        <f ca="1">RawData[[#This Row],[Z (smoothed demand size)]]/RawData[[#This Row],[X (smoothed interval)]]</f>
        <v>0.23282911777292276</v>
      </c>
    </row>
    <row r="3456" spans="1:22">
      <c r="A3456" t="s">
        <v>67</v>
      </c>
      <c r="B3456" t="s">
        <v>60</v>
      </c>
      <c r="C3456">
        <v>24</v>
      </c>
      <c r="D3456" t="s">
        <v>15</v>
      </c>
      <c r="E3456" t="s">
        <v>16</v>
      </c>
      <c r="F3456" s="1">
        <v>44937</v>
      </c>
      <c r="G3456">
        <v>0</v>
      </c>
      <c r="H3456">
        <v>0</v>
      </c>
      <c r="I3456">
        <v>26</v>
      </c>
      <c r="J3456">
        <v>26</v>
      </c>
      <c r="K3456">
        <v>0</v>
      </c>
      <c r="L3456">
        <v>512</v>
      </c>
      <c r="M3456">
        <v>60</v>
      </c>
      <c r="N3456" s="1">
        <f t="shared" si="424"/>
        <v>44938</v>
      </c>
      <c r="O3456" s="1">
        <f t="shared" si="425"/>
        <v>43101</v>
      </c>
      <c r="P3456" s="1">
        <f t="shared" si="426"/>
        <v>45231</v>
      </c>
      <c r="Q3456" s="8">
        <f t="shared" si="427"/>
        <v>0</v>
      </c>
      <c r="R3456" s="8">
        <f t="shared" si="428"/>
        <v>71</v>
      </c>
      <c r="S3456" s="8">
        <f t="shared" ca="1" si="429"/>
        <v>65</v>
      </c>
      <c r="T3456">
        <f t="shared" ca="1" si="430"/>
        <v>1.3231846400000002</v>
      </c>
      <c r="U3456" s="8">
        <f t="shared" ca="1" si="431"/>
        <v>5.6830720000000028</v>
      </c>
      <c r="V3456" s="9">
        <f ca="1">RawData[[#This Row],[Z (smoothed demand size)]]/RawData[[#This Row],[X (smoothed interval)]]</f>
        <v>0.23282911777292276</v>
      </c>
    </row>
    <row r="3457" spans="1:22">
      <c r="A3457" t="s">
        <v>67</v>
      </c>
      <c r="B3457" t="s">
        <v>60</v>
      </c>
      <c r="C3457">
        <v>24</v>
      </c>
      <c r="D3457" t="s">
        <v>15</v>
      </c>
      <c r="E3457" t="s">
        <v>16</v>
      </c>
      <c r="F3457" s="1">
        <v>44938</v>
      </c>
      <c r="G3457">
        <v>0</v>
      </c>
      <c r="H3457">
        <v>0</v>
      </c>
      <c r="I3457">
        <v>26</v>
      </c>
      <c r="J3457">
        <v>26</v>
      </c>
      <c r="K3457">
        <v>0</v>
      </c>
      <c r="L3457">
        <v>597</v>
      </c>
      <c r="M3457">
        <v>45</v>
      </c>
      <c r="N3457" s="1">
        <f t="shared" si="424"/>
        <v>44938</v>
      </c>
      <c r="O3457" s="1">
        <f t="shared" si="425"/>
        <v>43101</v>
      </c>
      <c r="P3457" s="1">
        <f t="shared" si="426"/>
        <v>45261</v>
      </c>
      <c r="Q3457" s="8">
        <f t="shared" si="427"/>
        <v>0</v>
      </c>
      <c r="R3457" s="8">
        <f t="shared" si="428"/>
        <v>72</v>
      </c>
      <c r="S3457" s="8">
        <f t="shared" ca="1" si="429"/>
        <v>65</v>
      </c>
      <c r="T3457">
        <f t="shared" ca="1" si="430"/>
        <v>1.3231846400000002</v>
      </c>
      <c r="U3457" s="8">
        <f t="shared" ca="1" si="431"/>
        <v>5.6830720000000028</v>
      </c>
      <c r="V3457" s="9">
        <f ca="1">RawData[[#This Row],[Z (smoothed demand size)]]/RawData[[#This Row],[X (smoothed interval)]]</f>
        <v>0.23282911777292276</v>
      </c>
    </row>
    <row r="3458" spans="1:22">
      <c r="A3458" t="s">
        <v>68</v>
      </c>
      <c r="B3458" t="s">
        <v>60</v>
      </c>
      <c r="C3458">
        <v>49</v>
      </c>
      <c r="D3458" t="s">
        <v>22</v>
      </c>
      <c r="E3458" t="s">
        <v>16</v>
      </c>
      <c r="F3458" s="1">
        <v>43101</v>
      </c>
      <c r="G3458">
        <v>0</v>
      </c>
      <c r="H3458">
        <v>0</v>
      </c>
      <c r="I3458">
        <v>15</v>
      </c>
      <c r="J3458">
        <v>15</v>
      </c>
      <c r="K3458">
        <v>0</v>
      </c>
      <c r="L3458">
        <v>402</v>
      </c>
      <c r="M3458">
        <v>45</v>
      </c>
      <c r="N3458" s="1">
        <f t="shared" ref="N3458:N3521" si="432">MAX(F:F)</f>
        <v>44938</v>
      </c>
      <c r="O3458" s="1">
        <f t="shared" ref="O3458:O3521" si="433">MIN(F:F)</f>
        <v>43101</v>
      </c>
      <c r="P3458" s="1">
        <f t="shared" ref="P3458:P3521" si="434">DATE(YEAR(F3458), DAY(F3458), 1)</f>
        <v>43101</v>
      </c>
      <c r="Q3458" s="8">
        <f t="shared" ref="Q3458:Q3521" si="435" xml:space="preserve"> IF(A3458&lt;&gt;A3457, 1, 0)</f>
        <v>1</v>
      </c>
      <c r="R3458" s="8">
        <f t="shared" ref="R3458:R3521" si="436">IF(Q3458=1,1,R3457+1)</f>
        <v>1</v>
      </c>
      <c r="S3458" s="8">
        <f t="shared" ref="S3458:S3521" ca="1" si="437" xml:space="preserve"> IF(Q3458=1, IF(G3458&gt;0, R3458, 0), IF(G3458&gt;0, R3458, OFFSET(S3458,-1,0)))</f>
        <v>0</v>
      </c>
      <c r="T3458">
        <f t="shared" ref="T3458:T3521" ca="1" si="438" xml:space="preserve"> IF(Q3458=1, IF(G3458&gt;0, G3458, 0), IF(G3458&gt;0, $X$1*G3458+(1-$X$1)*OFFSET(T3458,-1,0), OFFSET(T3458,-1,0)))</f>
        <v>0</v>
      </c>
      <c r="U3458" s="8">
        <f t="shared" ref="U3458:U3521" ca="1" si="439" xml:space="preserve"> IF(Q3458=1, 1, IF(G3458&gt;0, $X$1*(R3458-OFFSET(S3458,-1,0))+(1-$X$1)*OFFSET(U3458,-1,0), OFFSET(U3458,-1,0)))</f>
        <v>1</v>
      </c>
      <c r="V3458" s="9">
        <f ca="1">RawData[[#This Row],[Z (smoothed demand size)]]/RawData[[#This Row],[X (smoothed interval)]]</f>
        <v>0</v>
      </c>
    </row>
    <row r="3459" spans="1:22">
      <c r="A3459" t="s">
        <v>68</v>
      </c>
      <c r="B3459" t="s">
        <v>60</v>
      </c>
      <c r="C3459">
        <v>49</v>
      </c>
      <c r="D3459" t="s">
        <v>22</v>
      </c>
      <c r="E3459" t="s">
        <v>16</v>
      </c>
      <c r="F3459" s="1">
        <v>43102</v>
      </c>
      <c r="G3459">
        <v>0</v>
      </c>
      <c r="H3459">
        <v>0</v>
      </c>
      <c r="I3459">
        <v>15</v>
      </c>
      <c r="J3459">
        <v>15</v>
      </c>
      <c r="K3459">
        <v>0</v>
      </c>
      <c r="L3459">
        <v>401</v>
      </c>
      <c r="M3459">
        <v>15</v>
      </c>
      <c r="N3459" s="1">
        <f t="shared" si="432"/>
        <v>44938</v>
      </c>
      <c r="O3459" s="1">
        <f t="shared" si="433"/>
        <v>43101</v>
      </c>
      <c r="P3459" s="1">
        <f t="shared" si="434"/>
        <v>43132</v>
      </c>
      <c r="Q3459" s="8">
        <f t="shared" si="435"/>
        <v>0</v>
      </c>
      <c r="R3459" s="8">
        <f t="shared" si="436"/>
        <v>2</v>
      </c>
      <c r="S3459" s="8">
        <f t="shared" ca="1" si="437"/>
        <v>0</v>
      </c>
      <c r="T3459">
        <f t="shared" ca="1" si="438"/>
        <v>0</v>
      </c>
      <c r="U3459" s="8">
        <f t="shared" ca="1" si="439"/>
        <v>1</v>
      </c>
      <c r="V3459" s="9">
        <f ca="1">RawData[[#This Row],[Z (smoothed demand size)]]/RawData[[#This Row],[X (smoothed interval)]]</f>
        <v>0</v>
      </c>
    </row>
    <row r="3460" spans="1:22">
      <c r="A3460" t="s">
        <v>68</v>
      </c>
      <c r="B3460" t="s">
        <v>60</v>
      </c>
      <c r="C3460">
        <v>49</v>
      </c>
      <c r="D3460" t="s">
        <v>22</v>
      </c>
      <c r="E3460" t="s">
        <v>16</v>
      </c>
      <c r="F3460" s="1">
        <v>43103</v>
      </c>
      <c r="G3460">
        <v>0</v>
      </c>
      <c r="H3460">
        <v>0</v>
      </c>
      <c r="I3460">
        <v>15</v>
      </c>
      <c r="J3460">
        <v>15</v>
      </c>
      <c r="K3460">
        <v>0</v>
      </c>
      <c r="L3460">
        <v>398</v>
      </c>
      <c r="M3460">
        <v>45</v>
      </c>
      <c r="N3460" s="1">
        <f t="shared" si="432"/>
        <v>44938</v>
      </c>
      <c r="O3460" s="1">
        <f t="shared" si="433"/>
        <v>43101</v>
      </c>
      <c r="P3460" s="1">
        <f t="shared" si="434"/>
        <v>43160</v>
      </c>
      <c r="Q3460" s="8">
        <f t="shared" si="435"/>
        <v>0</v>
      </c>
      <c r="R3460" s="8">
        <f t="shared" si="436"/>
        <v>3</v>
      </c>
      <c r="S3460" s="8">
        <f t="shared" ca="1" si="437"/>
        <v>0</v>
      </c>
      <c r="T3460">
        <f t="shared" ca="1" si="438"/>
        <v>0</v>
      </c>
      <c r="U3460" s="8">
        <f t="shared" ca="1" si="439"/>
        <v>1</v>
      </c>
      <c r="V3460" s="9">
        <f ca="1">RawData[[#This Row],[Z (smoothed demand size)]]/RawData[[#This Row],[X (smoothed interval)]]</f>
        <v>0</v>
      </c>
    </row>
    <row r="3461" spans="1:22">
      <c r="A3461" t="s">
        <v>68</v>
      </c>
      <c r="B3461" t="s">
        <v>60</v>
      </c>
      <c r="C3461">
        <v>49</v>
      </c>
      <c r="D3461" t="s">
        <v>22</v>
      </c>
      <c r="E3461" t="s">
        <v>16</v>
      </c>
      <c r="F3461" s="1">
        <v>43104</v>
      </c>
      <c r="G3461">
        <v>0</v>
      </c>
      <c r="H3461">
        <v>0</v>
      </c>
      <c r="I3461">
        <v>15</v>
      </c>
      <c r="J3461">
        <v>15</v>
      </c>
      <c r="K3461">
        <v>0</v>
      </c>
      <c r="L3461">
        <v>398</v>
      </c>
      <c r="M3461">
        <v>60</v>
      </c>
      <c r="N3461" s="1">
        <f t="shared" si="432"/>
        <v>44938</v>
      </c>
      <c r="O3461" s="1">
        <f t="shared" si="433"/>
        <v>43101</v>
      </c>
      <c r="P3461" s="1">
        <f t="shared" si="434"/>
        <v>43191</v>
      </c>
      <c r="Q3461" s="8">
        <f t="shared" si="435"/>
        <v>0</v>
      </c>
      <c r="R3461" s="8">
        <f t="shared" si="436"/>
        <v>4</v>
      </c>
      <c r="S3461" s="8">
        <f t="shared" ca="1" si="437"/>
        <v>0</v>
      </c>
      <c r="T3461">
        <f t="shared" ca="1" si="438"/>
        <v>0</v>
      </c>
      <c r="U3461" s="8">
        <f t="shared" ca="1" si="439"/>
        <v>1</v>
      </c>
      <c r="V3461" s="9">
        <f ca="1">RawData[[#This Row],[Z (smoothed demand size)]]/RawData[[#This Row],[X (smoothed interval)]]</f>
        <v>0</v>
      </c>
    </row>
    <row r="3462" spans="1:22">
      <c r="A3462" t="s">
        <v>68</v>
      </c>
      <c r="B3462" t="s">
        <v>60</v>
      </c>
      <c r="C3462">
        <v>49</v>
      </c>
      <c r="D3462" t="s">
        <v>22</v>
      </c>
      <c r="E3462" t="s">
        <v>16</v>
      </c>
      <c r="F3462" s="1">
        <v>43105</v>
      </c>
      <c r="G3462">
        <v>0</v>
      </c>
      <c r="H3462">
        <v>0</v>
      </c>
      <c r="I3462">
        <v>15</v>
      </c>
      <c r="J3462">
        <v>15</v>
      </c>
      <c r="K3462">
        <v>0</v>
      </c>
      <c r="L3462">
        <v>397</v>
      </c>
      <c r="M3462">
        <v>15</v>
      </c>
      <c r="N3462" s="1">
        <f t="shared" si="432"/>
        <v>44938</v>
      </c>
      <c r="O3462" s="1">
        <f t="shared" si="433"/>
        <v>43101</v>
      </c>
      <c r="P3462" s="1">
        <f t="shared" si="434"/>
        <v>43221</v>
      </c>
      <c r="Q3462" s="8">
        <f t="shared" si="435"/>
        <v>0</v>
      </c>
      <c r="R3462" s="8">
        <f t="shared" si="436"/>
        <v>5</v>
      </c>
      <c r="S3462" s="8">
        <f t="shared" ca="1" si="437"/>
        <v>0</v>
      </c>
      <c r="T3462">
        <f t="shared" ca="1" si="438"/>
        <v>0</v>
      </c>
      <c r="U3462" s="8">
        <f t="shared" ca="1" si="439"/>
        <v>1</v>
      </c>
      <c r="V3462" s="9">
        <f ca="1">RawData[[#This Row],[Z (smoothed demand size)]]/RawData[[#This Row],[X (smoothed interval)]]</f>
        <v>0</v>
      </c>
    </row>
    <row r="3463" spans="1:22">
      <c r="A3463" t="s">
        <v>68</v>
      </c>
      <c r="B3463" t="s">
        <v>60</v>
      </c>
      <c r="C3463">
        <v>49</v>
      </c>
      <c r="D3463" t="s">
        <v>22</v>
      </c>
      <c r="E3463" t="s">
        <v>16</v>
      </c>
      <c r="F3463" s="1">
        <v>43106</v>
      </c>
      <c r="G3463">
        <v>1</v>
      </c>
      <c r="H3463">
        <v>1</v>
      </c>
      <c r="I3463">
        <v>15</v>
      </c>
      <c r="J3463">
        <v>14</v>
      </c>
      <c r="K3463">
        <v>0</v>
      </c>
      <c r="L3463">
        <v>468</v>
      </c>
      <c r="M3463">
        <v>45</v>
      </c>
      <c r="N3463" s="1">
        <f t="shared" si="432"/>
        <v>44938</v>
      </c>
      <c r="O3463" s="1">
        <f t="shared" si="433"/>
        <v>43101</v>
      </c>
      <c r="P3463" s="1">
        <f t="shared" si="434"/>
        <v>43252</v>
      </c>
      <c r="Q3463" s="8">
        <f t="shared" si="435"/>
        <v>0</v>
      </c>
      <c r="R3463" s="8">
        <f t="shared" si="436"/>
        <v>6</v>
      </c>
      <c r="S3463" s="8">
        <f t="shared" ca="1" si="437"/>
        <v>6</v>
      </c>
      <c r="T3463">
        <f t="shared" ca="1" si="438"/>
        <v>0.2</v>
      </c>
      <c r="U3463" s="8">
        <f t="shared" ca="1" si="439"/>
        <v>2</v>
      </c>
      <c r="V3463" s="9">
        <f ca="1">RawData[[#This Row],[Z (smoothed demand size)]]/RawData[[#This Row],[X (smoothed interval)]]</f>
        <v>0.1</v>
      </c>
    </row>
    <row r="3464" spans="1:22">
      <c r="A3464" t="s">
        <v>68</v>
      </c>
      <c r="B3464" t="s">
        <v>60</v>
      </c>
      <c r="C3464">
        <v>49</v>
      </c>
      <c r="D3464" t="s">
        <v>22</v>
      </c>
      <c r="E3464" t="s">
        <v>16</v>
      </c>
      <c r="F3464" s="1">
        <v>43107</v>
      </c>
      <c r="G3464">
        <v>0</v>
      </c>
      <c r="H3464">
        <v>0</v>
      </c>
      <c r="I3464">
        <v>14</v>
      </c>
      <c r="J3464">
        <v>14</v>
      </c>
      <c r="K3464">
        <v>0</v>
      </c>
      <c r="L3464">
        <v>459</v>
      </c>
      <c r="M3464">
        <v>60</v>
      </c>
      <c r="N3464" s="1">
        <f t="shared" si="432"/>
        <v>44938</v>
      </c>
      <c r="O3464" s="1">
        <f t="shared" si="433"/>
        <v>43101</v>
      </c>
      <c r="P3464" s="1">
        <f t="shared" si="434"/>
        <v>43282</v>
      </c>
      <c r="Q3464" s="8">
        <f t="shared" si="435"/>
        <v>0</v>
      </c>
      <c r="R3464" s="8">
        <f t="shared" si="436"/>
        <v>7</v>
      </c>
      <c r="S3464" s="8">
        <f t="shared" ca="1" si="437"/>
        <v>6</v>
      </c>
      <c r="T3464">
        <f t="shared" ca="1" si="438"/>
        <v>0.2</v>
      </c>
      <c r="U3464" s="8">
        <f t="shared" ca="1" si="439"/>
        <v>2</v>
      </c>
      <c r="V3464" s="9">
        <f ca="1">RawData[[#This Row],[Z (smoothed demand size)]]/RawData[[#This Row],[X (smoothed interval)]]</f>
        <v>0.1</v>
      </c>
    </row>
    <row r="3465" spans="1:22">
      <c r="A3465" t="s">
        <v>68</v>
      </c>
      <c r="B3465" t="s">
        <v>60</v>
      </c>
      <c r="C3465">
        <v>49</v>
      </c>
      <c r="D3465" t="s">
        <v>22</v>
      </c>
      <c r="E3465" t="s">
        <v>16</v>
      </c>
      <c r="F3465" s="1">
        <v>43108</v>
      </c>
      <c r="G3465">
        <v>0</v>
      </c>
      <c r="H3465">
        <v>0</v>
      </c>
      <c r="I3465">
        <v>14</v>
      </c>
      <c r="J3465">
        <v>14</v>
      </c>
      <c r="K3465">
        <v>0</v>
      </c>
      <c r="L3465">
        <v>471</v>
      </c>
      <c r="M3465">
        <v>15</v>
      </c>
      <c r="N3465" s="1">
        <f t="shared" si="432"/>
        <v>44938</v>
      </c>
      <c r="O3465" s="1">
        <f t="shared" si="433"/>
        <v>43101</v>
      </c>
      <c r="P3465" s="1">
        <f t="shared" si="434"/>
        <v>43313</v>
      </c>
      <c r="Q3465" s="8">
        <f t="shared" si="435"/>
        <v>0</v>
      </c>
      <c r="R3465" s="8">
        <f t="shared" si="436"/>
        <v>8</v>
      </c>
      <c r="S3465" s="8">
        <f t="shared" ca="1" si="437"/>
        <v>6</v>
      </c>
      <c r="T3465">
        <f t="shared" ca="1" si="438"/>
        <v>0.2</v>
      </c>
      <c r="U3465" s="8">
        <f t="shared" ca="1" si="439"/>
        <v>2</v>
      </c>
      <c r="V3465" s="9">
        <f ca="1">RawData[[#This Row],[Z (smoothed demand size)]]/RawData[[#This Row],[X (smoothed interval)]]</f>
        <v>0.1</v>
      </c>
    </row>
    <row r="3466" spans="1:22">
      <c r="A3466" t="s">
        <v>68</v>
      </c>
      <c r="B3466" t="s">
        <v>60</v>
      </c>
      <c r="C3466">
        <v>49</v>
      </c>
      <c r="D3466" t="s">
        <v>22</v>
      </c>
      <c r="E3466" t="s">
        <v>16</v>
      </c>
      <c r="F3466" s="1">
        <v>43109</v>
      </c>
      <c r="G3466">
        <v>0</v>
      </c>
      <c r="H3466">
        <v>0</v>
      </c>
      <c r="I3466">
        <v>14</v>
      </c>
      <c r="J3466">
        <v>14</v>
      </c>
      <c r="K3466">
        <v>0</v>
      </c>
      <c r="L3466">
        <v>397</v>
      </c>
      <c r="M3466">
        <v>15</v>
      </c>
      <c r="N3466" s="1">
        <f t="shared" si="432"/>
        <v>44938</v>
      </c>
      <c r="O3466" s="1">
        <f t="shared" si="433"/>
        <v>43101</v>
      </c>
      <c r="P3466" s="1">
        <f t="shared" si="434"/>
        <v>43344</v>
      </c>
      <c r="Q3466" s="8">
        <f t="shared" si="435"/>
        <v>0</v>
      </c>
      <c r="R3466" s="8">
        <f t="shared" si="436"/>
        <v>9</v>
      </c>
      <c r="S3466" s="8">
        <f t="shared" ca="1" si="437"/>
        <v>6</v>
      </c>
      <c r="T3466">
        <f t="shared" ca="1" si="438"/>
        <v>0.2</v>
      </c>
      <c r="U3466" s="8">
        <f t="shared" ca="1" si="439"/>
        <v>2</v>
      </c>
      <c r="V3466" s="9">
        <f ca="1">RawData[[#This Row],[Z (smoothed demand size)]]/RawData[[#This Row],[X (smoothed interval)]]</f>
        <v>0.1</v>
      </c>
    </row>
    <row r="3467" spans="1:22">
      <c r="A3467" t="s">
        <v>68</v>
      </c>
      <c r="B3467" t="s">
        <v>60</v>
      </c>
      <c r="C3467">
        <v>49</v>
      </c>
      <c r="D3467" t="s">
        <v>22</v>
      </c>
      <c r="E3467" t="s">
        <v>16</v>
      </c>
      <c r="F3467" s="1">
        <v>43110</v>
      </c>
      <c r="G3467">
        <v>0</v>
      </c>
      <c r="H3467">
        <v>0</v>
      </c>
      <c r="I3467">
        <v>14</v>
      </c>
      <c r="J3467">
        <v>14</v>
      </c>
      <c r="K3467">
        <v>0</v>
      </c>
      <c r="L3467">
        <v>400</v>
      </c>
      <c r="M3467">
        <v>15</v>
      </c>
      <c r="N3467" s="1">
        <f t="shared" si="432"/>
        <v>44938</v>
      </c>
      <c r="O3467" s="1">
        <f t="shared" si="433"/>
        <v>43101</v>
      </c>
      <c r="P3467" s="1">
        <f t="shared" si="434"/>
        <v>43374</v>
      </c>
      <c r="Q3467" s="8">
        <f t="shared" si="435"/>
        <v>0</v>
      </c>
      <c r="R3467" s="8">
        <f t="shared" si="436"/>
        <v>10</v>
      </c>
      <c r="S3467" s="8">
        <f t="shared" ca="1" si="437"/>
        <v>6</v>
      </c>
      <c r="T3467">
        <f t="shared" ca="1" si="438"/>
        <v>0.2</v>
      </c>
      <c r="U3467" s="8">
        <f t="shared" ca="1" si="439"/>
        <v>2</v>
      </c>
      <c r="V3467" s="9">
        <f ca="1">RawData[[#This Row],[Z (smoothed demand size)]]/RawData[[#This Row],[X (smoothed interval)]]</f>
        <v>0.1</v>
      </c>
    </row>
    <row r="3468" spans="1:22">
      <c r="A3468" t="s">
        <v>68</v>
      </c>
      <c r="B3468" t="s">
        <v>60</v>
      </c>
      <c r="C3468">
        <v>49</v>
      </c>
      <c r="D3468" t="s">
        <v>22</v>
      </c>
      <c r="E3468" t="s">
        <v>16</v>
      </c>
      <c r="F3468" s="1">
        <v>43111</v>
      </c>
      <c r="G3468">
        <v>0</v>
      </c>
      <c r="H3468">
        <v>0</v>
      </c>
      <c r="I3468">
        <v>14</v>
      </c>
      <c r="J3468">
        <v>14</v>
      </c>
      <c r="K3468">
        <v>0</v>
      </c>
      <c r="L3468">
        <v>396</v>
      </c>
      <c r="M3468">
        <v>60</v>
      </c>
      <c r="N3468" s="1">
        <f t="shared" si="432"/>
        <v>44938</v>
      </c>
      <c r="O3468" s="1">
        <f t="shared" si="433"/>
        <v>43101</v>
      </c>
      <c r="P3468" s="1">
        <f t="shared" si="434"/>
        <v>43405</v>
      </c>
      <c r="Q3468" s="8">
        <f t="shared" si="435"/>
        <v>0</v>
      </c>
      <c r="R3468" s="8">
        <f t="shared" si="436"/>
        <v>11</v>
      </c>
      <c r="S3468" s="8">
        <f t="shared" ca="1" si="437"/>
        <v>6</v>
      </c>
      <c r="T3468">
        <f t="shared" ca="1" si="438"/>
        <v>0.2</v>
      </c>
      <c r="U3468" s="8">
        <f t="shared" ca="1" si="439"/>
        <v>2</v>
      </c>
      <c r="V3468" s="9">
        <f ca="1">RawData[[#This Row],[Z (smoothed demand size)]]/RawData[[#This Row],[X (smoothed interval)]]</f>
        <v>0.1</v>
      </c>
    </row>
    <row r="3469" spans="1:22">
      <c r="A3469" t="s">
        <v>68</v>
      </c>
      <c r="B3469" t="s">
        <v>60</v>
      </c>
      <c r="C3469">
        <v>49</v>
      </c>
      <c r="D3469" t="s">
        <v>22</v>
      </c>
      <c r="E3469" t="s">
        <v>16</v>
      </c>
      <c r="F3469" s="1">
        <v>43112</v>
      </c>
      <c r="G3469">
        <v>0</v>
      </c>
      <c r="H3469">
        <v>0</v>
      </c>
      <c r="I3469">
        <v>14</v>
      </c>
      <c r="J3469">
        <v>14</v>
      </c>
      <c r="K3469">
        <v>0</v>
      </c>
      <c r="L3469">
        <v>464</v>
      </c>
      <c r="M3469">
        <v>45</v>
      </c>
      <c r="N3469" s="1">
        <f t="shared" si="432"/>
        <v>44938</v>
      </c>
      <c r="O3469" s="1">
        <f t="shared" si="433"/>
        <v>43101</v>
      </c>
      <c r="P3469" s="1">
        <f t="shared" si="434"/>
        <v>43435</v>
      </c>
      <c r="Q3469" s="8">
        <f t="shared" si="435"/>
        <v>0</v>
      </c>
      <c r="R3469" s="8">
        <f t="shared" si="436"/>
        <v>12</v>
      </c>
      <c r="S3469" s="8">
        <f t="shared" ca="1" si="437"/>
        <v>6</v>
      </c>
      <c r="T3469">
        <f t="shared" ca="1" si="438"/>
        <v>0.2</v>
      </c>
      <c r="U3469" s="8">
        <f t="shared" ca="1" si="439"/>
        <v>2</v>
      </c>
      <c r="V3469" s="9">
        <f ca="1">RawData[[#This Row],[Z (smoothed demand size)]]/RawData[[#This Row],[X (smoothed interval)]]</f>
        <v>0.1</v>
      </c>
    </row>
    <row r="3470" spans="1:22">
      <c r="A3470" t="s">
        <v>68</v>
      </c>
      <c r="B3470" t="s">
        <v>60</v>
      </c>
      <c r="C3470">
        <v>49</v>
      </c>
      <c r="D3470" t="s">
        <v>22</v>
      </c>
      <c r="E3470" t="s">
        <v>16</v>
      </c>
      <c r="F3470" s="1">
        <v>43466</v>
      </c>
      <c r="G3470">
        <v>0</v>
      </c>
      <c r="H3470">
        <v>0</v>
      </c>
      <c r="I3470">
        <v>14</v>
      </c>
      <c r="J3470">
        <v>14</v>
      </c>
      <c r="K3470">
        <v>0</v>
      </c>
      <c r="L3470">
        <v>399</v>
      </c>
      <c r="M3470">
        <v>45</v>
      </c>
      <c r="N3470" s="1">
        <f t="shared" si="432"/>
        <v>44938</v>
      </c>
      <c r="O3470" s="1">
        <f t="shared" si="433"/>
        <v>43101</v>
      </c>
      <c r="P3470" s="1">
        <f t="shared" si="434"/>
        <v>43466</v>
      </c>
      <c r="Q3470" s="8">
        <f t="shared" si="435"/>
        <v>0</v>
      </c>
      <c r="R3470" s="8">
        <f t="shared" si="436"/>
        <v>13</v>
      </c>
      <c r="S3470" s="8">
        <f t="shared" ca="1" si="437"/>
        <v>6</v>
      </c>
      <c r="T3470">
        <f t="shared" ca="1" si="438"/>
        <v>0.2</v>
      </c>
      <c r="U3470" s="8">
        <f t="shared" ca="1" si="439"/>
        <v>2</v>
      </c>
      <c r="V3470" s="9">
        <f ca="1">RawData[[#This Row],[Z (smoothed demand size)]]/RawData[[#This Row],[X (smoothed interval)]]</f>
        <v>0.1</v>
      </c>
    </row>
    <row r="3471" spans="1:22">
      <c r="A3471" t="s">
        <v>68</v>
      </c>
      <c r="B3471" t="s">
        <v>60</v>
      </c>
      <c r="C3471">
        <v>49</v>
      </c>
      <c r="D3471" t="s">
        <v>22</v>
      </c>
      <c r="E3471" t="s">
        <v>16</v>
      </c>
      <c r="F3471" s="1">
        <v>43467</v>
      </c>
      <c r="G3471">
        <v>1</v>
      </c>
      <c r="H3471">
        <v>1</v>
      </c>
      <c r="I3471">
        <v>14</v>
      </c>
      <c r="J3471">
        <v>13</v>
      </c>
      <c r="K3471">
        <v>0</v>
      </c>
      <c r="L3471">
        <v>400</v>
      </c>
      <c r="M3471">
        <v>15</v>
      </c>
      <c r="N3471" s="1">
        <f t="shared" si="432"/>
        <v>44938</v>
      </c>
      <c r="O3471" s="1">
        <f t="shared" si="433"/>
        <v>43101</v>
      </c>
      <c r="P3471" s="1">
        <f t="shared" si="434"/>
        <v>43497</v>
      </c>
      <c r="Q3471" s="8">
        <f t="shared" si="435"/>
        <v>0</v>
      </c>
      <c r="R3471" s="8">
        <f t="shared" si="436"/>
        <v>14</v>
      </c>
      <c r="S3471" s="8">
        <f t="shared" ca="1" si="437"/>
        <v>14</v>
      </c>
      <c r="T3471">
        <f t="shared" ca="1" si="438"/>
        <v>0.36000000000000004</v>
      </c>
      <c r="U3471" s="8">
        <f t="shared" ca="1" si="439"/>
        <v>3.2</v>
      </c>
      <c r="V3471" s="9">
        <f ca="1">RawData[[#This Row],[Z (smoothed demand size)]]/RawData[[#This Row],[X (smoothed interval)]]</f>
        <v>0.1125</v>
      </c>
    </row>
    <row r="3472" spans="1:22">
      <c r="A3472" t="s">
        <v>68</v>
      </c>
      <c r="B3472" t="s">
        <v>60</v>
      </c>
      <c r="C3472">
        <v>49</v>
      </c>
      <c r="D3472" t="s">
        <v>22</v>
      </c>
      <c r="E3472" t="s">
        <v>16</v>
      </c>
      <c r="F3472" s="1">
        <v>43468</v>
      </c>
      <c r="G3472">
        <v>0</v>
      </c>
      <c r="H3472">
        <v>0</v>
      </c>
      <c r="I3472">
        <v>13</v>
      </c>
      <c r="J3472">
        <v>13</v>
      </c>
      <c r="K3472">
        <v>0</v>
      </c>
      <c r="L3472">
        <v>399</v>
      </c>
      <c r="M3472">
        <v>45</v>
      </c>
      <c r="N3472" s="1">
        <f t="shared" si="432"/>
        <v>44938</v>
      </c>
      <c r="O3472" s="1">
        <f t="shared" si="433"/>
        <v>43101</v>
      </c>
      <c r="P3472" s="1">
        <f t="shared" si="434"/>
        <v>43525</v>
      </c>
      <c r="Q3472" s="8">
        <f t="shared" si="435"/>
        <v>0</v>
      </c>
      <c r="R3472" s="8">
        <f t="shared" si="436"/>
        <v>15</v>
      </c>
      <c r="S3472" s="8">
        <f t="shared" ca="1" si="437"/>
        <v>14</v>
      </c>
      <c r="T3472">
        <f t="shared" ca="1" si="438"/>
        <v>0.36000000000000004</v>
      </c>
      <c r="U3472" s="8">
        <f t="shared" ca="1" si="439"/>
        <v>3.2</v>
      </c>
      <c r="V3472" s="9">
        <f ca="1">RawData[[#This Row],[Z (smoothed demand size)]]/RawData[[#This Row],[X (smoothed interval)]]</f>
        <v>0.1125</v>
      </c>
    </row>
    <row r="3473" spans="1:22">
      <c r="A3473" t="s">
        <v>68</v>
      </c>
      <c r="B3473" t="s">
        <v>60</v>
      </c>
      <c r="C3473">
        <v>49</v>
      </c>
      <c r="D3473" t="s">
        <v>22</v>
      </c>
      <c r="E3473" t="s">
        <v>16</v>
      </c>
      <c r="F3473" s="1">
        <v>43469</v>
      </c>
      <c r="G3473">
        <v>0</v>
      </c>
      <c r="H3473">
        <v>0</v>
      </c>
      <c r="I3473">
        <v>13</v>
      </c>
      <c r="J3473">
        <v>13</v>
      </c>
      <c r="K3473">
        <v>0</v>
      </c>
      <c r="L3473">
        <v>402</v>
      </c>
      <c r="M3473">
        <v>45</v>
      </c>
      <c r="N3473" s="1">
        <f t="shared" si="432"/>
        <v>44938</v>
      </c>
      <c r="O3473" s="1">
        <f t="shared" si="433"/>
        <v>43101</v>
      </c>
      <c r="P3473" s="1">
        <f t="shared" si="434"/>
        <v>43556</v>
      </c>
      <c r="Q3473" s="8">
        <f t="shared" si="435"/>
        <v>0</v>
      </c>
      <c r="R3473" s="8">
        <f t="shared" si="436"/>
        <v>16</v>
      </c>
      <c r="S3473" s="8">
        <f t="shared" ca="1" si="437"/>
        <v>14</v>
      </c>
      <c r="T3473">
        <f t="shared" ca="1" si="438"/>
        <v>0.36000000000000004</v>
      </c>
      <c r="U3473" s="8">
        <f t="shared" ca="1" si="439"/>
        <v>3.2</v>
      </c>
      <c r="V3473" s="9">
        <f ca="1">RawData[[#This Row],[Z (smoothed demand size)]]/RawData[[#This Row],[X (smoothed interval)]]</f>
        <v>0.1125</v>
      </c>
    </row>
    <row r="3474" spans="1:22">
      <c r="A3474" t="s">
        <v>68</v>
      </c>
      <c r="B3474" t="s">
        <v>60</v>
      </c>
      <c r="C3474">
        <v>49</v>
      </c>
      <c r="D3474" t="s">
        <v>22</v>
      </c>
      <c r="E3474" t="s">
        <v>16</v>
      </c>
      <c r="F3474" s="1">
        <v>43470</v>
      </c>
      <c r="G3474">
        <v>1</v>
      </c>
      <c r="H3474">
        <v>1</v>
      </c>
      <c r="I3474">
        <v>13</v>
      </c>
      <c r="J3474">
        <v>12</v>
      </c>
      <c r="K3474">
        <v>0</v>
      </c>
      <c r="L3474">
        <v>402</v>
      </c>
      <c r="M3474">
        <v>45</v>
      </c>
      <c r="N3474" s="1">
        <f t="shared" si="432"/>
        <v>44938</v>
      </c>
      <c r="O3474" s="1">
        <f t="shared" si="433"/>
        <v>43101</v>
      </c>
      <c r="P3474" s="1">
        <f t="shared" si="434"/>
        <v>43586</v>
      </c>
      <c r="Q3474" s="8">
        <f t="shared" si="435"/>
        <v>0</v>
      </c>
      <c r="R3474" s="8">
        <f t="shared" si="436"/>
        <v>17</v>
      </c>
      <c r="S3474" s="8">
        <f t="shared" ca="1" si="437"/>
        <v>17</v>
      </c>
      <c r="T3474">
        <f t="shared" ca="1" si="438"/>
        <v>0.48800000000000004</v>
      </c>
      <c r="U3474" s="8">
        <f t="shared" ca="1" si="439"/>
        <v>3.1600000000000006</v>
      </c>
      <c r="V3474" s="9">
        <f ca="1">RawData[[#This Row],[Z (smoothed demand size)]]/RawData[[#This Row],[X (smoothed interval)]]</f>
        <v>0.15443037974683543</v>
      </c>
    </row>
    <row r="3475" spans="1:22">
      <c r="A3475" t="s">
        <v>68</v>
      </c>
      <c r="B3475" t="s">
        <v>60</v>
      </c>
      <c r="C3475">
        <v>49</v>
      </c>
      <c r="D3475" t="s">
        <v>22</v>
      </c>
      <c r="E3475" t="s">
        <v>16</v>
      </c>
      <c r="F3475" s="1">
        <v>43471</v>
      </c>
      <c r="G3475">
        <v>0</v>
      </c>
      <c r="H3475">
        <v>0</v>
      </c>
      <c r="I3475">
        <v>12</v>
      </c>
      <c r="J3475">
        <v>12</v>
      </c>
      <c r="K3475">
        <v>0</v>
      </c>
      <c r="L3475">
        <v>464</v>
      </c>
      <c r="M3475">
        <v>30</v>
      </c>
      <c r="N3475" s="1">
        <f t="shared" si="432"/>
        <v>44938</v>
      </c>
      <c r="O3475" s="1">
        <f t="shared" si="433"/>
        <v>43101</v>
      </c>
      <c r="P3475" s="1">
        <f t="shared" si="434"/>
        <v>43617</v>
      </c>
      <c r="Q3475" s="8">
        <f t="shared" si="435"/>
        <v>0</v>
      </c>
      <c r="R3475" s="8">
        <f t="shared" si="436"/>
        <v>18</v>
      </c>
      <c r="S3475" s="8">
        <f t="shared" ca="1" si="437"/>
        <v>17</v>
      </c>
      <c r="T3475">
        <f t="shared" ca="1" si="438"/>
        <v>0.48800000000000004</v>
      </c>
      <c r="U3475" s="8">
        <f t="shared" ca="1" si="439"/>
        <v>3.1600000000000006</v>
      </c>
      <c r="V3475" s="9">
        <f ca="1">RawData[[#This Row],[Z (smoothed demand size)]]/RawData[[#This Row],[X (smoothed interval)]]</f>
        <v>0.15443037974683543</v>
      </c>
    </row>
    <row r="3476" spans="1:22">
      <c r="A3476" t="s">
        <v>68</v>
      </c>
      <c r="B3476" t="s">
        <v>60</v>
      </c>
      <c r="C3476">
        <v>49</v>
      </c>
      <c r="D3476" t="s">
        <v>22</v>
      </c>
      <c r="E3476" t="s">
        <v>16</v>
      </c>
      <c r="F3476" s="1">
        <v>43472</v>
      </c>
      <c r="G3476">
        <v>0</v>
      </c>
      <c r="H3476">
        <v>0</v>
      </c>
      <c r="I3476">
        <v>12</v>
      </c>
      <c r="J3476">
        <v>12</v>
      </c>
      <c r="K3476">
        <v>0</v>
      </c>
      <c r="L3476">
        <v>455</v>
      </c>
      <c r="M3476">
        <v>15</v>
      </c>
      <c r="N3476" s="1">
        <f t="shared" si="432"/>
        <v>44938</v>
      </c>
      <c r="O3476" s="1">
        <f t="shared" si="433"/>
        <v>43101</v>
      </c>
      <c r="P3476" s="1">
        <f t="shared" si="434"/>
        <v>43647</v>
      </c>
      <c r="Q3476" s="8">
        <f t="shared" si="435"/>
        <v>0</v>
      </c>
      <c r="R3476" s="8">
        <f t="shared" si="436"/>
        <v>19</v>
      </c>
      <c r="S3476" s="8">
        <f t="shared" ca="1" si="437"/>
        <v>17</v>
      </c>
      <c r="T3476">
        <f t="shared" ca="1" si="438"/>
        <v>0.48800000000000004</v>
      </c>
      <c r="U3476" s="8">
        <f t="shared" ca="1" si="439"/>
        <v>3.1600000000000006</v>
      </c>
      <c r="V3476" s="9">
        <f ca="1">RawData[[#This Row],[Z (smoothed demand size)]]/RawData[[#This Row],[X (smoothed interval)]]</f>
        <v>0.15443037974683543</v>
      </c>
    </row>
    <row r="3477" spans="1:22">
      <c r="A3477" t="s">
        <v>68</v>
      </c>
      <c r="B3477" t="s">
        <v>60</v>
      </c>
      <c r="C3477">
        <v>49</v>
      </c>
      <c r="D3477" t="s">
        <v>22</v>
      </c>
      <c r="E3477" t="s">
        <v>16</v>
      </c>
      <c r="F3477" s="1">
        <v>43473</v>
      </c>
      <c r="G3477">
        <v>0</v>
      </c>
      <c r="H3477">
        <v>0</v>
      </c>
      <c r="I3477">
        <v>12</v>
      </c>
      <c r="J3477">
        <v>12</v>
      </c>
      <c r="K3477">
        <v>0</v>
      </c>
      <c r="L3477">
        <v>461</v>
      </c>
      <c r="M3477">
        <v>45</v>
      </c>
      <c r="N3477" s="1">
        <f t="shared" si="432"/>
        <v>44938</v>
      </c>
      <c r="O3477" s="1">
        <f t="shared" si="433"/>
        <v>43101</v>
      </c>
      <c r="P3477" s="1">
        <f t="shared" si="434"/>
        <v>43678</v>
      </c>
      <c r="Q3477" s="8">
        <f t="shared" si="435"/>
        <v>0</v>
      </c>
      <c r="R3477" s="8">
        <f t="shared" si="436"/>
        <v>20</v>
      </c>
      <c r="S3477" s="8">
        <f t="shared" ca="1" si="437"/>
        <v>17</v>
      </c>
      <c r="T3477">
        <f t="shared" ca="1" si="438"/>
        <v>0.48800000000000004</v>
      </c>
      <c r="U3477" s="8">
        <f t="shared" ca="1" si="439"/>
        <v>3.1600000000000006</v>
      </c>
      <c r="V3477" s="9">
        <f ca="1">RawData[[#This Row],[Z (smoothed demand size)]]/RawData[[#This Row],[X (smoothed interval)]]</f>
        <v>0.15443037974683543</v>
      </c>
    </row>
    <row r="3478" spans="1:22">
      <c r="A3478" t="s">
        <v>68</v>
      </c>
      <c r="B3478" t="s">
        <v>60</v>
      </c>
      <c r="C3478">
        <v>49</v>
      </c>
      <c r="D3478" t="s">
        <v>22</v>
      </c>
      <c r="E3478" t="s">
        <v>16</v>
      </c>
      <c r="F3478" s="1">
        <v>43474</v>
      </c>
      <c r="G3478">
        <v>0</v>
      </c>
      <c r="H3478">
        <v>0</v>
      </c>
      <c r="I3478">
        <v>12</v>
      </c>
      <c r="J3478">
        <v>12</v>
      </c>
      <c r="K3478">
        <v>0</v>
      </c>
      <c r="L3478">
        <v>398</v>
      </c>
      <c r="M3478">
        <v>30</v>
      </c>
      <c r="N3478" s="1">
        <f t="shared" si="432"/>
        <v>44938</v>
      </c>
      <c r="O3478" s="1">
        <f t="shared" si="433"/>
        <v>43101</v>
      </c>
      <c r="P3478" s="1">
        <f t="shared" si="434"/>
        <v>43709</v>
      </c>
      <c r="Q3478" s="8">
        <f t="shared" si="435"/>
        <v>0</v>
      </c>
      <c r="R3478" s="8">
        <f t="shared" si="436"/>
        <v>21</v>
      </c>
      <c r="S3478" s="8">
        <f t="shared" ca="1" si="437"/>
        <v>17</v>
      </c>
      <c r="T3478">
        <f t="shared" ca="1" si="438"/>
        <v>0.48800000000000004</v>
      </c>
      <c r="U3478" s="8">
        <f t="shared" ca="1" si="439"/>
        <v>3.1600000000000006</v>
      </c>
      <c r="V3478" s="9">
        <f ca="1">RawData[[#This Row],[Z (smoothed demand size)]]/RawData[[#This Row],[X (smoothed interval)]]</f>
        <v>0.15443037974683543</v>
      </c>
    </row>
    <row r="3479" spans="1:22">
      <c r="A3479" t="s">
        <v>68</v>
      </c>
      <c r="B3479" t="s">
        <v>60</v>
      </c>
      <c r="C3479">
        <v>49</v>
      </c>
      <c r="D3479" t="s">
        <v>22</v>
      </c>
      <c r="E3479" t="s">
        <v>16</v>
      </c>
      <c r="F3479" s="1">
        <v>43475</v>
      </c>
      <c r="G3479">
        <v>0</v>
      </c>
      <c r="H3479">
        <v>0</v>
      </c>
      <c r="I3479">
        <v>12</v>
      </c>
      <c r="J3479">
        <v>12</v>
      </c>
      <c r="K3479">
        <v>0</v>
      </c>
      <c r="L3479">
        <v>405</v>
      </c>
      <c r="M3479">
        <v>30</v>
      </c>
      <c r="N3479" s="1">
        <f t="shared" si="432"/>
        <v>44938</v>
      </c>
      <c r="O3479" s="1">
        <f t="shared" si="433"/>
        <v>43101</v>
      </c>
      <c r="P3479" s="1">
        <f t="shared" si="434"/>
        <v>43739</v>
      </c>
      <c r="Q3479" s="8">
        <f t="shared" si="435"/>
        <v>0</v>
      </c>
      <c r="R3479" s="8">
        <f t="shared" si="436"/>
        <v>22</v>
      </c>
      <c r="S3479" s="8">
        <f t="shared" ca="1" si="437"/>
        <v>17</v>
      </c>
      <c r="T3479">
        <f t="shared" ca="1" si="438"/>
        <v>0.48800000000000004</v>
      </c>
      <c r="U3479" s="8">
        <f t="shared" ca="1" si="439"/>
        <v>3.1600000000000006</v>
      </c>
      <c r="V3479" s="9">
        <f ca="1">RawData[[#This Row],[Z (smoothed demand size)]]/RawData[[#This Row],[X (smoothed interval)]]</f>
        <v>0.15443037974683543</v>
      </c>
    </row>
    <row r="3480" spans="1:22">
      <c r="A3480" t="s">
        <v>68</v>
      </c>
      <c r="B3480" t="s">
        <v>60</v>
      </c>
      <c r="C3480">
        <v>49</v>
      </c>
      <c r="D3480" t="s">
        <v>22</v>
      </c>
      <c r="E3480" t="s">
        <v>16</v>
      </c>
      <c r="F3480" s="1">
        <v>43476</v>
      </c>
      <c r="G3480">
        <v>0</v>
      </c>
      <c r="H3480">
        <v>0</v>
      </c>
      <c r="I3480">
        <v>12</v>
      </c>
      <c r="J3480">
        <v>12</v>
      </c>
      <c r="K3480">
        <v>0</v>
      </c>
      <c r="L3480">
        <v>401</v>
      </c>
      <c r="M3480">
        <v>60</v>
      </c>
      <c r="N3480" s="1">
        <f t="shared" si="432"/>
        <v>44938</v>
      </c>
      <c r="O3480" s="1">
        <f t="shared" si="433"/>
        <v>43101</v>
      </c>
      <c r="P3480" s="1">
        <f t="shared" si="434"/>
        <v>43770</v>
      </c>
      <c r="Q3480" s="8">
        <f t="shared" si="435"/>
        <v>0</v>
      </c>
      <c r="R3480" s="8">
        <f t="shared" si="436"/>
        <v>23</v>
      </c>
      <c r="S3480" s="8">
        <f t="shared" ca="1" si="437"/>
        <v>17</v>
      </c>
      <c r="T3480">
        <f t="shared" ca="1" si="438"/>
        <v>0.48800000000000004</v>
      </c>
      <c r="U3480" s="8">
        <f t="shared" ca="1" si="439"/>
        <v>3.1600000000000006</v>
      </c>
      <c r="V3480" s="9">
        <f ca="1">RawData[[#This Row],[Z (smoothed demand size)]]/RawData[[#This Row],[X (smoothed interval)]]</f>
        <v>0.15443037974683543</v>
      </c>
    </row>
    <row r="3481" spans="1:22">
      <c r="A3481" t="s">
        <v>68</v>
      </c>
      <c r="B3481" t="s">
        <v>60</v>
      </c>
      <c r="C3481">
        <v>49</v>
      </c>
      <c r="D3481" t="s">
        <v>22</v>
      </c>
      <c r="E3481" t="s">
        <v>16</v>
      </c>
      <c r="F3481" s="1">
        <v>43477</v>
      </c>
      <c r="G3481">
        <v>2</v>
      </c>
      <c r="H3481">
        <v>2</v>
      </c>
      <c r="I3481">
        <v>12</v>
      </c>
      <c r="J3481">
        <v>10</v>
      </c>
      <c r="K3481">
        <v>0</v>
      </c>
      <c r="L3481">
        <v>461</v>
      </c>
      <c r="M3481">
        <v>15</v>
      </c>
      <c r="N3481" s="1">
        <f t="shared" si="432"/>
        <v>44938</v>
      </c>
      <c r="O3481" s="1">
        <f t="shared" si="433"/>
        <v>43101</v>
      </c>
      <c r="P3481" s="1">
        <f t="shared" si="434"/>
        <v>43800</v>
      </c>
      <c r="Q3481" s="8">
        <f t="shared" si="435"/>
        <v>0</v>
      </c>
      <c r="R3481" s="8">
        <f t="shared" si="436"/>
        <v>24</v>
      </c>
      <c r="S3481" s="8">
        <f t="shared" ca="1" si="437"/>
        <v>24</v>
      </c>
      <c r="T3481">
        <f t="shared" ca="1" si="438"/>
        <v>0.7904000000000001</v>
      </c>
      <c r="U3481" s="8">
        <f t="shared" ca="1" si="439"/>
        <v>3.9280000000000008</v>
      </c>
      <c r="V3481" s="9">
        <f ca="1">RawData[[#This Row],[Z (smoothed demand size)]]/RawData[[#This Row],[X (smoothed interval)]]</f>
        <v>0.20122199592668022</v>
      </c>
    </row>
    <row r="3482" spans="1:22">
      <c r="A3482" t="s">
        <v>68</v>
      </c>
      <c r="B3482" t="s">
        <v>60</v>
      </c>
      <c r="C3482">
        <v>49</v>
      </c>
      <c r="D3482" t="s">
        <v>22</v>
      </c>
      <c r="E3482" t="s">
        <v>16</v>
      </c>
      <c r="F3482" s="1">
        <v>43831</v>
      </c>
      <c r="G3482">
        <v>0</v>
      </c>
      <c r="H3482">
        <v>0</v>
      </c>
      <c r="I3482">
        <v>10</v>
      </c>
      <c r="J3482">
        <v>10</v>
      </c>
      <c r="K3482">
        <v>0</v>
      </c>
      <c r="L3482">
        <v>397</v>
      </c>
      <c r="M3482">
        <v>60</v>
      </c>
      <c r="N3482" s="1">
        <f t="shared" si="432"/>
        <v>44938</v>
      </c>
      <c r="O3482" s="1">
        <f t="shared" si="433"/>
        <v>43101</v>
      </c>
      <c r="P3482" s="1">
        <f t="shared" si="434"/>
        <v>43831</v>
      </c>
      <c r="Q3482" s="8">
        <f t="shared" si="435"/>
        <v>0</v>
      </c>
      <c r="R3482" s="8">
        <f t="shared" si="436"/>
        <v>25</v>
      </c>
      <c r="S3482" s="8">
        <f t="shared" ca="1" si="437"/>
        <v>24</v>
      </c>
      <c r="T3482">
        <f t="shared" ca="1" si="438"/>
        <v>0.7904000000000001</v>
      </c>
      <c r="U3482" s="8">
        <f t="shared" ca="1" si="439"/>
        <v>3.9280000000000008</v>
      </c>
      <c r="V3482" s="9">
        <f ca="1">RawData[[#This Row],[Z (smoothed demand size)]]/RawData[[#This Row],[X (smoothed interval)]]</f>
        <v>0.20122199592668022</v>
      </c>
    </row>
    <row r="3483" spans="1:22">
      <c r="A3483" t="s">
        <v>68</v>
      </c>
      <c r="B3483" t="s">
        <v>60</v>
      </c>
      <c r="C3483">
        <v>49</v>
      </c>
      <c r="D3483" t="s">
        <v>22</v>
      </c>
      <c r="E3483" t="s">
        <v>16</v>
      </c>
      <c r="F3483" s="1">
        <v>43832</v>
      </c>
      <c r="G3483">
        <v>0</v>
      </c>
      <c r="H3483">
        <v>0</v>
      </c>
      <c r="I3483">
        <v>10</v>
      </c>
      <c r="J3483">
        <v>10</v>
      </c>
      <c r="K3483">
        <v>0</v>
      </c>
      <c r="L3483">
        <v>395</v>
      </c>
      <c r="M3483">
        <v>30</v>
      </c>
      <c r="N3483" s="1">
        <f t="shared" si="432"/>
        <v>44938</v>
      </c>
      <c r="O3483" s="1">
        <f t="shared" si="433"/>
        <v>43101</v>
      </c>
      <c r="P3483" s="1">
        <f t="shared" si="434"/>
        <v>43862</v>
      </c>
      <c r="Q3483" s="8">
        <f t="shared" si="435"/>
        <v>0</v>
      </c>
      <c r="R3483" s="8">
        <f t="shared" si="436"/>
        <v>26</v>
      </c>
      <c r="S3483" s="8">
        <f t="shared" ca="1" si="437"/>
        <v>24</v>
      </c>
      <c r="T3483">
        <f t="shared" ca="1" si="438"/>
        <v>0.7904000000000001</v>
      </c>
      <c r="U3483" s="8">
        <f t="shared" ca="1" si="439"/>
        <v>3.9280000000000008</v>
      </c>
      <c r="V3483" s="9">
        <f ca="1">RawData[[#This Row],[Z (smoothed demand size)]]/RawData[[#This Row],[X (smoothed interval)]]</f>
        <v>0.20122199592668022</v>
      </c>
    </row>
    <row r="3484" spans="1:22">
      <c r="A3484" t="s">
        <v>68</v>
      </c>
      <c r="B3484" t="s">
        <v>60</v>
      </c>
      <c r="C3484">
        <v>49</v>
      </c>
      <c r="D3484" t="s">
        <v>22</v>
      </c>
      <c r="E3484" t="s">
        <v>16</v>
      </c>
      <c r="F3484" s="1">
        <v>43833</v>
      </c>
      <c r="G3484">
        <v>3</v>
      </c>
      <c r="H3484">
        <v>3</v>
      </c>
      <c r="I3484">
        <v>10</v>
      </c>
      <c r="J3484">
        <v>7</v>
      </c>
      <c r="K3484">
        <v>0</v>
      </c>
      <c r="L3484">
        <v>399</v>
      </c>
      <c r="M3484">
        <v>15</v>
      </c>
      <c r="N3484" s="1">
        <f t="shared" si="432"/>
        <v>44938</v>
      </c>
      <c r="O3484" s="1">
        <f t="shared" si="433"/>
        <v>43101</v>
      </c>
      <c r="P3484" s="1">
        <f t="shared" si="434"/>
        <v>43891</v>
      </c>
      <c r="Q3484" s="8">
        <f t="shared" si="435"/>
        <v>0</v>
      </c>
      <c r="R3484" s="8">
        <f t="shared" si="436"/>
        <v>27</v>
      </c>
      <c r="S3484" s="8">
        <f t="shared" ca="1" si="437"/>
        <v>27</v>
      </c>
      <c r="T3484">
        <f t="shared" ca="1" si="438"/>
        <v>1.2323200000000001</v>
      </c>
      <c r="U3484" s="8">
        <f t="shared" ca="1" si="439"/>
        <v>3.7424000000000008</v>
      </c>
      <c r="V3484" s="9">
        <f ca="1">RawData[[#This Row],[Z (smoothed demand size)]]/RawData[[#This Row],[X (smoothed interval)]]</f>
        <v>0.3292860196665241</v>
      </c>
    </row>
    <row r="3485" spans="1:22">
      <c r="A3485" t="s">
        <v>68</v>
      </c>
      <c r="B3485" t="s">
        <v>60</v>
      </c>
      <c r="C3485">
        <v>49</v>
      </c>
      <c r="D3485" t="s">
        <v>22</v>
      </c>
      <c r="E3485" t="s">
        <v>16</v>
      </c>
      <c r="F3485" s="1">
        <v>43834</v>
      </c>
      <c r="G3485">
        <v>0</v>
      </c>
      <c r="H3485">
        <v>0</v>
      </c>
      <c r="I3485">
        <v>7</v>
      </c>
      <c r="J3485">
        <v>7</v>
      </c>
      <c r="K3485">
        <v>0</v>
      </c>
      <c r="L3485">
        <v>403</v>
      </c>
      <c r="M3485">
        <v>60</v>
      </c>
      <c r="N3485" s="1">
        <f t="shared" si="432"/>
        <v>44938</v>
      </c>
      <c r="O3485" s="1">
        <f t="shared" si="433"/>
        <v>43101</v>
      </c>
      <c r="P3485" s="1">
        <f t="shared" si="434"/>
        <v>43922</v>
      </c>
      <c r="Q3485" s="8">
        <f t="shared" si="435"/>
        <v>0</v>
      </c>
      <c r="R3485" s="8">
        <f t="shared" si="436"/>
        <v>28</v>
      </c>
      <c r="S3485" s="8">
        <f t="shared" ca="1" si="437"/>
        <v>27</v>
      </c>
      <c r="T3485">
        <f t="shared" ca="1" si="438"/>
        <v>1.2323200000000001</v>
      </c>
      <c r="U3485" s="8">
        <f t="shared" ca="1" si="439"/>
        <v>3.7424000000000008</v>
      </c>
      <c r="V3485" s="9">
        <f ca="1">RawData[[#This Row],[Z (smoothed demand size)]]/RawData[[#This Row],[X (smoothed interval)]]</f>
        <v>0.3292860196665241</v>
      </c>
    </row>
    <row r="3486" spans="1:22">
      <c r="A3486" t="s">
        <v>68</v>
      </c>
      <c r="B3486" t="s">
        <v>60</v>
      </c>
      <c r="C3486">
        <v>49</v>
      </c>
      <c r="D3486" t="s">
        <v>22</v>
      </c>
      <c r="E3486" t="s">
        <v>16</v>
      </c>
      <c r="F3486" s="1">
        <v>43835</v>
      </c>
      <c r="G3486">
        <v>0</v>
      </c>
      <c r="H3486">
        <v>0</v>
      </c>
      <c r="I3486">
        <v>7</v>
      </c>
      <c r="J3486">
        <v>7</v>
      </c>
      <c r="K3486">
        <v>0</v>
      </c>
      <c r="L3486">
        <v>396</v>
      </c>
      <c r="M3486">
        <v>60</v>
      </c>
      <c r="N3486" s="1">
        <f t="shared" si="432"/>
        <v>44938</v>
      </c>
      <c r="O3486" s="1">
        <f t="shared" si="433"/>
        <v>43101</v>
      </c>
      <c r="P3486" s="1">
        <f t="shared" si="434"/>
        <v>43952</v>
      </c>
      <c r="Q3486" s="8">
        <f t="shared" si="435"/>
        <v>0</v>
      </c>
      <c r="R3486" s="8">
        <f t="shared" si="436"/>
        <v>29</v>
      </c>
      <c r="S3486" s="8">
        <f t="shared" ca="1" si="437"/>
        <v>27</v>
      </c>
      <c r="T3486">
        <f t="shared" ca="1" si="438"/>
        <v>1.2323200000000001</v>
      </c>
      <c r="U3486" s="8">
        <f t="shared" ca="1" si="439"/>
        <v>3.7424000000000008</v>
      </c>
      <c r="V3486" s="9">
        <f ca="1">RawData[[#This Row],[Z (smoothed demand size)]]/RawData[[#This Row],[X (smoothed interval)]]</f>
        <v>0.3292860196665241</v>
      </c>
    </row>
    <row r="3487" spans="1:22">
      <c r="A3487" t="s">
        <v>68</v>
      </c>
      <c r="B3487" t="s">
        <v>60</v>
      </c>
      <c r="C3487">
        <v>49</v>
      </c>
      <c r="D3487" t="s">
        <v>22</v>
      </c>
      <c r="E3487" t="s">
        <v>16</v>
      </c>
      <c r="F3487" s="1">
        <v>43836</v>
      </c>
      <c r="G3487">
        <v>0</v>
      </c>
      <c r="H3487">
        <v>0</v>
      </c>
      <c r="I3487">
        <v>7</v>
      </c>
      <c r="J3487">
        <v>7</v>
      </c>
      <c r="K3487">
        <v>0</v>
      </c>
      <c r="L3487">
        <v>464</v>
      </c>
      <c r="M3487">
        <v>60</v>
      </c>
      <c r="N3487" s="1">
        <f t="shared" si="432"/>
        <v>44938</v>
      </c>
      <c r="O3487" s="1">
        <f t="shared" si="433"/>
        <v>43101</v>
      </c>
      <c r="P3487" s="1">
        <f t="shared" si="434"/>
        <v>43983</v>
      </c>
      <c r="Q3487" s="8">
        <f t="shared" si="435"/>
        <v>0</v>
      </c>
      <c r="R3487" s="8">
        <f t="shared" si="436"/>
        <v>30</v>
      </c>
      <c r="S3487" s="8">
        <f t="shared" ca="1" si="437"/>
        <v>27</v>
      </c>
      <c r="T3487">
        <f t="shared" ca="1" si="438"/>
        <v>1.2323200000000001</v>
      </c>
      <c r="U3487" s="8">
        <f t="shared" ca="1" si="439"/>
        <v>3.7424000000000008</v>
      </c>
      <c r="V3487" s="9">
        <f ca="1">RawData[[#This Row],[Z (smoothed demand size)]]/RawData[[#This Row],[X (smoothed interval)]]</f>
        <v>0.3292860196665241</v>
      </c>
    </row>
    <row r="3488" spans="1:22">
      <c r="A3488" t="s">
        <v>68</v>
      </c>
      <c r="B3488" t="s">
        <v>60</v>
      </c>
      <c r="C3488">
        <v>49</v>
      </c>
      <c r="D3488" t="s">
        <v>22</v>
      </c>
      <c r="E3488" t="s">
        <v>16</v>
      </c>
      <c r="F3488" s="1">
        <v>43837</v>
      </c>
      <c r="G3488">
        <v>0</v>
      </c>
      <c r="H3488">
        <v>0</v>
      </c>
      <c r="I3488">
        <v>7</v>
      </c>
      <c r="J3488">
        <v>7</v>
      </c>
      <c r="K3488">
        <v>0</v>
      </c>
      <c r="L3488">
        <v>461</v>
      </c>
      <c r="M3488">
        <v>30</v>
      </c>
      <c r="N3488" s="1">
        <f t="shared" si="432"/>
        <v>44938</v>
      </c>
      <c r="O3488" s="1">
        <f t="shared" si="433"/>
        <v>43101</v>
      </c>
      <c r="P3488" s="1">
        <f t="shared" si="434"/>
        <v>44013</v>
      </c>
      <c r="Q3488" s="8">
        <f t="shared" si="435"/>
        <v>0</v>
      </c>
      <c r="R3488" s="8">
        <f t="shared" si="436"/>
        <v>31</v>
      </c>
      <c r="S3488" s="8">
        <f t="shared" ca="1" si="437"/>
        <v>27</v>
      </c>
      <c r="T3488">
        <f t="shared" ca="1" si="438"/>
        <v>1.2323200000000001</v>
      </c>
      <c r="U3488" s="8">
        <f t="shared" ca="1" si="439"/>
        <v>3.7424000000000008</v>
      </c>
      <c r="V3488" s="9">
        <f ca="1">RawData[[#This Row],[Z (smoothed demand size)]]/RawData[[#This Row],[X (smoothed interval)]]</f>
        <v>0.3292860196665241</v>
      </c>
    </row>
    <row r="3489" spans="1:22">
      <c r="A3489" t="s">
        <v>68</v>
      </c>
      <c r="B3489" t="s">
        <v>60</v>
      </c>
      <c r="C3489">
        <v>49</v>
      </c>
      <c r="D3489" t="s">
        <v>22</v>
      </c>
      <c r="E3489" t="s">
        <v>16</v>
      </c>
      <c r="F3489" s="1">
        <v>43838</v>
      </c>
      <c r="G3489">
        <v>0</v>
      </c>
      <c r="H3489">
        <v>0</v>
      </c>
      <c r="I3489">
        <v>7</v>
      </c>
      <c r="J3489">
        <v>7</v>
      </c>
      <c r="K3489">
        <v>0</v>
      </c>
      <c r="L3489">
        <v>449</v>
      </c>
      <c r="M3489">
        <v>60</v>
      </c>
      <c r="N3489" s="1">
        <f t="shared" si="432"/>
        <v>44938</v>
      </c>
      <c r="O3489" s="1">
        <f t="shared" si="433"/>
        <v>43101</v>
      </c>
      <c r="P3489" s="1">
        <f t="shared" si="434"/>
        <v>44044</v>
      </c>
      <c r="Q3489" s="8">
        <f t="shared" si="435"/>
        <v>0</v>
      </c>
      <c r="R3489" s="8">
        <f t="shared" si="436"/>
        <v>32</v>
      </c>
      <c r="S3489" s="8">
        <f t="shared" ca="1" si="437"/>
        <v>27</v>
      </c>
      <c r="T3489">
        <f t="shared" ca="1" si="438"/>
        <v>1.2323200000000001</v>
      </c>
      <c r="U3489" s="8">
        <f t="shared" ca="1" si="439"/>
        <v>3.7424000000000008</v>
      </c>
      <c r="V3489" s="9">
        <f ca="1">RawData[[#This Row],[Z (smoothed demand size)]]/RawData[[#This Row],[X (smoothed interval)]]</f>
        <v>0.3292860196665241</v>
      </c>
    </row>
    <row r="3490" spans="1:22">
      <c r="A3490" t="s">
        <v>68</v>
      </c>
      <c r="B3490" t="s">
        <v>60</v>
      </c>
      <c r="C3490">
        <v>49</v>
      </c>
      <c r="D3490" t="s">
        <v>22</v>
      </c>
      <c r="E3490" t="s">
        <v>16</v>
      </c>
      <c r="F3490" s="1">
        <v>43839</v>
      </c>
      <c r="G3490">
        <v>0</v>
      </c>
      <c r="H3490">
        <v>0</v>
      </c>
      <c r="I3490">
        <v>7</v>
      </c>
      <c r="J3490">
        <v>7</v>
      </c>
      <c r="K3490">
        <v>0</v>
      </c>
      <c r="L3490">
        <v>395</v>
      </c>
      <c r="M3490">
        <v>45</v>
      </c>
      <c r="N3490" s="1">
        <f t="shared" si="432"/>
        <v>44938</v>
      </c>
      <c r="O3490" s="1">
        <f t="shared" si="433"/>
        <v>43101</v>
      </c>
      <c r="P3490" s="1">
        <f t="shared" si="434"/>
        <v>44075</v>
      </c>
      <c r="Q3490" s="8">
        <f t="shared" si="435"/>
        <v>0</v>
      </c>
      <c r="R3490" s="8">
        <f t="shared" si="436"/>
        <v>33</v>
      </c>
      <c r="S3490" s="8">
        <f t="shared" ca="1" si="437"/>
        <v>27</v>
      </c>
      <c r="T3490">
        <f t="shared" ca="1" si="438"/>
        <v>1.2323200000000001</v>
      </c>
      <c r="U3490" s="8">
        <f t="shared" ca="1" si="439"/>
        <v>3.7424000000000008</v>
      </c>
      <c r="V3490" s="9">
        <f ca="1">RawData[[#This Row],[Z (smoothed demand size)]]/RawData[[#This Row],[X (smoothed interval)]]</f>
        <v>0.3292860196665241</v>
      </c>
    </row>
    <row r="3491" spans="1:22">
      <c r="A3491" t="s">
        <v>68</v>
      </c>
      <c r="B3491" t="s">
        <v>60</v>
      </c>
      <c r="C3491">
        <v>49</v>
      </c>
      <c r="D3491" t="s">
        <v>22</v>
      </c>
      <c r="E3491" t="s">
        <v>16</v>
      </c>
      <c r="F3491" s="1">
        <v>43840</v>
      </c>
      <c r="G3491">
        <v>0</v>
      </c>
      <c r="H3491">
        <v>0</v>
      </c>
      <c r="I3491">
        <v>7</v>
      </c>
      <c r="J3491">
        <v>7</v>
      </c>
      <c r="K3491">
        <v>0</v>
      </c>
      <c r="L3491">
        <v>408</v>
      </c>
      <c r="M3491">
        <v>30</v>
      </c>
      <c r="N3491" s="1">
        <f t="shared" si="432"/>
        <v>44938</v>
      </c>
      <c r="O3491" s="1">
        <f t="shared" si="433"/>
        <v>43101</v>
      </c>
      <c r="P3491" s="1">
        <f t="shared" si="434"/>
        <v>44105</v>
      </c>
      <c r="Q3491" s="8">
        <f t="shared" si="435"/>
        <v>0</v>
      </c>
      <c r="R3491" s="8">
        <f t="shared" si="436"/>
        <v>34</v>
      </c>
      <c r="S3491" s="8">
        <f t="shared" ca="1" si="437"/>
        <v>27</v>
      </c>
      <c r="T3491">
        <f t="shared" ca="1" si="438"/>
        <v>1.2323200000000001</v>
      </c>
      <c r="U3491" s="8">
        <f t="shared" ca="1" si="439"/>
        <v>3.7424000000000008</v>
      </c>
      <c r="V3491" s="9">
        <f ca="1">RawData[[#This Row],[Z (smoothed demand size)]]/RawData[[#This Row],[X (smoothed interval)]]</f>
        <v>0.3292860196665241</v>
      </c>
    </row>
    <row r="3492" spans="1:22">
      <c r="A3492" t="s">
        <v>68</v>
      </c>
      <c r="B3492" t="s">
        <v>60</v>
      </c>
      <c r="C3492">
        <v>49</v>
      </c>
      <c r="D3492" t="s">
        <v>22</v>
      </c>
      <c r="E3492" t="s">
        <v>16</v>
      </c>
      <c r="F3492" s="1">
        <v>43841</v>
      </c>
      <c r="G3492">
        <v>2</v>
      </c>
      <c r="H3492">
        <v>2</v>
      </c>
      <c r="I3492">
        <v>7</v>
      </c>
      <c r="J3492">
        <v>5</v>
      </c>
      <c r="K3492">
        <v>0</v>
      </c>
      <c r="L3492">
        <v>398</v>
      </c>
      <c r="M3492">
        <v>60</v>
      </c>
      <c r="N3492" s="1">
        <f t="shared" si="432"/>
        <v>44938</v>
      </c>
      <c r="O3492" s="1">
        <f t="shared" si="433"/>
        <v>43101</v>
      </c>
      <c r="P3492" s="1">
        <f t="shared" si="434"/>
        <v>44136</v>
      </c>
      <c r="Q3492" s="8">
        <f t="shared" si="435"/>
        <v>0</v>
      </c>
      <c r="R3492" s="8">
        <f t="shared" si="436"/>
        <v>35</v>
      </c>
      <c r="S3492" s="8">
        <f t="shared" ca="1" si="437"/>
        <v>35</v>
      </c>
      <c r="T3492">
        <f t="shared" ca="1" si="438"/>
        <v>1.385856</v>
      </c>
      <c r="U3492" s="8">
        <f t="shared" ca="1" si="439"/>
        <v>4.5939200000000007</v>
      </c>
      <c r="V3492" s="9">
        <f ca="1">RawData[[#This Row],[Z (smoothed demand size)]]/RawData[[#This Row],[X (smoothed interval)]]</f>
        <v>0.30167177486765112</v>
      </c>
    </row>
    <row r="3493" spans="1:22">
      <c r="A3493" t="s">
        <v>68</v>
      </c>
      <c r="B3493" t="s">
        <v>60</v>
      </c>
      <c r="C3493">
        <v>49</v>
      </c>
      <c r="D3493" t="s">
        <v>22</v>
      </c>
      <c r="E3493" t="s">
        <v>16</v>
      </c>
      <c r="F3493" s="1">
        <v>43842</v>
      </c>
      <c r="G3493">
        <v>0</v>
      </c>
      <c r="H3493">
        <v>0</v>
      </c>
      <c r="I3493">
        <v>5</v>
      </c>
      <c r="J3493">
        <v>5</v>
      </c>
      <c r="K3493">
        <v>0</v>
      </c>
      <c r="L3493">
        <v>454</v>
      </c>
      <c r="M3493">
        <v>45</v>
      </c>
      <c r="N3493" s="1">
        <f t="shared" si="432"/>
        <v>44938</v>
      </c>
      <c r="O3493" s="1">
        <f t="shared" si="433"/>
        <v>43101</v>
      </c>
      <c r="P3493" s="1">
        <f t="shared" si="434"/>
        <v>44166</v>
      </c>
      <c r="Q3493" s="8">
        <f t="shared" si="435"/>
        <v>0</v>
      </c>
      <c r="R3493" s="8">
        <f t="shared" si="436"/>
        <v>36</v>
      </c>
      <c r="S3493" s="8">
        <f t="shared" ca="1" si="437"/>
        <v>35</v>
      </c>
      <c r="T3493">
        <f t="shared" ca="1" si="438"/>
        <v>1.385856</v>
      </c>
      <c r="U3493" s="8">
        <f t="shared" ca="1" si="439"/>
        <v>4.5939200000000007</v>
      </c>
      <c r="V3493" s="9">
        <f ca="1">RawData[[#This Row],[Z (smoothed demand size)]]/RawData[[#This Row],[X (smoothed interval)]]</f>
        <v>0.30167177486765112</v>
      </c>
    </row>
    <row r="3494" spans="1:22">
      <c r="A3494" t="s">
        <v>68</v>
      </c>
      <c r="B3494" t="s">
        <v>60</v>
      </c>
      <c r="C3494">
        <v>49</v>
      </c>
      <c r="D3494" t="s">
        <v>22</v>
      </c>
      <c r="E3494" t="s">
        <v>16</v>
      </c>
      <c r="F3494" s="1">
        <v>44197</v>
      </c>
      <c r="G3494">
        <v>0</v>
      </c>
      <c r="H3494">
        <v>0</v>
      </c>
      <c r="I3494">
        <v>5</v>
      </c>
      <c r="J3494">
        <v>5</v>
      </c>
      <c r="K3494">
        <v>0</v>
      </c>
      <c r="L3494">
        <v>394</v>
      </c>
      <c r="M3494">
        <v>15</v>
      </c>
      <c r="N3494" s="1">
        <f t="shared" si="432"/>
        <v>44938</v>
      </c>
      <c r="O3494" s="1">
        <f t="shared" si="433"/>
        <v>43101</v>
      </c>
      <c r="P3494" s="1">
        <f t="shared" si="434"/>
        <v>44197</v>
      </c>
      <c r="Q3494" s="8">
        <f t="shared" si="435"/>
        <v>0</v>
      </c>
      <c r="R3494" s="8">
        <f t="shared" si="436"/>
        <v>37</v>
      </c>
      <c r="S3494" s="8">
        <f t="shared" ca="1" si="437"/>
        <v>35</v>
      </c>
      <c r="T3494">
        <f t="shared" ca="1" si="438"/>
        <v>1.385856</v>
      </c>
      <c r="U3494" s="8">
        <f t="shared" ca="1" si="439"/>
        <v>4.5939200000000007</v>
      </c>
      <c r="V3494" s="9">
        <f ca="1">RawData[[#This Row],[Z (smoothed demand size)]]/RawData[[#This Row],[X (smoothed interval)]]</f>
        <v>0.30167177486765112</v>
      </c>
    </row>
    <row r="3495" spans="1:22">
      <c r="A3495" t="s">
        <v>68</v>
      </c>
      <c r="B3495" t="s">
        <v>60</v>
      </c>
      <c r="C3495">
        <v>49</v>
      </c>
      <c r="D3495" t="s">
        <v>22</v>
      </c>
      <c r="E3495" t="s">
        <v>16</v>
      </c>
      <c r="F3495" s="1">
        <v>44198</v>
      </c>
      <c r="G3495">
        <v>0</v>
      </c>
      <c r="H3495">
        <v>0</v>
      </c>
      <c r="I3495">
        <v>5</v>
      </c>
      <c r="J3495">
        <v>5</v>
      </c>
      <c r="K3495">
        <v>0</v>
      </c>
      <c r="L3495">
        <v>397</v>
      </c>
      <c r="M3495">
        <v>45</v>
      </c>
      <c r="N3495" s="1">
        <f t="shared" si="432"/>
        <v>44938</v>
      </c>
      <c r="O3495" s="1">
        <f t="shared" si="433"/>
        <v>43101</v>
      </c>
      <c r="P3495" s="1">
        <f t="shared" si="434"/>
        <v>44228</v>
      </c>
      <c r="Q3495" s="8">
        <f t="shared" si="435"/>
        <v>0</v>
      </c>
      <c r="R3495" s="8">
        <f t="shared" si="436"/>
        <v>38</v>
      </c>
      <c r="S3495" s="8">
        <f t="shared" ca="1" si="437"/>
        <v>35</v>
      </c>
      <c r="T3495">
        <f t="shared" ca="1" si="438"/>
        <v>1.385856</v>
      </c>
      <c r="U3495" s="8">
        <f t="shared" ca="1" si="439"/>
        <v>4.5939200000000007</v>
      </c>
      <c r="V3495" s="9">
        <f ca="1">RawData[[#This Row],[Z (smoothed demand size)]]/RawData[[#This Row],[X (smoothed interval)]]</f>
        <v>0.30167177486765112</v>
      </c>
    </row>
    <row r="3496" spans="1:22">
      <c r="A3496" t="s">
        <v>68</v>
      </c>
      <c r="B3496" t="s">
        <v>60</v>
      </c>
      <c r="C3496">
        <v>49</v>
      </c>
      <c r="D3496" t="s">
        <v>22</v>
      </c>
      <c r="E3496" t="s">
        <v>16</v>
      </c>
      <c r="F3496" s="1">
        <v>44199</v>
      </c>
      <c r="G3496">
        <v>0</v>
      </c>
      <c r="H3496">
        <v>0</v>
      </c>
      <c r="I3496">
        <v>5</v>
      </c>
      <c r="J3496">
        <v>5</v>
      </c>
      <c r="K3496">
        <v>0</v>
      </c>
      <c r="L3496">
        <v>401</v>
      </c>
      <c r="M3496">
        <v>15</v>
      </c>
      <c r="N3496" s="1">
        <f t="shared" si="432"/>
        <v>44938</v>
      </c>
      <c r="O3496" s="1">
        <f t="shared" si="433"/>
        <v>43101</v>
      </c>
      <c r="P3496" s="1">
        <f t="shared" si="434"/>
        <v>44256</v>
      </c>
      <c r="Q3496" s="8">
        <f t="shared" si="435"/>
        <v>0</v>
      </c>
      <c r="R3496" s="8">
        <f t="shared" si="436"/>
        <v>39</v>
      </c>
      <c r="S3496" s="8">
        <f t="shared" ca="1" si="437"/>
        <v>35</v>
      </c>
      <c r="T3496">
        <f t="shared" ca="1" si="438"/>
        <v>1.385856</v>
      </c>
      <c r="U3496" s="8">
        <f t="shared" ca="1" si="439"/>
        <v>4.5939200000000007</v>
      </c>
      <c r="V3496" s="9">
        <f ca="1">RawData[[#This Row],[Z (smoothed demand size)]]/RawData[[#This Row],[X (smoothed interval)]]</f>
        <v>0.30167177486765112</v>
      </c>
    </row>
    <row r="3497" spans="1:22">
      <c r="A3497" t="s">
        <v>68</v>
      </c>
      <c r="B3497" t="s">
        <v>60</v>
      </c>
      <c r="C3497">
        <v>49</v>
      </c>
      <c r="D3497" t="s">
        <v>22</v>
      </c>
      <c r="E3497" t="s">
        <v>16</v>
      </c>
      <c r="F3497" s="1">
        <v>44200</v>
      </c>
      <c r="G3497">
        <v>1</v>
      </c>
      <c r="H3497">
        <v>1</v>
      </c>
      <c r="I3497">
        <v>5</v>
      </c>
      <c r="J3497">
        <v>4</v>
      </c>
      <c r="K3497">
        <v>0</v>
      </c>
      <c r="L3497">
        <v>396</v>
      </c>
      <c r="M3497">
        <v>30</v>
      </c>
      <c r="N3497" s="1">
        <f t="shared" si="432"/>
        <v>44938</v>
      </c>
      <c r="O3497" s="1">
        <f t="shared" si="433"/>
        <v>43101</v>
      </c>
      <c r="P3497" s="1">
        <f t="shared" si="434"/>
        <v>44287</v>
      </c>
      <c r="Q3497" s="8">
        <f t="shared" si="435"/>
        <v>0</v>
      </c>
      <c r="R3497" s="8">
        <f t="shared" si="436"/>
        <v>40</v>
      </c>
      <c r="S3497" s="8">
        <f t="shared" ca="1" si="437"/>
        <v>40</v>
      </c>
      <c r="T3497">
        <f t="shared" ca="1" si="438"/>
        <v>1.3086848</v>
      </c>
      <c r="U3497" s="8">
        <f t="shared" ca="1" si="439"/>
        <v>4.6751360000000002</v>
      </c>
      <c r="V3497" s="9">
        <f ca="1">RawData[[#This Row],[Z (smoothed demand size)]]/RawData[[#This Row],[X (smoothed interval)]]</f>
        <v>0.27992443428383684</v>
      </c>
    </row>
    <row r="3498" spans="1:22">
      <c r="A3498" t="s">
        <v>68</v>
      </c>
      <c r="B3498" t="s">
        <v>60</v>
      </c>
      <c r="C3498">
        <v>49</v>
      </c>
      <c r="D3498" t="s">
        <v>22</v>
      </c>
      <c r="E3498" t="s">
        <v>16</v>
      </c>
      <c r="F3498" s="1">
        <v>44201</v>
      </c>
      <c r="G3498">
        <v>0</v>
      </c>
      <c r="H3498">
        <v>0</v>
      </c>
      <c r="I3498">
        <v>23</v>
      </c>
      <c r="J3498">
        <v>23</v>
      </c>
      <c r="K3498">
        <v>0</v>
      </c>
      <c r="L3498">
        <v>394</v>
      </c>
      <c r="M3498">
        <v>45</v>
      </c>
      <c r="N3498" s="1">
        <f t="shared" si="432"/>
        <v>44938</v>
      </c>
      <c r="O3498" s="1">
        <f t="shared" si="433"/>
        <v>43101</v>
      </c>
      <c r="P3498" s="1">
        <f t="shared" si="434"/>
        <v>44317</v>
      </c>
      <c r="Q3498" s="8">
        <f t="shared" si="435"/>
        <v>0</v>
      </c>
      <c r="R3498" s="8">
        <f t="shared" si="436"/>
        <v>41</v>
      </c>
      <c r="S3498" s="8">
        <f t="shared" ca="1" si="437"/>
        <v>40</v>
      </c>
      <c r="T3498">
        <f t="shared" ca="1" si="438"/>
        <v>1.3086848</v>
      </c>
      <c r="U3498" s="8">
        <f t="shared" ca="1" si="439"/>
        <v>4.6751360000000002</v>
      </c>
      <c r="V3498" s="9">
        <f ca="1">RawData[[#This Row],[Z (smoothed demand size)]]/RawData[[#This Row],[X (smoothed interval)]]</f>
        <v>0.27992443428383684</v>
      </c>
    </row>
    <row r="3499" spans="1:22">
      <c r="A3499" t="s">
        <v>68</v>
      </c>
      <c r="B3499" t="s">
        <v>60</v>
      </c>
      <c r="C3499">
        <v>49</v>
      </c>
      <c r="D3499" t="s">
        <v>22</v>
      </c>
      <c r="E3499" t="s">
        <v>16</v>
      </c>
      <c r="F3499" s="1">
        <v>44202</v>
      </c>
      <c r="G3499">
        <v>0</v>
      </c>
      <c r="H3499">
        <v>0</v>
      </c>
      <c r="I3499">
        <v>23</v>
      </c>
      <c r="J3499">
        <v>23</v>
      </c>
      <c r="K3499">
        <v>0</v>
      </c>
      <c r="L3499">
        <v>447</v>
      </c>
      <c r="M3499">
        <v>45</v>
      </c>
      <c r="N3499" s="1">
        <f t="shared" si="432"/>
        <v>44938</v>
      </c>
      <c r="O3499" s="1">
        <f t="shared" si="433"/>
        <v>43101</v>
      </c>
      <c r="P3499" s="1">
        <f t="shared" si="434"/>
        <v>44348</v>
      </c>
      <c r="Q3499" s="8">
        <f t="shared" si="435"/>
        <v>0</v>
      </c>
      <c r="R3499" s="8">
        <f t="shared" si="436"/>
        <v>42</v>
      </c>
      <c r="S3499" s="8">
        <f t="shared" ca="1" si="437"/>
        <v>40</v>
      </c>
      <c r="T3499">
        <f t="shared" ca="1" si="438"/>
        <v>1.3086848</v>
      </c>
      <c r="U3499" s="8">
        <f t="shared" ca="1" si="439"/>
        <v>4.6751360000000002</v>
      </c>
      <c r="V3499" s="9">
        <f ca="1">RawData[[#This Row],[Z (smoothed demand size)]]/RawData[[#This Row],[X (smoothed interval)]]</f>
        <v>0.27992443428383684</v>
      </c>
    </row>
    <row r="3500" spans="1:22">
      <c r="A3500" t="s">
        <v>68</v>
      </c>
      <c r="B3500" t="s">
        <v>60</v>
      </c>
      <c r="C3500">
        <v>49</v>
      </c>
      <c r="D3500" t="s">
        <v>22</v>
      </c>
      <c r="E3500" t="s">
        <v>16</v>
      </c>
      <c r="F3500" s="1">
        <v>44203</v>
      </c>
      <c r="G3500">
        <v>0</v>
      </c>
      <c r="H3500">
        <v>0</v>
      </c>
      <c r="I3500">
        <v>23</v>
      </c>
      <c r="J3500">
        <v>23</v>
      </c>
      <c r="K3500">
        <v>0</v>
      </c>
      <c r="L3500">
        <v>453</v>
      </c>
      <c r="M3500">
        <v>60</v>
      </c>
      <c r="N3500" s="1">
        <f t="shared" si="432"/>
        <v>44938</v>
      </c>
      <c r="O3500" s="1">
        <f t="shared" si="433"/>
        <v>43101</v>
      </c>
      <c r="P3500" s="1">
        <f t="shared" si="434"/>
        <v>44378</v>
      </c>
      <c r="Q3500" s="8">
        <f t="shared" si="435"/>
        <v>0</v>
      </c>
      <c r="R3500" s="8">
        <f t="shared" si="436"/>
        <v>43</v>
      </c>
      <c r="S3500" s="8">
        <f t="shared" ca="1" si="437"/>
        <v>40</v>
      </c>
      <c r="T3500">
        <f t="shared" ca="1" si="438"/>
        <v>1.3086848</v>
      </c>
      <c r="U3500" s="8">
        <f t="shared" ca="1" si="439"/>
        <v>4.6751360000000002</v>
      </c>
      <c r="V3500" s="9">
        <f ca="1">RawData[[#This Row],[Z (smoothed demand size)]]/RawData[[#This Row],[X (smoothed interval)]]</f>
        <v>0.27992443428383684</v>
      </c>
    </row>
    <row r="3501" spans="1:22">
      <c r="A3501" t="s">
        <v>68</v>
      </c>
      <c r="B3501" t="s">
        <v>60</v>
      </c>
      <c r="C3501">
        <v>49</v>
      </c>
      <c r="D3501" t="s">
        <v>22</v>
      </c>
      <c r="E3501" t="s">
        <v>16</v>
      </c>
      <c r="F3501" s="1">
        <v>44204</v>
      </c>
      <c r="G3501">
        <v>0</v>
      </c>
      <c r="H3501">
        <v>0</v>
      </c>
      <c r="I3501">
        <v>23</v>
      </c>
      <c r="J3501">
        <v>23</v>
      </c>
      <c r="K3501">
        <v>0</v>
      </c>
      <c r="L3501">
        <v>454</v>
      </c>
      <c r="M3501">
        <v>45</v>
      </c>
      <c r="N3501" s="1">
        <f t="shared" si="432"/>
        <v>44938</v>
      </c>
      <c r="O3501" s="1">
        <f t="shared" si="433"/>
        <v>43101</v>
      </c>
      <c r="P3501" s="1">
        <f t="shared" si="434"/>
        <v>44409</v>
      </c>
      <c r="Q3501" s="8">
        <f t="shared" si="435"/>
        <v>0</v>
      </c>
      <c r="R3501" s="8">
        <f t="shared" si="436"/>
        <v>44</v>
      </c>
      <c r="S3501" s="8">
        <f t="shared" ca="1" si="437"/>
        <v>40</v>
      </c>
      <c r="T3501">
        <f t="shared" ca="1" si="438"/>
        <v>1.3086848</v>
      </c>
      <c r="U3501" s="8">
        <f t="shared" ca="1" si="439"/>
        <v>4.6751360000000002</v>
      </c>
      <c r="V3501" s="9">
        <f ca="1">RawData[[#This Row],[Z (smoothed demand size)]]/RawData[[#This Row],[X (smoothed interval)]]</f>
        <v>0.27992443428383684</v>
      </c>
    </row>
    <row r="3502" spans="1:22">
      <c r="A3502" t="s">
        <v>68</v>
      </c>
      <c r="B3502" t="s">
        <v>60</v>
      </c>
      <c r="C3502">
        <v>49</v>
      </c>
      <c r="D3502" t="s">
        <v>22</v>
      </c>
      <c r="E3502" t="s">
        <v>16</v>
      </c>
      <c r="F3502" s="1">
        <v>44205</v>
      </c>
      <c r="G3502">
        <v>0</v>
      </c>
      <c r="H3502">
        <v>0</v>
      </c>
      <c r="I3502">
        <v>23</v>
      </c>
      <c r="J3502">
        <v>23</v>
      </c>
      <c r="K3502">
        <v>0</v>
      </c>
      <c r="L3502">
        <v>399</v>
      </c>
      <c r="M3502">
        <v>45</v>
      </c>
      <c r="N3502" s="1">
        <f t="shared" si="432"/>
        <v>44938</v>
      </c>
      <c r="O3502" s="1">
        <f t="shared" si="433"/>
        <v>43101</v>
      </c>
      <c r="P3502" s="1">
        <f t="shared" si="434"/>
        <v>44440</v>
      </c>
      <c r="Q3502" s="8">
        <f t="shared" si="435"/>
        <v>0</v>
      </c>
      <c r="R3502" s="8">
        <f t="shared" si="436"/>
        <v>45</v>
      </c>
      <c r="S3502" s="8">
        <f t="shared" ca="1" si="437"/>
        <v>40</v>
      </c>
      <c r="T3502">
        <f t="shared" ca="1" si="438"/>
        <v>1.3086848</v>
      </c>
      <c r="U3502" s="8">
        <f t="shared" ca="1" si="439"/>
        <v>4.6751360000000002</v>
      </c>
      <c r="V3502" s="9">
        <f ca="1">RawData[[#This Row],[Z (smoothed demand size)]]/RawData[[#This Row],[X (smoothed interval)]]</f>
        <v>0.27992443428383684</v>
      </c>
    </row>
    <row r="3503" spans="1:22">
      <c r="A3503" t="s">
        <v>68</v>
      </c>
      <c r="B3503" t="s">
        <v>60</v>
      </c>
      <c r="C3503">
        <v>49</v>
      </c>
      <c r="D3503" t="s">
        <v>22</v>
      </c>
      <c r="E3503" t="s">
        <v>16</v>
      </c>
      <c r="F3503" s="1">
        <v>44206</v>
      </c>
      <c r="G3503">
        <v>0</v>
      </c>
      <c r="H3503">
        <v>0</v>
      </c>
      <c r="I3503">
        <v>23</v>
      </c>
      <c r="J3503">
        <v>23</v>
      </c>
      <c r="K3503">
        <v>0</v>
      </c>
      <c r="L3503">
        <v>399</v>
      </c>
      <c r="M3503">
        <v>45</v>
      </c>
      <c r="N3503" s="1">
        <f t="shared" si="432"/>
        <v>44938</v>
      </c>
      <c r="O3503" s="1">
        <f t="shared" si="433"/>
        <v>43101</v>
      </c>
      <c r="P3503" s="1">
        <f t="shared" si="434"/>
        <v>44470</v>
      </c>
      <c r="Q3503" s="8">
        <f t="shared" si="435"/>
        <v>0</v>
      </c>
      <c r="R3503" s="8">
        <f t="shared" si="436"/>
        <v>46</v>
      </c>
      <c r="S3503" s="8">
        <f t="shared" ca="1" si="437"/>
        <v>40</v>
      </c>
      <c r="T3503">
        <f t="shared" ca="1" si="438"/>
        <v>1.3086848</v>
      </c>
      <c r="U3503" s="8">
        <f t="shared" ca="1" si="439"/>
        <v>4.6751360000000002</v>
      </c>
      <c r="V3503" s="9">
        <f ca="1">RawData[[#This Row],[Z (smoothed demand size)]]/RawData[[#This Row],[X (smoothed interval)]]</f>
        <v>0.27992443428383684</v>
      </c>
    </row>
    <row r="3504" spans="1:22">
      <c r="A3504" t="s">
        <v>68</v>
      </c>
      <c r="B3504" t="s">
        <v>60</v>
      </c>
      <c r="C3504">
        <v>49</v>
      </c>
      <c r="D3504" t="s">
        <v>22</v>
      </c>
      <c r="E3504" t="s">
        <v>16</v>
      </c>
      <c r="F3504" s="1">
        <v>44207</v>
      </c>
      <c r="G3504">
        <v>0</v>
      </c>
      <c r="H3504">
        <v>0</v>
      </c>
      <c r="I3504">
        <v>23</v>
      </c>
      <c r="J3504">
        <v>23</v>
      </c>
      <c r="K3504">
        <v>0</v>
      </c>
      <c r="L3504">
        <v>403</v>
      </c>
      <c r="M3504">
        <v>45</v>
      </c>
      <c r="N3504" s="1">
        <f t="shared" si="432"/>
        <v>44938</v>
      </c>
      <c r="O3504" s="1">
        <f t="shared" si="433"/>
        <v>43101</v>
      </c>
      <c r="P3504" s="1">
        <f t="shared" si="434"/>
        <v>44501</v>
      </c>
      <c r="Q3504" s="8">
        <f t="shared" si="435"/>
        <v>0</v>
      </c>
      <c r="R3504" s="8">
        <f t="shared" si="436"/>
        <v>47</v>
      </c>
      <c r="S3504" s="8">
        <f t="shared" ca="1" si="437"/>
        <v>40</v>
      </c>
      <c r="T3504">
        <f t="shared" ca="1" si="438"/>
        <v>1.3086848</v>
      </c>
      <c r="U3504" s="8">
        <f t="shared" ca="1" si="439"/>
        <v>4.6751360000000002</v>
      </c>
      <c r="V3504" s="9">
        <f ca="1">RawData[[#This Row],[Z (smoothed demand size)]]/RawData[[#This Row],[X (smoothed interval)]]</f>
        <v>0.27992443428383684</v>
      </c>
    </row>
    <row r="3505" spans="1:22">
      <c r="A3505" t="s">
        <v>68</v>
      </c>
      <c r="B3505" t="s">
        <v>60</v>
      </c>
      <c r="C3505">
        <v>49</v>
      </c>
      <c r="D3505" t="s">
        <v>22</v>
      </c>
      <c r="E3505" t="s">
        <v>16</v>
      </c>
      <c r="F3505" s="1">
        <v>44208</v>
      </c>
      <c r="G3505">
        <v>0</v>
      </c>
      <c r="H3505">
        <v>0</v>
      </c>
      <c r="I3505">
        <v>23</v>
      </c>
      <c r="J3505">
        <v>23</v>
      </c>
      <c r="K3505">
        <v>0</v>
      </c>
      <c r="L3505">
        <v>452</v>
      </c>
      <c r="M3505">
        <v>60</v>
      </c>
      <c r="N3505" s="1">
        <f t="shared" si="432"/>
        <v>44938</v>
      </c>
      <c r="O3505" s="1">
        <f t="shared" si="433"/>
        <v>43101</v>
      </c>
      <c r="P3505" s="1">
        <f t="shared" si="434"/>
        <v>44531</v>
      </c>
      <c r="Q3505" s="8">
        <f t="shared" si="435"/>
        <v>0</v>
      </c>
      <c r="R3505" s="8">
        <f t="shared" si="436"/>
        <v>48</v>
      </c>
      <c r="S3505" s="8">
        <f t="shared" ca="1" si="437"/>
        <v>40</v>
      </c>
      <c r="T3505">
        <f t="shared" ca="1" si="438"/>
        <v>1.3086848</v>
      </c>
      <c r="U3505" s="8">
        <f t="shared" ca="1" si="439"/>
        <v>4.6751360000000002</v>
      </c>
      <c r="V3505" s="9">
        <f ca="1">RawData[[#This Row],[Z (smoothed demand size)]]/RawData[[#This Row],[X (smoothed interval)]]</f>
        <v>0.27992443428383684</v>
      </c>
    </row>
    <row r="3506" spans="1:22">
      <c r="A3506" t="s">
        <v>68</v>
      </c>
      <c r="B3506" t="s">
        <v>60</v>
      </c>
      <c r="C3506">
        <v>49</v>
      </c>
      <c r="D3506" t="s">
        <v>22</v>
      </c>
      <c r="E3506" t="s">
        <v>16</v>
      </c>
      <c r="F3506" s="1">
        <v>44562</v>
      </c>
      <c r="G3506">
        <v>0</v>
      </c>
      <c r="H3506">
        <v>0</v>
      </c>
      <c r="I3506">
        <v>23</v>
      </c>
      <c r="J3506">
        <v>23</v>
      </c>
      <c r="K3506">
        <v>0</v>
      </c>
      <c r="L3506">
        <v>397</v>
      </c>
      <c r="M3506">
        <v>30</v>
      </c>
      <c r="N3506" s="1">
        <f t="shared" si="432"/>
        <v>44938</v>
      </c>
      <c r="O3506" s="1">
        <f t="shared" si="433"/>
        <v>43101</v>
      </c>
      <c r="P3506" s="1">
        <f t="shared" si="434"/>
        <v>44562</v>
      </c>
      <c r="Q3506" s="8">
        <f t="shared" si="435"/>
        <v>0</v>
      </c>
      <c r="R3506" s="8">
        <f t="shared" si="436"/>
        <v>49</v>
      </c>
      <c r="S3506" s="8">
        <f t="shared" ca="1" si="437"/>
        <v>40</v>
      </c>
      <c r="T3506">
        <f t="shared" ca="1" si="438"/>
        <v>1.3086848</v>
      </c>
      <c r="U3506" s="8">
        <f t="shared" ca="1" si="439"/>
        <v>4.6751360000000002</v>
      </c>
      <c r="V3506" s="9">
        <f ca="1">RawData[[#This Row],[Z (smoothed demand size)]]/RawData[[#This Row],[X (smoothed interval)]]</f>
        <v>0.27992443428383684</v>
      </c>
    </row>
    <row r="3507" spans="1:22">
      <c r="A3507" t="s">
        <v>68</v>
      </c>
      <c r="B3507" t="s">
        <v>60</v>
      </c>
      <c r="C3507">
        <v>49</v>
      </c>
      <c r="D3507" t="s">
        <v>22</v>
      </c>
      <c r="E3507" t="s">
        <v>16</v>
      </c>
      <c r="F3507" s="1">
        <v>44563</v>
      </c>
      <c r="G3507">
        <v>2</v>
      </c>
      <c r="H3507">
        <v>2</v>
      </c>
      <c r="I3507">
        <v>23</v>
      </c>
      <c r="J3507">
        <v>21</v>
      </c>
      <c r="K3507">
        <v>0</v>
      </c>
      <c r="L3507">
        <v>397</v>
      </c>
      <c r="M3507">
        <v>15</v>
      </c>
      <c r="N3507" s="1">
        <f t="shared" si="432"/>
        <v>44938</v>
      </c>
      <c r="O3507" s="1">
        <f t="shared" si="433"/>
        <v>43101</v>
      </c>
      <c r="P3507" s="1">
        <f t="shared" si="434"/>
        <v>44593</v>
      </c>
      <c r="Q3507" s="8">
        <f t="shared" si="435"/>
        <v>0</v>
      </c>
      <c r="R3507" s="8">
        <f t="shared" si="436"/>
        <v>50</v>
      </c>
      <c r="S3507" s="8">
        <f t="shared" ca="1" si="437"/>
        <v>50</v>
      </c>
      <c r="T3507">
        <f t="shared" ca="1" si="438"/>
        <v>1.44694784</v>
      </c>
      <c r="U3507" s="8">
        <f t="shared" ca="1" si="439"/>
        <v>5.7401087999999998</v>
      </c>
      <c r="V3507" s="9">
        <f ca="1">RawData[[#This Row],[Z (smoothed demand size)]]/RawData[[#This Row],[X (smoothed interval)]]</f>
        <v>0.25207672718677387</v>
      </c>
    </row>
    <row r="3508" spans="1:22">
      <c r="A3508" t="s">
        <v>68</v>
      </c>
      <c r="B3508" t="s">
        <v>60</v>
      </c>
      <c r="C3508">
        <v>49</v>
      </c>
      <c r="D3508" t="s">
        <v>22</v>
      </c>
      <c r="E3508" t="s">
        <v>16</v>
      </c>
      <c r="F3508" s="1">
        <v>44564</v>
      </c>
      <c r="G3508">
        <v>0</v>
      </c>
      <c r="H3508">
        <v>0</v>
      </c>
      <c r="I3508">
        <v>21</v>
      </c>
      <c r="J3508">
        <v>21</v>
      </c>
      <c r="K3508">
        <v>0</v>
      </c>
      <c r="L3508">
        <v>392</v>
      </c>
      <c r="M3508">
        <v>45</v>
      </c>
      <c r="N3508" s="1">
        <f t="shared" si="432"/>
        <v>44938</v>
      </c>
      <c r="O3508" s="1">
        <f t="shared" si="433"/>
        <v>43101</v>
      </c>
      <c r="P3508" s="1">
        <f t="shared" si="434"/>
        <v>44621</v>
      </c>
      <c r="Q3508" s="8">
        <f t="shared" si="435"/>
        <v>0</v>
      </c>
      <c r="R3508" s="8">
        <f t="shared" si="436"/>
        <v>51</v>
      </c>
      <c r="S3508" s="8">
        <f t="shared" ca="1" si="437"/>
        <v>50</v>
      </c>
      <c r="T3508">
        <f t="shared" ca="1" si="438"/>
        <v>1.44694784</v>
      </c>
      <c r="U3508" s="8">
        <f t="shared" ca="1" si="439"/>
        <v>5.7401087999999998</v>
      </c>
      <c r="V3508" s="9">
        <f ca="1">RawData[[#This Row],[Z (smoothed demand size)]]/RawData[[#This Row],[X (smoothed interval)]]</f>
        <v>0.25207672718677387</v>
      </c>
    </row>
    <row r="3509" spans="1:22">
      <c r="A3509" t="s">
        <v>68</v>
      </c>
      <c r="B3509" t="s">
        <v>60</v>
      </c>
      <c r="C3509">
        <v>49</v>
      </c>
      <c r="D3509" t="s">
        <v>22</v>
      </c>
      <c r="E3509" t="s">
        <v>16</v>
      </c>
      <c r="F3509" s="1">
        <v>44565</v>
      </c>
      <c r="G3509">
        <v>0</v>
      </c>
      <c r="H3509">
        <v>0</v>
      </c>
      <c r="I3509">
        <v>21</v>
      </c>
      <c r="J3509">
        <v>21</v>
      </c>
      <c r="K3509">
        <v>0</v>
      </c>
      <c r="L3509">
        <v>400</v>
      </c>
      <c r="M3509">
        <v>60</v>
      </c>
      <c r="N3509" s="1">
        <f t="shared" si="432"/>
        <v>44938</v>
      </c>
      <c r="O3509" s="1">
        <f t="shared" si="433"/>
        <v>43101</v>
      </c>
      <c r="P3509" s="1">
        <f t="shared" si="434"/>
        <v>44652</v>
      </c>
      <c r="Q3509" s="8">
        <f t="shared" si="435"/>
        <v>0</v>
      </c>
      <c r="R3509" s="8">
        <f t="shared" si="436"/>
        <v>52</v>
      </c>
      <c r="S3509" s="8">
        <f t="shared" ca="1" si="437"/>
        <v>50</v>
      </c>
      <c r="T3509">
        <f t="shared" ca="1" si="438"/>
        <v>1.44694784</v>
      </c>
      <c r="U3509" s="8">
        <f t="shared" ca="1" si="439"/>
        <v>5.7401087999999998</v>
      </c>
      <c r="V3509" s="9">
        <f ca="1">RawData[[#This Row],[Z (smoothed demand size)]]/RawData[[#This Row],[X (smoothed interval)]]</f>
        <v>0.25207672718677387</v>
      </c>
    </row>
    <row r="3510" spans="1:22">
      <c r="A3510" t="s">
        <v>68</v>
      </c>
      <c r="B3510" t="s">
        <v>60</v>
      </c>
      <c r="C3510">
        <v>49</v>
      </c>
      <c r="D3510" t="s">
        <v>22</v>
      </c>
      <c r="E3510" t="s">
        <v>16</v>
      </c>
      <c r="F3510" s="1">
        <v>44566</v>
      </c>
      <c r="G3510">
        <v>0</v>
      </c>
      <c r="H3510">
        <v>0</v>
      </c>
      <c r="I3510">
        <v>21</v>
      </c>
      <c r="J3510">
        <v>21</v>
      </c>
      <c r="K3510">
        <v>0</v>
      </c>
      <c r="L3510">
        <v>403</v>
      </c>
      <c r="M3510">
        <v>15</v>
      </c>
      <c r="N3510" s="1">
        <f t="shared" si="432"/>
        <v>44938</v>
      </c>
      <c r="O3510" s="1">
        <f t="shared" si="433"/>
        <v>43101</v>
      </c>
      <c r="P3510" s="1">
        <f t="shared" si="434"/>
        <v>44682</v>
      </c>
      <c r="Q3510" s="8">
        <f t="shared" si="435"/>
        <v>0</v>
      </c>
      <c r="R3510" s="8">
        <f t="shared" si="436"/>
        <v>53</v>
      </c>
      <c r="S3510" s="8">
        <f t="shared" ca="1" si="437"/>
        <v>50</v>
      </c>
      <c r="T3510">
        <f t="shared" ca="1" si="438"/>
        <v>1.44694784</v>
      </c>
      <c r="U3510" s="8">
        <f t="shared" ca="1" si="439"/>
        <v>5.7401087999999998</v>
      </c>
      <c r="V3510" s="9">
        <f ca="1">RawData[[#This Row],[Z (smoothed demand size)]]/RawData[[#This Row],[X (smoothed interval)]]</f>
        <v>0.25207672718677387</v>
      </c>
    </row>
    <row r="3511" spans="1:22">
      <c r="A3511" t="s">
        <v>68</v>
      </c>
      <c r="B3511" t="s">
        <v>60</v>
      </c>
      <c r="C3511">
        <v>49</v>
      </c>
      <c r="D3511" t="s">
        <v>22</v>
      </c>
      <c r="E3511" t="s">
        <v>16</v>
      </c>
      <c r="F3511" s="1">
        <v>44567</v>
      </c>
      <c r="G3511">
        <v>0</v>
      </c>
      <c r="H3511">
        <v>0</v>
      </c>
      <c r="I3511">
        <v>21</v>
      </c>
      <c r="J3511">
        <v>21</v>
      </c>
      <c r="K3511">
        <v>0</v>
      </c>
      <c r="L3511">
        <v>456</v>
      </c>
      <c r="M3511">
        <v>15</v>
      </c>
      <c r="N3511" s="1">
        <f t="shared" si="432"/>
        <v>44938</v>
      </c>
      <c r="O3511" s="1">
        <f t="shared" si="433"/>
        <v>43101</v>
      </c>
      <c r="P3511" s="1">
        <f t="shared" si="434"/>
        <v>44713</v>
      </c>
      <c r="Q3511" s="8">
        <f t="shared" si="435"/>
        <v>0</v>
      </c>
      <c r="R3511" s="8">
        <f t="shared" si="436"/>
        <v>54</v>
      </c>
      <c r="S3511" s="8">
        <f t="shared" ca="1" si="437"/>
        <v>50</v>
      </c>
      <c r="T3511">
        <f t="shared" ca="1" si="438"/>
        <v>1.44694784</v>
      </c>
      <c r="U3511" s="8">
        <f t="shared" ca="1" si="439"/>
        <v>5.7401087999999998</v>
      </c>
      <c r="V3511" s="9">
        <f ca="1">RawData[[#This Row],[Z (smoothed demand size)]]/RawData[[#This Row],[X (smoothed interval)]]</f>
        <v>0.25207672718677387</v>
      </c>
    </row>
    <row r="3512" spans="1:22">
      <c r="A3512" t="s">
        <v>68</v>
      </c>
      <c r="B3512" t="s">
        <v>60</v>
      </c>
      <c r="C3512">
        <v>49</v>
      </c>
      <c r="D3512" t="s">
        <v>22</v>
      </c>
      <c r="E3512" t="s">
        <v>16</v>
      </c>
      <c r="F3512" s="1">
        <v>44568</v>
      </c>
      <c r="G3512">
        <v>0</v>
      </c>
      <c r="H3512">
        <v>0</v>
      </c>
      <c r="I3512">
        <v>21</v>
      </c>
      <c r="J3512">
        <v>21</v>
      </c>
      <c r="K3512">
        <v>0</v>
      </c>
      <c r="L3512">
        <v>453</v>
      </c>
      <c r="M3512">
        <v>30</v>
      </c>
      <c r="N3512" s="1">
        <f t="shared" si="432"/>
        <v>44938</v>
      </c>
      <c r="O3512" s="1">
        <f t="shared" si="433"/>
        <v>43101</v>
      </c>
      <c r="P3512" s="1">
        <f t="shared" si="434"/>
        <v>44743</v>
      </c>
      <c r="Q3512" s="8">
        <f t="shared" si="435"/>
        <v>0</v>
      </c>
      <c r="R3512" s="8">
        <f t="shared" si="436"/>
        <v>55</v>
      </c>
      <c r="S3512" s="8">
        <f t="shared" ca="1" si="437"/>
        <v>50</v>
      </c>
      <c r="T3512">
        <f t="shared" ca="1" si="438"/>
        <v>1.44694784</v>
      </c>
      <c r="U3512" s="8">
        <f t="shared" ca="1" si="439"/>
        <v>5.7401087999999998</v>
      </c>
      <c r="V3512" s="9">
        <f ca="1">RawData[[#This Row],[Z (smoothed demand size)]]/RawData[[#This Row],[X (smoothed interval)]]</f>
        <v>0.25207672718677387</v>
      </c>
    </row>
    <row r="3513" spans="1:22">
      <c r="A3513" t="s">
        <v>68</v>
      </c>
      <c r="B3513" t="s">
        <v>60</v>
      </c>
      <c r="C3513">
        <v>49</v>
      </c>
      <c r="D3513" t="s">
        <v>22</v>
      </c>
      <c r="E3513" t="s">
        <v>16</v>
      </c>
      <c r="F3513" s="1">
        <v>44569</v>
      </c>
      <c r="G3513">
        <v>1</v>
      </c>
      <c r="H3513">
        <v>1</v>
      </c>
      <c r="I3513">
        <v>21</v>
      </c>
      <c r="J3513">
        <v>20</v>
      </c>
      <c r="K3513">
        <v>0</v>
      </c>
      <c r="L3513">
        <v>462</v>
      </c>
      <c r="M3513">
        <v>60</v>
      </c>
      <c r="N3513" s="1">
        <f t="shared" si="432"/>
        <v>44938</v>
      </c>
      <c r="O3513" s="1">
        <f t="shared" si="433"/>
        <v>43101</v>
      </c>
      <c r="P3513" s="1">
        <f t="shared" si="434"/>
        <v>44774</v>
      </c>
      <c r="Q3513" s="8">
        <f t="shared" si="435"/>
        <v>0</v>
      </c>
      <c r="R3513" s="8">
        <f t="shared" si="436"/>
        <v>56</v>
      </c>
      <c r="S3513" s="8">
        <f t="shared" ca="1" si="437"/>
        <v>56</v>
      </c>
      <c r="T3513">
        <f t="shared" ca="1" si="438"/>
        <v>1.3575582719999999</v>
      </c>
      <c r="U3513" s="8">
        <f t="shared" ca="1" si="439"/>
        <v>5.7920870400000002</v>
      </c>
      <c r="V3513" s="9">
        <f ca="1">RawData[[#This Row],[Z (smoothed demand size)]]/RawData[[#This Row],[X (smoothed interval)]]</f>
        <v>0.23438153857577387</v>
      </c>
    </row>
    <row r="3514" spans="1:22">
      <c r="A3514" t="s">
        <v>68</v>
      </c>
      <c r="B3514" t="s">
        <v>60</v>
      </c>
      <c r="C3514">
        <v>49</v>
      </c>
      <c r="D3514" t="s">
        <v>22</v>
      </c>
      <c r="E3514" t="s">
        <v>16</v>
      </c>
      <c r="F3514" s="1">
        <v>44570</v>
      </c>
      <c r="G3514">
        <v>0</v>
      </c>
      <c r="H3514">
        <v>0</v>
      </c>
      <c r="I3514">
        <v>20</v>
      </c>
      <c r="J3514">
        <v>20</v>
      </c>
      <c r="K3514">
        <v>0</v>
      </c>
      <c r="L3514">
        <v>398</v>
      </c>
      <c r="M3514">
        <v>30</v>
      </c>
      <c r="N3514" s="1">
        <f t="shared" si="432"/>
        <v>44938</v>
      </c>
      <c r="O3514" s="1">
        <f t="shared" si="433"/>
        <v>43101</v>
      </c>
      <c r="P3514" s="1">
        <f t="shared" si="434"/>
        <v>44805</v>
      </c>
      <c r="Q3514" s="8">
        <f t="shared" si="435"/>
        <v>0</v>
      </c>
      <c r="R3514" s="8">
        <f t="shared" si="436"/>
        <v>57</v>
      </c>
      <c r="S3514" s="8">
        <f t="shared" ca="1" si="437"/>
        <v>56</v>
      </c>
      <c r="T3514">
        <f t="shared" ca="1" si="438"/>
        <v>1.3575582719999999</v>
      </c>
      <c r="U3514" s="8">
        <f t="shared" ca="1" si="439"/>
        <v>5.7920870400000002</v>
      </c>
      <c r="V3514" s="9">
        <f ca="1">RawData[[#This Row],[Z (smoothed demand size)]]/RawData[[#This Row],[X (smoothed interval)]]</f>
        <v>0.23438153857577387</v>
      </c>
    </row>
    <row r="3515" spans="1:22">
      <c r="A3515" t="s">
        <v>68</v>
      </c>
      <c r="B3515" t="s">
        <v>60</v>
      </c>
      <c r="C3515">
        <v>49</v>
      </c>
      <c r="D3515" t="s">
        <v>22</v>
      </c>
      <c r="E3515" t="s">
        <v>16</v>
      </c>
      <c r="F3515" s="1">
        <v>44571</v>
      </c>
      <c r="G3515">
        <v>0</v>
      </c>
      <c r="H3515">
        <v>0</v>
      </c>
      <c r="I3515">
        <v>20</v>
      </c>
      <c r="J3515">
        <v>20</v>
      </c>
      <c r="K3515">
        <v>0</v>
      </c>
      <c r="L3515">
        <v>391</v>
      </c>
      <c r="M3515">
        <v>60</v>
      </c>
      <c r="N3515" s="1">
        <f t="shared" si="432"/>
        <v>44938</v>
      </c>
      <c r="O3515" s="1">
        <f t="shared" si="433"/>
        <v>43101</v>
      </c>
      <c r="P3515" s="1">
        <f t="shared" si="434"/>
        <v>44835</v>
      </c>
      <c r="Q3515" s="8">
        <f t="shared" si="435"/>
        <v>0</v>
      </c>
      <c r="R3515" s="8">
        <f t="shared" si="436"/>
        <v>58</v>
      </c>
      <c r="S3515" s="8">
        <f t="shared" ca="1" si="437"/>
        <v>56</v>
      </c>
      <c r="T3515">
        <f t="shared" ca="1" si="438"/>
        <v>1.3575582719999999</v>
      </c>
      <c r="U3515" s="8">
        <f t="shared" ca="1" si="439"/>
        <v>5.7920870400000002</v>
      </c>
      <c r="V3515" s="9">
        <f ca="1">RawData[[#This Row],[Z (smoothed demand size)]]/RawData[[#This Row],[X (smoothed interval)]]</f>
        <v>0.23438153857577387</v>
      </c>
    </row>
    <row r="3516" spans="1:22">
      <c r="A3516" t="s">
        <v>68</v>
      </c>
      <c r="B3516" t="s">
        <v>60</v>
      </c>
      <c r="C3516">
        <v>49</v>
      </c>
      <c r="D3516" t="s">
        <v>22</v>
      </c>
      <c r="E3516" t="s">
        <v>16</v>
      </c>
      <c r="F3516" s="1">
        <v>44572</v>
      </c>
      <c r="G3516">
        <v>0</v>
      </c>
      <c r="H3516">
        <v>0</v>
      </c>
      <c r="I3516">
        <v>20</v>
      </c>
      <c r="J3516">
        <v>20</v>
      </c>
      <c r="K3516">
        <v>0</v>
      </c>
      <c r="L3516">
        <v>395</v>
      </c>
      <c r="M3516">
        <v>30</v>
      </c>
      <c r="N3516" s="1">
        <f t="shared" si="432"/>
        <v>44938</v>
      </c>
      <c r="O3516" s="1">
        <f t="shared" si="433"/>
        <v>43101</v>
      </c>
      <c r="P3516" s="1">
        <f t="shared" si="434"/>
        <v>44866</v>
      </c>
      <c r="Q3516" s="8">
        <f t="shared" si="435"/>
        <v>0</v>
      </c>
      <c r="R3516" s="8">
        <f t="shared" si="436"/>
        <v>59</v>
      </c>
      <c r="S3516" s="8">
        <f t="shared" ca="1" si="437"/>
        <v>56</v>
      </c>
      <c r="T3516">
        <f t="shared" ca="1" si="438"/>
        <v>1.3575582719999999</v>
      </c>
      <c r="U3516" s="8">
        <f t="shared" ca="1" si="439"/>
        <v>5.7920870400000002</v>
      </c>
      <c r="V3516" s="9">
        <f ca="1">RawData[[#This Row],[Z (smoothed demand size)]]/RawData[[#This Row],[X (smoothed interval)]]</f>
        <v>0.23438153857577387</v>
      </c>
    </row>
    <row r="3517" spans="1:22">
      <c r="A3517" t="s">
        <v>68</v>
      </c>
      <c r="B3517" t="s">
        <v>60</v>
      </c>
      <c r="C3517">
        <v>49</v>
      </c>
      <c r="D3517" t="s">
        <v>22</v>
      </c>
      <c r="E3517" t="s">
        <v>16</v>
      </c>
      <c r="F3517" s="1">
        <v>44573</v>
      </c>
      <c r="G3517">
        <v>0</v>
      </c>
      <c r="H3517">
        <v>0</v>
      </c>
      <c r="I3517">
        <v>20</v>
      </c>
      <c r="J3517">
        <v>20</v>
      </c>
      <c r="K3517">
        <v>0</v>
      </c>
      <c r="L3517">
        <v>454</v>
      </c>
      <c r="M3517">
        <v>60</v>
      </c>
      <c r="N3517" s="1">
        <f t="shared" si="432"/>
        <v>44938</v>
      </c>
      <c r="O3517" s="1">
        <f t="shared" si="433"/>
        <v>43101</v>
      </c>
      <c r="P3517" s="1">
        <f t="shared" si="434"/>
        <v>44896</v>
      </c>
      <c r="Q3517" s="8">
        <f t="shared" si="435"/>
        <v>0</v>
      </c>
      <c r="R3517" s="8">
        <f t="shared" si="436"/>
        <v>60</v>
      </c>
      <c r="S3517" s="8">
        <f t="shared" ca="1" si="437"/>
        <v>56</v>
      </c>
      <c r="T3517">
        <f t="shared" ca="1" si="438"/>
        <v>1.3575582719999999</v>
      </c>
      <c r="U3517" s="8">
        <f t="shared" ca="1" si="439"/>
        <v>5.7920870400000002</v>
      </c>
      <c r="V3517" s="9">
        <f ca="1">RawData[[#This Row],[Z (smoothed demand size)]]/RawData[[#This Row],[X (smoothed interval)]]</f>
        <v>0.23438153857577387</v>
      </c>
    </row>
    <row r="3518" spans="1:22">
      <c r="A3518" t="s">
        <v>68</v>
      </c>
      <c r="B3518" t="s">
        <v>60</v>
      </c>
      <c r="C3518">
        <v>49</v>
      </c>
      <c r="D3518" t="s">
        <v>22</v>
      </c>
      <c r="E3518" t="s">
        <v>16</v>
      </c>
      <c r="F3518" s="1">
        <v>44927</v>
      </c>
      <c r="G3518">
        <v>0</v>
      </c>
      <c r="H3518">
        <v>0</v>
      </c>
      <c r="I3518">
        <v>20</v>
      </c>
      <c r="J3518">
        <v>20</v>
      </c>
      <c r="K3518">
        <v>0</v>
      </c>
      <c r="L3518">
        <v>392</v>
      </c>
      <c r="M3518">
        <v>30</v>
      </c>
      <c r="N3518" s="1">
        <f t="shared" si="432"/>
        <v>44938</v>
      </c>
      <c r="O3518" s="1">
        <f t="shared" si="433"/>
        <v>43101</v>
      </c>
      <c r="P3518" s="1">
        <f t="shared" si="434"/>
        <v>44927</v>
      </c>
      <c r="Q3518" s="8">
        <f t="shared" si="435"/>
        <v>0</v>
      </c>
      <c r="R3518" s="8">
        <f t="shared" si="436"/>
        <v>61</v>
      </c>
      <c r="S3518" s="8">
        <f t="shared" ca="1" si="437"/>
        <v>56</v>
      </c>
      <c r="T3518">
        <f t="shared" ca="1" si="438"/>
        <v>1.3575582719999999</v>
      </c>
      <c r="U3518" s="8">
        <f t="shared" ca="1" si="439"/>
        <v>5.7920870400000002</v>
      </c>
      <c r="V3518" s="9">
        <f ca="1">RawData[[#This Row],[Z (smoothed demand size)]]/RawData[[#This Row],[X (smoothed interval)]]</f>
        <v>0.23438153857577387</v>
      </c>
    </row>
    <row r="3519" spans="1:22">
      <c r="A3519" t="s">
        <v>68</v>
      </c>
      <c r="B3519" t="s">
        <v>60</v>
      </c>
      <c r="C3519">
        <v>49</v>
      </c>
      <c r="D3519" t="s">
        <v>22</v>
      </c>
      <c r="E3519" t="s">
        <v>16</v>
      </c>
      <c r="F3519" s="1">
        <v>44928</v>
      </c>
      <c r="G3519">
        <v>0</v>
      </c>
      <c r="H3519">
        <v>0</v>
      </c>
      <c r="I3519">
        <v>20</v>
      </c>
      <c r="J3519">
        <v>20</v>
      </c>
      <c r="K3519">
        <v>0</v>
      </c>
      <c r="L3519">
        <v>392</v>
      </c>
      <c r="M3519">
        <v>60</v>
      </c>
      <c r="N3519" s="1">
        <f t="shared" si="432"/>
        <v>44938</v>
      </c>
      <c r="O3519" s="1">
        <f t="shared" si="433"/>
        <v>43101</v>
      </c>
      <c r="P3519" s="1">
        <f t="shared" si="434"/>
        <v>44958</v>
      </c>
      <c r="Q3519" s="8">
        <f t="shared" si="435"/>
        <v>0</v>
      </c>
      <c r="R3519" s="8">
        <f t="shared" si="436"/>
        <v>62</v>
      </c>
      <c r="S3519" s="8">
        <f t="shared" ca="1" si="437"/>
        <v>56</v>
      </c>
      <c r="T3519">
        <f t="shared" ca="1" si="438"/>
        <v>1.3575582719999999</v>
      </c>
      <c r="U3519" s="8">
        <f t="shared" ca="1" si="439"/>
        <v>5.7920870400000002</v>
      </c>
      <c r="V3519" s="9">
        <f ca="1">RawData[[#This Row],[Z (smoothed demand size)]]/RawData[[#This Row],[X (smoothed interval)]]</f>
        <v>0.23438153857577387</v>
      </c>
    </row>
    <row r="3520" spans="1:22">
      <c r="A3520" t="s">
        <v>68</v>
      </c>
      <c r="B3520" t="s">
        <v>60</v>
      </c>
      <c r="C3520">
        <v>49</v>
      </c>
      <c r="D3520" t="s">
        <v>22</v>
      </c>
      <c r="E3520" t="s">
        <v>16</v>
      </c>
      <c r="F3520" s="1">
        <v>44929</v>
      </c>
      <c r="G3520">
        <v>0</v>
      </c>
      <c r="H3520">
        <v>0</v>
      </c>
      <c r="I3520">
        <v>20</v>
      </c>
      <c r="J3520">
        <v>20</v>
      </c>
      <c r="K3520">
        <v>0</v>
      </c>
      <c r="L3520">
        <v>392</v>
      </c>
      <c r="M3520">
        <v>30</v>
      </c>
      <c r="N3520" s="1">
        <f t="shared" si="432"/>
        <v>44938</v>
      </c>
      <c r="O3520" s="1">
        <f t="shared" si="433"/>
        <v>43101</v>
      </c>
      <c r="P3520" s="1">
        <f t="shared" si="434"/>
        <v>44986</v>
      </c>
      <c r="Q3520" s="8">
        <f t="shared" si="435"/>
        <v>0</v>
      </c>
      <c r="R3520" s="8">
        <f t="shared" si="436"/>
        <v>63</v>
      </c>
      <c r="S3520" s="8">
        <f t="shared" ca="1" si="437"/>
        <v>56</v>
      </c>
      <c r="T3520">
        <f t="shared" ca="1" si="438"/>
        <v>1.3575582719999999</v>
      </c>
      <c r="U3520" s="8">
        <f t="shared" ca="1" si="439"/>
        <v>5.7920870400000002</v>
      </c>
      <c r="V3520" s="9">
        <f ca="1">RawData[[#This Row],[Z (smoothed demand size)]]/RawData[[#This Row],[X (smoothed interval)]]</f>
        <v>0.23438153857577387</v>
      </c>
    </row>
    <row r="3521" spans="1:22">
      <c r="A3521" t="s">
        <v>68</v>
      </c>
      <c r="B3521" t="s">
        <v>60</v>
      </c>
      <c r="C3521">
        <v>49</v>
      </c>
      <c r="D3521" t="s">
        <v>22</v>
      </c>
      <c r="E3521" t="s">
        <v>16</v>
      </c>
      <c r="F3521" s="1">
        <v>44930</v>
      </c>
      <c r="G3521">
        <v>0</v>
      </c>
      <c r="H3521">
        <v>0</v>
      </c>
      <c r="I3521">
        <v>20</v>
      </c>
      <c r="J3521">
        <v>20</v>
      </c>
      <c r="K3521">
        <v>0</v>
      </c>
      <c r="L3521">
        <v>398</v>
      </c>
      <c r="M3521">
        <v>15</v>
      </c>
      <c r="N3521" s="1">
        <f t="shared" si="432"/>
        <v>44938</v>
      </c>
      <c r="O3521" s="1">
        <f t="shared" si="433"/>
        <v>43101</v>
      </c>
      <c r="P3521" s="1">
        <f t="shared" si="434"/>
        <v>45017</v>
      </c>
      <c r="Q3521" s="8">
        <f t="shared" si="435"/>
        <v>0</v>
      </c>
      <c r="R3521" s="8">
        <f t="shared" si="436"/>
        <v>64</v>
      </c>
      <c r="S3521" s="8">
        <f t="shared" ca="1" si="437"/>
        <v>56</v>
      </c>
      <c r="T3521">
        <f t="shared" ca="1" si="438"/>
        <v>1.3575582719999999</v>
      </c>
      <c r="U3521" s="8">
        <f t="shared" ca="1" si="439"/>
        <v>5.7920870400000002</v>
      </c>
      <c r="V3521" s="9">
        <f ca="1">RawData[[#This Row],[Z (smoothed demand size)]]/RawData[[#This Row],[X (smoothed interval)]]</f>
        <v>0.23438153857577387</v>
      </c>
    </row>
    <row r="3522" spans="1:22">
      <c r="A3522" t="s">
        <v>68</v>
      </c>
      <c r="B3522" t="s">
        <v>60</v>
      </c>
      <c r="C3522">
        <v>49</v>
      </c>
      <c r="D3522" t="s">
        <v>22</v>
      </c>
      <c r="E3522" t="s">
        <v>16</v>
      </c>
      <c r="F3522" s="1">
        <v>44931</v>
      </c>
      <c r="G3522">
        <v>1</v>
      </c>
      <c r="H3522">
        <v>1</v>
      </c>
      <c r="I3522">
        <v>20</v>
      </c>
      <c r="J3522">
        <v>19</v>
      </c>
      <c r="K3522">
        <v>0</v>
      </c>
      <c r="L3522">
        <v>394</v>
      </c>
      <c r="M3522">
        <v>60</v>
      </c>
      <c r="N3522" s="1">
        <f t="shared" ref="N3522:N3585" si="440">MAX(F:F)</f>
        <v>44938</v>
      </c>
      <c r="O3522" s="1">
        <f t="shared" ref="O3522:O3585" si="441">MIN(F:F)</f>
        <v>43101</v>
      </c>
      <c r="P3522" s="1">
        <f t="shared" ref="P3522:P3585" si="442">DATE(YEAR(F3522), DAY(F3522), 1)</f>
        <v>45047</v>
      </c>
      <c r="Q3522" s="8">
        <f t="shared" ref="Q3522:Q3585" si="443" xml:space="preserve"> IF(A3522&lt;&gt;A3521, 1, 0)</f>
        <v>0</v>
      </c>
      <c r="R3522" s="8">
        <f t="shared" ref="R3522:R3585" si="444">IF(Q3522=1,1,R3521+1)</f>
        <v>65</v>
      </c>
      <c r="S3522" s="8">
        <f t="shared" ref="S3522:S3585" ca="1" si="445" xml:space="preserve"> IF(Q3522=1, IF(G3522&gt;0, R3522, 0), IF(G3522&gt;0, R3522, OFFSET(S3522,-1,0)))</f>
        <v>65</v>
      </c>
      <c r="T3522">
        <f t="shared" ref="T3522:T3585" ca="1" si="446" xml:space="preserve"> IF(Q3522=1, IF(G3522&gt;0, G3522, 0), IF(G3522&gt;0, $X$1*G3522+(1-$X$1)*OFFSET(T3522,-1,0), OFFSET(T3522,-1,0)))</f>
        <v>1.2860466175999998</v>
      </c>
      <c r="U3522" s="8">
        <f t="shared" ref="U3522:U3585" ca="1" si="447" xml:space="preserve"> IF(Q3522=1, 1, IF(G3522&gt;0, $X$1*(R3522-OFFSET(S3522,-1,0))+(1-$X$1)*OFFSET(U3522,-1,0), OFFSET(U3522,-1,0)))</f>
        <v>6.433669632</v>
      </c>
      <c r="V3522" s="9">
        <f ca="1">RawData[[#This Row],[Z (smoothed demand size)]]/RawData[[#This Row],[X (smoothed interval)]]</f>
        <v>0.19989317001970669</v>
      </c>
    </row>
    <row r="3523" spans="1:22">
      <c r="A3523" t="s">
        <v>68</v>
      </c>
      <c r="B3523" t="s">
        <v>60</v>
      </c>
      <c r="C3523">
        <v>49</v>
      </c>
      <c r="D3523" t="s">
        <v>22</v>
      </c>
      <c r="E3523" t="s">
        <v>16</v>
      </c>
      <c r="F3523" s="1">
        <v>44932</v>
      </c>
      <c r="G3523">
        <v>0</v>
      </c>
      <c r="H3523">
        <v>0</v>
      </c>
      <c r="I3523">
        <v>19</v>
      </c>
      <c r="J3523">
        <v>19</v>
      </c>
      <c r="K3523">
        <v>0</v>
      </c>
      <c r="L3523">
        <v>455</v>
      </c>
      <c r="M3523">
        <v>45</v>
      </c>
      <c r="N3523" s="1">
        <f t="shared" si="440"/>
        <v>44938</v>
      </c>
      <c r="O3523" s="1">
        <f t="shared" si="441"/>
        <v>43101</v>
      </c>
      <c r="P3523" s="1">
        <f t="shared" si="442"/>
        <v>45078</v>
      </c>
      <c r="Q3523" s="8">
        <f t="shared" si="443"/>
        <v>0</v>
      </c>
      <c r="R3523" s="8">
        <f t="shared" si="444"/>
        <v>66</v>
      </c>
      <c r="S3523" s="8">
        <f t="shared" ca="1" si="445"/>
        <v>65</v>
      </c>
      <c r="T3523">
        <f t="shared" ca="1" si="446"/>
        <v>1.2860466175999998</v>
      </c>
      <c r="U3523" s="8">
        <f t="shared" ca="1" si="447"/>
        <v>6.433669632</v>
      </c>
      <c r="V3523" s="9">
        <f ca="1">RawData[[#This Row],[Z (smoothed demand size)]]/RawData[[#This Row],[X (smoothed interval)]]</f>
        <v>0.19989317001970669</v>
      </c>
    </row>
    <row r="3524" spans="1:22">
      <c r="A3524" t="s">
        <v>68</v>
      </c>
      <c r="B3524" t="s">
        <v>60</v>
      </c>
      <c r="C3524">
        <v>49</v>
      </c>
      <c r="D3524" t="s">
        <v>22</v>
      </c>
      <c r="E3524" t="s">
        <v>16</v>
      </c>
      <c r="F3524" s="1">
        <v>44933</v>
      </c>
      <c r="G3524">
        <v>0</v>
      </c>
      <c r="H3524">
        <v>0</v>
      </c>
      <c r="I3524">
        <v>19</v>
      </c>
      <c r="J3524">
        <v>19</v>
      </c>
      <c r="K3524">
        <v>0</v>
      </c>
      <c r="L3524">
        <v>459</v>
      </c>
      <c r="M3524">
        <v>15</v>
      </c>
      <c r="N3524" s="1">
        <f t="shared" si="440"/>
        <v>44938</v>
      </c>
      <c r="O3524" s="1">
        <f t="shared" si="441"/>
        <v>43101</v>
      </c>
      <c r="P3524" s="1">
        <f t="shared" si="442"/>
        <v>45108</v>
      </c>
      <c r="Q3524" s="8">
        <f t="shared" si="443"/>
        <v>0</v>
      </c>
      <c r="R3524" s="8">
        <f t="shared" si="444"/>
        <v>67</v>
      </c>
      <c r="S3524" s="8">
        <f t="shared" ca="1" si="445"/>
        <v>65</v>
      </c>
      <c r="T3524">
        <f t="shared" ca="1" si="446"/>
        <v>1.2860466175999998</v>
      </c>
      <c r="U3524" s="8">
        <f t="shared" ca="1" si="447"/>
        <v>6.433669632</v>
      </c>
      <c r="V3524" s="9">
        <f ca="1">RawData[[#This Row],[Z (smoothed demand size)]]/RawData[[#This Row],[X (smoothed interval)]]</f>
        <v>0.19989317001970669</v>
      </c>
    </row>
    <row r="3525" spans="1:22">
      <c r="A3525" t="s">
        <v>68</v>
      </c>
      <c r="B3525" t="s">
        <v>60</v>
      </c>
      <c r="C3525">
        <v>49</v>
      </c>
      <c r="D3525" t="s">
        <v>22</v>
      </c>
      <c r="E3525" t="s">
        <v>16</v>
      </c>
      <c r="F3525" s="1">
        <v>44934</v>
      </c>
      <c r="G3525">
        <v>0</v>
      </c>
      <c r="H3525">
        <v>0</v>
      </c>
      <c r="I3525">
        <v>19</v>
      </c>
      <c r="J3525">
        <v>19</v>
      </c>
      <c r="K3525">
        <v>0</v>
      </c>
      <c r="L3525">
        <v>453</v>
      </c>
      <c r="M3525">
        <v>30</v>
      </c>
      <c r="N3525" s="1">
        <f t="shared" si="440"/>
        <v>44938</v>
      </c>
      <c r="O3525" s="1">
        <f t="shared" si="441"/>
        <v>43101</v>
      </c>
      <c r="P3525" s="1">
        <f t="shared" si="442"/>
        <v>45139</v>
      </c>
      <c r="Q3525" s="8">
        <f t="shared" si="443"/>
        <v>0</v>
      </c>
      <c r="R3525" s="8">
        <f t="shared" si="444"/>
        <v>68</v>
      </c>
      <c r="S3525" s="8">
        <f t="shared" ca="1" si="445"/>
        <v>65</v>
      </c>
      <c r="T3525">
        <f t="shared" ca="1" si="446"/>
        <v>1.2860466175999998</v>
      </c>
      <c r="U3525" s="8">
        <f t="shared" ca="1" si="447"/>
        <v>6.433669632</v>
      </c>
      <c r="V3525" s="9">
        <f ca="1">RawData[[#This Row],[Z (smoothed demand size)]]/RawData[[#This Row],[X (smoothed interval)]]</f>
        <v>0.19989317001970669</v>
      </c>
    </row>
    <row r="3526" spans="1:22">
      <c r="A3526" t="s">
        <v>68</v>
      </c>
      <c r="B3526" t="s">
        <v>60</v>
      </c>
      <c r="C3526">
        <v>49</v>
      </c>
      <c r="D3526" t="s">
        <v>22</v>
      </c>
      <c r="E3526" t="s">
        <v>16</v>
      </c>
      <c r="F3526" s="1">
        <v>44935</v>
      </c>
      <c r="G3526">
        <v>0</v>
      </c>
      <c r="H3526">
        <v>0</v>
      </c>
      <c r="I3526">
        <v>19</v>
      </c>
      <c r="J3526">
        <v>19</v>
      </c>
      <c r="K3526">
        <v>0</v>
      </c>
      <c r="L3526">
        <v>390</v>
      </c>
      <c r="M3526">
        <v>60</v>
      </c>
      <c r="N3526" s="1">
        <f t="shared" si="440"/>
        <v>44938</v>
      </c>
      <c r="O3526" s="1">
        <f t="shared" si="441"/>
        <v>43101</v>
      </c>
      <c r="P3526" s="1">
        <f t="shared" si="442"/>
        <v>45170</v>
      </c>
      <c r="Q3526" s="8">
        <f t="shared" si="443"/>
        <v>0</v>
      </c>
      <c r="R3526" s="8">
        <f t="shared" si="444"/>
        <v>69</v>
      </c>
      <c r="S3526" s="8">
        <f t="shared" ca="1" si="445"/>
        <v>65</v>
      </c>
      <c r="T3526">
        <f t="shared" ca="1" si="446"/>
        <v>1.2860466175999998</v>
      </c>
      <c r="U3526" s="8">
        <f t="shared" ca="1" si="447"/>
        <v>6.433669632</v>
      </c>
      <c r="V3526" s="9">
        <f ca="1">RawData[[#This Row],[Z (smoothed demand size)]]/RawData[[#This Row],[X (smoothed interval)]]</f>
        <v>0.19989317001970669</v>
      </c>
    </row>
    <row r="3527" spans="1:22">
      <c r="A3527" t="s">
        <v>68</v>
      </c>
      <c r="B3527" t="s">
        <v>60</v>
      </c>
      <c r="C3527">
        <v>49</v>
      </c>
      <c r="D3527" t="s">
        <v>22</v>
      </c>
      <c r="E3527" t="s">
        <v>16</v>
      </c>
      <c r="F3527" s="1">
        <v>44936</v>
      </c>
      <c r="G3527">
        <v>1</v>
      </c>
      <c r="H3527">
        <v>1</v>
      </c>
      <c r="I3527">
        <v>19</v>
      </c>
      <c r="J3527">
        <v>18</v>
      </c>
      <c r="K3527">
        <v>0</v>
      </c>
      <c r="L3527">
        <v>399</v>
      </c>
      <c r="M3527">
        <v>30</v>
      </c>
      <c r="N3527" s="1">
        <f t="shared" si="440"/>
        <v>44938</v>
      </c>
      <c r="O3527" s="1">
        <f t="shared" si="441"/>
        <v>43101</v>
      </c>
      <c r="P3527" s="1">
        <f t="shared" si="442"/>
        <v>45200</v>
      </c>
      <c r="Q3527" s="8">
        <f t="shared" si="443"/>
        <v>0</v>
      </c>
      <c r="R3527" s="8">
        <f t="shared" si="444"/>
        <v>70</v>
      </c>
      <c r="S3527" s="8">
        <f t="shared" ca="1" si="445"/>
        <v>70</v>
      </c>
      <c r="T3527">
        <f t="shared" ca="1" si="446"/>
        <v>1.2288372940799999</v>
      </c>
      <c r="U3527" s="8">
        <f t="shared" ca="1" si="447"/>
        <v>6.1469357056000007</v>
      </c>
      <c r="V3527" s="9">
        <f ca="1">RawData[[#This Row],[Z (smoothed demand size)]]/RawData[[#This Row],[X (smoothed interval)]]</f>
        <v>0.19991054940765049</v>
      </c>
    </row>
    <row r="3528" spans="1:22">
      <c r="A3528" t="s">
        <v>68</v>
      </c>
      <c r="B3528" t="s">
        <v>60</v>
      </c>
      <c r="C3528">
        <v>49</v>
      </c>
      <c r="D3528" t="s">
        <v>22</v>
      </c>
      <c r="E3528" t="s">
        <v>16</v>
      </c>
      <c r="F3528" s="1">
        <v>44937</v>
      </c>
      <c r="G3528">
        <v>1</v>
      </c>
      <c r="H3528">
        <v>1</v>
      </c>
      <c r="I3528">
        <v>18</v>
      </c>
      <c r="J3528">
        <v>17</v>
      </c>
      <c r="K3528">
        <v>0</v>
      </c>
      <c r="L3528">
        <v>393</v>
      </c>
      <c r="M3528">
        <v>60</v>
      </c>
      <c r="N3528" s="1">
        <f t="shared" si="440"/>
        <v>44938</v>
      </c>
      <c r="O3528" s="1">
        <f t="shared" si="441"/>
        <v>43101</v>
      </c>
      <c r="P3528" s="1">
        <f t="shared" si="442"/>
        <v>45231</v>
      </c>
      <c r="Q3528" s="8">
        <f t="shared" si="443"/>
        <v>0</v>
      </c>
      <c r="R3528" s="8">
        <f t="shared" si="444"/>
        <v>71</v>
      </c>
      <c r="S3528" s="8">
        <f t="shared" ca="1" si="445"/>
        <v>71</v>
      </c>
      <c r="T3528">
        <f t="shared" ca="1" si="446"/>
        <v>1.1830698352639999</v>
      </c>
      <c r="U3528" s="8">
        <f t="shared" ca="1" si="447"/>
        <v>5.1175485644800007</v>
      </c>
      <c r="V3528" s="9">
        <f ca="1">RawData[[#This Row],[Z (smoothed demand size)]]/RawData[[#This Row],[X (smoothed interval)]]</f>
        <v>0.23117901478756417</v>
      </c>
    </row>
    <row r="3529" spans="1:22">
      <c r="A3529" t="s">
        <v>68</v>
      </c>
      <c r="B3529" t="s">
        <v>60</v>
      </c>
      <c r="C3529">
        <v>49</v>
      </c>
      <c r="D3529" t="s">
        <v>22</v>
      </c>
      <c r="E3529" t="s">
        <v>16</v>
      </c>
      <c r="F3529" s="1">
        <v>44938</v>
      </c>
      <c r="G3529">
        <v>0</v>
      </c>
      <c r="H3529">
        <v>0</v>
      </c>
      <c r="I3529">
        <v>17</v>
      </c>
      <c r="J3529">
        <v>17</v>
      </c>
      <c r="K3529">
        <v>0</v>
      </c>
      <c r="L3529">
        <v>462</v>
      </c>
      <c r="M3529">
        <v>45</v>
      </c>
      <c r="N3529" s="1">
        <f t="shared" si="440"/>
        <v>44938</v>
      </c>
      <c r="O3529" s="1">
        <f t="shared" si="441"/>
        <v>43101</v>
      </c>
      <c r="P3529" s="1">
        <f t="shared" si="442"/>
        <v>45261</v>
      </c>
      <c r="Q3529" s="8">
        <f t="shared" si="443"/>
        <v>0</v>
      </c>
      <c r="R3529" s="8">
        <f t="shared" si="444"/>
        <v>72</v>
      </c>
      <c r="S3529" s="8">
        <f t="shared" ca="1" si="445"/>
        <v>71</v>
      </c>
      <c r="T3529">
        <f t="shared" ca="1" si="446"/>
        <v>1.1830698352639999</v>
      </c>
      <c r="U3529" s="8">
        <f t="shared" ca="1" si="447"/>
        <v>5.1175485644800007</v>
      </c>
      <c r="V3529" s="9">
        <f ca="1">RawData[[#This Row],[Z (smoothed demand size)]]/RawData[[#This Row],[X (smoothed interval)]]</f>
        <v>0.23117901478756417</v>
      </c>
    </row>
    <row r="3530" spans="1:22">
      <c r="A3530" t="s">
        <v>69</v>
      </c>
      <c r="B3530" t="s">
        <v>60</v>
      </c>
      <c r="C3530">
        <v>32</v>
      </c>
      <c r="D3530" t="s">
        <v>15</v>
      </c>
      <c r="E3530" t="s">
        <v>16</v>
      </c>
      <c r="F3530" s="1">
        <v>43101</v>
      </c>
      <c r="G3530">
        <v>0</v>
      </c>
      <c r="H3530">
        <v>0</v>
      </c>
      <c r="I3530">
        <v>26</v>
      </c>
      <c r="J3530">
        <v>26</v>
      </c>
      <c r="K3530">
        <v>0</v>
      </c>
      <c r="L3530">
        <v>398</v>
      </c>
      <c r="M3530">
        <v>15</v>
      </c>
      <c r="N3530" s="1">
        <f t="shared" si="440"/>
        <v>44938</v>
      </c>
      <c r="O3530" s="1">
        <f t="shared" si="441"/>
        <v>43101</v>
      </c>
      <c r="P3530" s="1">
        <f t="shared" si="442"/>
        <v>43101</v>
      </c>
      <c r="Q3530" s="8">
        <f t="shared" si="443"/>
        <v>1</v>
      </c>
      <c r="R3530" s="8">
        <f t="shared" si="444"/>
        <v>1</v>
      </c>
      <c r="S3530" s="8">
        <f t="shared" ca="1" si="445"/>
        <v>0</v>
      </c>
      <c r="T3530">
        <f t="shared" ca="1" si="446"/>
        <v>0</v>
      </c>
      <c r="U3530" s="8">
        <f t="shared" ca="1" si="447"/>
        <v>1</v>
      </c>
      <c r="V3530" s="9">
        <f ca="1">RawData[[#This Row],[Z (smoothed demand size)]]/RawData[[#This Row],[X (smoothed interval)]]</f>
        <v>0</v>
      </c>
    </row>
    <row r="3531" spans="1:22">
      <c r="A3531" t="s">
        <v>69</v>
      </c>
      <c r="B3531" t="s">
        <v>60</v>
      </c>
      <c r="C3531">
        <v>32</v>
      </c>
      <c r="D3531" t="s">
        <v>15</v>
      </c>
      <c r="E3531" t="s">
        <v>16</v>
      </c>
      <c r="F3531" s="1">
        <v>43102</v>
      </c>
      <c r="G3531">
        <v>1</v>
      </c>
      <c r="H3531">
        <v>1</v>
      </c>
      <c r="I3531">
        <v>26</v>
      </c>
      <c r="J3531">
        <v>25</v>
      </c>
      <c r="K3531">
        <v>0</v>
      </c>
      <c r="L3531">
        <v>406</v>
      </c>
      <c r="M3531">
        <v>60</v>
      </c>
      <c r="N3531" s="1">
        <f t="shared" si="440"/>
        <v>44938</v>
      </c>
      <c r="O3531" s="1">
        <f t="shared" si="441"/>
        <v>43101</v>
      </c>
      <c r="P3531" s="1">
        <f t="shared" si="442"/>
        <v>43132</v>
      </c>
      <c r="Q3531" s="8">
        <f t="shared" si="443"/>
        <v>0</v>
      </c>
      <c r="R3531" s="8">
        <f t="shared" si="444"/>
        <v>2</v>
      </c>
      <c r="S3531" s="8">
        <f t="shared" ca="1" si="445"/>
        <v>2</v>
      </c>
      <c r="T3531">
        <f t="shared" ca="1" si="446"/>
        <v>0.2</v>
      </c>
      <c r="U3531" s="8">
        <f t="shared" ca="1" si="447"/>
        <v>1.2000000000000002</v>
      </c>
      <c r="V3531" s="9">
        <f ca="1">RawData[[#This Row],[Z (smoothed demand size)]]/RawData[[#This Row],[X (smoothed interval)]]</f>
        <v>0.16666666666666666</v>
      </c>
    </row>
    <row r="3532" spans="1:22">
      <c r="A3532" t="s">
        <v>69</v>
      </c>
      <c r="B3532" t="s">
        <v>60</v>
      </c>
      <c r="C3532">
        <v>32</v>
      </c>
      <c r="D3532" t="s">
        <v>15</v>
      </c>
      <c r="E3532" t="s">
        <v>16</v>
      </c>
      <c r="F3532" s="1">
        <v>43103</v>
      </c>
      <c r="G3532">
        <v>0</v>
      </c>
      <c r="H3532">
        <v>0</v>
      </c>
      <c r="I3532">
        <v>25</v>
      </c>
      <c r="J3532">
        <v>25</v>
      </c>
      <c r="K3532">
        <v>0</v>
      </c>
      <c r="L3532">
        <v>420</v>
      </c>
      <c r="M3532">
        <v>45</v>
      </c>
      <c r="N3532" s="1">
        <f t="shared" si="440"/>
        <v>44938</v>
      </c>
      <c r="O3532" s="1">
        <f t="shared" si="441"/>
        <v>43101</v>
      </c>
      <c r="P3532" s="1">
        <f t="shared" si="442"/>
        <v>43160</v>
      </c>
      <c r="Q3532" s="8">
        <f t="shared" si="443"/>
        <v>0</v>
      </c>
      <c r="R3532" s="8">
        <f t="shared" si="444"/>
        <v>3</v>
      </c>
      <c r="S3532" s="8">
        <f t="shared" ca="1" si="445"/>
        <v>2</v>
      </c>
      <c r="T3532">
        <f t="shared" ca="1" si="446"/>
        <v>0.2</v>
      </c>
      <c r="U3532" s="8">
        <f t="shared" ca="1" si="447"/>
        <v>1.2000000000000002</v>
      </c>
      <c r="V3532" s="9">
        <f ca="1">RawData[[#This Row],[Z (smoothed demand size)]]/RawData[[#This Row],[X (smoothed interval)]]</f>
        <v>0.16666666666666666</v>
      </c>
    </row>
    <row r="3533" spans="1:22">
      <c r="A3533" t="s">
        <v>69</v>
      </c>
      <c r="B3533" t="s">
        <v>60</v>
      </c>
      <c r="C3533">
        <v>32</v>
      </c>
      <c r="D3533" t="s">
        <v>15</v>
      </c>
      <c r="E3533" t="s">
        <v>16</v>
      </c>
      <c r="F3533" s="1">
        <v>43104</v>
      </c>
      <c r="G3533">
        <v>0</v>
      </c>
      <c r="H3533">
        <v>0</v>
      </c>
      <c r="I3533">
        <v>25</v>
      </c>
      <c r="J3533">
        <v>25</v>
      </c>
      <c r="K3533">
        <v>0</v>
      </c>
      <c r="L3533">
        <v>399</v>
      </c>
      <c r="M3533">
        <v>30</v>
      </c>
      <c r="N3533" s="1">
        <f t="shared" si="440"/>
        <v>44938</v>
      </c>
      <c r="O3533" s="1">
        <f t="shared" si="441"/>
        <v>43101</v>
      </c>
      <c r="P3533" s="1">
        <f t="shared" si="442"/>
        <v>43191</v>
      </c>
      <c r="Q3533" s="8">
        <f t="shared" si="443"/>
        <v>0</v>
      </c>
      <c r="R3533" s="8">
        <f t="shared" si="444"/>
        <v>4</v>
      </c>
      <c r="S3533" s="8">
        <f t="shared" ca="1" si="445"/>
        <v>2</v>
      </c>
      <c r="T3533">
        <f t="shared" ca="1" si="446"/>
        <v>0.2</v>
      </c>
      <c r="U3533" s="8">
        <f t="shared" ca="1" si="447"/>
        <v>1.2000000000000002</v>
      </c>
      <c r="V3533" s="9">
        <f ca="1">RawData[[#This Row],[Z (smoothed demand size)]]/RawData[[#This Row],[X (smoothed interval)]]</f>
        <v>0.16666666666666666</v>
      </c>
    </row>
    <row r="3534" spans="1:22">
      <c r="A3534" t="s">
        <v>69</v>
      </c>
      <c r="B3534" t="s">
        <v>60</v>
      </c>
      <c r="C3534">
        <v>32</v>
      </c>
      <c r="D3534" t="s">
        <v>15</v>
      </c>
      <c r="E3534" t="s">
        <v>16</v>
      </c>
      <c r="F3534" s="1">
        <v>43105</v>
      </c>
      <c r="G3534">
        <v>0</v>
      </c>
      <c r="H3534">
        <v>0</v>
      </c>
      <c r="I3534">
        <v>25</v>
      </c>
      <c r="J3534">
        <v>25</v>
      </c>
      <c r="K3534">
        <v>0</v>
      </c>
      <c r="L3534">
        <v>404</v>
      </c>
      <c r="M3534">
        <v>30</v>
      </c>
      <c r="N3534" s="1">
        <f t="shared" si="440"/>
        <v>44938</v>
      </c>
      <c r="O3534" s="1">
        <f t="shared" si="441"/>
        <v>43101</v>
      </c>
      <c r="P3534" s="1">
        <f t="shared" si="442"/>
        <v>43221</v>
      </c>
      <c r="Q3534" s="8">
        <f t="shared" si="443"/>
        <v>0</v>
      </c>
      <c r="R3534" s="8">
        <f t="shared" si="444"/>
        <v>5</v>
      </c>
      <c r="S3534" s="8">
        <f t="shared" ca="1" si="445"/>
        <v>2</v>
      </c>
      <c r="T3534">
        <f t="shared" ca="1" si="446"/>
        <v>0.2</v>
      </c>
      <c r="U3534" s="8">
        <f t="shared" ca="1" si="447"/>
        <v>1.2000000000000002</v>
      </c>
      <c r="V3534" s="9">
        <f ca="1">RawData[[#This Row],[Z (smoothed demand size)]]/RawData[[#This Row],[X (smoothed interval)]]</f>
        <v>0.16666666666666666</v>
      </c>
    </row>
    <row r="3535" spans="1:22">
      <c r="A3535" t="s">
        <v>69</v>
      </c>
      <c r="B3535" t="s">
        <v>60</v>
      </c>
      <c r="C3535">
        <v>32</v>
      </c>
      <c r="D3535" t="s">
        <v>15</v>
      </c>
      <c r="E3535" t="s">
        <v>16</v>
      </c>
      <c r="F3535" s="1">
        <v>43106</v>
      </c>
      <c r="G3535">
        <v>0</v>
      </c>
      <c r="H3535">
        <v>0</v>
      </c>
      <c r="I3535">
        <v>25</v>
      </c>
      <c r="J3535">
        <v>25</v>
      </c>
      <c r="K3535">
        <v>0</v>
      </c>
      <c r="L3535">
        <v>459</v>
      </c>
      <c r="M3535">
        <v>45</v>
      </c>
      <c r="N3535" s="1">
        <f t="shared" si="440"/>
        <v>44938</v>
      </c>
      <c r="O3535" s="1">
        <f t="shared" si="441"/>
        <v>43101</v>
      </c>
      <c r="P3535" s="1">
        <f t="shared" si="442"/>
        <v>43252</v>
      </c>
      <c r="Q3535" s="8">
        <f t="shared" si="443"/>
        <v>0</v>
      </c>
      <c r="R3535" s="8">
        <f t="shared" si="444"/>
        <v>6</v>
      </c>
      <c r="S3535" s="8">
        <f t="shared" ca="1" si="445"/>
        <v>2</v>
      </c>
      <c r="T3535">
        <f t="shared" ca="1" si="446"/>
        <v>0.2</v>
      </c>
      <c r="U3535" s="8">
        <f t="shared" ca="1" si="447"/>
        <v>1.2000000000000002</v>
      </c>
      <c r="V3535" s="9">
        <f ca="1">RawData[[#This Row],[Z (smoothed demand size)]]/RawData[[#This Row],[X (smoothed interval)]]</f>
        <v>0.16666666666666666</v>
      </c>
    </row>
    <row r="3536" spans="1:22">
      <c r="A3536" t="s">
        <v>69</v>
      </c>
      <c r="B3536" t="s">
        <v>60</v>
      </c>
      <c r="C3536">
        <v>32</v>
      </c>
      <c r="D3536" t="s">
        <v>15</v>
      </c>
      <c r="E3536" t="s">
        <v>16</v>
      </c>
      <c r="F3536" s="1">
        <v>43107</v>
      </c>
      <c r="G3536">
        <v>0</v>
      </c>
      <c r="H3536">
        <v>0</v>
      </c>
      <c r="I3536">
        <v>25</v>
      </c>
      <c r="J3536">
        <v>25</v>
      </c>
      <c r="K3536">
        <v>0</v>
      </c>
      <c r="L3536">
        <v>463</v>
      </c>
      <c r="M3536">
        <v>60</v>
      </c>
      <c r="N3536" s="1">
        <f t="shared" si="440"/>
        <v>44938</v>
      </c>
      <c r="O3536" s="1">
        <f t="shared" si="441"/>
        <v>43101</v>
      </c>
      <c r="P3536" s="1">
        <f t="shared" si="442"/>
        <v>43282</v>
      </c>
      <c r="Q3536" s="8">
        <f t="shared" si="443"/>
        <v>0</v>
      </c>
      <c r="R3536" s="8">
        <f t="shared" si="444"/>
        <v>7</v>
      </c>
      <c r="S3536" s="8">
        <f t="shared" ca="1" si="445"/>
        <v>2</v>
      </c>
      <c r="T3536">
        <f t="shared" ca="1" si="446"/>
        <v>0.2</v>
      </c>
      <c r="U3536" s="8">
        <f t="shared" ca="1" si="447"/>
        <v>1.2000000000000002</v>
      </c>
      <c r="V3536" s="9">
        <f ca="1">RawData[[#This Row],[Z (smoothed demand size)]]/RawData[[#This Row],[X (smoothed interval)]]</f>
        <v>0.16666666666666666</v>
      </c>
    </row>
    <row r="3537" spans="1:22">
      <c r="A3537" t="s">
        <v>69</v>
      </c>
      <c r="B3537" t="s">
        <v>60</v>
      </c>
      <c r="C3537">
        <v>32</v>
      </c>
      <c r="D3537" t="s">
        <v>15</v>
      </c>
      <c r="E3537" t="s">
        <v>16</v>
      </c>
      <c r="F3537" s="1">
        <v>43108</v>
      </c>
      <c r="G3537">
        <v>3</v>
      </c>
      <c r="H3537">
        <v>3</v>
      </c>
      <c r="I3537">
        <v>25</v>
      </c>
      <c r="J3537">
        <v>22</v>
      </c>
      <c r="K3537">
        <v>0</v>
      </c>
      <c r="L3537">
        <v>462</v>
      </c>
      <c r="M3537">
        <v>30</v>
      </c>
      <c r="N3537" s="1">
        <f t="shared" si="440"/>
        <v>44938</v>
      </c>
      <c r="O3537" s="1">
        <f t="shared" si="441"/>
        <v>43101</v>
      </c>
      <c r="P3537" s="1">
        <f t="shared" si="442"/>
        <v>43313</v>
      </c>
      <c r="Q3537" s="8">
        <f t="shared" si="443"/>
        <v>0</v>
      </c>
      <c r="R3537" s="8">
        <f t="shared" si="444"/>
        <v>8</v>
      </c>
      <c r="S3537" s="8">
        <f t="shared" ca="1" si="445"/>
        <v>8</v>
      </c>
      <c r="T3537">
        <f t="shared" ca="1" si="446"/>
        <v>0.76000000000000012</v>
      </c>
      <c r="U3537" s="8">
        <f t="shared" ca="1" si="447"/>
        <v>2.16</v>
      </c>
      <c r="V3537" s="9">
        <f ca="1">RawData[[#This Row],[Z (smoothed demand size)]]/RawData[[#This Row],[X (smoothed interval)]]</f>
        <v>0.35185185185185186</v>
      </c>
    </row>
    <row r="3538" spans="1:22">
      <c r="A3538" t="s">
        <v>69</v>
      </c>
      <c r="B3538" t="s">
        <v>60</v>
      </c>
      <c r="C3538">
        <v>32</v>
      </c>
      <c r="D3538" t="s">
        <v>15</v>
      </c>
      <c r="E3538" t="s">
        <v>16</v>
      </c>
      <c r="F3538" s="1">
        <v>43109</v>
      </c>
      <c r="G3538">
        <v>0</v>
      </c>
      <c r="H3538">
        <v>0</v>
      </c>
      <c r="I3538">
        <v>22</v>
      </c>
      <c r="J3538">
        <v>22</v>
      </c>
      <c r="K3538">
        <v>0</v>
      </c>
      <c r="L3538">
        <v>404</v>
      </c>
      <c r="M3538">
        <v>45</v>
      </c>
      <c r="N3538" s="1">
        <f t="shared" si="440"/>
        <v>44938</v>
      </c>
      <c r="O3538" s="1">
        <f t="shared" si="441"/>
        <v>43101</v>
      </c>
      <c r="P3538" s="1">
        <f t="shared" si="442"/>
        <v>43344</v>
      </c>
      <c r="Q3538" s="8">
        <f t="shared" si="443"/>
        <v>0</v>
      </c>
      <c r="R3538" s="8">
        <f t="shared" si="444"/>
        <v>9</v>
      </c>
      <c r="S3538" s="8">
        <f t="shared" ca="1" si="445"/>
        <v>8</v>
      </c>
      <c r="T3538">
        <f t="shared" ca="1" si="446"/>
        <v>0.76000000000000012</v>
      </c>
      <c r="U3538" s="8">
        <f t="shared" ca="1" si="447"/>
        <v>2.16</v>
      </c>
      <c r="V3538" s="9">
        <f ca="1">RawData[[#This Row],[Z (smoothed demand size)]]/RawData[[#This Row],[X (smoothed interval)]]</f>
        <v>0.35185185185185186</v>
      </c>
    </row>
    <row r="3539" spans="1:22">
      <c r="A3539" t="s">
        <v>69</v>
      </c>
      <c r="B3539" t="s">
        <v>60</v>
      </c>
      <c r="C3539">
        <v>32</v>
      </c>
      <c r="D3539" t="s">
        <v>15</v>
      </c>
      <c r="E3539" t="s">
        <v>16</v>
      </c>
      <c r="F3539" s="1">
        <v>43110</v>
      </c>
      <c r="G3539">
        <v>1</v>
      </c>
      <c r="H3539">
        <v>1</v>
      </c>
      <c r="I3539">
        <v>22</v>
      </c>
      <c r="J3539">
        <v>21</v>
      </c>
      <c r="K3539">
        <v>0</v>
      </c>
      <c r="L3539">
        <v>416</v>
      </c>
      <c r="M3539">
        <v>45</v>
      </c>
      <c r="N3539" s="1">
        <f t="shared" si="440"/>
        <v>44938</v>
      </c>
      <c r="O3539" s="1">
        <f t="shared" si="441"/>
        <v>43101</v>
      </c>
      <c r="P3539" s="1">
        <f t="shared" si="442"/>
        <v>43374</v>
      </c>
      <c r="Q3539" s="8">
        <f t="shared" si="443"/>
        <v>0</v>
      </c>
      <c r="R3539" s="8">
        <f t="shared" si="444"/>
        <v>10</v>
      </c>
      <c r="S3539" s="8">
        <f t="shared" ca="1" si="445"/>
        <v>10</v>
      </c>
      <c r="T3539">
        <f t="shared" ca="1" si="446"/>
        <v>0.80800000000000005</v>
      </c>
      <c r="U3539" s="8">
        <f t="shared" ca="1" si="447"/>
        <v>2.1280000000000001</v>
      </c>
      <c r="V3539" s="9">
        <f ca="1">RawData[[#This Row],[Z (smoothed demand size)]]/RawData[[#This Row],[X (smoothed interval)]]</f>
        <v>0.37969924812030076</v>
      </c>
    </row>
    <row r="3540" spans="1:22">
      <c r="A3540" t="s">
        <v>69</v>
      </c>
      <c r="B3540" t="s">
        <v>60</v>
      </c>
      <c r="C3540">
        <v>32</v>
      </c>
      <c r="D3540" t="s">
        <v>15</v>
      </c>
      <c r="E3540" t="s">
        <v>16</v>
      </c>
      <c r="F3540" s="1">
        <v>43111</v>
      </c>
      <c r="G3540">
        <v>3</v>
      </c>
      <c r="H3540">
        <v>3</v>
      </c>
      <c r="I3540">
        <v>21</v>
      </c>
      <c r="J3540">
        <v>18</v>
      </c>
      <c r="K3540">
        <v>0</v>
      </c>
      <c r="L3540">
        <v>413</v>
      </c>
      <c r="M3540">
        <v>15</v>
      </c>
      <c r="N3540" s="1">
        <f t="shared" si="440"/>
        <v>44938</v>
      </c>
      <c r="O3540" s="1">
        <f t="shared" si="441"/>
        <v>43101</v>
      </c>
      <c r="P3540" s="1">
        <f t="shared" si="442"/>
        <v>43405</v>
      </c>
      <c r="Q3540" s="8">
        <f t="shared" si="443"/>
        <v>0</v>
      </c>
      <c r="R3540" s="8">
        <f t="shared" si="444"/>
        <v>11</v>
      </c>
      <c r="S3540" s="8">
        <f t="shared" ca="1" si="445"/>
        <v>11</v>
      </c>
      <c r="T3540">
        <f t="shared" ca="1" si="446"/>
        <v>1.2464000000000002</v>
      </c>
      <c r="U3540" s="8">
        <f t="shared" ca="1" si="447"/>
        <v>1.9024000000000001</v>
      </c>
      <c r="V3540" s="9">
        <f ca="1">RawData[[#This Row],[Z (smoothed demand size)]]/RawData[[#This Row],[X (smoothed interval)]]</f>
        <v>0.65517241379310354</v>
      </c>
    </row>
    <row r="3541" spans="1:22">
      <c r="A3541" t="s">
        <v>69</v>
      </c>
      <c r="B3541" t="s">
        <v>60</v>
      </c>
      <c r="C3541">
        <v>32</v>
      </c>
      <c r="D3541" t="s">
        <v>15</v>
      </c>
      <c r="E3541" t="s">
        <v>16</v>
      </c>
      <c r="F3541" s="1">
        <v>43112</v>
      </c>
      <c r="G3541">
        <v>0</v>
      </c>
      <c r="H3541">
        <v>0</v>
      </c>
      <c r="I3541">
        <v>18</v>
      </c>
      <c r="J3541">
        <v>18</v>
      </c>
      <c r="K3541">
        <v>0</v>
      </c>
      <c r="L3541">
        <v>469</v>
      </c>
      <c r="M3541">
        <v>60</v>
      </c>
      <c r="N3541" s="1">
        <f t="shared" si="440"/>
        <v>44938</v>
      </c>
      <c r="O3541" s="1">
        <f t="shared" si="441"/>
        <v>43101</v>
      </c>
      <c r="P3541" s="1">
        <f t="shared" si="442"/>
        <v>43435</v>
      </c>
      <c r="Q3541" s="8">
        <f t="shared" si="443"/>
        <v>0</v>
      </c>
      <c r="R3541" s="8">
        <f t="shared" si="444"/>
        <v>12</v>
      </c>
      <c r="S3541" s="8">
        <f t="shared" ca="1" si="445"/>
        <v>11</v>
      </c>
      <c r="T3541">
        <f t="shared" ca="1" si="446"/>
        <v>1.2464000000000002</v>
      </c>
      <c r="U3541" s="8">
        <f t="shared" ca="1" si="447"/>
        <v>1.9024000000000001</v>
      </c>
      <c r="V3541" s="9">
        <f ca="1">RawData[[#This Row],[Z (smoothed demand size)]]/RawData[[#This Row],[X (smoothed interval)]]</f>
        <v>0.65517241379310354</v>
      </c>
    </row>
    <row r="3542" spans="1:22">
      <c r="A3542" t="s">
        <v>69</v>
      </c>
      <c r="B3542" t="s">
        <v>60</v>
      </c>
      <c r="C3542">
        <v>32</v>
      </c>
      <c r="D3542" t="s">
        <v>15</v>
      </c>
      <c r="E3542" t="s">
        <v>16</v>
      </c>
      <c r="F3542" s="1">
        <v>43466</v>
      </c>
      <c r="G3542">
        <v>0</v>
      </c>
      <c r="H3542">
        <v>0</v>
      </c>
      <c r="I3542">
        <v>18</v>
      </c>
      <c r="J3542">
        <v>18</v>
      </c>
      <c r="K3542">
        <v>0</v>
      </c>
      <c r="L3542">
        <v>415</v>
      </c>
      <c r="M3542">
        <v>15</v>
      </c>
      <c r="N3542" s="1">
        <f t="shared" si="440"/>
        <v>44938</v>
      </c>
      <c r="O3542" s="1">
        <f t="shared" si="441"/>
        <v>43101</v>
      </c>
      <c r="P3542" s="1">
        <f t="shared" si="442"/>
        <v>43466</v>
      </c>
      <c r="Q3542" s="8">
        <f t="shared" si="443"/>
        <v>0</v>
      </c>
      <c r="R3542" s="8">
        <f t="shared" si="444"/>
        <v>13</v>
      </c>
      <c r="S3542" s="8">
        <f t="shared" ca="1" si="445"/>
        <v>11</v>
      </c>
      <c r="T3542">
        <f t="shared" ca="1" si="446"/>
        <v>1.2464000000000002</v>
      </c>
      <c r="U3542" s="8">
        <f t="shared" ca="1" si="447"/>
        <v>1.9024000000000001</v>
      </c>
      <c r="V3542" s="9">
        <f ca="1">RawData[[#This Row],[Z (smoothed demand size)]]/RawData[[#This Row],[X (smoothed interval)]]</f>
        <v>0.65517241379310354</v>
      </c>
    </row>
    <row r="3543" spans="1:22">
      <c r="A3543" t="s">
        <v>69</v>
      </c>
      <c r="B3543" t="s">
        <v>60</v>
      </c>
      <c r="C3543">
        <v>32</v>
      </c>
      <c r="D3543" t="s">
        <v>15</v>
      </c>
      <c r="E3543" t="s">
        <v>16</v>
      </c>
      <c r="F3543" s="1">
        <v>43467</v>
      </c>
      <c r="G3543">
        <v>0</v>
      </c>
      <c r="H3543">
        <v>0</v>
      </c>
      <c r="I3543">
        <v>18</v>
      </c>
      <c r="J3543">
        <v>18</v>
      </c>
      <c r="K3543">
        <v>0</v>
      </c>
      <c r="L3543">
        <v>406</v>
      </c>
      <c r="M3543">
        <v>15</v>
      </c>
      <c r="N3543" s="1">
        <f t="shared" si="440"/>
        <v>44938</v>
      </c>
      <c r="O3543" s="1">
        <f t="shared" si="441"/>
        <v>43101</v>
      </c>
      <c r="P3543" s="1">
        <f t="shared" si="442"/>
        <v>43497</v>
      </c>
      <c r="Q3543" s="8">
        <f t="shared" si="443"/>
        <v>0</v>
      </c>
      <c r="R3543" s="8">
        <f t="shared" si="444"/>
        <v>14</v>
      </c>
      <c r="S3543" s="8">
        <f t="shared" ca="1" si="445"/>
        <v>11</v>
      </c>
      <c r="T3543">
        <f t="shared" ca="1" si="446"/>
        <v>1.2464000000000002</v>
      </c>
      <c r="U3543" s="8">
        <f t="shared" ca="1" si="447"/>
        <v>1.9024000000000001</v>
      </c>
      <c r="V3543" s="9">
        <f ca="1">RawData[[#This Row],[Z (smoothed demand size)]]/RawData[[#This Row],[X (smoothed interval)]]</f>
        <v>0.65517241379310354</v>
      </c>
    </row>
    <row r="3544" spans="1:22">
      <c r="A3544" t="s">
        <v>69</v>
      </c>
      <c r="B3544" t="s">
        <v>60</v>
      </c>
      <c r="C3544">
        <v>32</v>
      </c>
      <c r="D3544" t="s">
        <v>15</v>
      </c>
      <c r="E3544" t="s">
        <v>16</v>
      </c>
      <c r="F3544" s="1">
        <v>43468</v>
      </c>
      <c r="G3544">
        <v>0</v>
      </c>
      <c r="H3544">
        <v>0</v>
      </c>
      <c r="I3544">
        <v>18</v>
      </c>
      <c r="J3544">
        <v>18</v>
      </c>
      <c r="K3544">
        <v>0</v>
      </c>
      <c r="L3544">
        <v>404</v>
      </c>
      <c r="M3544">
        <v>15</v>
      </c>
      <c r="N3544" s="1">
        <f t="shared" si="440"/>
        <v>44938</v>
      </c>
      <c r="O3544" s="1">
        <f t="shared" si="441"/>
        <v>43101</v>
      </c>
      <c r="P3544" s="1">
        <f t="shared" si="442"/>
        <v>43525</v>
      </c>
      <c r="Q3544" s="8">
        <f t="shared" si="443"/>
        <v>0</v>
      </c>
      <c r="R3544" s="8">
        <f t="shared" si="444"/>
        <v>15</v>
      </c>
      <c r="S3544" s="8">
        <f t="shared" ca="1" si="445"/>
        <v>11</v>
      </c>
      <c r="T3544">
        <f t="shared" ca="1" si="446"/>
        <v>1.2464000000000002</v>
      </c>
      <c r="U3544" s="8">
        <f t="shared" ca="1" si="447"/>
        <v>1.9024000000000001</v>
      </c>
      <c r="V3544" s="9">
        <f ca="1">RawData[[#This Row],[Z (smoothed demand size)]]/RawData[[#This Row],[X (smoothed interval)]]</f>
        <v>0.65517241379310354</v>
      </c>
    </row>
    <row r="3545" spans="1:22">
      <c r="A3545" t="s">
        <v>69</v>
      </c>
      <c r="B3545" t="s">
        <v>60</v>
      </c>
      <c r="C3545">
        <v>32</v>
      </c>
      <c r="D3545" t="s">
        <v>15</v>
      </c>
      <c r="E3545" t="s">
        <v>16</v>
      </c>
      <c r="F3545" s="1">
        <v>43469</v>
      </c>
      <c r="G3545">
        <v>0</v>
      </c>
      <c r="H3545">
        <v>0</v>
      </c>
      <c r="I3545">
        <v>18</v>
      </c>
      <c r="J3545">
        <v>18</v>
      </c>
      <c r="K3545">
        <v>0</v>
      </c>
      <c r="L3545">
        <v>406</v>
      </c>
      <c r="M3545">
        <v>30</v>
      </c>
      <c r="N3545" s="1">
        <f t="shared" si="440"/>
        <v>44938</v>
      </c>
      <c r="O3545" s="1">
        <f t="shared" si="441"/>
        <v>43101</v>
      </c>
      <c r="P3545" s="1">
        <f t="shared" si="442"/>
        <v>43556</v>
      </c>
      <c r="Q3545" s="8">
        <f t="shared" si="443"/>
        <v>0</v>
      </c>
      <c r="R3545" s="8">
        <f t="shared" si="444"/>
        <v>16</v>
      </c>
      <c r="S3545" s="8">
        <f t="shared" ca="1" si="445"/>
        <v>11</v>
      </c>
      <c r="T3545">
        <f t="shared" ca="1" si="446"/>
        <v>1.2464000000000002</v>
      </c>
      <c r="U3545" s="8">
        <f t="shared" ca="1" si="447"/>
        <v>1.9024000000000001</v>
      </c>
      <c r="V3545" s="9">
        <f ca="1">RawData[[#This Row],[Z (smoothed demand size)]]/RawData[[#This Row],[X (smoothed interval)]]</f>
        <v>0.65517241379310354</v>
      </c>
    </row>
    <row r="3546" spans="1:22">
      <c r="A3546" t="s">
        <v>69</v>
      </c>
      <c r="B3546" t="s">
        <v>60</v>
      </c>
      <c r="C3546">
        <v>32</v>
      </c>
      <c r="D3546" t="s">
        <v>15</v>
      </c>
      <c r="E3546" t="s">
        <v>16</v>
      </c>
      <c r="F3546" s="1">
        <v>43470</v>
      </c>
      <c r="G3546">
        <v>0</v>
      </c>
      <c r="H3546">
        <v>0</v>
      </c>
      <c r="I3546">
        <v>18</v>
      </c>
      <c r="J3546">
        <v>18</v>
      </c>
      <c r="K3546">
        <v>0</v>
      </c>
      <c r="L3546">
        <v>401</v>
      </c>
      <c r="M3546">
        <v>15</v>
      </c>
      <c r="N3546" s="1">
        <f t="shared" si="440"/>
        <v>44938</v>
      </c>
      <c r="O3546" s="1">
        <f t="shared" si="441"/>
        <v>43101</v>
      </c>
      <c r="P3546" s="1">
        <f t="shared" si="442"/>
        <v>43586</v>
      </c>
      <c r="Q3546" s="8">
        <f t="shared" si="443"/>
        <v>0</v>
      </c>
      <c r="R3546" s="8">
        <f t="shared" si="444"/>
        <v>17</v>
      </c>
      <c r="S3546" s="8">
        <f t="shared" ca="1" si="445"/>
        <v>11</v>
      </c>
      <c r="T3546">
        <f t="shared" ca="1" si="446"/>
        <v>1.2464000000000002</v>
      </c>
      <c r="U3546" s="8">
        <f t="shared" ca="1" si="447"/>
        <v>1.9024000000000001</v>
      </c>
      <c r="V3546" s="9">
        <f ca="1">RawData[[#This Row],[Z (smoothed demand size)]]/RawData[[#This Row],[X (smoothed interval)]]</f>
        <v>0.65517241379310354</v>
      </c>
    </row>
    <row r="3547" spans="1:22">
      <c r="A3547" t="s">
        <v>69</v>
      </c>
      <c r="B3547" t="s">
        <v>60</v>
      </c>
      <c r="C3547">
        <v>32</v>
      </c>
      <c r="D3547" t="s">
        <v>15</v>
      </c>
      <c r="E3547" t="s">
        <v>16</v>
      </c>
      <c r="F3547" s="1">
        <v>43471</v>
      </c>
      <c r="G3547">
        <v>0</v>
      </c>
      <c r="H3547">
        <v>0</v>
      </c>
      <c r="I3547">
        <v>18</v>
      </c>
      <c r="J3547">
        <v>18</v>
      </c>
      <c r="K3547">
        <v>0</v>
      </c>
      <c r="L3547">
        <v>460</v>
      </c>
      <c r="M3547">
        <v>30</v>
      </c>
      <c r="N3547" s="1">
        <f t="shared" si="440"/>
        <v>44938</v>
      </c>
      <c r="O3547" s="1">
        <f t="shared" si="441"/>
        <v>43101</v>
      </c>
      <c r="P3547" s="1">
        <f t="shared" si="442"/>
        <v>43617</v>
      </c>
      <c r="Q3547" s="8">
        <f t="shared" si="443"/>
        <v>0</v>
      </c>
      <c r="R3547" s="8">
        <f t="shared" si="444"/>
        <v>18</v>
      </c>
      <c r="S3547" s="8">
        <f t="shared" ca="1" si="445"/>
        <v>11</v>
      </c>
      <c r="T3547">
        <f t="shared" ca="1" si="446"/>
        <v>1.2464000000000002</v>
      </c>
      <c r="U3547" s="8">
        <f t="shared" ca="1" si="447"/>
        <v>1.9024000000000001</v>
      </c>
      <c r="V3547" s="9">
        <f ca="1">RawData[[#This Row],[Z (smoothed demand size)]]/RawData[[#This Row],[X (smoothed interval)]]</f>
        <v>0.65517241379310354</v>
      </c>
    </row>
    <row r="3548" spans="1:22">
      <c r="A3548" t="s">
        <v>69</v>
      </c>
      <c r="B3548" t="s">
        <v>60</v>
      </c>
      <c r="C3548">
        <v>32</v>
      </c>
      <c r="D3548" t="s">
        <v>15</v>
      </c>
      <c r="E3548" t="s">
        <v>16</v>
      </c>
      <c r="F3548" s="1">
        <v>43472</v>
      </c>
      <c r="G3548">
        <v>0</v>
      </c>
      <c r="H3548">
        <v>0</v>
      </c>
      <c r="I3548">
        <v>18</v>
      </c>
      <c r="J3548">
        <v>18</v>
      </c>
      <c r="K3548">
        <v>0</v>
      </c>
      <c r="L3548">
        <v>472</v>
      </c>
      <c r="M3548">
        <v>60</v>
      </c>
      <c r="N3548" s="1">
        <f t="shared" si="440"/>
        <v>44938</v>
      </c>
      <c r="O3548" s="1">
        <f t="shared" si="441"/>
        <v>43101</v>
      </c>
      <c r="P3548" s="1">
        <f t="shared" si="442"/>
        <v>43647</v>
      </c>
      <c r="Q3548" s="8">
        <f t="shared" si="443"/>
        <v>0</v>
      </c>
      <c r="R3548" s="8">
        <f t="shared" si="444"/>
        <v>19</v>
      </c>
      <c r="S3548" s="8">
        <f t="shared" ca="1" si="445"/>
        <v>11</v>
      </c>
      <c r="T3548">
        <f t="shared" ca="1" si="446"/>
        <v>1.2464000000000002</v>
      </c>
      <c r="U3548" s="8">
        <f t="shared" ca="1" si="447"/>
        <v>1.9024000000000001</v>
      </c>
      <c r="V3548" s="9">
        <f ca="1">RawData[[#This Row],[Z (smoothed demand size)]]/RawData[[#This Row],[X (smoothed interval)]]</f>
        <v>0.65517241379310354</v>
      </c>
    </row>
    <row r="3549" spans="1:22">
      <c r="A3549" t="s">
        <v>69</v>
      </c>
      <c r="B3549" t="s">
        <v>60</v>
      </c>
      <c r="C3549">
        <v>32</v>
      </c>
      <c r="D3549" t="s">
        <v>15</v>
      </c>
      <c r="E3549" t="s">
        <v>16</v>
      </c>
      <c r="F3549" s="1">
        <v>43473</v>
      </c>
      <c r="G3549">
        <v>0</v>
      </c>
      <c r="H3549">
        <v>0</v>
      </c>
      <c r="I3549">
        <v>18</v>
      </c>
      <c r="J3549">
        <v>18</v>
      </c>
      <c r="K3549">
        <v>0</v>
      </c>
      <c r="L3549">
        <v>470</v>
      </c>
      <c r="M3549">
        <v>15</v>
      </c>
      <c r="N3549" s="1">
        <f t="shared" si="440"/>
        <v>44938</v>
      </c>
      <c r="O3549" s="1">
        <f t="shared" si="441"/>
        <v>43101</v>
      </c>
      <c r="P3549" s="1">
        <f t="shared" si="442"/>
        <v>43678</v>
      </c>
      <c r="Q3549" s="8">
        <f t="shared" si="443"/>
        <v>0</v>
      </c>
      <c r="R3549" s="8">
        <f t="shared" si="444"/>
        <v>20</v>
      </c>
      <c r="S3549" s="8">
        <f t="shared" ca="1" si="445"/>
        <v>11</v>
      </c>
      <c r="T3549">
        <f t="shared" ca="1" si="446"/>
        <v>1.2464000000000002</v>
      </c>
      <c r="U3549" s="8">
        <f t="shared" ca="1" si="447"/>
        <v>1.9024000000000001</v>
      </c>
      <c r="V3549" s="9">
        <f ca="1">RawData[[#This Row],[Z (smoothed demand size)]]/RawData[[#This Row],[X (smoothed interval)]]</f>
        <v>0.65517241379310354</v>
      </c>
    </row>
    <row r="3550" spans="1:22">
      <c r="A3550" t="s">
        <v>69</v>
      </c>
      <c r="B3550" t="s">
        <v>60</v>
      </c>
      <c r="C3550">
        <v>32</v>
      </c>
      <c r="D3550" t="s">
        <v>15</v>
      </c>
      <c r="E3550" t="s">
        <v>16</v>
      </c>
      <c r="F3550" s="1">
        <v>43474</v>
      </c>
      <c r="G3550">
        <v>0</v>
      </c>
      <c r="H3550">
        <v>0</v>
      </c>
      <c r="I3550">
        <v>18</v>
      </c>
      <c r="J3550">
        <v>18</v>
      </c>
      <c r="K3550">
        <v>0</v>
      </c>
      <c r="L3550">
        <v>403</v>
      </c>
      <c r="M3550">
        <v>60</v>
      </c>
      <c r="N3550" s="1">
        <f t="shared" si="440"/>
        <v>44938</v>
      </c>
      <c r="O3550" s="1">
        <f t="shared" si="441"/>
        <v>43101</v>
      </c>
      <c r="P3550" s="1">
        <f t="shared" si="442"/>
        <v>43709</v>
      </c>
      <c r="Q3550" s="8">
        <f t="shared" si="443"/>
        <v>0</v>
      </c>
      <c r="R3550" s="8">
        <f t="shared" si="444"/>
        <v>21</v>
      </c>
      <c r="S3550" s="8">
        <f t="shared" ca="1" si="445"/>
        <v>11</v>
      </c>
      <c r="T3550">
        <f t="shared" ca="1" si="446"/>
        <v>1.2464000000000002</v>
      </c>
      <c r="U3550" s="8">
        <f t="shared" ca="1" si="447"/>
        <v>1.9024000000000001</v>
      </c>
      <c r="V3550" s="9">
        <f ca="1">RawData[[#This Row],[Z (smoothed demand size)]]/RawData[[#This Row],[X (smoothed interval)]]</f>
        <v>0.65517241379310354</v>
      </c>
    </row>
    <row r="3551" spans="1:22">
      <c r="A3551" t="s">
        <v>69</v>
      </c>
      <c r="B3551" t="s">
        <v>60</v>
      </c>
      <c r="C3551">
        <v>32</v>
      </c>
      <c r="D3551" t="s">
        <v>15</v>
      </c>
      <c r="E3551" t="s">
        <v>16</v>
      </c>
      <c r="F3551" s="1">
        <v>43475</v>
      </c>
      <c r="G3551">
        <v>3</v>
      </c>
      <c r="H3551">
        <v>3</v>
      </c>
      <c r="I3551">
        <v>18</v>
      </c>
      <c r="J3551">
        <v>15</v>
      </c>
      <c r="K3551">
        <v>0</v>
      </c>
      <c r="L3551">
        <v>410</v>
      </c>
      <c r="M3551">
        <v>30</v>
      </c>
      <c r="N3551" s="1">
        <f t="shared" si="440"/>
        <v>44938</v>
      </c>
      <c r="O3551" s="1">
        <f t="shared" si="441"/>
        <v>43101</v>
      </c>
      <c r="P3551" s="1">
        <f t="shared" si="442"/>
        <v>43739</v>
      </c>
      <c r="Q3551" s="8">
        <f t="shared" si="443"/>
        <v>0</v>
      </c>
      <c r="R3551" s="8">
        <f t="shared" si="444"/>
        <v>22</v>
      </c>
      <c r="S3551" s="8">
        <f t="shared" ca="1" si="445"/>
        <v>22</v>
      </c>
      <c r="T3551">
        <f t="shared" ca="1" si="446"/>
        <v>1.5971200000000003</v>
      </c>
      <c r="U3551" s="8">
        <f t="shared" ca="1" si="447"/>
        <v>3.7219200000000003</v>
      </c>
      <c r="V3551" s="9">
        <f ca="1">RawData[[#This Row],[Z (smoothed demand size)]]/RawData[[#This Row],[X (smoothed interval)]]</f>
        <v>0.42911185624623854</v>
      </c>
    </row>
    <row r="3552" spans="1:22">
      <c r="A3552" t="s">
        <v>69</v>
      </c>
      <c r="B3552" t="s">
        <v>60</v>
      </c>
      <c r="C3552">
        <v>32</v>
      </c>
      <c r="D3552" t="s">
        <v>15</v>
      </c>
      <c r="E3552" t="s">
        <v>16</v>
      </c>
      <c r="F3552" s="1">
        <v>43476</v>
      </c>
      <c r="G3552">
        <v>0</v>
      </c>
      <c r="H3552">
        <v>0</v>
      </c>
      <c r="I3552">
        <v>15</v>
      </c>
      <c r="J3552">
        <v>15</v>
      </c>
      <c r="K3552">
        <v>0</v>
      </c>
      <c r="L3552">
        <v>410</v>
      </c>
      <c r="M3552">
        <v>30</v>
      </c>
      <c r="N3552" s="1">
        <f t="shared" si="440"/>
        <v>44938</v>
      </c>
      <c r="O3552" s="1">
        <f t="shared" si="441"/>
        <v>43101</v>
      </c>
      <c r="P3552" s="1">
        <f t="shared" si="442"/>
        <v>43770</v>
      </c>
      <c r="Q3552" s="8">
        <f t="shared" si="443"/>
        <v>0</v>
      </c>
      <c r="R3552" s="8">
        <f t="shared" si="444"/>
        <v>23</v>
      </c>
      <c r="S3552" s="8">
        <f t="shared" ca="1" si="445"/>
        <v>22</v>
      </c>
      <c r="T3552">
        <f t="shared" ca="1" si="446"/>
        <v>1.5971200000000003</v>
      </c>
      <c r="U3552" s="8">
        <f t="shared" ca="1" si="447"/>
        <v>3.7219200000000003</v>
      </c>
      <c r="V3552" s="9">
        <f ca="1">RawData[[#This Row],[Z (smoothed demand size)]]/RawData[[#This Row],[X (smoothed interval)]]</f>
        <v>0.42911185624623854</v>
      </c>
    </row>
    <row r="3553" spans="1:22">
      <c r="A3553" t="s">
        <v>69</v>
      </c>
      <c r="B3553" t="s">
        <v>60</v>
      </c>
      <c r="C3553">
        <v>32</v>
      </c>
      <c r="D3553" t="s">
        <v>15</v>
      </c>
      <c r="E3553" t="s">
        <v>16</v>
      </c>
      <c r="F3553" s="1">
        <v>43477</v>
      </c>
      <c r="G3553">
        <v>0</v>
      </c>
      <c r="H3553">
        <v>0</v>
      </c>
      <c r="I3553">
        <v>15</v>
      </c>
      <c r="J3553">
        <v>15</v>
      </c>
      <c r="K3553">
        <v>0</v>
      </c>
      <c r="L3553">
        <v>466</v>
      </c>
      <c r="M3553">
        <v>15</v>
      </c>
      <c r="N3553" s="1">
        <f t="shared" si="440"/>
        <v>44938</v>
      </c>
      <c r="O3553" s="1">
        <f t="shared" si="441"/>
        <v>43101</v>
      </c>
      <c r="P3553" s="1">
        <f t="shared" si="442"/>
        <v>43800</v>
      </c>
      <c r="Q3553" s="8">
        <f t="shared" si="443"/>
        <v>0</v>
      </c>
      <c r="R3553" s="8">
        <f t="shared" si="444"/>
        <v>24</v>
      </c>
      <c r="S3553" s="8">
        <f t="shared" ca="1" si="445"/>
        <v>22</v>
      </c>
      <c r="T3553">
        <f t="shared" ca="1" si="446"/>
        <v>1.5971200000000003</v>
      </c>
      <c r="U3553" s="8">
        <f t="shared" ca="1" si="447"/>
        <v>3.7219200000000003</v>
      </c>
      <c r="V3553" s="9">
        <f ca="1">RawData[[#This Row],[Z (smoothed demand size)]]/RawData[[#This Row],[X (smoothed interval)]]</f>
        <v>0.42911185624623854</v>
      </c>
    </row>
    <row r="3554" spans="1:22">
      <c r="A3554" t="s">
        <v>69</v>
      </c>
      <c r="B3554" t="s">
        <v>60</v>
      </c>
      <c r="C3554">
        <v>32</v>
      </c>
      <c r="D3554" t="s">
        <v>15</v>
      </c>
      <c r="E3554" t="s">
        <v>16</v>
      </c>
      <c r="F3554" s="1">
        <v>43831</v>
      </c>
      <c r="G3554">
        <v>0</v>
      </c>
      <c r="H3554">
        <v>0</v>
      </c>
      <c r="I3554">
        <v>15</v>
      </c>
      <c r="J3554">
        <v>15</v>
      </c>
      <c r="K3554">
        <v>0</v>
      </c>
      <c r="L3554">
        <v>403</v>
      </c>
      <c r="M3554">
        <v>15</v>
      </c>
      <c r="N3554" s="1">
        <f t="shared" si="440"/>
        <v>44938</v>
      </c>
      <c r="O3554" s="1">
        <f t="shared" si="441"/>
        <v>43101</v>
      </c>
      <c r="P3554" s="1">
        <f t="shared" si="442"/>
        <v>43831</v>
      </c>
      <c r="Q3554" s="8">
        <f t="shared" si="443"/>
        <v>0</v>
      </c>
      <c r="R3554" s="8">
        <f t="shared" si="444"/>
        <v>25</v>
      </c>
      <c r="S3554" s="8">
        <f t="shared" ca="1" si="445"/>
        <v>22</v>
      </c>
      <c r="T3554">
        <f t="shared" ca="1" si="446"/>
        <v>1.5971200000000003</v>
      </c>
      <c r="U3554" s="8">
        <f t="shared" ca="1" si="447"/>
        <v>3.7219200000000003</v>
      </c>
      <c r="V3554" s="9">
        <f ca="1">RawData[[#This Row],[Z (smoothed demand size)]]/RawData[[#This Row],[X (smoothed interval)]]</f>
        <v>0.42911185624623854</v>
      </c>
    </row>
    <row r="3555" spans="1:22">
      <c r="A3555" t="s">
        <v>69</v>
      </c>
      <c r="B3555" t="s">
        <v>60</v>
      </c>
      <c r="C3555">
        <v>32</v>
      </c>
      <c r="D3555" t="s">
        <v>15</v>
      </c>
      <c r="E3555" t="s">
        <v>16</v>
      </c>
      <c r="F3555" s="1">
        <v>43832</v>
      </c>
      <c r="G3555">
        <v>1</v>
      </c>
      <c r="H3555">
        <v>1</v>
      </c>
      <c r="I3555">
        <v>15</v>
      </c>
      <c r="J3555">
        <v>14</v>
      </c>
      <c r="K3555">
        <v>0</v>
      </c>
      <c r="L3555">
        <v>410</v>
      </c>
      <c r="M3555">
        <v>60</v>
      </c>
      <c r="N3555" s="1">
        <f t="shared" si="440"/>
        <v>44938</v>
      </c>
      <c r="O3555" s="1">
        <f t="shared" si="441"/>
        <v>43101</v>
      </c>
      <c r="P3555" s="1">
        <f t="shared" si="442"/>
        <v>43862</v>
      </c>
      <c r="Q3555" s="8">
        <f t="shared" si="443"/>
        <v>0</v>
      </c>
      <c r="R3555" s="8">
        <f t="shared" si="444"/>
        <v>26</v>
      </c>
      <c r="S3555" s="8">
        <f t="shared" ca="1" si="445"/>
        <v>26</v>
      </c>
      <c r="T3555">
        <f t="shared" ca="1" si="446"/>
        <v>1.4776960000000003</v>
      </c>
      <c r="U3555" s="8">
        <f t="shared" ca="1" si="447"/>
        <v>3.7775360000000004</v>
      </c>
      <c r="V3555" s="9">
        <f ca="1">RawData[[#This Row],[Z (smoothed demand size)]]/RawData[[#This Row],[X (smoothed interval)]]</f>
        <v>0.39117985904039038</v>
      </c>
    </row>
    <row r="3556" spans="1:22">
      <c r="A3556" t="s">
        <v>69</v>
      </c>
      <c r="B3556" t="s">
        <v>60</v>
      </c>
      <c r="C3556">
        <v>32</v>
      </c>
      <c r="D3556" t="s">
        <v>15</v>
      </c>
      <c r="E3556" t="s">
        <v>16</v>
      </c>
      <c r="F3556" s="1">
        <v>43833</v>
      </c>
      <c r="G3556">
        <v>1</v>
      </c>
      <c r="H3556">
        <v>1</v>
      </c>
      <c r="I3556">
        <v>14</v>
      </c>
      <c r="J3556">
        <v>13</v>
      </c>
      <c r="K3556">
        <v>0</v>
      </c>
      <c r="L3556">
        <v>408</v>
      </c>
      <c r="M3556">
        <v>30</v>
      </c>
      <c r="N3556" s="1">
        <f t="shared" si="440"/>
        <v>44938</v>
      </c>
      <c r="O3556" s="1">
        <f t="shared" si="441"/>
        <v>43101</v>
      </c>
      <c r="P3556" s="1">
        <f t="shared" si="442"/>
        <v>43891</v>
      </c>
      <c r="Q3556" s="8">
        <f t="shared" si="443"/>
        <v>0</v>
      </c>
      <c r="R3556" s="8">
        <f t="shared" si="444"/>
        <v>27</v>
      </c>
      <c r="S3556" s="8">
        <f t="shared" ca="1" si="445"/>
        <v>27</v>
      </c>
      <c r="T3556">
        <f t="shared" ca="1" si="446"/>
        <v>1.3821568000000002</v>
      </c>
      <c r="U3556" s="8">
        <f t="shared" ca="1" si="447"/>
        <v>3.2220288000000008</v>
      </c>
      <c r="V3556" s="9">
        <f ca="1">RawData[[#This Row],[Z (smoothed demand size)]]/RawData[[#This Row],[X (smoothed interval)]]</f>
        <v>0.42897096388461825</v>
      </c>
    </row>
    <row r="3557" spans="1:22">
      <c r="A3557" t="s">
        <v>69</v>
      </c>
      <c r="B3557" t="s">
        <v>60</v>
      </c>
      <c r="C3557">
        <v>32</v>
      </c>
      <c r="D3557" t="s">
        <v>15</v>
      </c>
      <c r="E3557" t="s">
        <v>16</v>
      </c>
      <c r="F3557" s="1">
        <v>43834</v>
      </c>
      <c r="G3557">
        <v>0</v>
      </c>
      <c r="H3557">
        <v>0</v>
      </c>
      <c r="I3557">
        <v>13</v>
      </c>
      <c r="J3557">
        <v>13</v>
      </c>
      <c r="K3557">
        <v>0</v>
      </c>
      <c r="L3557">
        <v>414</v>
      </c>
      <c r="M3557">
        <v>60</v>
      </c>
      <c r="N3557" s="1">
        <f t="shared" si="440"/>
        <v>44938</v>
      </c>
      <c r="O3557" s="1">
        <f t="shared" si="441"/>
        <v>43101</v>
      </c>
      <c r="P3557" s="1">
        <f t="shared" si="442"/>
        <v>43922</v>
      </c>
      <c r="Q3557" s="8">
        <f t="shared" si="443"/>
        <v>0</v>
      </c>
      <c r="R3557" s="8">
        <f t="shared" si="444"/>
        <v>28</v>
      </c>
      <c r="S3557" s="8">
        <f t="shared" ca="1" si="445"/>
        <v>27</v>
      </c>
      <c r="T3557">
        <f t="shared" ca="1" si="446"/>
        <v>1.3821568000000002</v>
      </c>
      <c r="U3557" s="8">
        <f t="shared" ca="1" si="447"/>
        <v>3.2220288000000008</v>
      </c>
      <c r="V3557" s="9">
        <f ca="1">RawData[[#This Row],[Z (smoothed demand size)]]/RawData[[#This Row],[X (smoothed interval)]]</f>
        <v>0.42897096388461825</v>
      </c>
    </row>
    <row r="3558" spans="1:22">
      <c r="A3558" t="s">
        <v>69</v>
      </c>
      <c r="B3558" t="s">
        <v>60</v>
      </c>
      <c r="C3558">
        <v>32</v>
      </c>
      <c r="D3558" t="s">
        <v>15</v>
      </c>
      <c r="E3558" t="s">
        <v>16</v>
      </c>
      <c r="F3558" s="1">
        <v>43835</v>
      </c>
      <c r="G3558">
        <v>0</v>
      </c>
      <c r="H3558">
        <v>0</v>
      </c>
      <c r="I3558">
        <v>13</v>
      </c>
      <c r="J3558">
        <v>13</v>
      </c>
      <c r="K3558">
        <v>0</v>
      </c>
      <c r="L3558">
        <v>408</v>
      </c>
      <c r="M3558">
        <v>45</v>
      </c>
      <c r="N3558" s="1">
        <f t="shared" si="440"/>
        <v>44938</v>
      </c>
      <c r="O3558" s="1">
        <f t="shared" si="441"/>
        <v>43101</v>
      </c>
      <c r="P3558" s="1">
        <f t="shared" si="442"/>
        <v>43952</v>
      </c>
      <c r="Q3558" s="8">
        <f t="shared" si="443"/>
        <v>0</v>
      </c>
      <c r="R3558" s="8">
        <f t="shared" si="444"/>
        <v>29</v>
      </c>
      <c r="S3558" s="8">
        <f t="shared" ca="1" si="445"/>
        <v>27</v>
      </c>
      <c r="T3558">
        <f t="shared" ca="1" si="446"/>
        <v>1.3821568000000002</v>
      </c>
      <c r="U3558" s="8">
        <f t="shared" ca="1" si="447"/>
        <v>3.2220288000000008</v>
      </c>
      <c r="V3558" s="9">
        <f ca="1">RawData[[#This Row],[Z (smoothed demand size)]]/RawData[[#This Row],[X (smoothed interval)]]</f>
        <v>0.42897096388461825</v>
      </c>
    </row>
    <row r="3559" spans="1:22">
      <c r="A3559" t="s">
        <v>69</v>
      </c>
      <c r="B3559" t="s">
        <v>60</v>
      </c>
      <c r="C3559">
        <v>32</v>
      </c>
      <c r="D3559" t="s">
        <v>15</v>
      </c>
      <c r="E3559" t="s">
        <v>16</v>
      </c>
      <c r="F3559" s="1">
        <v>43836</v>
      </c>
      <c r="G3559">
        <v>0</v>
      </c>
      <c r="H3559">
        <v>0</v>
      </c>
      <c r="I3559">
        <v>13</v>
      </c>
      <c r="J3559">
        <v>13</v>
      </c>
      <c r="K3559">
        <v>0</v>
      </c>
      <c r="L3559">
        <v>459</v>
      </c>
      <c r="M3559">
        <v>15</v>
      </c>
      <c r="N3559" s="1">
        <f t="shared" si="440"/>
        <v>44938</v>
      </c>
      <c r="O3559" s="1">
        <f t="shared" si="441"/>
        <v>43101</v>
      </c>
      <c r="P3559" s="1">
        <f t="shared" si="442"/>
        <v>43983</v>
      </c>
      <c r="Q3559" s="8">
        <f t="shared" si="443"/>
        <v>0</v>
      </c>
      <c r="R3559" s="8">
        <f t="shared" si="444"/>
        <v>30</v>
      </c>
      <c r="S3559" s="8">
        <f t="shared" ca="1" si="445"/>
        <v>27</v>
      </c>
      <c r="T3559">
        <f t="shared" ca="1" si="446"/>
        <v>1.3821568000000002</v>
      </c>
      <c r="U3559" s="8">
        <f t="shared" ca="1" si="447"/>
        <v>3.2220288000000008</v>
      </c>
      <c r="V3559" s="9">
        <f ca="1">RawData[[#This Row],[Z (smoothed demand size)]]/RawData[[#This Row],[X (smoothed interval)]]</f>
        <v>0.42897096388461825</v>
      </c>
    </row>
    <row r="3560" spans="1:22">
      <c r="A3560" t="s">
        <v>69</v>
      </c>
      <c r="B3560" t="s">
        <v>60</v>
      </c>
      <c r="C3560">
        <v>32</v>
      </c>
      <c r="D3560" t="s">
        <v>15</v>
      </c>
      <c r="E3560" t="s">
        <v>16</v>
      </c>
      <c r="F3560" s="1">
        <v>43837</v>
      </c>
      <c r="G3560">
        <v>0</v>
      </c>
      <c r="H3560">
        <v>0</v>
      </c>
      <c r="I3560">
        <v>13</v>
      </c>
      <c r="J3560">
        <v>13</v>
      </c>
      <c r="K3560">
        <v>0</v>
      </c>
      <c r="L3560">
        <v>460</v>
      </c>
      <c r="M3560">
        <v>30</v>
      </c>
      <c r="N3560" s="1">
        <f t="shared" si="440"/>
        <v>44938</v>
      </c>
      <c r="O3560" s="1">
        <f t="shared" si="441"/>
        <v>43101</v>
      </c>
      <c r="P3560" s="1">
        <f t="shared" si="442"/>
        <v>44013</v>
      </c>
      <c r="Q3560" s="8">
        <f t="shared" si="443"/>
        <v>0</v>
      </c>
      <c r="R3560" s="8">
        <f t="shared" si="444"/>
        <v>31</v>
      </c>
      <c r="S3560" s="8">
        <f t="shared" ca="1" si="445"/>
        <v>27</v>
      </c>
      <c r="T3560">
        <f t="shared" ca="1" si="446"/>
        <v>1.3821568000000002</v>
      </c>
      <c r="U3560" s="8">
        <f t="shared" ca="1" si="447"/>
        <v>3.2220288000000008</v>
      </c>
      <c r="V3560" s="9">
        <f ca="1">RawData[[#This Row],[Z (smoothed demand size)]]/RawData[[#This Row],[X (smoothed interval)]]</f>
        <v>0.42897096388461825</v>
      </c>
    </row>
    <row r="3561" spans="1:22">
      <c r="A3561" t="s">
        <v>69</v>
      </c>
      <c r="B3561" t="s">
        <v>60</v>
      </c>
      <c r="C3561">
        <v>32</v>
      </c>
      <c r="D3561" t="s">
        <v>15</v>
      </c>
      <c r="E3561" t="s">
        <v>16</v>
      </c>
      <c r="F3561" s="1">
        <v>43838</v>
      </c>
      <c r="G3561">
        <v>3</v>
      </c>
      <c r="H3561">
        <v>3</v>
      </c>
      <c r="I3561">
        <v>13</v>
      </c>
      <c r="J3561">
        <v>10</v>
      </c>
      <c r="K3561">
        <v>0</v>
      </c>
      <c r="L3561">
        <v>467</v>
      </c>
      <c r="M3561">
        <v>15</v>
      </c>
      <c r="N3561" s="1">
        <f t="shared" si="440"/>
        <v>44938</v>
      </c>
      <c r="O3561" s="1">
        <f t="shared" si="441"/>
        <v>43101</v>
      </c>
      <c r="P3561" s="1">
        <f t="shared" si="442"/>
        <v>44044</v>
      </c>
      <c r="Q3561" s="8">
        <f t="shared" si="443"/>
        <v>0</v>
      </c>
      <c r="R3561" s="8">
        <f t="shared" si="444"/>
        <v>32</v>
      </c>
      <c r="S3561" s="8">
        <f t="shared" ca="1" si="445"/>
        <v>32</v>
      </c>
      <c r="T3561">
        <f t="shared" ca="1" si="446"/>
        <v>1.7057254400000004</v>
      </c>
      <c r="U3561" s="8">
        <f t="shared" ca="1" si="447"/>
        <v>3.5776230400000006</v>
      </c>
      <c r="V3561" s="9">
        <f ca="1">RawData[[#This Row],[Z (smoothed demand size)]]/RawData[[#This Row],[X (smoothed interval)]]</f>
        <v>0.47677617818561457</v>
      </c>
    </row>
    <row r="3562" spans="1:22">
      <c r="A3562" t="s">
        <v>69</v>
      </c>
      <c r="B3562" t="s">
        <v>60</v>
      </c>
      <c r="C3562">
        <v>32</v>
      </c>
      <c r="D3562" t="s">
        <v>15</v>
      </c>
      <c r="E3562" t="s">
        <v>16</v>
      </c>
      <c r="F3562" s="1">
        <v>43839</v>
      </c>
      <c r="G3562">
        <v>0</v>
      </c>
      <c r="H3562">
        <v>0</v>
      </c>
      <c r="I3562">
        <v>10</v>
      </c>
      <c r="J3562">
        <v>10</v>
      </c>
      <c r="K3562">
        <v>0</v>
      </c>
      <c r="L3562">
        <v>410</v>
      </c>
      <c r="M3562">
        <v>30</v>
      </c>
      <c r="N3562" s="1">
        <f t="shared" si="440"/>
        <v>44938</v>
      </c>
      <c r="O3562" s="1">
        <f t="shared" si="441"/>
        <v>43101</v>
      </c>
      <c r="P3562" s="1">
        <f t="shared" si="442"/>
        <v>44075</v>
      </c>
      <c r="Q3562" s="8">
        <f t="shared" si="443"/>
        <v>0</v>
      </c>
      <c r="R3562" s="8">
        <f t="shared" si="444"/>
        <v>33</v>
      </c>
      <c r="S3562" s="8">
        <f t="shared" ca="1" si="445"/>
        <v>32</v>
      </c>
      <c r="T3562">
        <f t="shared" ca="1" si="446"/>
        <v>1.7057254400000004</v>
      </c>
      <c r="U3562" s="8">
        <f t="shared" ca="1" si="447"/>
        <v>3.5776230400000006</v>
      </c>
      <c r="V3562" s="9">
        <f ca="1">RawData[[#This Row],[Z (smoothed demand size)]]/RawData[[#This Row],[X (smoothed interval)]]</f>
        <v>0.47677617818561457</v>
      </c>
    </row>
    <row r="3563" spans="1:22">
      <c r="A3563" t="s">
        <v>69</v>
      </c>
      <c r="B3563" t="s">
        <v>60</v>
      </c>
      <c r="C3563">
        <v>32</v>
      </c>
      <c r="D3563" t="s">
        <v>15</v>
      </c>
      <c r="E3563" t="s">
        <v>16</v>
      </c>
      <c r="F3563" s="1">
        <v>43840</v>
      </c>
      <c r="G3563">
        <v>0</v>
      </c>
      <c r="H3563">
        <v>0</v>
      </c>
      <c r="I3563">
        <v>10</v>
      </c>
      <c r="J3563">
        <v>10</v>
      </c>
      <c r="K3563">
        <v>0</v>
      </c>
      <c r="L3563">
        <v>408</v>
      </c>
      <c r="M3563">
        <v>30</v>
      </c>
      <c r="N3563" s="1">
        <f t="shared" si="440"/>
        <v>44938</v>
      </c>
      <c r="O3563" s="1">
        <f t="shared" si="441"/>
        <v>43101</v>
      </c>
      <c r="P3563" s="1">
        <f t="shared" si="442"/>
        <v>44105</v>
      </c>
      <c r="Q3563" s="8">
        <f t="shared" si="443"/>
        <v>0</v>
      </c>
      <c r="R3563" s="8">
        <f t="shared" si="444"/>
        <v>34</v>
      </c>
      <c r="S3563" s="8">
        <f t="shared" ca="1" si="445"/>
        <v>32</v>
      </c>
      <c r="T3563">
        <f t="shared" ca="1" si="446"/>
        <v>1.7057254400000004</v>
      </c>
      <c r="U3563" s="8">
        <f t="shared" ca="1" si="447"/>
        <v>3.5776230400000006</v>
      </c>
      <c r="V3563" s="9">
        <f ca="1">RawData[[#This Row],[Z (smoothed demand size)]]/RawData[[#This Row],[X (smoothed interval)]]</f>
        <v>0.47677617818561457</v>
      </c>
    </row>
    <row r="3564" spans="1:22">
      <c r="A3564" t="s">
        <v>69</v>
      </c>
      <c r="B3564" t="s">
        <v>60</v>
      </c>
      <c r="C3564">
        <v>32</v>
      </c>
      <c r="D3564" t="s">
        <v>15</v>
      </c>
      <c r="E3564" t="s">
        <v>16</v>
      </c>
      <c r="F3564" s="1">
        <v>43841</v>
      </c>
      <c r="G3564">
        <v>0</v>
      </c>
      <c r="H3564">
        <v>0</v>
      </c>
      <c r="I3564">
        <v>10</v>
      </c>
      <c r="J3564">
        <v>10</v>
      </c>
      <c r="K3564">
        <v>0</v>
      </c>
      <c r="L3564">
        <v>404</v>
      </c>
      <c r="M3564">
        <v>15</v>
      </c>
      <c r="N3564" s="1">
        <f t="shared" si="440"/>
        <v>44938</v>
      </c>
      <c r="O3564" s="1">
        <f t="shared" si="441"/>
        <v>43101</v>
      </c>
      <c r="P3564" s="1">
        <f t="shared" si="442"/>
        <v>44136</v>
      </c>
      <c r="Q3564" s="8">
        <f t="shared" si="443"/>
        <v>0</v>
      </c>
      <c r="R3564" s="8">
        <f t="shared" si="444"/>
        <v>35</v>
      </c>
      <c r="S3564" s="8">
        <f t="shared" ca="1" si="445"/>
        <v>32</v>
      </c>
      <c r="T3564">
        <f t="shared" ca="1" si="446"/>
        <v>1.7057254400000004</v>
      </c>
      <c r="U3564" s="8">
        <f t="shared" ca="1" si="447"/>
        <v>3.5776230400000006</v>
      </c>
      <c r="V3564" s="9">
        <f ca="1">RawData[[#This Row],[Z (smoothed demand size)]]/RawData[[#This Row],[X (smoothed interval)]]</f>
        <v>0.47677617818561457</v>
      </c>
    </row>
    <row r="3565" spans="1:22">
      <c r="A3565" t="s">
        <v>69</v>
      </c>
      <c r="B3565" t="s">
        <v>60</v>
      </c>
      <c r="C3565">
        <v>32</v>
      </c>
      <c r="D3565" t="s">
        <v>15</v>
      </c>
      <c r="E3565" t="s">
        <v>16</v>
      </c>
      <c r="F3565" s="1">
        <v>43842</v>
      </c>
      <c r="G3565">
        <v>0</v>
      </c>
      <c r="H3565">
        <v>0</v>
      </c>
      <c r="I3565">
        <v>10</v>
      </c>
      <c r="J3565">
        <v>10</v>
      </c>
      <c r="K3565">
        <v>0</v>
      </c>
      <c r="L3565">
        <v>460</v>
      </c>
      <c r="M3565">
        <v>45</v>
      </c>
      <c r="N3565" s="1">
        <f t="shared" si="440"/>
        <v>44938</v>
      </c>
      <c r="O3565" s="1">
        <f t="shared" si="441"/>
        <v>43101</v>
      </c>
      <c r="P3565" s="1">
        <f t="shared" si="442"/>
        <v>44166</v>
      </c>
      <c r="Q3565" s="8">
        <f t="shared" si="443"/>
        <v>0</v>
      </c>
      <c r="R3565" s="8">
        <f t="shared" si="444"/>
        <v>36</v>
      </c>
      <c r="S3565" s="8">
        <f t="shared" ca="1" si="445"/>
        <v>32</v>
      </c>
      <c r="T3565">
        <f t="shared" ca="1" si="446"/>
        <v>1.7057254400000004</v>
      </c>
      <c r="U3565" s="8">
        <f t="shared" ca="1" si="447"/>
        <v>3.5776230400000006</v>
      </c>
      <c r="V3565" s="9">
        <f ca="1">RawData[[#This Row],[Z (smoothed demand size)]]/RawData[[#This Row],[X (smoothed interval)]]</f>
        <v>0.47677617818561457</v>
      </c>
    </row>
    <row r="3566" spans="1:22">
      <c r="A3566" t="s">
        <v>69</v>
      </c>
      <c r="B3566" t="s">
        <v>60</v>
      </c>
      <c r="C3566">
        <v>32</v>
      </c>
      <c r="D3566" t="s">
        <v>15</v>
      </c>
      <c r="E3566" t="s">
        <v>16</v>
      </c>
      <c r="F3566" s="1">
        <v>44197</v>
      </c>
      <c r="G3566">
        <v>0</v>
      </c>
      <c r="H3566">
        <v>0</v>
      </c>
      <c r="I3566">
        <v>10</v>
      </c>
      <c r="J3566">
        <v>10</v>
      </c>
      <c r="K3566">
        <v>0</v>
      </c>
      <c r="L3566">
        <v>411</v>
      </c>
      <c r="M3566">
        <v>30</v>
      </c>
      <c r="N3566" s="1">
        <f t="shared" si="440"/>
        <v>44938</v>
      </c>
      <c r="O3566" s="1">
        <f t="shared" si="441"/>
        <v>43101</v>
      </c>
      <c r="P3566" s="1">
        <f t="shared" si="442"/>
        <v>44197</v>
      </c>
      <c r="Q3566" s="8">
        <f t="shared" si="443"/>
        <v>0</v>
      </c>
      <c r="R3566" s="8">
        <f t="shared" si="444"/>
        <v>37</v>
      </c>
      <c r="S3566" s="8">
        <f t="shared" ca="1" si="445"/>
        <v>32</v>
      </c>
      <c r="T3566">
        <f t="shared" ca="1" si="446"/>
        <v>1.7057254400000004</v>
      </c>
      <c r="U3566" s="8">
        <f t="shared" ca="1" si="447"/>
        <v>3.5776230400000006</v>
      </c>
      <c r="V3566" s="9">
        <f ca="1">RawData[[#This Row],[Z (smoothed demand size)]]/RawData[[#This Row],[X (smoothed interval)]]</f>
        <v>0.47677617818561457</v>
      </c>
    </row>
    <row r="3567" spans="1:22">
      <c r="A3567" t="s">
        <v>69</v>
      </c>
      <c r="B3567" t="s">
        <v>60</v>
      </c>
      <c r="C3567">
        <v>32</v>
      </c>
      <c r="D3567" t="s">
        <v>15</v>
      </c>
      <c r="E3567" t="s">
        <v>16</v>
      </c>
      <c r="F3567" s="1">
        <v>44198</v>
      </c>
      <c r="G3567">
        <v>1</v>
      </c>
      <c r="H3567">
        <v>1</v>
      </c>
      <c r="I3567">
        <v>10</v>
      </c>
      <c r="J3567">
        <v>9</v>
      </c>
      <c r="K3567">
        <v>0</v>
      </c>
      <c r="L3567">
        <v>411</v>
      </c>
      <c r="M3567">
        <v>60</v>
      </c>
      <c r="N3567" s="1">
        <f t="shared" si="440"/>
        <v>44938</v>
      </c>
      <c r="O3567" s="1">
        <f t="shared" si="441"/>
        <v>43101</v>
      </c>
      <c r="P3567" s="1">
        <f t="shared" si="442"/>
        <v>44228</v>
      </c>
      <c r="Q3567" s="8">
        <f t="shared" si="443"/>
        <v>0</v>
      </c>
      <c r="R3567" s="8">
        <f t="shared" si="444"/>
        <v>38</v>
      </c>
      <c r="S3567" s="8">
        <f t="shared" ca="1" si="445"/>
        <v>38</v>
      </c>
      <c r="T3567">
        <f t="shared" ca="1" si="446"/>
        <v>1.5645803520000003</v>
      </c>
      <c r="U3567" s="8">
        <f t="shared" ca="1" si="447"/>
        <v>4.0620984320000009</v>
      </c>
      <c r="V3567" s="9">
        <f ca="1">RawData[[#This Row],[Z (smoothed demand size)]]/RawData[[#This Row],[X (smoothed interval)]]</f>
        <v>0.38516554391560348</v>
      </c>
    </row>
    <row r="3568" spans="1:22">
      <c r="A3568" t="s">
        <v>69</v>
      </c>
      <c r="B3568" t="s">
        <v>60</v>
      </c>
      <c r="C3568">
        <v>32</v>
      </c>
      <c r="D3568" t="s">
        <v>15</v>
      </c>
      <c r="E3568" t="s">
        <v>16</v>
      </c>
      <c r="F3568" s="1">
        <v>44199</v>
      </c>
      <c r="G3568">
        <v>1</v>
      </c>
      <c r="H3568">
        <v>1</v>
      </c>
      <c r="I3568">
        <v>9</v>
      </c>
      <c r="J3568">
        <v>8</v>
      </c>
      <c r="K3568">
        <v>0</v>
      </c>
      <c r="L3568">
        <v>400</v>
      </c>
      <c r="M3568">
        <v>30</v>
      </c>
      <c r="N3568" s="1">
        <f t="shared" si="440"/>
        <v>44938</v>
      </c>
      <c r="O3568" s="1">
        <f t="shared" si="441"/>
        <v>43101</v>
      </c>
      <c r="P3568" s="1">
        <f t="shared" si="442"/>
        <v>44256</v>
      </c>
      <c r="Q3568" s="8">
        <f t="shared" si="443"/>
        <v>0</v>
      </c>
      <c r="R3568" s="8">
        <f t="shared" si="444"/>
        <v>39</v>
      </c>
      <c r="S3568" s="8">
        <f t="shared" ca="1" si="445"/>
        <v>39</v>
      </c>
      <c r="T3568">
        <f t="shared" ca="1" si="446"/>
        <v>1.4516642816000003</v>
      </c>
      <c r="U3568" s="8">
        <f t="shared" ca="1" si="447"/>
        <v>3.4496787456000009</v>
      </c>
      <c r="V3568" s="9">
        <f ca="1">RawData[[#This Row],[Z (smoothed demand size)]]/RawData[[#This Row],[X (smoothed interval)]]</f>
        <v>0.4208114403266015</v>
      </c>
    </row>
    <row r="3569" spans="1:22">
      <c r="A3569" t="s">
        <v>69</v>
      </c>
      <c r="B3569" t="s">
        <v>60</v>
      </c>
      <c r="C3569">
        <v>32</v>
      </c>
      <c r="D3569" t="s">
        <v>15</v>
      </c>
      <c r="E3569" t="s">
        <v>16</v>
      </c>
      <c r="F3569" s="1">
        <v>44200</v>
      </c>
      <c r="G3569">
        <v>0</v>
      </c>
      <c r="H3569">
        <v>0</v>
      </c>
      <c r="I3569">
        <v>8</v>
      </c>
      <c r="J3569">
        <v>8</v>
      </c>
      <c r="K3569">
        <v>0</v>
      </c>
      <c r="L3569">
        <v>408</v>
      </c>
      <c r="M3569">
        <v>60</v>
      </c>
      <c r="N3569" s="1">
        <f t="shared" si="440"/>
        <v>44938</v>
      </c>
      <c r="O3569" s="1">
        <f t="shared" si="441"/>
        <v>43101</v>
      </c>
      <c r="P3569" s="1">
        <f t="shared" si="442"/>
        <v>44287</v>
      </c>
      <c r="Q3569" s="8">
        <f t="shared" si="443"/>
        <v>0</v>
      </c>
      <c r="R3569" s="8">
        <f t="shared" si="444"/>
        <v>40</v>
      </c>
      <c r="S3569" s="8">
        <f t="shared" ca="1" si="445"/>
        <v>39</v>
      </c>
      <c r="T3569">
        <f t="shared" ca="1" si="446"/>
        <v>1.4516642816000003</v>
      </c>
      <c r="U3569" s="8">
        <f t="shared" ca="1" si="447"/>
        <v>3.4496787456000009</v>
      </c>
      <c r="V3569" s="9">
        <f ca="1">RawData[[#This Row],[Z (smoothed demand size)]]/RawData[[#This Row],[X (smoothed interval)]]</f>
        <v>0.4208114403266015</v>
      </c>
    </row>
    <row r="3570" spans="1:22">
      <c r="A3570" t="s">
        <v>69</v>
      </c>
      <c r="B3570" t="s">
        <v>60</v>
      </c>
      <c r="C3570">
        <v>32</v>
      </c>
      <c r="D3570" t="s">
        <v>15</v>
      </c>
      <c r="E3570" t="s">
        <v>16</v>
      </c>
      <c r="F3570" s="1">
        <v>44201</v>
      </c>
      <c r="G3570">
        <v>0</v>
      </c>
      <c r="H3570">
        <v>0</v>
      </c>
      <c r="I3570">
        <v>8</v>
      </c>
      <c r="J3570">
        <v>8</v>
      </c>
      <c r="K3570">
        <v>0</v>
      </c>
      <c r="L3570">
        <v>406</v>
      </c>
      <c r="M3570">
        <v>15</v>
      </c>
      <c r="N3570" s="1">
        <f t="shared" si="440"/>
        <v>44938</v>
      </c>
      <c r="O3570" s="1">
        <f t="shared" si="441"/>
        <v>43101</v>
      </c>
      <c r="P3570" s="1">
        <f t="shared" si="442"/>
        <v>44317</v>
      </c>
      <c r="Q3570" s="8">
        <f t="shared" si="443"/>
        <v>0</v>
      </c>
      <c r="R3570" s="8">
        <f t="shared" si="444"/>
        <v>41</v>
      </c>
      <c r="S3570" s="8">
        <f t="shared" ca="1" si="445"/>
        <v>39</v>
      </c>
      <c r="T3570">
        <f t="shared" ca="1" si="446"/>
        <v>1.4516642816000003</v>
      </c>
      <c r="U3570" s="8">
        <f t="shared" ca="1" si="447"/>
        <v>3.4496787456000009</v>
      </c>
      <c r="V3570" s="9">
        <f ca="1">RawData[[#This Row],[Z (smoothed demand size)]]/RawData[[#This Row],[X (smoothed interval)]]</f>
        <v>0.4208114403266015</v>
      </c>
    </row>
    <row r="3571" spans="1:22">
      <c r="A3571" t="s">
        <v>69</v>
      </c>
      <c r="B3571" t="s">
        <v>60</v>
      </c>
      <c r="C3571">
        <v>32</v>
      </c>
      <c r="D3571" t="s">
        <v>15</v>
      </c>
      <c r="E3571" t="s">
        <v>16</v>
      </c>
      <c r="F3571" s="1">
        <v>44202</v>
      </c>
      <c r="G3571">
        <v>0</v>
      </c>
      <c r="H3571">
        <v>0</v>
      </c>
      <c r="I3571">
        <v>8</v>
      </c>
      <c r="J3571">
        <v>8</v>
      </c>
      <c r="K3571">
        <v>0</v>
      </c>
      <c r="L3571">
        <v>469</v>
      </c>
      <c r="M3571">
        <v>45</v>
      </c>
      <c r="N3571" s="1">
        <f t="shared" si="440"/>
        <v>44938</v>
      </c>
      <c r="O3571" s="1">
        <f t="shared" si="441"/>
        <v>43101</v>
      </c>
      <c r="P3571" s="1">
        <f t="shared" si="442"/>
        <v>44348</v>
      </c>
      <c r="Q3571" s="8">
        <f t="shared" si="443"/>
        <v>0</v>
      </c>
      <c r="R3571" s="8">
        <f t="shared" si="444"/>
        <v>42</v>
      </c>
      <c r="S3571" s="8">
        <f t="shared" ca="1" si="445"/>
        <v>39</v>
      </c>
      <c r="T3571">
        <f t="shared" ca="1" si="446"/>
        <v>1.4516642816000003</v>
      </c>
      <c r="U3571" s="8">
        <f t="shared" ca="1" si="447"/>
        <v>3.4496787456000009</v>
      </c>
      <c r="V3571" s="9">
        <f ca="1">RawData[[#This Row],[Z (smoothed demand size)]]/RawData[[#This Row],[X (smoothed interval)]]</f>
        <v>0.4208114403266015</v>
      </c>
    </row>
    <row r="3572" spans="1:22">
      <c r="A3572" t="s">
        <v>69</v>
      </c>
      <c r="B3572" t="s">
        <v>60</v>
      </c>
      <c r="C3572">
        <v>32</v>
      </c>
      <c r="D3572" t="s">
        <v>15</v>
      </c>
      <c r="E3572" t="s">
        <v>16</v>
      </c>
      <c r="F3572" s="1">
        <v>44203</v>
      </c>
      <c r="G3572">
        <v>0</v>
      </c>
      <c r="H3572">
        <v>0</v>
      </c>
      <c r="I3572">
        <v>8</v>
      </c>
      <c r="J3572">
        <v>8</v>
      </c>
      <c r="K3572">
        <v>0</v>
      </c>
      <c r="L3572">
        <v>473</v>
      </c>
      <c r="M3572">
        <v>45</v>
      </c>
      <c r="N3572" s="1">
        <f t="shared" si="440"/>
        <v>44938</v>
      </c>
      <c r="O3572" s="1">
        <f t="shared" si="441"/>
        <v>43101</v>
      </c>
      <c r="P3572" s="1">
        <f t="shared" si="442"/>
        <v>44378</v>
      </c>
      <c r="Q3572" s="8">
        <f t="shared" si="443"/>
        <v>0</v>
      </c>
      <c r="R3572" s="8">
        <f t="shared" si="444"/>
        <v>43</v>
      </c>
      <c r="S3572" s="8">
        <f t="shared" ca="1" si="445"/>
        <v>39</v>
      </c>
      <c r="T3572">
        <f t="shared" ca="1" si="446"/>
        <v>1.4516642816000003</v>
      </c>
      <c r="U3572" s="8">
        <f t="shared" ca="1" si="447"/>
        <v>3.4496787456000009</v>
      </c>
      <c r="V3572" s="9">
        <f ca="1">RawData[[#This Row],[Z (smoothed demand size)]]/RawData[[#This Row],[X (smoothed interval)]]</f>
        <v>0.4208114403266015</v>
      </c>
    </row>
    <row r="3573" spans="1:22">
      <c r="A3573" t="s">
        <v>69</v>
      </c>
      <c r="B3573" t="s">
        <v>60</v>
      </c>
      <c r="C3573">
        <v>32</v>
      </c>
      <c r="D3573" t="s">
        <v>15</v>
      </c>
      <c r="E3573" t="s">
        <v>16</v>
      </c>
      <c r="F3573" s="1">
        <v>44204</v>
      </c>
      <c r="G3573">
        <v>0</v>
      </c>
      <c r="H3573">
        <v>0</v>
      </c>
      <c r="I3573">
        <v>8</v>
      </c>
      <c r="J3573">
        <v>8</v>
      </c>
      <c r="K3573">
        <v>0</v>
      </c>
      <c r="L3573">
        <v>473</v>
      </c>
      <c r="M3573">
        <v>15</v>
      </c>
      <c r="N3573" s="1">
        <f t="shared" si="440"/>
        <v>44938</v>
      </c>
      <c r="O3573" s="1">
        <f t="shared" si="441"/>
        <v>43101</v>
      </c>
      <c r="P3573" s="1">
        <f t="shared" si="442"/>
        <v>44409</v>
      </c>
      <c r="Q3573" s="8">
        <f t="shared" si="443"/>
        <v>0</v>
      </c>
      <c r="R3573" s="8">
        <f t="shared" si="444"/>
        <v>44</v>
      </c>
      <c r="S3573" s="8">
        <f t="shared" ca="1" si="445"/>
        <v>39</v>
      </c>
      <c r="T3573">
        <f t="shared" ca="1" si="446"/>
        <v>1.4516642816000003</v>
      </c>
      <c r="U3573" s="8">
        <f t="shared" ca="1" si="447"/>
        <v>3.4496787456000009</v>
      </c>
      <c r="V3573" s="9">
        <f ca="1">RawData[[#This Row],[Z (smoothed demand size)]]/RawData[[#This Row],[X (smoothed interval)]]</f>
        <v>0.4208114403266015</v>
      </c>
    </row>
    <row r="3574" spans="1:22">
      <c r="A3574" t="s">
        <v>69</v>
      </c>
      <c r="B3574" t="s">
        <v>60</v>
      </c>
      <c r="C3574">
        <v>32</v>
      </c>
      <c r="D3574" t="s">
        <v>15</v>
      </c>
      <c r="E3574" t="s">
        <v>16</v>
      </c>
      <c r="F3574" s="1">
        <v>44205</v>
      </c>
      <c r="G3574">
        <v>0</v>
      </c>
      <c r="H3574">
        <v>0</v>
      </c>
      <c r="I3574">
        <v>8</v>
      </c>
      <c r="J3574">
        <v>8</v>
      </c>
      <c r="K3574">
        <v>0</v>
      </c>
      <c r="L3574">
        <v>407</v>
      </c>
      <c r="M3574">
        <v>15</v>
      </c>
      <c r="N3574" s="1">
        <f t="shared" si="440"/>
        <v>44938</v>
      </c>
      <c r="O3574" s="1">
        <f t="shared" si="441"/>
        <v>43101</v>
      </c>
      <c r="P3574" s="1">
        <f t="shared" si="442"/>
        <v>44440</v>
      </c>
      <c r="Q3574" s="8">
        <f t="shared" si="443"/>
        <v>0</v>
      </c>
      <c r="R3574" s="8">
        <f t="shared" si="444"/>
        <v>45</v>
      </c>
      <c r="S3574" s="8">
        <f t="shared" ca="1" si="445"/>
        <v>39</v>
      </c>
      <c r="T3574">
        <f t="shared" ca="1" si="446"/>
        <v>1.4516642816000003</v>
      </c>
      <c r="U3574" s="8">
        <f t="shared" ca="1" si="447"/>
        <v>3.4496787456000009</v>
      </c>
      <c r="V3574" s="9">
        <f ca="1">RawData[[#This Row],[Z (smoothed demand size)]]/RawData[[#This Row],[X (smoothed interval)]]</f>
        <v>0.4208114403266015</v>
      </c>
    </row>
    <row r="3575" spans="1:22">
      <c r="A3575" t="s">
        <v>69</v>
      </c>
      <c r="B3575" t="s">
        <v>60</v>
      </c>
      <c r="C3575">
        <v>32</v>
      </c>
      <c r="D3575" t="s">
        <v>15</v>
      </c>
      <c r="E3575" t="s">
        <v>16</v>
      </c>
      <c r="F3575" s="1">
        <v>44206</v>
      </c>
      <c r="G3575">
        <v>0</v>
      </c>
      <c r="H3575">
        <v>0</v>
      </c>
      <c r="I3575">
        <v>8</v>
      </c>
      <c r="J3575">
        <v>8</v>
      </c>
      <c r="K3575">
        <v>0</v>
      </c>
      <c r="L3575">
        <v>404</v>
      </c>
      <c r="M3575">
        <v>30</v>
      </c>
      <c r="N3575" s="1">
        <f t="shared" si="440"/>
        <v>44938</v>
      </c>
      <c r="O3575" s="1">
        <f t="shared" si="441"/>
        <v>43101</v>
      </c>
      <c r="P3575" s="1">
        <f t="shared" si="442"/>
        <v>44470</v>
      </c>
      <c r="Q3575" s="8">
        <f t="shared" si="443"/>
        <v>0</v>
      </c>
      <c r="R3575" s="8">
        <f t="shared" si="444"/>
        <v>46</v>
      </c>
      <c r="S3575" s="8">
        <f t="shared" ca="1" si="445"/>
        <v>39</v>
      </c>
      <c r="T3575">
        <f t="shared" ca="1" si="446"/>
        <v>1.4516642816000003</v>
      </c>
      <c r="U3575" s="8">
        <f t="shared" ca="1" si="447"/>
        <v>3.4496787456000009</v>
      </c>
      <c r="V3575" s="9">
        <f ca="1">RawData[[#This Row],[Z (smoothed demand size)]]/RawData[[#This Row],[X (smoothed interval)]]</f>
        <v>0.4208114403266015</v>
      </c>
    </row>
    <row r="3576" spans="1:22">
      <c r="A3576" t="s">
        <v>69</v>
      </c>
      <c r="B3576" t="s">
        <v>60</v>
      </c>
      <c r="C3576">
        <v>32</v>
      </c>
      <c r="D3576" t="s">
        <v>15</v>
      </c>
      <c r="E3576" t="s">
        <v>16</v>
      </c>
      <c r="F3576" s="1">
        <v>44207</v>
      </c>
      <c r="G3576">
        <v>0</v>
      </c>
      <c r="H3576">
        <v>0</v>
      </c>
      <c r="I3576">
        <v>8</v>
      </c>
      <c r="J3576">
        <v>8</v>
      </c>
      <c r="K3576">
        <v>0</v>
      </c>
      <c r="L3576">
        <v>404</v>
      </c>
      <c r="M3576">
        <v>30</v>
      </c>
      <c r="N3576" s="1">
        <f t="shared" si="440"/>
        <v>44938</v>
      </c>
      <c r="O3576" s="1">
        <f t="shared" si="441"/>
        <v>43101</v>
      </c>
      <c r="P3576" s="1">
        <f t="shared" si="442"/>
        <v>44501</v>
      </c>
      <c r="Q3576" s="8">
        <f t="shared" si="443"/>
        <v>0</v>
      </c>
      <c r="R3576" s="8">
        <f t="shared" si="444"/>
        <v>47</v>
      </c>
      <c r="S3576" s="8">
        <f t="shared" ca="1" si="445"/>
        <v>39</v>
      </c>
      <c r="T3576">
        <f t="shared" ca="1" si="446"/>
        <v>1.4516642816000003</v>
      </c>
      <c r="U3576" s="8">
        <f t="shared" ca="1" si="447"/>
        <v>3.4496787456000009</v>
      </c>
      <c r="V3576" s="9">
        <f ca="1">RawData[[#This Row],[Z (smoothed demand size)]]/RawData[[#This Row],[X (smoothed interval)]]</f>
        <v>0.4208114403266015</v>
      </c>
    </row>
    <row r="3577" spans="1:22">
      <c r="A3577" t="s">
        <v>69</v>
      </c>
      <c r="B3577" t="s">
        <v>60</v>
      </c>
      <c r="C3577">
        <v>32</v>
      </c>
      <c r="D3577" t="s">
        <v>15</v>
      </c>
      <c r="E3577" t="s">
        <v>16</v>
      </c>
      <c r="F3577" s="1">
        <v>44208</v>
      </c>
      <c r="G3577">
        <v>0</v>
      </c>
      <c r="H3577">
        <v>0</v>
      </c>
      <c r="I3577">
        <v>8</v>
      </c>
      <c r="J3577">
        <v>8</v>
      </c>
      <c r="K3577">
        <v>0</v>
      </c>
      <c r="L3577">
        <v>465</v>
      </c>
      <c r="M3577">
        <v>60</v>
      </c>
      <c r="N3577" s="1">
        <f t="shared" si="440"/>
        <v>44938</v>
      </c>
      <c r="O3577" s="1">
        <f t="shared" si="441"/>
        <v>43101</v>
      </c>
      <c r="P3577" s="1">
        <f t="shared" si="442"/>
        <v>44531</v>
      </c>
      <c r="Q3577" s="8">
        <f t="shared" si="443"/>
        <v>0</v>
      </c>
      <c r="R3577" s="8">
        <f t="shared" si="444"/>
        <v>48</v>
      </c>
      <c r="S3577" s="8">
        <f t="shared" ca="1" si="445"/>
        <v>39</v>
      </c>
      <c r="T3577">
        <f t="shared" ca="1" si="446"/>
        <v>1.4516642816000003</v>
      </c>
      <c r="U3577" s="8">
        <f t="shared" ca="1" si="447"/>
        <v>3.4496787456000009</v>
      </c>
      <c r="V3577" s="9">
        <f ca="1">RawData[[#This Row],[Z (smoothed demand size)]]/RawData[[#This Row],[X (smoothed interval)]]</f>
        <v>0.4208114403266015</v>
      </c>
    </row>
    <row r="3578" spans="1:22">
      <c r="A3578" t="s">
        <v>69</v>
      </c>
      <c r="B3578" t="s">
        <v>60</v>
      </c>
      <c r="C3578">
        <v>32</v>
      </c>
      <c r="D3578" t="s">
        <v>15</v>
      </c>
      <c r="E3578" t="s">
        <v>16</v>
      </c>
      <c r="F3578" s="1">
        <v>44562</v>
      </c>
      <c r="G3578">
        <v>1</v>
      </c>
      <c r="H3578">
        <v>1</v>
      </c>
      <c r="I3578">
        <v>8</v>
      </c>
      <c r="J3578">
        <v>7</v>
      </c>
      <c r="K3578">
        <v>0</v>
      </c>
      <c r="L3578">
        <v>415</v>
      </c>
      <c r="M3578">
        <v>60</v>
      </c>
      <c r="N3578" s="1">
        <f t="shared" si="440"/>
        <v>44938</v>
      </c>
      <c r="O3578" s="1">
        <f t="shared" si="441"/>
        <v>43101</v>
      </c>
      <c r="P3578" s="1">
        <f t="shared" si="442"/>
        <v>44562</v>
      </c>
      <c r="Q3578" s="8">
        <f t="shared" si="443"/>
        <v>0</v>
      </c>
      <c r="R3578" s="8">
        <f t="shared" si="444"/>
        <v>49</v>
      </c>
      <c r="S3578" s="8">
        <f t="shared" ca="1" si="445"/>
        <v>49</v>
      </c>
      <c r="T3578">
        <f t="shared" ca="1" si="446"/>
        <v>1.3613314252800002</v>
      </c>
      <c r="U3578" s="8">
        <f t="shared" ca="1" si="447"/>
        <v>4.7597429964800009</v>
      </c>
      <c r="V3578" s="9">
        <f ca="1">RawData[[#This Row],[Z (smoothed demand size)]]/RawData[[#This Row],[X (smoothed interval)]]</f>
        <v>0.28600943922534328</v>
      </c>
    </row>
    <row r="3579" spans="1:22">
      <c r="A3579" t="s">
        <v>69</v>
      </c>
      <c r="B3579" t="s">
        <v>60</v>
      </c>
      <c r="C3579">
        <v>32</v>
      </c>
      <c r="D3579" t="s">
        <v>15</v>
      </c>
      <c r="E3579" t="s">
        <v>16</v>
      </c>
      <c r="F3579" s="1">
        <v>44563</v>
      </c>
      <c r="G3579">
        <v>0</v>
      </c>
      <c r="H3579">
        <v>0</v>
      </c>
      <c r="I3579">
        <v>7</v>
      </c>
      <c r="J3579">
        <v>7</v>
      </c>
      <c r="K3579">
        <v>0</v>
      </c>
      <c r="L3579">
        <v>404</v>
      </c>
      <c r="M3579">
        <v>15</v>
      </c>
      <c r="N3579" s="1">
        <f t="shared" si="440"/>
        <v>44938</v>
      </c>
      <c r="O3579" s="1">
        <f t="shared" si="441"/>
        <v>43101</v>
      </c>
      <c r="P3579" s="1">
        <f t="shared" si="442"/>
        <v>44593</v>
      </c>
      <c r="Q3579" s="8">
        <f t="shared" si="443"/>
        <v>0</v>
      </c>
      <c r="R3579" s="8">
        <f t="shared" si="444"/>
        <v>50</v>
      </c>
      <c r="S3579" s="8">
        <f t="shared" ca="1" si="445"/>
        <v>49</v>
      </c>
      <c r="T3579">
        <f t="shared" ca="1" si="446"/>
        <v>1.3613314252800002</v>
      </c>
      <c r="U3579" s="8">
        <f t="shared" ca="1" si="447"/>
        <v>4.7597429964800009</v>
      </c>
      <c r="V3579" s="9">
        <f ca="1">RawData[[#This Row],[Z (smoothed demand size)]]/RawData[[#This Row],[X (smoothed interval)]]</f>
        <v>0.28600943922534328</v>
      </c>
    </row>
    <row r="3580" spans="1:22">
      <c r="A3580" t="s">
        <v>69</v>
      </c>
      <c r="B3580" t="s">
        <v>60</v>
      </c>
      <c r="C3580">
        <v>32</v>
      </c>
      <c r="D3580" t="s">
        <v>15</v>
      </c>
      <c r="E3580" t="s">
        <v>16</v>
      </c>
      <c r="F3580" s="1">
        <v>44564</v>
      </c>
      <c r="G3580">
        <v>0</v>
      </c>
      <c r="H3580">
        <v>0</v>
      </c>
      <c r="I3580">
        <v>7</v>
      </c>
      <c r="J3580">
        <v>7</v>
      </c>
      <c r="K3580">
        <v>0</v>
      </c>
      <c r="L3580">
        <v>407</v>
      </c>
      <c r="M3580">
        <v>45</v>
      </c>
      <c r="N3580" s="1">
        <f t="shared" si="440"/>
        <v>44938</v>
      </c>
      <c r="O3580" s="1">
        <f t="shared" si="441"/>
        <v>43101</v>
      </c>
      <c r="P3580" s="1">
        <f t="shared" si="442"/>
        <v>44621</v>
      </c>
      <c r="Q3580" s="8">
        <f t="shared" si="443"/>
        <v>0</v>
      </c>
      <c r="R3580" s="8">
        <f t="shared" si="444"/>
        <v>51</v>
      </c>
      <c r="S3580" s="8">
        <f t="shared" ca="1" si="445"/>
        <v>49</v>
      </c>
      <c r="T3580">
        <f t="shared" ca="1" si="446"/>
        <v>1.3613314252800002</v>
      </c>
      <c r="U3580" s="8">
        <f t="shared" ca="1" si="447"/>
        <v>4.7597429964800009</v>
      </c>
      <c r="V3580" s="9">
        <f ca="1">RawData[[#This Row],[Z (smoothed demand size)]]/RawData[[#This Row],[X (smoothed interval)]]</f>
        <v>0.28600943922534328</v>
      </c>
    </row>
    <row r="3581" spans="1:22">
      <c r="A3581" t="s">
        <v>69</v>
      </c>
      <c r="B3581" t="s">
        <v>60</v>
      </c>
      <c r="C3581">
        <v>32</v>
      </c>
      <c r="D3581" t="s">
        <v>15</v>
      </c>
      <c r="E3581" t="s">
        <v>16</v>
      </c>
      <c r="F3581" s="1">
        <v>44565</v>
      </c>
      <c r="G3581">
        <v>0</v>
      </c>
      <c r="H3581">
        <v>0</v>
      </c>
      <c r="I3581">
        <v>7</v>
      </c>
      <c r="J3581">
        <v>7</v>
      </c>
      <c r="K3581">
        <v>0</v>
      </c>
      <c r="L3581">
        <v>406</v>
      </c>
      <c r="M3581">
        <v>15</v>
      </c>
      <c r="N3581" s="1">
        <f t="shared" si="440"/>
        <v>44938</v>
      </c>
      <c r="O3581" s="1">
        <f t="shared" si="441"/>
        <v>43101</v>
      </c>
      <c r="P3581" s="1">
        <f t="shared" si="442"/>
        <v>44652</v>
      </c>
      <c r="Q3581" s="8">
        <f t="shared" si="443"/>
        <v>0</v>
      </c>
      <c r="R3581" s="8">
        <f t="shared" si="444"/>
        <v>52</v>
      </c>
      <c r="S3581" s="8">
        <f t="shared" ca="1" si="445"/>
        <v>49</v>
      </c>
      <c r="T3581">
        <f t="shared" ca="1" si="446"/>
        <v>1.3613314252800002</v>
      </c>
      <c r="U3581" s="8">
        <f t="shared" ca="1" si="447"/>
        <v>4.7597429964800009</v>
      </c>
      <c r="V3581" s="9">
        <f ca="1">RawData[[#This Row],[Z (smoothed demand size)]]/RawData[[#This Row],[X (smoothed interval)]]</f>
        <v>0.28600943922534328</v>
      </c>
    </row>
    <row r="3582" spans="1:22">
      <c r="A3582" t="s">
        <v>69</v>
      </c>
      <c r="B3582" t="s">
        <v>60</v>
      </c>
      <c r="C3582">
        <v>32</v>
      </c>
      <c r="D3582" t="s">
        <v>15</v>
      </c>
      <c r="E3582" t="s">
        <v>16</v>
      </c>
      <c r="F3582" s="1">
        <v>44566</v>
      </c>
      <c r="G3582">
        <v>0</v>
      </c>
      <c r="H3582">
        <v>0</v>
      </c>
      <c r="I3582">
        <v>7</v>
      </c>
      <c r="J3582">
        <v>7</v>
      </c>
      <c r="K3582">
        <v>0</v>
      </c>
      <c r="L3582">
        <v>400</v>
      </c>
      <c r="M3582">
        <v>60</v>
      </c>
      <c r="N3582" s="1">
        <f t="shared" si="440"/>
        <v>44938</v>
      </c>
      <c r="O3582" s="1">
        <f t="shared" si="441"/>
        <v>43101</v>
      </c>
      <c r="P3582" s="1">
        <f t="shared" si="442"/>
        <v>44682</v>
      </c>
      <c r="Q3582" s="8">
        <f t="shared" si="443"/>
        <v>0</v>
      </c>
      <c r="R3582" s="8">
        <f t="shared" si="444"/>
        <v>53</v>
      </c>
      <c r="S3582" s="8">
        <f t="shared" ca="1" si="445"/>
        <v>49</v>
      </c>
      <c r="T3582">
        <f t="shared" ca="1" si="446"/>
        <v>1.3613314252800002</v>
      </c>
      <c r="U3582" s="8">
        <f t="shared" ca="1" si="447"/>
        <v>4.7597429964800009</v>
      </c>
      <c r="V3582" s="9">
        <f ca="1">RawData[[#This Row],[Z (smoothed demand size)]]/RawData[[#This Row],[X (smoothed interval)]]</f>
        <v>0.28600943922534328</v>
      </c>
    </row>
    <row r="3583" spans="1:22">
      <c r="A3583" t="s">
        <v>69</v>
      </c>
      <c r="B3583" t="s">
        <v>60</v>
      </c>
      <c r="C3583">
        <v>32</v>
      </c>
      <c r="D3583" t="s">
        <v>15</v>
      </c>
      <c r="E3583" t="s">
        <v>16</v>
      </c>
      <c r="F3583" s="1">
        <v>44567</v>
      </c>
      <c r="G3583">
        <v>0</v>
      </c>
      <c r="H3583">
        <v>0</v>
      </c>
      <c r="I3583">
        <v>7</v>
      </c>
      <c r="J3583">
        <v>7</v>
      </c>
      <c r="K3583">
        <v>0</v>
      </c>
      <c r="L3583">
        <v>467</v>
      </c>
      <c r="M3583">
        <v>45</v>
      </c>
      <c r="N3583" s="1">
        <f t="shared" si="440"/>
        <v>44938</v>
      </c>
      <c r="O3583" s="1">
        <f t="shared" si="441"/>
        <v>43101</v>
      </c>
      <c r="P3583" s="1">
        <f t="shared" si="442"/>
        <v>44713</v>
      </c>
      <c r="Q3583" s="8">
        <f t="shared" si="443"/>
        <v>0</v>
      </c>
      <c r="R3583" s="8">
        <f t="shared" si="444"/>
        <v>54</v>
      </c>
      <c r="S3583" s="8">
        <f t="shared" ca="1" si="445"/>
        <v>49</v>
      </c>
      <c r="T3583">
        <f t="shared" ca="1" si="446"/>
        <v>1.3613314252800002</v>
      </c>
      <c r="U3583" s="8">
        <f t="shared" ca="1" si="447"/>
        <v>4.7597429964800009</v>
      </c>
      <c r="V3583" s="9">
        <f ca="1">RawData[[#This Row],[Z (smoothed demand size)]]/RawData[[#This Row],[X (smoothed interval)]]</f>
        <v>0.28600943922534328</v>
      </c>
    </row>
    <row r="3584" spans="1:22">
      <c r="A3584" t="s">
        <v>69</v>
      </c>
      <c r="B3584" t="s">
        <v>60</v>
      </c>
      <c r="C3584">
        <v>32</v>
      </c>
      <c r="D3584" t="s">
        <v>15</v>
      </c>
      <c r="E3584" t="s">
        <v>16</v>
      </c>
      <c r="F3584" s="1">
        <v>44568</v>
      </c>
      <c r="G3584">
        <v>0</v>
      </c>
      <c r="H3584">
        <v>0</v>
      </c>
      <c r="I3584">
        <v>7</v>
      </c>
      <c r="J3584">
        <v>7</v>
      </c>
      <c r="K3584">
        <v>0</v>
      </c>
      <c r="L3584">
        <v>462</v>
      </c>
      <c r="M3584">
        <v>30</v>
      </c>
      <c r="N3584" s="1">
        <f t="shared" si="440"/>
        <v>44938</v>
      </c>
      <c r="O3584" s="1">
        <f t="shared" si="441"/>
        <v>43101</v>
      </c>
      <c r="P3584" s="1">
        <f t="shared" si="442"/>
        <v>44743</v>
      </c>
      <c r="Q3584" s="8">
        <f t="shared" si="443"/>
        <v>0</v>
      </c>
      <c r="R3584" s="8">
        <f t="shared" si="444"/>
        <v>55</v>
      </c>
      <c r="S3584" s="8">
        <f t="shared" ca="1" si="445"/>
        <v>49</v>
      </c>
      <c r="T3584">
        <f t="shared" ca="1" si="446"/>
        <v>1.3613314252800002</v>
      </c>
      <c r="U3584" s="8">
        <f t="shared" ca="1" si="447"/>
        <v>4.7597429964800009</v>
      </c>
      <c r="V3584" s="9">
        <f ca="1">RawData[[#This Row],[Z (smoothed demand size)]]/RawData[[#This Row],[X (smoothed interval)]]</f>
        <v>0.28600943922534328</v>
      </c>
    </row>
    <row r="3585" spans="1:22">
      <c r="A3585" t="s">
        <v>69</v>
      </c>
      <c r="B3585" t="s">
        <v>60</v>
      </c>
      <c r="C3585">
        <v>32</v>
      </c>
      <c r="D3585" t="s">
        <v>15</v>
      </c>
      <c r="E3585" t="s">
        <v>16</v>
      </c>
      <c r="F3585" s="1">
        <v>44569</v>
      </c>
      <c r="G3585">
        <v>0</v>
      </c>
      <c r="H3585">
        <v>0</v>
      </c>
      <c r="I3585">
        <v>7</v>
      </c>
      <c r="J3585">
        <v>7</v>
      </c>
      <c r="K3585">
        <v>0</v>
      </c>
      <c r="L3585">
        <v>460</v>
      </c>
      <c r="M3585">
        <v>45</v>
      </c>
      <c r="N3585" s="1">
        <f t="shared" si="440"/>
        <v>44938</v>
      </c>
      <c r="O3585" s="1">
        <f t="shared" si="441"/>
        <v>43101</v>
      </c>
      <c r="P3585" s="1">
        <f t="shared" si="442"/>
        <v>44774</v>
      </c>
      <c r="Q3585" s="8">
        <f t="shared" si="443"/>
        <v>0</v>
      </c>
      <c r="R3585" s="8">
        <f t="shared" si="444"/>
        <v>56</v>
      </c>
      <c r="S3585" s="8">
        <f t="shared" ca="1" si="445"/>
        <v>49</v>
      </c>
      <c r="T3585">
        <f t="shared" ca="1" si="446"/>
        <v>1.3613314252800002</v>
      </c>
      <c r="U3585" s="8">
        <f t="shared" ca="1" si="447"/>
        <v>4.7597429964800009</v>
      </c>
      <c r="V3585" s="9">
        <f ca="1">RawData[[#This Row],[Z (smoothed demand size)]]/RawData[[#This Row],[X (smoothed interval)]]</f>
        <v>0.28600943922534328</v>
      </c>
    </row>
    <row r="3586" spans="1:22">
      <c r="A3586" t="s">
        <v>69</v>
      </c>
      <c r="B3586" t="s">
        <v>60</v>
      </c>
      <c r="C3586">
        <v>32</v>
      </c>
      <c r="D3586" t="s">
        <v>15</v>
      </c>
      <c r="E3586" t="s">
        <v>16</v>
      </c>
      <c r="F3586" s="1">
        <v>44570</v>
      </c>
      <c r="G3586">
        <v>3</v>
      </c>
      <c r="H3586">
        <v>3</v>
      </c>
      <c r="I3586">
        <v>7</v>
      </c>
      <c r="J3586">
        <v>4</v>
      </c>
      <c r="K3586">
        <v>0</v>
      </c>
      <c r="L3586">
        <v>406</v>
      </c>
      <c r="M3586">
        <v>15</v>
      </c>
      <c r="N3586" s="1">
        <f t="shared" ref="N3586:N3649" si="448">MAX(F:F)</f>
        <v>44938</v>
      </c>
      <c r="O3586" s="1">
        <f t="shared" ref="O3586:O3649" si="449">MIN(F:F)</f>
        <v>43101</v>
      </c>
      <c r="P3586" s="1">
        <f t="shared" ref="P3586:P3649" si="450">DATE(YEAR(F3586), DAY(F3586), 1)</f>
        <v>44805</v>
      </c>
      <c r="Q3586" s="8">
        <f t="shared" ref="Q3586:Q3649" si="451" xml:space="preserve"> IF(A3586&lt;&gt;A3585, 1, 0)</f>
        <v>0</v>
      </c>
      <c r="R3586" s="8">
        <f t="shared" ref="R3586:R3649" si="452">IF(Q3586=1,1,R3585+1)</f>
        <v>57</v>
      </c>
      <c r="S3586" s="8">
        <f t="shared" ref="S3586:S3649" ca="1" si="453" xml:space="preserve"> IF(Q3586=1, IF(G3586&gt;0, R3586, 0), IF(G3586&gt;0, R3586, OFFSET(S3586,-1,0)))</f>
        <v>57</v>
      </c>
      <c r="T3586">
        <f t="shared" ref="T3586:T3649" ca="1" si="454" xml:space="preserve"> IF(Q3586=1, IF(G3586&gt;0, G3586, 0), IF(G3586&gt;0, $X$1*G3586+(1-$X$1)*OFFSET(T3586,-1,0), OFFSET(T3586,-1,0)))</f>
        <v>1.6890651402240002</v>
      </c>
      <c r="U3586" s="8">
        <f t="shared" ref="U3586:U3649" ca="1" si="455" xml:space="preserve"> IF(Q3586=1, 1, IF(G3586&gt;0, $X$1*(R3586-OFFSET(S3586,-1,0))+(1-$X$1)*OFFSET(U3586,-1,0), OFFSET(U3586,-1,0)))</f>
        <v>5.4077943971840003</v>
      </c>
      <c r="V3586" s="9">
        <f ca="1">RawData[[#This Row],[Z (smoothed demand size)]]/RawData[[#This Row],[X (smoothed interval)]]</f>
        <v>0.31233900850660057</v>
      </c>
    </row>
    <row r="3587" spans="1:22">
      <c r="A3587" t="s">
        <v>69</v>
      </c>
      <c r="B3587" t="s">
        <v>60</v>
      </c>
      <c r="C3587">
        <v>32</v>
      </c>
      <c r="D3587" t="s">
        <v>15</v>
      </c>
      <c r="E3587" t="s">
        <v>16</v>
      </c>
      <c r="F3587" s="1">
        <v>44571</v>
      </c>
      <c r="G3587">
        <v>0</v>
      </c>
      <c r="H3587">
        <v>0</v>
      </c>
      <c r="I3587">
        <v>21</v>
      </c>
      <c r="J3587">
        <v>21</v>
      </c>
      <c r="K3587">
        <v>0</v>
      </c>
      <c r="L3587">
        <v>399</v>
      </c>
      <c r="M3587">
        <v>45</v>
      </c>
      <c r="N3587" s="1">
        <f t="shared" si="448"/>
        <v>44938</v>
      </c>
      <c r="O3587" s="1">
        <f t="shared" si="449"/>
        <v>43101</v>
      </c>
      <c r="P3587" s="1">
        <f t="shared" si="450"/>
        <v>44835</v>
      </c>
      <c r="Q3587" s="8">
        <f t="shared" si="451"/>
        <v>0</v>
      </c>
      <c r="R3587" s="8">
        <f t="shared" si="452"/>
        <v>58</v>
      </c>
      <c r="S3587" s="8">
        <f t="shared" ca="1" si="453"/>
        <v>57</v>
      </c>
      <c r="T3587">
        <f t="shared" ca="1" si="454"/>
        <v>1.6890651402240002</v>
      </c>
      <c r="U3587" s="8">
        <f t="shared" ca="1" si="455"/>
        <v>5.4077943971840003</v>
      </c>
      <c r="V3587" s="9">
        <f ca="1">RawData[[#This Row],[Z (smoothed demand size)]]/RawData[[#This Row],[X (smoothed interval)]]</f>
        <v>0.31233900850660057</v>
      </c>
    </row>
    <row r="3588" spans="1:22">
      <c r="A3588" t="s">
        <v>69</v>
      </c>
      <c r="B3588" t="s">
        <v>60</v>
      </c>
      <c r="C3588">
        <v>32</v>
      </c>
      <c r="D3588" t="s">
        <v>15</v>
      </c>
      <c r="E3588" t="s">
        <v>16</v>
      </c>
      <c r="F3588" s="1">
        <v>44572</v>
      </c>
      <c r="G3588">
        <v>0</v>
      </c>
      <c r="H3588">
        <v>0</v>
      </c>
      <c r="I3588">
        <v>21</v>
      </c>
      <c r="J3588">
        <v>21</v>
      </c>
      <c r="K3588">
        <v>0</v>
      </c>
      <c r="L3588">
        <v>408</v>
      </c>
      <c r="M3588">
        <v>45</v>
      </c>
      <c r="N3588" s="1">
        <f t="shared" si="448"/>
        <v>44938</v>
      </c>
      <c r="O3588" s="1">
        <f t="shared" si="449"/>
        <v>43101</v>
      </c>
      <c r="P3588" s="1">
        <f t="shared" si="450"/>
        <v>44866</v>
      </c>
      <c r="Q3588" s="8">
        <f t="shared" si="451"/>
        <v>0</v>
      </c>
      <c r="R3588" s="8">
        <f t="shared" si="452"/>
        <v>59</v>
      </c>
      <c r="S3588" s="8">
        <f t="shared" ca="1" si="453"/>
        <v>57</v>
      </c>
      <c r="T3588">
        <f t="shared" ca="1" si="454"/>
        <v>1.6890651402240002</v>
      </c>
      <c r="U3588" s="8">
        <f t="shared" ca="1" si="455"/>
        <v>5.4077943971840003</v>
      </c>
      <c r="V3588" s="9">
        <f ca="1">RawData[[#This Row],[Z (smoothed demand size)]]/RawData[[#This Row],[X (smoothed interval)]]</f>
        <v>0.31233900850660057</v>
      </c>
    </row>
    <row r="3589" spans="1:22">
      <c r="A3589" t="s">
        <v>69</v>
      </c>
      <c r="B3589" t="s">
        <v>60</v>
      </c>
      <c r="C3589">
        <v>32</v>
      </c>
      <c r="D3589" t="s">
        <v>15</v>
      </c>
      <c r="E3589" t="s">
        <v>16</v>
      </c>
      <c r="F3589" s="1">
        <v>44573</v>
      </c>
      <c r="G3589">
        <v>1</v>
      </c>
      <c r="H3589">
        <v>1</v>
      </c>
      <c r="I3589">
        <v>21</v>
      </c>
      <c r="J3589">
        <v>20</v>
      </c>
      <c r="K3589">
        <v>0</v>
      </c>
      <c r="L3589">
        <v>467</v>
      </c>
      <c r="M3589">
        <v>15</v>
      </c>
      <c r="N3589" s="1">
        <f t="shared" si="448"/>
        <v>44938</v>
      </c>
      <c r="O3589" s="1">
        <f t="shared" si="449"/>
        <v>43101</v>
      </c>
      <c r="P3589" s="1">
        <f t="shared" si="450"/>
        <v>44896</v>
      </c>
      <c r="Q3589" s="8">
        <f t="shared" si="451"/>
        <v>0</v>
      </c>
      <c r="R3589" s="8">
        <f t="shared" si="452"/>
        <v>60</v>
      </c>
      <c r="S3589" s="8">
        <f t="shared" ca="1" si="453"/>
        <v>60</v>
      </c>
      <c r="T3589">
        <f t="shared" ca="1" si="454"/>
        <v>1.5512521121792002</v>
      </c>
      <c r="U3589" s="8">
        <f t="shared" ca="1" si="455"/>
        <v>4.9262355177471999</v>
      </c>
      <c r="V3589" s="9">
        <f ca="1">RawData[[#This Row],[Z (smoothed demand size)]]/RawData[[#This Row],[X (smoothed interval)]]</f>
        <v>0.31489605127296028</v>
      </c>
    </row>
    <row r="3590" spans="1:22">
      <c r="A3590" t="s">
        <v>69</v>
      </c>
      <c r="B3590" t="s">
        <v>60</v>
      </c>
      <c r="C3590">
        <v>32</v>
      </c>
      <c r="D3590" t="s">
        <v>15</v>
      </c>
      <c r="E3590" t="s">
        <v>16</v>
      </c>
      <c r="F3590" s="1">
        <v>44927</v>
      </c>
      <c r="G3590">
        <v>0</v>
      </c>
      <c r="H3590">
        <v>0</v>
      </c>
      <c r="I3590">
        <v>20</v>
      </c>
      <c r="J3590">
        <v>20</v>
      </c>
      <c r="K3590">
        <v>0</v>
      </c>
      <c r="L3590">
        <v>408</v>
      </c>
      <c r="M3590">
        <v>45</v>
      </c>
      <c r="N3590" s="1">
        <f t="shared" si="448"/>
        <v>44938</v>
      </c>
      <c r="O3590" s="1">
        <f t="shared" si="449"/>
        <v>43101</v>
      </c>
      <c r="P3590" s="1">
        <f t="shared" si="450"/>
        <v>44927</v>
      </c>
      <c r="Q3590" s="8">
        <f t="shared" si="451"/>
        <v>0</v>
      </c>
      <c r="R3590" s="8">
        <f t="shared" si="452"/>
        <v>61</v>
      </c>
      <c r="S3590" s="8">
        <f t="shared" ca="1" si="453"/>
        <v>60</v>
      </c>
      <c r="T3590">
        <f t="shared" ca="1" si="454"/>
        <v>1.5512521121792002</v>
      </c>
      <c r="U3590" s="8">
        <f t="shared" ca="1" si="455"/>
        <v>4.9262355177471999</v>
      </c>
      <c r="V3590" s="9">
        <f ca="1">RawData[[#This Row],[Z (smoothed demand size)]]/RawData[[#This Row],[X (smoothed interval)]]</f>
        <v>0.31489605127296028</v>
      </c>
    </row>
    <row r="3591" spans="1:22">
      <c r="A3591" t="s">
        <v>69</v>
      </c>
      <c r="B3591" t="s">
        <v>60</v>
      </c>
      <c r="C3591">
        <v>32</v>
      </c>
      <c r="D3591" t="s">
        <v>15</v>
      </c>
      <c r="E3591" t="s">
        <v>16</v>
      </c>
      <c r="F3591" s="1">
        <v>44928</v>
      </c>
      <c r="G3591">
        <v>0</v>
      </c>
      <c r="H3591">
        <v>0</v>
      </c>
      <c r="I3591">
        <v>20</v>
      </c>
      <c r="J3591">
        <v>20</v>
      </c>
      <c r="K3591">
        <v>0</v>
      </c>
      <c r="L3591">
        <v>405</v>
      </c>
      <c r="M3591">
        <v>15</v>
      </c>
      <c r="N3591" s="1">
        <f t="shared" si="448"/>
        <v>44938</v>
      </c>
      <c r="O3591" s="1">
        <f t="shared" si="449"/>
        <v>43101</v>
      </c>
      <c r="P3591" s="1">
        <f t="shared" si="450"/>
        <v>44958</v>
      </c>
      <c r="Q3591" s="8">
        <f t="shared" si="451"/>
        <v>0</v>
      </c>
      <c r="R3591" s="8">
        <f t="shared" si="452"/>
        <v>62</v>
      </c>
      <c r="S3591" s="8">
        <f t="shared" ca="1" si="453"/>
        <v>60</v>
      </c>
      <c r="T3591">
        <f t="shared" ca="1" si="454"/>
        <v>1.5512521121792002</v>
      </c>
      <c r="U3591" s="8">
        <f t="shared" ca="1" si="455"/>
        <v>4.9262355177471999</v>
      </c>
      <c r="V3591" s="9">
        <f ca="1">RawData[[#This Row],[Z (smoothed demand size)]]/RawData[[#This Row],[X (smoothed interval)]]</f>
        <v>0.31489605127296028</v>
      </c>
    </row>
    <row r="3592" spans="1:22">
      <c r="A3592" t="s">
        <v>69</v>
      </c>
      <c r="B3592" t="s">
        <v>60</v>
      </c>
      <c r="C3592">
        <v>32</v>
      </c>
      <c r="D3592" t="s">
        <v>15</v>
      </c>
      <c r="E3592" t="s">
        <v>16</v>
      </c>
      <c r="F3592" s="1">
        <v>44929</v>
      </c>
      <c r="G3592">
        <v>1</v>
      </c>
      <c r="H3592">
        <v>1</v>
      </c>
      <c r="I3592">
        <v>20</v>
      </c>
      <c r="J3592">
        <v>19</v>
      </c>
      <c r="K3592">
        <v>0</v>
      </c>
      <c r="L3592">
        <v>399</v>
      </c>
      <c r="M3592">
        <v>15</v>
      </c>
      <c r="N3592" s="1">
        <f t="shared" si="448"/>
        <v>44938</v>
      </c>
      <c r="O3592" s="1">
        <f t="shared" si="449"/>
        <v>43101</v>
      </c>
      <c r="P3592" s="1">
        <f t="shared" si="450"/>
        <v>44986</v>
      </c>
      <c r="Q3592" s="8">
        <f t="shared" si="451"/>
        <v>0</v>
      </c>
      <c r="R3592" s="8">
        <f t="shared" si="452"/>
        <v>63</v>
      </c>
      <c r="S3592" s="8">
        <f t="shared" ca="1" si="453"/>
        <v>63</v>
      </c>
      <c r="T3592">
        <f t="shared" ca="1" si="454"/>
        <v>1.4410016897433602</v>
      </c>
      <c r="U3592" s="8">
        <f t="shared" ca="1" si="455"/>
        <v>4.5409884141977601</v>
      </c>
      <c r="V3592" s="9">
        <f ca="1">RawData[[#This Row],[Z (smoothed demand size)]]/RawData[[#This Row],[X (smoothed interval)]]</f>
        <v>0.31733216610682252</v>
      </c>
    </row>
    <row r="3593" spans="1:22">
      <c r="A3593" t="s">
        <v>69</v>
      </c>
      <c r="B3593" t="s">
        <v>60</v>
      </c>
      <c r="C3593">
        <v>32</v>
      </c>
      <c r="D3593" t="s">
        <v>15</v>
      </c>
      <c r="E3593" t="s">
        <v>16</v>
      </c>
      <c r="F3593" s="1">
        <v>44930</v>
      </c>
      <c r="G3593">
        <v>0</v>
      </c>
      <c r="H3593">
        <v>0</v>
      </c>
      <c r="I3593">
        <v>19</v>
      </c>
      <c r="J3593">
        <v>19</v>
      </c>
      <c r="K3593">
        <v>0</v>
      </c>
      <c r="L3593">
        <v>407</v>
      </c>
      <c r="M3593">
        <v>15</v>
      </c>
      <c r="N3593" s="1">
        <f t="shared" si="448"/>
        <v>44938</v>
      </c>
      <c r="O3593" s="1">
        <f t="shared" si="449"/>
        <v>43101</v>
      </c>
      <c r="P3593" s="1">
        <f t="shared" si="450"/>
        <v>45017</v>
      </c>
      <c r="Q3593" s="8">
        <f t="shared" si="451"/>
        <v>0</v>
      </c>
      <c r="R3593" s="8">
        <f t="shared" si="452"/>
        <v>64</v>
      </c>
      <c r="S3593" s="8">
        <f t="shared" ca="1" si="453"/>
        <v>63</v>
      </c>
      <c r="T3593">
        <f t="shared" ca="1" si="454"/>
        <v>1.4410016897433602</v>
      </c>
      <c r="U3593" s="8">
        <f t="shared" ca="1" si="455"/>
        <v>4.5409884141977601</v>
      </c>
      <c r="V3593" s="9">
        <f ca="1">RawData[[#This Row],[Z (smoothed demand size)]]/RawData[[#This Row],[X (smoothed interval)]]</f>
        <v>0.31733216610682252</v>
      </c>
    </row>
    <row r="3594" spans="1:22">
      <c r="A3594" t="s">
        <v>69</v>
      </c>
      <c r="B3594" t="s">
        <v>60</v>
      </c>
      <c r="C3594">
        <v>32</v>
      </c>
      <c r="D3594" t="s">
        <v>15</v>
      </c>
      <c r="E3594" t="s">
        <v>16</v>
      </c>
      <c r="F3594" s="1">
        <v>44931</v>
      </c>
      <c r="G3594">
        <v>1</v>
      </c>
      <c r="H3594">
        <v>1</v>
      </c>
      <c r="I3594">
        <v>19</v>
      </c>
      <c r="J3594">
        <v>18</v>
      </c>
      <c r="K3594">
        <v>0</v>
      </c>
      <c r="L3594">
        <v>408</v>
      </c>
      <c r="M3594">
        <v>60</v>
      </c>
      <c r="N3594" s="1">
        <f t="shared" si="448"/>
        <v>44938</v>
      </c>
      <c r="O3594" s="1">
        <f t="shared" si="449"/>
        <v>43101</v>
      </c>
      <c r="P3594" s="1">
        <f t="shared" si="450"/>
        <v>45047</v>
      </c>
      <c r="Q3594" s="8">
        <f t="shared" si="451"/>
        <v>0</v>
      </c>
      <c r="R3594" s="8">
        <f t="shared" si="452"/>
        <v>65</v>
      </c>
      <c r="S3594" s="8">
        <f t="shared" ca="1" si="453"/>
        <v>65</v>
      </c>
      <c r="T3594">
        <f t="shared" ca="1" si="454"/>
        <v>1.3528013517946882</v>
      </c>
      <c r="U3594" s="8">
        <f t="shared" ca="1" si="455"/>
        <v>4.0327907313582081</v>
      </c>
      <c r="V3594" s="9">
        <f ca="1">RawData[[#This Row],[Z (smoothed demand size)]]/RawData[[#This Row],[X (smoothed interval)]]</f>
        <v>0.33545042178250511</v>
      </c>
    </row>
    <row r="3595" spans="1:22">
      <c r="A3595" t="s">
        <v>69</v>
      </c>
      <c r="B3595" t="s">
        <v>60</v>
      </c>
      <c r="C3595">
        <v>32</v>
      </c>
      <c r="D3595" t="s">
        <v>15</v>
      </c>
      <c r="E3595" t="s">
        <v>16</v>
      </c>
      <c r="F3595" s="1">
        <v>44932</v>
      </c>
      <c r="G3595">
        <v>0</v>
      </c>
      <c r="H3595">
        <v>0</v>
      </c>
      <c r="I3595">
        <v>18</v>
      </c>
      <c r="J3595">
        <v>18</v>
      </c>
      <c r="K3595">
        <v>0</v>
      </c>
      <c r="L3595">
        <v>467</v>
      </c>
      <c r="M3595">
        <v>45</v>
      </c>
      <c r="N3595" s="1">
        <f t="shared" si="448"/>
        <v>44938</v>
      </c>
      <c r="O3595" s="1">
        <f t="shared" si="449"/>
        <v>43101</v>
      </c>
      <c r="P3595" s="1">
        <f t="shared" si="450"/>
        <v>45078</v>
      </c>
      <c r="Q3595" s="8">
        <f t="shared" si="451"/>
        <v>0</v>
      </c>
      <c r="R3595" s="8">
        <f t="shared" si="452"/>
        <v>66</v>
      </c>
      <c r="S3595" s="8">
        <f t="shared" ca="1" si="453"/>
        <v>65</v>
      </c>
      <c r="T3595">
        <f t="shared" ca="1" si="454"/>
        <v>1.3528013517946882</v>
      </c>
      <c r="U3595" s="8">
        <f t="shared" ca="1" si="455"/>
        <v>4.0327907313582081</v>
      </c>
      <c r="V3595" s="9">
        <f ca="1">RawData[[#This Row],[Z (smoothed demand size)]]/RawData[[#This Row],[X (smoothed interval)]]</f>
        <v>0.33545042178250511</v>
      </c>
    </row>
    <row r="3596" spans="1:22">
      <c r="A3596" t="s">
        <v>69</v>
      </c>
      <c r="B3596" t="s">
        <v>60</v>
      </c>
      <c r="C3596">
        <v>32</v>
      </c>
      <c r="D3596" t="s">
        <v>15</v>
      </c>
      <c r="E3596" t="s">
        <v>16</v>
      </c>
      <c r="F3596" s="1">
        <v>44933</v>
      </c>
      <c r="G3596">
        <v>3</v>
      </c>
      <c r="H3596">
        <v>3</v>
      </c>
      <c r="I3596">
        <v>18</v>
      </c>
      <c r="J3596">
        <v>15</v>
      </c>
      <c r="K3596">
        <v>0</v>
      </c>
      <c r="L3596">
        <v>467</v>
      </c>
      <c r="M3596">
        <v>15</v>
      </c>
      <c r="N3596" s="1">
        <f t="shared" si="448"/>
        <v>44938</v>
      </c>
      <c r="O3596" s="1">
        <f t="shared" si="449"/>
        <v>43101</v>
      </c>
      <c r="P3596" s="1">
        <f t="shared" si="450"/>
        <v>45108</v>
      </c>
      <c r="Q3596" s="8">
        <f t="shared" si="451"/>
        <v>0</v>
      </c>
      <c r="R3596" s="8">
        <f t="shared" si="452"/>
        <v>67</v>
      </c>
      <c r="S3596" s="8">
        <f t="shared" ca="1" si="453"/>
        <v>67</v>
      </c>
      <c r="T3596">
        <f t="shared" ca="1" si="454"/>
        <v>1.6822410814357507</v>
      </c>
      <c r="U3596" s="8">
        <f t="shared" ca="1" si="455"/>
        <v>3.6262325850865667</v>
      </c>
      <c r="V3596" s="9">
        <f ca="1">RawData[[#This Row],[Z (smoothed demand size)]]/RawData[[#This Row],[X (smoothed interval)]]</f>
        <v>0.46390876535449577</v>
      </c>
    </row>
    <row r="3597" spans="1:22">
      <c r="A3597" t="s">
        <v>69</v>
      </c>
      <c r="B3597" t="s">
        <v>60</v>
      </c>
      <c r="C3597">
        <v>32</v>
      </c>
      <c r="D3597" t="s">
        <v>15</v>
      </c>
      <c r="E3597" t="s">
        <v>16</v>
      </c>
      <c r="F3597" s="1">
        <v>44934</v>
      </c>
      <c r="G3597">
        <v>0</v>
      </c>
      <c r="H3597">
        <v>0</v>
      </c>
      <c r="I3597">
        <v>15</v>
      </c>
      <c r="J3597">
        <v>15</v>
      </c>
      <c r="K3597">
        <v>0</v>
      </c>
      <c r="L3597">
        <v>456</v>
      </c>
      <c r="M3597">
        <v>30</v>
      </c>
      <c r="N3597" s="1">
        <f t="shared" si="448"/>
        <v>44938</v>
      </c>
      <c r="O3597" s="1">
        <f t="shared" si="449"/>
        <v>43101</v>
      </c>
      <c r="P3597" s="1">
        <f t="shared" si="450"/>
        <v>45139</v>
      </c>
      <c r="Q3597" s="8">
        <f t="shared" si="451"/>
        <v>0</v>
      </c>
      <c r="R3597" s="8">
        <f t="shared" si="452"/>
        <v>68</v>
      </c>
      <c r="S3597" s="8">
        <f t="shared" ca="1" si="453"/>
        <v>67</v>
      </c>
      <c r="T3597">
        <f t="shared" ca="1" si="454"/>
        <v>1.6822410814357507</v>
      </c>
      <c r="U3597" s="8">
        <f t="shared" ca="1" si="455"/>
        <v>3.6262325850865667</v>
      </c>
      <c r="V3597" s="9">
        <f ca="1">RawData[[#This Row],[Z (smoothed demand size)]]/RawData[[#This Row],[X (smoothed interval)]]</f>
        <v>0.46390876535449577</v>
      </c>
    </row>
    <row r="3598" spans="1:22">
      <c r="A3598" t="s">
        <v>69</v>
      </c>
      <c r="B3598" t="s">
        <v>60</v>
      </c>
      <c r="C3598">
        <v>32</v>
      </c>
      <c r="D3598" t="s">
        <v>15</v>
      </c>
      <c r="E3598" t="s">
        <v>16</v>
      </c>
      <c r="F3598" s="1">
        <v>44935</v>
      </c>
      <c r="G3598">
        <v>1</v>
      </c>
      <c r="H3598">
        <v>1</v>
      </c>
      <c r="I3598">
        <v>15</v>
      </c>
      <c r="J3598">
        <v>14</v>
      </c>
      <c r="K3598">
        <v>0</v>
      </c>
      <c r="L3598">
        <v>406</v>
      </c>
      <c r="M3598">
        <v>60</v>
      </c>
      <c r="N3598" s="1">
        <f t="shared" si="448"/>
        <v>44938</v>
      </c>
      <c r="O3598" s="1">
        <f t="shared" si="449"/>
        <v>43101</v>
      </c>
      <c r="P3598" s="1">
        <f t="shared" si="450"/>
        <v>45170</v>
      </c>
      <c r="Q3598" s="8">
        <f t="shared" si="451"/>
        <v>0</v>
      </c>
      <c r="R3598" s="8">
        <f t="shared" si="452"/>
        <v>69</v>
      </c>
      <c r="S3598" s="8">
        <f t="shared" ca="1" si="453"/>
        <v>69</v>
      </c>
      <c r="T3598">
        <f t="shared" ca="1" si="454"/>
        <v>1.5457928651486006</v>
      </c>
      <c r="U3598" s="8">
        <f t="shared" ca="1" si="455"/>
        <v>3.3009860680692533</v>
      </c>
      <c r="V3598" s="9">
        <f ca="1">RawData[[#This Row],[Z (smoothed demand size)]]/RawData[[#This Row],[X (smoothed interval)]]</f>
        <v>0.46828215365741754</v>
      </c>
    </row>
    <row r="3599" spans="1:22">
      <c r="A3599" t="s">
        <v>69</v>
      </c>
      <c r="B3599" t="s">
        <v>60</v>
      </c>
      <c r="C3599">
        <v>32</v>
      </c>
      <c r="D3599" t="s">
        <v>15</v>
      </c>
      <c r="E3599" t="s">
        <v>16</v>
      </c>
      <c r="F3599" s="1">
        <v>44936</v>
      </c>
      <c r="G3599">
        <v>0</v>
      </c>
      <c r="H3599">
        <v>0</v>
      </c>
      <c r="I3599">
        <v>14</v>
      </c>
      <c r="J3599">
        <v>14</v>
      </c>
      <c r="K3599">
        <v>0</v>
      </c>
      <c r="L3599">
        <v>398</v>
      </c>
      <c r="M3599">
        <v>30</v>
      </c>
      <c r="N3599" s="1">
        <f t="shared" si="448"/>
        <v>44938</v>
      </c>
      <c r="O3599" s="1">
        <f t="shared" si="449"/>
        <v>43101</v>
      </c>
      <c r="P3599" s="1">
        <f t="shared" si="450"/>
        <v>45200</v>
      </c>
      <c r="Q3599" s="8">
        <f t="shared" si="451"/>
        <v>0</v>
      </c>
      <c r="R3599" s="8">
        <f t="shared" si="452"/>
        <v>70</v>
      </c>
      <c r="S3599" s="8">
        <f t="shared" ca="1" si="453"/>
        <v>69</v>
      </c>
      <c r="T3599">
        <f t="shared" ca="1" si="454"/>
        <v>1.5457928651486006</v>
      </c>
      <c r="U3599" s="8">
        <f t="shared" ca="1" si="455"/>
        <v>3.3009860680692533</v>
      </c>
      <c r="V3599" s="9">
        <f ca="1">RawData[[#This Row],[Z (smoothed demand size)]]/RawData[[#This Row],[X (smoothed interval)]]</f>
        <v>0.46828215365741754</v>
      </c>
    </row>
    <row r="3600" spans="1:22">
      <c r="A3600" t="s">
        <v>69</v>
      </c>
      <c r="B3600" t="s">
        <v>60</v>
      </c>
      <c r="C3600">
        <v>32</v>
      </c>
      <c r="D3600" t="s">
        <v>15</v>
      </c>
      <c r="E3600" t="s">
        <v>16</v>
      </c>
      <c r="F3600" s="1">
        <v>44937</v>
      </c>
      <c r="G3600">
        <v>2</v>
      </c>
      <c r="H3600">
        <v>2</v>
      </c>
      <c r="I3600">
        <v>14</v>
      </c>
      <c r="J3600">
        <v>12</v>
      </c>
      <c r="K3600">
        <v>0</v>
      </c>
      <c r="L3600">
        <v>400</v>
      </c>
      <c r="M3600">
        <v>30</v>
      </c>
      <c r="N3600" s="1">
        <f t="shared" si="448"/>
        <v>44938</v>
      </c>
      <c r="O3600" s="1">
        <f t="shared" si="449"/>
        <v>43101</v>
      </c>
      <c r="P3600" s="1">
        <f t="shared" si="450"/>
        <v>45231</v>
      </c>
      <c r="Q3600" s="8">
        <f t="shared" si="451"/>
        <v>0</v>
      </c>
      <c r="R3600" s="8">
        <f t="shared" si="452"/>
        <v>71</v>
      </c>
      <c r="S3600" s="8">
        <f t="shared" ca="1" si="453"/>
        <v>71</v>
      </c>
      <c r="T3600">
        <f t="shared" ca="1" si="454"/>
        <v>1.6366342921188806</v>
      </c>
      <c r="U3600" s="8">
        <f t="shared" ca="1" si="455"/>
        <v>3.0407888544554029</v>
      </c>
      <c r="V3600" s="9">
        <f ca="1">RawData[[#This Row],[Z (smoothed demand size)]]/RawData[[#This Row],[X (smoothed interval)]]</f>
        <v>0.53822687810791692</v>
      </c>
    </row>
    <row r="3601" spans="1:22">
      <c r="A3601" t="s">
        <v>69</v>
      </c>
      <c r="B3601" t="s">
        <v>60</v>
      </c>
      <c r="C3601">
        <v>32</v>
      </c>
      <c r="D3601" t="s">
        <v>15</v>
      </c>
      <c r="E3601" t="s">
        <v>16</v>
      </c>
      <c r="F3601" s="1">
        <v>44938</v>
      </c>
      <c r="G3601">
        <v>0</v>
      </c>
      <c r="H3601">
        <v>0</v>
      </c>
      <c r="I3601">
        <v>12</v>
      </c>
      <c r="J3601">
        <v>12</v>
      </c>
      <c r="K3601">
        <v>0</v>
      </c>
      <c r="L3601">
        <v>459</v>
      </c>
      <c r="M3601">
        <v>30</v>
      </c>
      <c r="N3601" s="1">
        <f t="shared" si="448"/>
        <v>44938</v>
      </c>
      <c r="O3601" s="1">
        <f t="shared" si="449"/>
        <v>43101</v>
      </c>
      <c r="P3601" s="1">
        <f t="shared" si="450"/>
        <v>45261</v>
      </c>
      <c r="Q3601" s="8">
        <f t="shared" si="451"/>
        <v>0</v>
      </c>
      <c r="R3601" s="8">
        <f t="shared" si="452"/>
        <v>72</v>
      </c>
      <c r="S3601" s="8">
        <f t="shared" ca="1" si="453"/>
        <v>71</v>
      </c>
      <c r="T3601">
        <f t="shared" ca="1" si="454"/>
        <v>1.6366342921188806</v>
      </c>
      <c r="U3601" s="8">
        <f t="shared" ca="1" si="455"/>
        <v>3.0407888544554029</v>
      </c>
      <c r="V3601" s="9">
        <f ca="1">RawData[[#This Row],[Z (smoothed demand size)]]/RawData[[#This Row],[X (smoothed interval)]]</f>
        <v>0.53822687810791692</v>
      </c>
    </row>
    <row r="3602" spans="1:22">
      <c r="A3602" t="s">
        <v>70</v>
      </c>
      <c r="B3602" t="s">
        <v>60</v>
      </c>
      <c r="C3602">
        <v>24</v>
      </c>
      <c r="D3602" t="s">
        <v>22</v>
      </c>
      <c r="E3602" t="s">
        <v>16</v>
      </c>
      <c r="F3602" s="1">
        <v>43101</v>
      </c>
      <c r="G3602">
        <v>0</v>
      </c>
      <c r="H3602">
        <v>0</v>
      </c>
      <c r="I3602">
        <v>15</v>
      </c>
      <c r="J3602">
        <v>15</v>
      </c>
      <c r="K3602">
        <v>0</v>
      </c>
      <c r="L3602">
        <v>693</v>
      </c>
      <c r="M3602">
        <v>45</v>
      </c>
      <c r="N3602" s="1">
        <f t="shared" si="448"/>
        <v>44938</v>
      </c>
      <c r="O3602" s="1">
        <f t="shared" si="449"/>
        <v>43101</v>
      </c>
      <c r="P3602" s="1">
        <f t="shared" si="450"/>
        <v>43101</v>
      </c>
      <c r="Q3602" s="8">
        <f t="shared" si="451"/>
        <v>1</v>
      </c>
      <c r="R3602" s="8">
        <f t="shared" si="452"/>
        <v>1</v>
      </c>
      <c r="S3602" s="8">
        <f t="shared" ca="1" si="453"/>
        <v>0</v>
      </c>
      <c r="T3602">
        <f t="shared" ca="1" si="454"/>
        <v>0</v>
      </c>
      <c r="U3602" s="8">
        <f t="shared" ca="1" si="455"/>
        <v>1</v>
      </c>
      <c r="V3602" s="9">
        <f ca="1">RawData[[#This Row],[Z (smoothed demand size)]]/RawData[[#This Row],[X (smoothed interval)]]</f>
        <v>0</v>
      </c>
    </row>
    <row r="3603" spans="1:22">
      <c r="A3603" t="s">
        <v>70</v>
      </c>
      <c r="B3603" t="s">
        <v>60</v>
      </c>
      <c r="C3603">
        <v>24</v>
      </c>
      <c r="D3603" t="s">
        <v>22</v>
      </c>
      <c r="E3603" t="s">
        <v>16</v>
      </c>
      <c r="F3603" s="1">
        <v>43102</v>
      </c>
      <c r="G3603">
        <v>0</v>
      </c>
      <c r="H3603">
        <v>0</v>
      </c>
      <c r="I3603">
        <v>15</v>
      </c>
      <c r="J3603">
        <v>15</v>
      </c>
      <c r="K3603">
        <v>0</v>
      </c>
      <c r="L3603">
        <v>700</v>
      </c>
      <c r="M3603">
        <v>30</v>
      </c>
      <c r="N3603" s="1">
        <f t="shared" si="448"/>
        <v>44938</v>
      </c>
      <c r="O3603" s="1">
        <f t="shared" si="449"/>
        <v>43101</v>
      </c>
      <c r="P3603" s="1">
        <f t="shared" si="450"/>
        <v>43132</v>
      </c>
      <c r="Q3603" s="8">
        <f t="shared" si="451"/>
        <v>0</v>
      </c>
      <c r="R3603" s="8">
        <f t="shared" si="452"/>
        <v>2</v>
      </c>
      <c r="S3603" s="8">
        <f t="shared" ca="1" si="453"/>
        <v>0</v>
      </c>
      <c r="T3603">
        <f t="shared" ca="1" si="454"/>
        <v>0</v>
      </c>
      <c r="U3603" s="8">
        <f t="shared" ca="1" si="455"/>
        <v>1</v>
      </c>
      <c r="V3603" s="9">
        <f ca="1">RawData[[#This Row],[Z (smoothed demand size)]]/RawData[[#This Row],[X (smoothed interval)]]</f>
        <v>0</v>
      </c>
    </row>
    <row r="3604" spans="1:22">
      <c r="A3604" t="s">
        <v>70</v>
      </c>
      <c r="B3604" t="s">
        <v>60</v>
      </c>
      <c r="C3604">
        <v>24</v>
      </c>
      <c r="D3604" t="s">
        <v>22</v>
      </c>
      <c r="E3604" t="s">
        <v>16</v>
      </c>
      <c r="F3604" s="1">
        <v>43103</v>
      </c>
      <c r="G3604">
        <v>0</v>
      </c>
      <c r="H3604">
        <v>0</v>
      </c>
      <c r="I3604">
        <v>15</v>
      </c>
      <c r="J3604">
        <v>15</v>
      </c>
      <c r="K3604">
        <v>0</v>
      </c>
      <c r="L3604">
        <v>693</v>
      </c>
      <c r="M3604">
        <v>60</v>
      </c>
      <c r="N3604" s="1">
        <f t="shared" si="448"/>
        <v>44938</v>
      </c>
      <c r="O3604" s="1">
        <f t="shared" si="449"/>
        <v>43101</v>
      </c>
      <c r="P3604" s="1">
        <f t="shared" si="450"/>
        <v>43160</v>
      </c>
      <c r="Q3604" s="8">
        <f t="shared" si="451"/>
        <v>0</v>
      </c>
      <c r="R3604" s="8">
        <f t="shared" si="452"/>
        <v>3</v>
      </c>
      <c r="S3604" s="8">
        <f t="shared" ca="1" si="453"/>
        <v>0</v>
      </c>
      <c r="T3604">
        <f t="shared" ca="1" si="454"/>
        <v>0</v>
      </c>
      <c r="U3604" s="8">
        <f t="shared" ca="1" si="455"/>
        <v>1</v>
      </c>
      <c r="V3604" s="9">
        <f ca="1">RawData[[#This Row],[Z (smoothed demand size)]]/RawData[[#This Row],[X (smoothed interval)]]</f>
        <v>0</v>
      </c>
    </row>
    <row r="3605" spans="1:22">
      <c r="A3605" t="s">
        <v>70</v>
      </c>
      <c r="B3605" t="s">
        <v>60</v>
      </c>
      <c r="C3605">
        <v>24</v>
      </c>
      <c r="D3605" t="s">
        <v>22</v>
      </c>
      <c r="E3605" t="s">
        <v>16</v>
      </c>
      <c r="F3605" s="1">
        <v>43104</v>
      </c>
      <c r="G3605">
        <v>0</v>
      </c>
      <c r="H3605">
        <v>0</v>
      </c>
      <c r="I3605">
        <v>15</v>
      </c>
      <c r="J3605">
        <v>15</v>
      </c>
      <c r="K3605">
        <v>0</v>
      </c>
      <c r="L3605">
        <v>689</v>
      </c>
      <c r="M3605">
        <v>45</v>
      </c>
      <c r="N3605" s="1">
        <f t="shared" si="448"/>
        <v>44938</v>
      </c>
      <c r="O3605" s="1">
        <f t="shared" si="449"/>
        <v>43101</v>
      </c>
      <c r="P3605" s="1">
        <f t="shared" si="450"/>
        <v>43191</v>
      </c>
      <c r="Q3605" s="8">
        <f t="shared" si="451"/>
        <v>0</v>
      </c>
      <c r="R3605" s="8">
        <f t="shared" si="452"/>
        <v>4</v>
      </c>
      <c r="S3605" s="8">
        <f t="shared" ca="1" si="453"/>
        <v>0</v>
      </c>
      <c r="T3605">
        <f t="shared" ca="1" si="454"/>
        <v>0</v>
      </c>
      <c r="U3605" s="8">
        <f t="shared" ca="1" si="455"/>
        <v>1</v>
      </c>
      <c r="V3605" s="9">
        <f ca="1">RawData[[#This Row],[Z (smoothed demand size)]]/RawData[[#This Row],[X (smoothed interval)]]</f>
        <v>0</v>
      </c>
    </row>
    <row r="3606" spans="1:22">
      <c r="A3606" t="s">
        <v>70</v>
      </c>
      <c r="B3606" t="s">
        <v>60</v>
      </c>
      <c r="C3606">
        <v>24</v>
      </c>
      <c r="D3606" t="s">
        <v>22</v>
      </c>
      <c r="E3606" t="s">
        <v>16</v>
      </c>
      <c r="F3606" s="1">
        <v>43105</v>
      </c>
      <c r="G3606">
        <v>0</v>
      </c>
      <c r="H3606">
        <v>0</v>
      </c>
      <c r="I3606">
        <v>15</v>
      </c>
      <c r="J3606">
        <v>15</v>
      </c>
      <c r="K3606">
        <v>0</v>
      </c>
      <c r="L3606">
        <v>691</v>
      </c>
      <c r="M3606">
        <v>15</v>
      </c>
      <c r="N3606" s="1">
        <f t="shared" si="448"/>
        <v>44938</v>
      </c>
      <c r="O3606" s="1">
        <f t="shared" si="449"/>
        <v>43101</v>
      </c>
      <c r="P3606" s="1">
        <f t="shared" si="450"/>
        <v>43221</v>
      </c>
      <c r="Q3606" s="8">
        <f t="shared" si="451"/>
        <v>0</v>
      </c>
      <c r="R3606" s="8">
        <f t="shared" si="452"/>
        <v>5</v>
      </c>
      <c r="S3606" s="8">
        <f t="shared" ca="1" si="453"/>
        <v>0</v>
      </c>
      <c r="T3606">
        <f t="shared" ca="1" si="454"/>
        <v>0</v>
      </c>
      <c r="U3606" s="8">
        <f t="shared" ca="1" si="455"/>
        <v>1</v>
      </c>
      <c r="V3606" s="9">
        <f ca="1">RawData[[#This Row],[Z (smoothed demand size)]]/RawData[[#This Row],[X (smoothed interval)]]</f>
        <v>0</v>
      </c>
    </row>
    <row r="3607" spans="1:22">
      <c r="A3607" t="s">
        <v>70</v>
      </c>
      <c r="B3607" t="s">
        <v>60</v>
      </c>
      <c r="C3607">
        <v>24</v>
      </c>
      <c r="D3607" t="s">
        <v>22</v>
      </c>
      <c r="E3607" t="s">
        <v>16</v>
      </c>
      <c r="F3607" s="1">
        <v>43106</v>
      </c>
      <c r="G3607">
        <v>0</v>
      </c>
      <c r="H3607">
        <v>0</v>
      </c>
      <c r="I3607">
        <v>15</v>
      </c>
      <c r="J3607">
        <v>15</v>
      </c>
      <c r="K3607">
        <v>0</v>
      </c>
      <c r="L3607">
        <v>795</v>
      </c>
      <c r="M3607">
        <v>45</v>
      </c>
      <c r="N3607" s="1">
        <f t="shared" si="448"/>
        <v>44938</v>
      </c>
      <c r="O3607" s="1">
        <f t="shared" si="449"/>
        <v>43101</v>
      </c>
      <c r="P3607" s="1">
        <f t="shared" si="450"/>
        <v>43252</v>
      </c>
      <c r="Q3607" s="8">
        <f t="shared" si="451"/>
        <v>0</v>
      </c>
      <c r="R3607" s="8">
        <f t="shared" si="452"/>
        <v>6</v>
      </c>
      <c r="S3607" s="8">
        <f t="shared" ca="1" si="453"/>
        <v>0</v>
      </c>
      <c r="T3607">
        <f t="shared" ca="1" si="454"/>
        <v>0</v>
      </c>
      <c r="U3607" s="8">
        <f t="shared" ca="1" si="455"/>
        <v>1</v>
      </c>
      <c r="V3607" s="9">
        <f ca="1">RawData[[#This Row],[Z (smoothed demand size)]]/RawData[[#This Row],[X (smoothed interval)]]</f>
        <v>0</v>
      </c>
    </row>
    <row r="3608" spans="1:22">
      <c r="A3608" t="s">
        <v>70</v>
      </c>
      <c r="B3608" t="s">
        <v>60</v>
      </c>
      <c r="C3608">
        <v>24</v>
      </c>
      <c r="D3608" t="s">
        <v>22</v>
      </c>
      <c r="E3608" t="s">
        <v>16</v>
      </c>
      <c r="F3608" s="1">
        <v>43107</v>
      </c>
      <c r="G3608">
        <v>0</v>
      </c>
      <c r="H3608">
        <v>0</v>
      </c>
      <c r="I3608">
        <v>15</v>
      </c>
      <c r="J3608">
        <v>15</v>
      </c>
      <c r="K3608">
        <v>0</v>
      </c>
      <c r="L3608">
        <v>800</v>
      </c>
      <c r="M3608">
        <v>45</v>
      </c>
      <c r="N3608" s="1">
        <f t="shared" si="448"/>
        <v>44938</v>
      </c>
      <c r="O3608" s="1">
        <f t="shared" si="449"/>
        <v>43101</v>
      </c>
      <c r="P3608" s="1">
        <f t="shared" si="450"/>
        <v>43282</v>
      </c>
      <c r="Q3608" s="8">
        <f t="shared" si="451"/>
        <v>0</v>
      </c>
      <c r="R3608" s="8">
        <f t="shared" si="452"/>
        <v>7</v>
      </c>
      <c r="S3608" s="8">
        <f t="shared" ca="1" si="453"/>
        <v>0</v>
      </c>
      <c r="T3608">
        <f t="shared" ca="1" si="454"/>
        <v>0</v>
      </c>
      <c r="U3608" s="8">
        <f t="shared" ca="1" si="455"/>
        <v>1</v>
      </c>
      <c r="V3608" s="9">
        <f ca="1">RawData[[#This Row],[Z (smoothed demand size)]]/RawData[[#This Row],[X (smoothed interval)]]</f>
        <v>0</v>
      </c>
    </row>
    <row r="3609" spans="1:22">
      <c r="A3609" t="s">
        <v>70</v>
      </c>
      <c r="B3609" t="s">
        <v>60</v>
      </c>
      <c r="C3609">
        <v>24</v>
      </c>
      <c r="D3609" t="s">
        <v>22</v>
      </c>
      <c r="E3609" t="s">
        <v>16</v>
      </c>
      <c r="F3609" s="1">
        <v>43108</v>
      </c>
      <c r="G3609">
        <v>0</v>
      </c>
      <c r="H3609">
        <v>0</v>
      </c>
      <c r="I3609">
        <v>15</v>
      </c>
      <c r="J3609">
        <v>15</v>
      </c>
      <c r="K3609">
        <v>0</v>
      </c>
      <c r="L3609">
        <v>793</v>
      </c>
      <c r="M3609">
        <v>30</v>
      </c>
      <c r="N3609" s="1">
        <f t="shared" si="448"/>
        <v>44938</v>
      </c>
      <c r="O3609" s="1">
        <f t="shared" si="449"/>
        <v>43101</v>
      </c>
      <c r="P3609" s="1">
        <f t="shared" si="450"/>
        <v>43313</v>
      </c>
      <c r="Q3609" s="8">
        <f t="shared" si="451"/>
        <v>0</v>
      </c>
      <c r="R3609" s="8">
        <f t="shared" si="452"/>
        <v>8</v>
      </c>
      <c r="S3609" s="8">
        <f t="shared" ca="1" si="453"/>
        <v>0</v>
      </c>
      <c r="T3609">
        <f t="shared" ca="1" si="454"/>
        <v>0</v>
      </c>
      <c r="U3609" s="8">
        <f t="shared" ca="1" si="455"/>
        <v>1</v>
      </c>
      <c r="V3609" s="9">
        <f ca="1">RawData[[#This Row],[Z (smoothed demand size)]]/RawData[[#This Row],[X (smoothed interval)]]</f>
        <v>0</v>
      </c>
    </row>
    <row r="3610" spans="1:22">
      <c r="A3610" t="s">
        <v>70</v>
      </c>
      <c r="B3610" t="s">
        <v>60</v>
      </c>
      <c r="C3610">
        <v>24</v>
      </c>
      <c r="D3610" t="s">
        <v>22</v>
      </c>
      <c r="E3610" t="s">
        <v>16</v>
      </c>
      <c r="F3610" s="1">
        <v>43109</v>
      </c>
      <c r="G3610">
        <v>1</v>
      </c>
      <c r="H3610">
        <v>1</v>
      </c>
      <c r="I3610">
        <v>15</v>
      </c>
      <c r="J3610">
        <v>14</v>
      </c>
      <c r="K3610">
        <v>0</v>
      </c>
      <c r="L3610">
        <v>701</v>
      </c>
      <c r="M3610">
        <v>60</v>
      </c>
      <c r="N3610" s="1">
        <f t="shared" si="448"/>
        <v>44938</v>
      </c>
      <c r="O3610" s="1">
        <f t="shared" si="449"/>
        <v>43101</v>
      </c>
      <c r="P3610" s="1">
        <f t="shared" si="450"/>
        <v>43344</v>
      </c>
      <c r="Q3610" s="8">
        <f t="shared" si="451"/>
        <v>0</v>
      </c>
      <c r="R3610" s="8">
        <f t="shared" si="452"/>
        <v>9</v>
      </c>
      <c r="S3610" s="8">
        <f t="shared" ca="1" si="453"/>
        <v>9</v>
      </c>
      <c r="T3610">
        <f t="shared" ca="1" si="454"/>
        <v>0.2</v>
      </c>
      <c r="U3610" s="8">
        <f t="shared" ca="1" si="455"/>
        <v>2.6</v>
      </c>
      <c r="V3610" s="9">
        <f ca="1">RawData[[#This Row],[Z (smoothed demand size)]]/RawData[[#This Row],[X (smoothed interval)]]</f>
        <v>7.6923076923076927E-2</v>
      </c>
    </row>
    <row r="3611" spans="1:22">
      <c r="A3611" t="s">
        <v>70</v>
      </c>
      <c r="B3611" t="s">
        <v>60</v>
      </c>
      <c r="C3611">
        <v>24</v>
      </c>
      <c r="D3611" t="s">
        <v>22</v>
      </c>
      <c r="E3611" t="s">
        <v>16</v>
      </c>
      <c r="F3611" s="1">
        <v>43110</v>
      </c>
      <c r="G3611">
        <v>0</v>
      </c>
      <c r="H3611">
        <v>0</v>
      </c>
      <c r="I3611">
        <v>14</v>
      </c>
      <c r="J3611">
        <v>14</v>
      </c>
      <c r="K3611">
        <v>0</v>
      </c>
      <c r="L3611">
        <v>691</v>
      </c>
      <c r="M3611">
        <v>45</v>
      </c>
      <c r="N3611" s="1">
        <f t="shared" si="448"/>
        <v>44938</v>
      </c>
      <c r="O3611" s="1">
        <f t="shared" si="449"/>
        <v>43101</v>
      </c>
      <c r="P3611" s="1">
        <f t="shared" si="450"/>
        <v>43374</v>
      </c>
      <c r="Q3611" s="8">
        <f t="shared" si="451"/>
        <v>0</v>
      </c>
      <c r="R3611" s="8">
        <f t="shared" si="452"/>
        <v>10</v>
      </c>
      <c r="S3611" s="8">
        <f t="shared" ca="1" si="453"/>
        <v>9</v>
      </c>
      <c r="T3611">
        <f t="shared" ca="1" si="454"/>
        <v>0.2</v>
      </c>
      <c r="U3611" s="8">
        <f t="shared" ca="1" si="455"/>
        <v>2.6</v>
      </c>
      <c r="V3611" s="9">
        <f ca="1">RawData[[#This Row],[Z (smoothed demand size)]]/RawData[[#This Row],[X (smoothed interval)]]</f>
        <v>7.6923076923076927E-2</v>
      </c>
    </row>
    <row r="3612" spans="1:22">
      <c r="A3612" t="s">
        <v>70</v>
      </c>
      <c r="B3612" t="s">
        <v>60</v>
      </c>
      <c r="C3612">
        <v>24</v>
      </c>
      <c r="D3612" t="s">
        <v>22</v>
      </c>
      <c r="E3612" t="s">
        <v>16</v>
      </c>
      <c r="F3612" s="1">
        <v>43111</v>
      </c>
      <c r="G3612">
        <v>0</v>
      </c>
      <c r="H3612">
        <v>0</v>
      </c>
      <c r="I3612">
        <v>14</v>
      </c>
      <c r="J3612">
        <v>14</v>
      </c>
      <c r="K3612">
        <v>0</v>
      </c>
      <c r="L3612">
        <v>704</v>
      </c>
      <c r="M3612">
        <v>45</v>
      </c>
      <c r="N3612" s="1">
        <f t="shared" si="448"/>
        <v>44938</v>
      </c>
      <c r="O3612" s="1">
        <f t="shared" si="449"/>
        <v>43101</v>
      </c>
      <c r="P3612" s="1">
        <f t="shared" si="450"/>
        <v>43405</v>
      </c>
      <c r="Q3612" s="8">
        <f t="shared" si="451"/>
        <v>0</v>
      </c>
      <c r="R3612" s="8">
        <f t="shared" si="452"/>
        <v>11</v>
      </c>
      <c r="S3612" s="8">
        <f t="shared" ca="1" si="453"/>
        <v>9</v>
      </c>
      <c r="T3612">
        <f t="shared" ca="1" si="454"/>
        <v>0.2</v>
      </c>
      <c r="U3612" s="8">
        <f t="shared" ca="1" si="455"/>
        <v>2.6</v>
      </c>
      <c r="V3612" s="9">
        <f ca="1">RawData[[#This Row],[Z (smoothed demand size)]]/RawData[[#This Row],[X (smoothed interval)]]</f>
        <v>7.6923076923076927E-2</v>
      </c>
    </row>
    <row r="3613" spans="1:22">
      <c r="A3613" t="s">
        <v>70</v>
      </c>
      <c r="B3613" t="s">
        <v>60</v>
      </c>
      <c r="C3613">
        <v>24</v>
      </c>
      <c r="D3613" t="s">
        <v>22</v>
      </c>
      <c r="E3613" t="s">
        <v>16</v>
      </c>
      <c r="F3613" s="1">
        <v>43112</v>
      </c>
      <c r="G3613">
        <v>0</v>
      </c>
      <c r="H3613">
        <v>0</v>
      </c>
      <c r="I3613">
        <v>14</v>
      </c>
      <c r="J3613">
        <v>14</v>
      </c>
      <c r="K3613">
        <v>0</v>
      </c>
      <c r="L3613">
        <v>797</v>
      </c>
      <c r="M3613">
        <v>30</v>
      </c>
      <c r="N3613" s="1">
        <f t="shared" si="448"/>
        <v>44938</v>
      </c>
      <c r="O3613" s="1">
        <f t="shared" si="449"/>
        <v>43101</v>
      </c>
      <c r="P3613" s="1">
        <f t="shared" si="450"/>
        <v>43435</v>
      </c>
      <c r="Q3613" s="8">
        <f t="shared" si="451"/>
        <v>0</v>
      </c>
      <c r="R3613" s="8">
        <f t="shared" si="452"/>
        <v>12</v>
      </c>
      <c r="S3613" s="8">
        <f t="shared" ca="1" si="453"/>
        <v>9</v>
      </c>
      <c r="T3613">
        <f t="shared" ca="1" si="454"/>
        <v>0.2</v>
      </c>
      <c r="U3613" s="8">
        <f t="shared" ca="1" si="455"/>
        <v>2.6</v>
      </c>
      <c r="V3613" s="9">
        <f ca="1">RawData[[#This Row],[Z (smoothed demand size)]]/RawData[[#This Row],[X (smoothed interval)]]</f>
        <v>7.6923076923076927E-2</v>
      </c>
    </row>
    <row r="3614" spans="1:22">
      <c r="A3614" t="s">
        <v>70</v>
      </c>
      <c r="B3614" t="s">
        <v>60</v>
      </c>
      <c r="C3614">
        <v>24</v>
      </c>
      <c r="D3614" t="s">
        <v>22</v>
      </c>
      <c r="E3614" t="s">
        <v>16</v>
      </c>
      <c r="F3614" s="1">
        <v>43466</v>
      </c>
      <c r="G3614">
        <v>1</v>
      </c>
      <c r="H3614">
        <v>1</v>
      </c>
      <c r="I3614">
        <v>14</v>
      </c>
      <c r="J3614">
        <v>13</v>
      </c>
      <c r="K3614">
        <v>0</v>
      </c>
      <c r="L3614">
        <v>695</v>
      </c>
      <c r="M3614">
        <v>60</v>
      </c>
      <c r="N3614" s="1">
        <f t="shared" si="448"/>
        <v>44938</v>
      </c>
      <c r="O3614" s="1">
        <f t="shared" si="449"/>
        <v>43101</v>
      </c>
      <c r="P3614" s="1">
        <f t="shared" si="450"/>
        <v>43466</v>
      </c>
      <c r="Q3614" s="8">
        <f t="shared" si="451"/>
        <v>0</v>
      </c>
      <c r="R3614" s="8">
        <f t="shared" si="452"/>
        <v>13</v>
      </c>
      <c r="S3614" s="8">
        <f t="shared" ca="1" si="453"/>
        <v>13</v>
      </c>
      <c r="T3614">
        <f t="shared" ca="1" si="454"/>
        <v>0.36000000000000004</v>
      </c>
      <c r="U3614" s="8">
        <f t="shared" ca="1" si="455"/>
        <v>2.88</v>
      </c>
      <c r="V3614" s="9">
        <f ca="1">RawData[[#This Row],[Z (smoothed demand size)]]/RawData[[#This Row],[X (smoothed interval)]]</f>
        <v>0.12500000000000003</v>
      </c>
    </row>
    <row r="3615" spans="1:22">
      <c r="A3615" t="s">
        <v>70</v>
      </c>
      <c r="B3615" t="s">
        <v>60</v>
      </c>
      <c r="C3615">
        <v>24</v>
      </c>
      <c r="D3615" t="s">
        <v>22</v>
      </c>
      <c r="E3615" t="s">
        <v>16</v>
      </c>
      <c r="F3615" s="1">
        <v>43467</v>
      </c>
      <c r="G3615">
        <v>0</v>
      </c>
      <c r="H3615">
        <v>0</v>
      </c>
      <c r="I3615">
        <v>13</v>
      </c>
      <c r="J3615">
        <v>13</v>
      </c>
      <c r="K3615">
        <v>0</v>
      </c>
      <c r="L3615">
        <v>698</v>
      </c>
      <c r="M3615">
        <v>45</v>
      </c>
      <c r="N3615" s="1">
        <f t="shared" si="448"/>
        <v>44938</v>
      </c>
      <c r="O3615" s="1">
        <f t="shared" si="449"/>
        <v>43101</v>
      </c>
      <c r="P3615" s="1">
        <f t="shared" si="450"/>
        <v>43497</v>
      </c>
      <c r="Q3615" s="8">
        <f t="shared" si="451"/>
        <v>0</v>
      </c>
      <c r="R3615" s="8">
        <f t="shared" si="452"/>
        <v>14</v>
      </c>
      <c r="S3615" s="8">
        <f t="shared" ca="1" si="453"/>
        <v>13</v>
      </c>
      <c r="T3615">
        <f t="shared" ca="1" si="454"/>
        <v>0.36000000000000004</v>
      </c>
      <c r="U3615" s="8">
        <f t="shared" ca="1" si="455"/>
        <v>2.88</v>
      </c>
      <c r="V3615" s="9">
        <f ca="1">RawData[[#This Row],[Z (smoothed demand size)]]/RawData[[#This Row],[X (smoothed interval)]]</f>
        <v>0.12500000000000003</v>
      </c>
    </row>
    <row r="3616" spans="1:22">
      <c r="A3616" t="s">
        <v>70</v>
      </c>
      <c r="B3616" t="s">
        <v>60</v>
      </c>
      <c r="C3616">
        <v>24</v>
      </c>
      <c r="D3616" t="s">
        <v>22</v>
      </c>
      <c r="E3616" t="s">
        <v>16</v>
      </c>
      <c r="F3616" s="1">
        <v>43468</v>
      </c>
      <c r="G3616">
        <v>0</v>
      </c>
      <c r="H3616">
        <v>0</v>
      </c>
      <c r="I3616">
        <v>13</v>
      </c>
      <c r="J3616">
        <v>13</v>
      </c>
      <c r="K3616">
        <v>0</v>
      </c>
      <c r="L3616">
        <v>699</v>
      </c>
      <c r="M3616">
        <v>45</v>
      </c>
      <c r="N3616" s="1">
        <f t="shared" si="448"/>
        <v>44938</v>
      </c>
      <c r="O3616" s="1">
        <f t="shared" si="449"/>
        <v>43101</v>
      </c>
      <c r="P3616" s="1">
        <f t="shared" si="450"/>
        <v>43525</v>
      </c>
      <c r="Q3616" s="8">
        <f t="shared" si="451"/>
        <v>0</v>
      </c>
      <c r="R3616" s="8">
        <f t="shared" si="452"/>
        <v>15</v>
      </c>
      <c r="S3616" s="8">
        <f t="shared" ca="1" si="453"/>
        <v>13</v>
      </c>
      <c r="T3616">
        <f t="shared" ca="1" si="454"/>
        <v>0.36000000000000004</v>
      </c>
      <c r="U3616" s="8">
        <f t="shared" ca="1" si="455"/>
        <v>2.88</v>
      </c>
      <c r="V3616" s="9">
        <f ca="1">RawData[[#This Row],[Z (smoothed demand size)]]/RawData[[#This Row],[X (smoothed interval)]]</f>
        <v>0.12500000000000003</v>
      </c>
    </row>
    <row r="3617" spans="1:22">
      <c r="A3617" t="s">
        <v>70</v>
      </c>
      <c r="B3617" t="s">
        <v>60</v>
      </c>
      <c r="C3617">
        <v>24</v>
      </c>
      <c r="D3617" t="s">
        <v>22</v>
      </c>
      <c r="E3617" t="s">
        <v>16</v>
      </c>
      <c r="F3617" s="1">
        <v>43469</v>
      </c>
      <c r="G3617">
        <v>0</v>
      </c>
      <c r="H3617">
        <v>0</v>
      </c>
      <c r="I3617">
        <v>13</v>
      </c>
      <c r="J3617">
        <v>13</v>
      </c>
      <c r="K3617">
        <v>0</v>
      </c>
      <c r="L3617">
        <v>695</v>
      </c>
      <c r="M3617">
        <v>60</v>
      </c>
      <c r="N3617" s="1">
        <f t="shared" si="448"/>
        <v>44938</v>
      </c>
      <c r="O3617" s="1">
        <f t="shared" si="449"/>
        <v>43101</v>
      </c>
      <c r="P3617" s="1">
        <f t="shared" si="450"/>
        <v>43556</v>
      </c>
      <c r="Q3617" s="8">
        <f t="shared" si="451"/>
        <v>0</v>
      </c>
      <c r="R3617" s="8">
        <f t="shared" si="452"/>
        <v>16</v>
      </c>
      <c r="S3617" s="8">
        <f t="shared" ca="1" si="453"/>
        <v>13</v>
      </c>
      <c r="T3617">
        <f t="shared" ca="1" si="454"/>
        <v>0.36000000000000004</v>
      </c>
      <c r="U3617" s="8">
        <f t="shared" ca="1" si="455"/>
        <v>2.88</v>
      </c>
      <c r="V3617" s="9">
        <f ca="1">RawData[[#This Row],[Z (smoothed demand size)]]/RawData[[#This Row],[X (smoothed interval)]]</f>
        <v>0.12500000000000003</v>
      </c>
    </row>
    <row r="3618" spans="1:22">
      <c r="A3618" t="s">
        <v>70</v>
      </c>
      <c r="B3618" t="s">
        <v>60</v>
      </c>
      <c r="C3618">
        <v>24</v>
      </c>
      <c r="D3618" t="s">
        <v>22</v>
      </c>
      <c r="E3618" t="s">
        <v>16</v>
      </c>
      <c r="F3618" s="1">
        <v>43470</v>
      </c>
      <c r="G3618">
        <v>0</v>
      </c>
      <c r="H3618">
        <v>0</v>
      </c>
      <c r="I3618">
        <v>13</v>
      </c>
      <c r="J3618">
        <v>13</v>
      </c>
      <c r="K3618">
        <v>0</v>
      </c>
      <c r="L3618">
        <v>709</v>
      </c>
      <c r="M3618">
        <v>60</v>
      </c>
      <c r="N3618" s="1">
        <f t="shared" si="448"/>
        <v>44938</v>
      </c>
      <c r="O3618" s="1">
        <f t="shared" si="449"/>
        <v>43101</v>
      </c>
      <c r="P3618" s="1">
        <f t="shared" si="450"/>
        <v>43586</v>
      </c>
      <c r="Q3618" s="8">
        <f t="shared" si="451"/>
        <v>0</v>
      </c>
      <c r="R3618" s="8">
        <f t="shared" si="452"/>
        <v>17</v>
      </c>
      <c r="S3618" s="8">
        <f t="shared" ca="1" si="453"/>
        <v>13</v>
      </c>
      <c r="T3618">
        <f t="shared" ca="1" si="454"/>
        <v>0.36000000000000004</v>
      </c>
      <c r="U3618" s="8">
        <f t="shared" ca="1" si="455"/>
        <v>2.88</v>
      </c>
      <c r="V3618" s="9">
        <f ca="1">RawData[[#This Row],[Z (smoothed demand size)]]/RawData[[#This Row],[X (smoothed interval)]]</f>
        <v>0.12500000000000003</v>
      </c>
    </row>
    <row r="3619" spans="1:22">
      <c r="A3619" t="s">
        <v>70</v>
      </c>
      <c r="B3619" t="s">
        <v>60</v>
      </c>
      <c r="C3619">
        <v>24</v>
      </c>
      <c r="D3619" t="s">
        <v>22</v>
      </c>
      <c r="E3619" t="s">
        <v>16</v>
      </c>
      <c r="F3619" s="1">
        <v>43471</v>
      </c>
      <c r="G3619">
        <v>0</v>
      </c>
      <c r="H3619">
        <v>0</v>
      </c>
      <c r="I3619">
        <v>13</v>
      </c>
      <c r="J3619">
        <v>13</v>
      </c>
      <c r="K3619">
        <v>0</v>
      </c>
      <c r="L3619">
        <v>795</v>
      </c>
      <c r="M3619">
        <v>45</v>
      </c>
      <c r="N3619" s="1">
        <f t="shared" si="448"/>
        <v>44938</v>
      </c>
      <c r="O3619" s="1">
        <f t="shared" si="449"/>
        <v>43101</v>
      </c>
      <c r="P3619" s="1">
        <f t="shared" si="450"/>
        <v>43617</v>
      </c>
      <c r="Q3619" s="8">
        <f t="shared" si="451"/>
        <v>0</v>
      </c>
      <c r="R3619" s="8">
        <f t="shared" si="452"/>
        <v>18</v>
      </c>
      <c r="S3619" s="8">
        <f t="shared" ca="1" si="453"/>
        <v>13</v>
      </c>
      <c r="T3619">
        <f t="shared" ca="1" si="454"/>
        <v>0.36000000000000004</v>
      </c>
      <c r="U3619" s="8">
        <f t="shared" ca="1" si="455"/>
        <v>2.88</v>
      </c>
      <c r="V3619" s="9">
        <f ca="1">RawData[[#This Row],[Z (smoothed demand size)]]/RawData[[#This Row],[X (smoothed interval)]]</f>
        <v>0.12500000000000003</v>
      </c>
    </row>
    <row r="3620" spans="1:22">
      <c r="A3620" t="s">
        <v>70</v>
      </c>
      <c r="B3620" t="s">
        <v>60</v>
      </c>
      <c r="C3620">
        <v>24</v>
      </c>
      <c r="D3620" t="s">
        <v>22</v>
      </c>
      <c r="E3620" t="s">
        <v>16</v>
      </c>
      <c r="F3620" s="1">
        <v>43472</v>
      </c>
      <c r="G3620">
        <v>0</v>
      </c>
      <c r="H3620">
        <v>0</v>
      </c>
      <c r="I3620">
        <v>13</v>
      </c>
      <c r="J3620">
        <v>13</v>
      </c>
      <c r="K3620">
        <v>0</v>
      </c>
      <c r="L3620">
        <v>783</v>
      </c>
      <c r="M3620">
        <v>60</v>
      </c>
      <c r="N3620" s="1">
        <f t="shared" si="448"/>
        <v>44938</v>
      </c>
      <c r="O3620" s="1">
        <f t="shared" si="449"/>
        <v>43101</v>
      </c>
      <c r="P3620" s="1">
        <f t="shared" si="450"/>
        <v>43647</v>
      </c>
      <c r="Q3620" s="8">
        <f t="shared" si="451"/>
        <v>0</v>
      </c>
      <c r="R3620" s="8">
        <f t="shared" si="452"/>
        <v>19</v>
      </c>
      <c r="S3620" s="8">
        <f t="shared" ca="1" si="453"/>
        <v>13</v>
      </c>
      <c r="T3620">
        <f t="shared" ca="1" si="454"/>
        <v>0.36000000000000004</v>
      </c>
      <c r="U3620" s="8">
        <f t="shared" ca="1" si="455"/>
        <v>2.88</v>
      </c>
      <c r="V3620" s="9">
        <f ca="1">RawData[[#This Row],[Z (smoothed demand size)]]/RawData[[#This Row],[X (smoothed interval)]]</f>
        <v>0.12500000000000003</v>
      </c>
    </row>
    <row r="3621" spans="1:22">
      <c r="A3621" t="s">
        <v>70</v>
      </c>
      <c r="B3621" t="s">
        <v>60</v>
      </c>
      <c r="C3621">
        <v>24</v>
      </c>
      <c r="D3621" t="s">
        <v>22</v>
      </c>
      <c r="E3621" t="s">
        <v>16</v>
      </c>
      <c r="F3621" s="1">
        <v>43473</v>
      </c>
      <c r="G3621">
        <v>0</v>
      </c>
      <c r="H3621">
        <v>0</v>
      </c>
      <c r="I3621">
        <v>13</v>
      </c>
      <c r="J3621">
        <v>13</v>
      </c>
      <c r="K3621">
        <v>0</v>
      </c>
      <c r="L3621">
        <v>794</v>
      </c>
      <c r="M3621">
        <v>15</v>
      </c>
      <c r="N3621" s="1">
        <f t="shared" si="448"/>
        <v>44938</v>
      </c>
      <c r="O3621" s="1">
        <f t="shared" si="449"/>
        <v>43101</v>
      </c>
      <c r="P3621" s="1">
        <f t="shared" si="450"/>
        <v>43678</v>
      </c>
      <c r="Q3621" s="8">
        <f t="shared" si="451"/>
        <v>0</v>
      </c>
      <c r="R3621" s="8">
        <f t="shared" si="452"/>
        <v>20</v>
      </c>
      <c r="S3621" s="8">
        <f t="shared" ca="1" si="453"/>
        <v>13</v>
      </c>
      <c r="T3621">
        <f t="shared" ca="1" si="454"/>
        <v>0.36000000000000004</v>
      </c>
      <c r="U3621" s="8">
        <f t="shared" ca="1" si="455"/>
        <v>2.88</v>
      </c>
      <c r="V3621" s="9">
        <f ca="1">RawData[[#This Row],[Z (smoothed demand size)]]/RawData[[#This Row],[X (smoothed interval)]]</f>
        <v>0.12500000000000003</v>
      </c>
    </row>
    <row r="3622" spans="1:22">
      <c r="A3622" t="s">
        <v>70</v>
      </c>
      <c r="B3622" t="s">
        <v>60</v>
      </c>
      <c r="C3622">
        <v>24</v>
      </c>
      <c r="D3622" t="s">
        <v>22</v>
      </c>
      <c r="E3622" t="s">
        <v>16</v>
      </c>
      <c r="F3622" s="1">
        <v>43474</v>
      </c>
      <c r="G3622">
        <v>0</v>
      </c>
      <c r="H3622">
        <v>0</v>
      </c>
      <c r="I3622">
        <v>13</v>
      </c>
      <c r="J3622">
        <v>13</v>
      </c>
      <c r="K3622">
        <v>0</v>
      </c>
      <c r="L3622">
        <v>696</v>
      </c>
      <c r="M3622">
        <v>45</v>
      </c>
      <c r="N3622" s="1">
        <f t="shared" si="448"/>
        <v>44938</v>
      </c>
      <c r="O3622" s="1">
        <f t="shared" si="449"/>
        <v>43101</v>
      </c>
      <c r="P3622" s="1">
        <f t="shared" si="450"/>
        <v>43709</v>
      </c>
      <c r="Q3622" s="8">
        <f t="shared" si="451"/>
        <v>0</v>
      </c>
      <c r="R3622" s="8">
        <f t="shared" si="452"/>
        <v>21</v>
      </c>
      <c r="S3622" s="8">
        <f t="shared" ca="1" si="453"/>
        <v>13</v>
      </c>
      <c r="T3622">
        <f t="shared" ca="1" si="454"/>
        <v>0.36000000000000004</v>
      </c>
      <c r="U3622" s="8">
        <f t="shared" ca="1" si="455"/>
        <v>2.88</v>
      </c>
      <c r="V3622" s="9">
        <f ca="1">RawData[[#This Row],[Z (smoothed demand size)]]/RawData[[#This Row],[X (smoothed interval)]]</f>
        <v>0.12500000000000003</v>
      </c>
    </row>
    <row r="3623" spans="1:22">
      <c r="A3623" t="s">
        <v>70</v>
      </c>
      <c r="B3623" t="s">
        <v>60</v>
      </c>
      <c r="C3623">
        <v>24</v>
      </c>
      <c r="D3623" t="s">
        <v>22</v>
      </c>
      <c r="E3623" t="s">
        <v>16</v>
      </c>
      <c r="F3623" s="1">
        <v>43475</v>
      </c>
      <c r="G3623">
        <v>0</v>
      </c>
      <c r="H3623">
        <v>0</v>
      </c>
      <c r="I3623">
        <v>13</v>
      </c>
      <c r="J3623">
        <v>13</v>
      </c>
      <c r="K3623">
        <v>0</v>
      </c>
      <c r="L3623">
        <v>694</v>
      </c>
      <c r="M3623">
        <v>30</v>
      </c>
      <c r="N3623" s="1">
        <f t="shared" si="448"/>
        <v>44938</v>
      </c>
      <c r="O3623" s="1">
        <f t="shared" si="449"/>
        <v>43101</v>
      </c>
      <c r="P3623" s="1">
        <f t="shared" si="450"/>
        <v>43739</v>
      </c>
      <c r="Q3623" s="8">
        <f t="shared" si="451"/>
        <v>0</v>
      </c>
      <c r="R3623" s="8">
        <f t="shared" si="452"/>
        <v>22</v>
      </c>
      <c r="S3623" s="8">
        <f t="shared" ca="1" si="453"/>
        <v>13</v>
      </c>
      <c r="T3623">
        <f t="shared" ca="1" si="454"/>
        <v>0.36000000000000004</v>
      </c>
      <c r="U3623" s="8">
        <f t="shared" ca="1" si="455"/>
        <v>2.88</v>
      </c>
      <c r="V3623" s="9">
        <f ca="1">RawData[[#This Row],[Z (smoothed demand size)]]/RawData[[#This Row],[X (smoothed interval)]]</f>
        <v>0.12500000000000003</v>
      </c>
    </row>
    <row r="3624" spans="1:22">
      <c r="A3624" t="s">
        <v>70</v>
      </c>
      <c r="B3624" t="s">
        <v>60</v>
      </c>
      <c r="C3624">
        <v>24</v>
      </c>
      <c r="D3624" t="s">
        <v>22</v>
      </c>
      <c r="E3624" t="s">
        <v>16</v>
      </c>
      <c r="F3624" s="1">
        <v>43476</v>
      </c>
      <c r="G3624">
        <v>0</v>
      </c>
      <c r="H3624">
        <v>0</v>
      </c>
      <c r="I3624">
        <v>13</v>
      </c>
      <c r="J3624">
        <v>13</v>
      </c>
      <c r="K3624">
        <v>0</v>
      </c>
      <c r="L3624">
        <v>684</v>
      </c>
      <c r="M3624">
        <v>45</v>
      </c>
      <c r="N3624" s="1">
        <f t="shared" si="448"/>
        <v>44938</v>
      </c>
      <c r="O3624" s="1">
        <f t="shared" si="449"/>
        <v>43101</v>
      </c>
      <c r="P3624" s="1">
        <f t="shared" si="450"/>
        <v>43770</v>
      </c>
      <c r="Q3624" s="8">
        <f t="shared" si="451"/>
        <v>0</v>
      </c>
      <c r="R3624" s="8">
        <f t="shared" si="452"/>
        <v>23</v>
      </c>
      <c r="S3624" s="8">
        <f t="shared" ca="1" si="453"/>
        <v>13</v>
      </c>
      <c r="T3624">
        <f t="shared" ca="1" si="454"/>
        <v>0.36000000000000004</v>
      </c>
      <c r="U3624" s="8">
        <f t="shared" ca="1" si="455"/>
        <v>2.88</v>
      </c>
      <c r="V3624" s="9">
        <f ca="1">RawData[[#This Row],[Z (smoothed demand size)]]/RawData[[#This Row],[X (smoothed interval)]]</f>
        <v>0.12500000000000003</v>
      </c>
    </row>
    <row r="3625" spans="1:22">
      <c r="A3625" t="s">
        <v>70</v>
      </c>
      <c r="B3625" t="s">
        <v>60</v>
      </c>
      <c r="C3625">
        <v>24</v>
      </c>
      <c r="D3625" t="s">
        <v>22</v>
      </c>
      <c r="E3625" t="s">
        <v>16</v>
      </c>
      <c r="F3625" s="1">
        <v>43477</v>
      </c>
      <c r="G3625">
        <v>0</v>
      </c>
      <c r="H3625">
        <v>0</v>
      </c>
      <c r="I3625">
        <v>13</v>
      </c>
      <c r="J3625">
        <v>13</v>
      </c>
      <c r="K3625">
        <v>0</v>
      </c>
      <c r="L3625">
        <v>792</v>
      </c>
      <c r="M3625">
        <v>60</v>
      </c>
      <c r="N3625" s="1">
        <f t="shared" si="448"/>
        <v>44938</v>
      </c>
      <c r="O3625" s="1">
        <f t="shared" si="449"/>
        <v>43101</v>
      </c>
      <c r="P3625" s="1">
        <f t="shared" si="450"/>
        <v>43800</v>
      </c>
      <c r="Q3625" s="8">
        <f t="shared" si="451"/>
        <v>0</v>
      </c>
      <c r="R3625" s="8">
        <f t="shared" si="452"/>
        <v>24</v>
      </c>
      <c r="S3625" s="8">
        <f t="shared" ca="1" si="453"/>
        <v>13</v>
      </c>
      <c r="T3625">
        <f t="shared" ca="1" si="454"/>
        <v>0.36000000000000004</v>
      </c>
      <c r="U3625" s="8">
        <f t="shared" ca="1" si="455"/>
        <v>2.88</v>
      </c>
      <c r="V3625" s="9">
        <f ca="1">RawData[[#This Row],[Z (smoothed demand size)]]/RawData[[#This Row],[X (smoothed interval)]]</f>
        <v>0.12500000000000003</v>
      </c>
    </row>
    <row r="3626" spans="1:22">
      <c r="A3626" t="s">
        <v>70</v>
      </c>
      <c r="B3626" t="s">
        <v>60</v>
      </c>
      <c r="C3626">
        <v>24</v>
      </c>
      <c r="D3626" t="s">
        <v>22</v>
      </c>
      <c r="E3626" t="s">
        <v>16</v>
      </c>
      <c r="F3626" s="1">
        <v>43831</v>
      </c>
      <c r="G3626">
        <v>0</v>
      </c>
      <c r="H3626">
        <v>0</v>
      </c>
      <c r="I3626">
        <v>13</v>
      </c>
      <c r="J3626">
        <v>13</v>
      </c>
      <c r="K3626">
        <v>0</v>
      </c>
      <c r="L3626">
        <v>683</v>
      </c>
      <c r="M3626">
        <v>60</v>
      </c>
      <c r="N3626" s="1">
        <f t="shared" si="448"/>
        <v>44938</v>
      </c>
      <c r="O3626" s="1">
        <f t="shared" si="449"/>
        <v>43101</v>
      </c>
      <c r="P3626" s="1">
        <f t="shared" si="450"/>
        <v>43831</v>
      </c>
      <c r="Q3626" s="8">
        <f t="shared" si="451"/>
        <v>0</v>
      </c>
      <c r="R3626" s="8">
        <f t="shared" si="452"/>
        <v>25</v>
      </c>
      <c r="S3626" s="8">
        <f t="shared" ca="1" si="453"/>
        <v>13</v>
      </c>
      <c r="T3626">
        <f t="shared" ca="1" si="454"/>
        <v>0.36000000000000004</v>
      </c>
      <c r="U3626" s="8">
        <f t="shared" ca="1" si="455"/>
        <v>2.88</v>
      </c>
      <c r="V3626" s="9">
        <f ca="1">RawData[[#This Row],[Z (smoothed demand size)]]/RawData[[#This Row],[X (smoothed interval)]]</f>
        <v>0.12500000000000003</v>
      </c>
    </row>
    <row r="3627" spans="1:22">
      <c r="A3627" t="s">
        <v>70</v>
      </c>
      <c r="B3627" t="s">
        <v>60</v>
      </c>
      <c r="C3627">
        <v>24</v>
      </c>
      <c r="D3627" t="s">
        <v>22</v>
      </c>
      <c r="E3627" t="s">
        <v>16</v>
      </c>
      <c r="F3627" s="1">
        <v>43832</v>
      </c>
      <c r="G3627">
        <v>0</v>
      </c>
      <c r="H3627">
        <v>0</v>
      </c>
      <c r="I3627">
        <v>13</v>
      </c>
      <c r="J3627">
        <v>13</v>
      </c>
      <c r="K3627">
        <v>0</v>
      </c>
      <c r="L3627">
        <v>684</v>
      </c>
      <c r="M3627">
        <v>15</v>
      </c>
      <c r="N3627" s="1">
        <f t="shared" si="448"/>
        <v>44938</v>
      </c>
      <c r="O3627" s="1">
        <f t="shared" si="449"/>
        <v>43101</v>
      </c>
      <c r="P3627" s="1">
        <f t="shared" si="450"/>
        <v>43862</v>
      </c>
      <c r="Q3627" s="8">
        <f t="shared" si="451"/>
        <v>0</v>
      </c>
      <c r="R3627" s="8">
        <f t="shared" si="452"/>
        <v>26</v>
      </c>
      <c r="S3627" s="8">
        <f t="shared" ca="1" si="453"/>
        <v>13</v>
      </c>
      <c r="T3627">
        <f t="shared" ca="1" si="454"/>
        <v>0.36000000000000004</v>
      </c>
      <c r="U3627" s="8">
        <f t="shared" ca="1" si="455"/>
        <v>2.88</v>
      </c>
      <c r="V3627" s="9">
        <f ca="1">RawData[[#This Row],[Z (smoothed demand size)]]/RawData[[#This Row],[X (smoothed interval)]]</f>
        <v>0.12500000000000003</v>
      </c>
    </row>
    <row r="3628" spans="1:22">
      <c r="A3628" t="s">
        <v>70</v>
      </c>
      <c r="B3628" t="s">
        <v>60</v>
      </c>
      <c r="C3628">
        <v>24</v>
      </c>
      <c r="D3628" t="s">
        <v>22</v>
      </c>
      <c r="E3628" t="s">
        <v>16</v>
      </c>
      <c r="F3628" s="1">
        <v>43833</v>
      </c>
      <c r="G3628">
        <v>1</v>
      </c>
      <c r="H3628">
        <v>1</v>
      </c>
      <c r="I3628">
        <v>13</v>
      </c>
      <c r="J3628">
        <v>12</v>
      </c>
      <c r="K3628">
        <v>0</v>
      </c>
      <c r="L3628">
        <v>688</v>
      </c>
      <c r="M3628">
        <v>60</v>
      </c>
      <c r="N3628" s="1">
        <f t="shared" si="448"/>
        <v>44938</v>
      </c>
      <c r="O3628" s="1">
        <f t="shared" si="449"/>
        <v>43101</v>
      </c>
      <c r="P3628" s="1">
        <f t="shared" si="450"/>
        <v>43891</v>
      </c>
      <c r="Q3628" s="8">
        <f t="shared" si="451"/>
        <v>0</v>
      </c>
      <c r="R3628" s="8">
        <f t="shared" si="452"/>
        <v>27</v>
      </c>
      <c r="S3628" s="8">
        <f t="shared" ca="1" si="453"/>
        <v>27</v>
      </c>
      <c r="T3628">
        <f t="shared" ca="1" si="454"/>
        <v>0.48800000000000004</v>
      </c>
      <c r="U3628" s="8">
        <f t="shared" ca="1" si="455"/>
        <v>5.1040000000000001</v>
      </c>
      <c r="V3628" s="9">
        <f ca="1">RawData[[#This Row],[Z (smoothed demand size)]]/RawData[[#This Row],[X (smoothed interval)]]</f>
        <v>9.5611285266457693E-2</v>
      </c>
    </row>
    <row r="3629" spans="1:22">
      <c r="A3629" t="s">
        <v>70</v>
      </c>
      <c r="B3629" t="s">
        <v>60</v>
      </c>
      <c r="C3629">
        <v>24</v>
      </c>
      <c r="D3629" t="s">
        <v>22</v>
      </c>
      <c r="E3629" t="s">
        <v>16</v>
      </c>
      <c r="F3629" s="1">
        <v>43834</v>
      </c>
      <c r="G3629">
        <v>0</v>
      </c>
      <c r="H3629">
        <v>0</v>
      </c>
      <c r="I3629">
        <v>12</v>
      </c>
      <c r="J3629">
        <v>12</v>
      </c>
      <c r="K3629">
        <v>0</v>
      </c>
      <c r="L3629">
        <v>692</v>
      </c>
      <c r="M3629">
        <v>60</v>
      </c>
      <c r="N3629" s="1">
        <f t="shared" si="448"/>
        <v>44938</v>
      </c>
      <c r="O3629" s="1">
        <f t="shared" si="449"/>
        <v>43101</v>
      </c>
      <c r="P3629" s="1">
        <f t="shared" si="450"/>
        <v>43922</v>
      </c>
      <c r="Q3629" s="8">
        <f t="shared" si="451"/>
        <v>0</v>
      </c>
      <c r="R3629" s="8">
        <f t="shared" si="452"/>
        <v>28</v>
      </c>
      <c r="S3629" s="8">
        <f t="shared" ca="1" si="453"/>
        <v>27</v>
      </c>
      <c r="T3629">
        <f t="shared" ca="1" si="454"/>
        <v>0.48800000000000004</v>
      </c>
      <c r="U3629" s="8">
        <f t="shared" ca="1" si="455"/>
        <v>5.1040000000000001</v>
      </c>
      <c r="V3629" s="9">
        <f ca="1">RawData[[#This Row],[Z (smoothed demand size)]]/RawData[[#This Row],[X (smoothed interval)]]</f>
        <v>9.5611285266457693E-2</v>
      </c>
    </row>
    <row r="3630" spans="1:22">
      <c r="A3630" t="s">
        <v>70</v>
      </c>
      <c r="B3630" t="s">
        <v>60</v>
      </c>
      <c r="C3630">
        <v>24</v>
      </c>
      <c r="D3630" t="s">
        <v>22</v>
      </c>
      <c r="E3630" t="s">
        <v>16</v>
      </c>
      <c r="F3630" s="1">
        <v>43835</v>
      </c>
      <c r="G3630">
        <v>0</v>
      </c>
      <c r="H3630">
        <v>0</v>
      </c>
      <c r="I3630">
        <v>12</v>
      </c>
      <c r="J3630">
        <v>12</v>
      </c>
      <c r="K3630">
        <v>0</v>
      </c>
      <c r="L3630">
        <v>684</v>
      </c>
      <c r="M3630">
        <v>45</v>
      </c>
      <c r="N3630" s="1">
        <f t="shared" si="448"/>
        <v>44938</v>
      </c>
      <c r="O3630" s="1">
        <f t="shared" si="449"/>
        <v>43101</v>
      </c>
      <c r="P3630" s="1">
        <f t="shared" si="450"/>
        <v>43952</v>
      </c>
      <c r="Q3630" s="8">
        <f t="shared" si="451"/>
        <v>0</v>
      </c>
      <c r="R3630" s="8">
        <f t="shared" si="452"/>
        <v>29</v>
      </c>
      <c r="S3630" s="8">
        <f t="shared" ca="1" si="453"/>
        <v>27</v>
      </c>
      <c r="T3630">
        <f t="shared" ca="1" si="454"/>
        <v>0.48800000000000004</v>
      </c>
      <c r="U3630" s="8">
        <f t="shared" ca="1" si="455"/>
        <v>5.1040000000000001</v>
      </c>
      <c r="V3630" s="9">
        <f ca="1">RawData[[#This Row],[Z (smoothed demand size)]]/RawData[[#This Row],[X (smoothed interval)]]</f>
        <v>9.5611285266457693E-2</v>
      </c>
    </row>
    <row r="3631" spans="1:22">
      <c r="A3631" t="s">
        <v>70</v>
      </c>
      <c r="B3631" t="s">
        <v>60</v>
      </c>
      <c r="C3631">
        <v>24</v>
      </c>
      <c r="D3631" t="s">
        <v>22</v>
      </c>
      <c r="E3631" t="s">
        <v>16</v>
      </c>
      <c r="F3631" s="1">
        <v>43836</v>
      </c>
      <c r="G3631">
        <v>0</v>
      </c>
      <c r="H3631">
        <v>0</v>
      </c>
      <c r="I3631">
        <v>12</v>
      </c>
      <c r="J3631">
        <v>12</v>
      </c>
      <c r="K3631">
        <v>0</v>
      </c>
      <c r="L3631">
        <v>787</v>
      </c>
      <c r="M3631">
        <v>45</v>
      </c>
      <c r="N3631" s="1">
        <f t="shared" si="448"/>
        <v>44938</v>
      </c>
      <c r="O3631" s="1">
        <f t="shared" si="449"/>
        <v>43101</v>
      </c>
      <c r="P3631" s="1">
        <f t="shared" si="450"/>
        <v>43983</v>
      </c>
      <c r="Q3631" s="8">
        <f t="shared" si="451"/>
        <v>0</v>
      </c>
      <c r="R3631" s="8">
        <f t="shared" si="452"/>
        <v>30</v>
      </c>
      <c r="S3631" s="8">
        <f t="shared" ca="1" si="453"/>
        <v>27</v>
      </c>
      <c r="T3631">
        <f t="shared" ca="1" si="454"/>
        <v>0.48800000000000004</v>
      </c>
      <c r="U3631" s="8">
        <f t="shared" ca="1" si="455"/>
        <v>5.1040000000000001</v>
      </c>
      <c r="V3631" s="9">
        <f ca="1">RawData[[#This Row],[Z (smoothed demand size)]]/RawData[[#This Row],[X (smoothed interval)]]</f>
        <v>9.5611285266457693E-2</v>
      </c>
    </row>
    <row r="3632" spans="1:22">
      <c r="A3632" t="s">
        <v>70</v>
      </c>
      <c r="B3632" t="s">
        <v>60</v>
      </c>
      <c r="C3632">
        <v>24</v>
      </c>
      <c r="D3632" t="s">
        <v>22</v>
      </c>
      <c r="E3632" t="s">
        <v>16</v>
      </c>
      <c r="F3632" s="1">
        <v>43837</v>
      </c>
      <c r="G3632">
        <v>0</v>
      </c>
      <c r="H3632">
        <v>0</v>
      </c>
      <c r="I3632">
        <v>12</v>
      </c>
      <c r="J3632">
        <v>12</v>
      </c>
      <c r="K3632">
        <v>0</v>
      </c>
      <c r="L3632">
        <v>798</v>
      </c>
      <c r="M3632">
        <v>45</v>
      </c>
      <c r="N3632" s="1">
        <f t="shared" si="448"/>
        <v>44938</v>
      </c>
      <c r="O3632" s="1">
        <f t="shared" si="449"/>
        <v>43101</v>
      </c>
      <c r="P3632" s="1">
        <f t="shared" si="450"/>
        <v>44013</v>
      </c>
      <c r="Q3632" s="8">
        <f t="shared" si="451"/>
        <v>0</v>
      </c>
      <c r="R3632" s="8">
        <f t="shared" si="452"/>
        <v>31</v>
      </c>
      <c r="S3632" s="8">
        <f t="shared" ca="1" si="453"/>
        <v>27</v>
      </c>
      <c r="T3632">
        <f t="shared" ca="1" si="454"/>
        <v>0.48800000000000004</v>
      </c>
      <c r="U3632" s="8">
        <f t="shared" ca="1" si="455"/>
        <v>5.1040000000000001</v>
      </c>
      <c r="V3632" s="9">
        <f ca="1">RawData[[#This Row],[Z (smoothed demand size)]]/RawData[[#This Row],[X (smoothed interval)]]</f>
        <v>9.5611285266457693E-2</v>
      </c>
    </row>
    <row r="3633" spans="1:22">
      <c r="A3633" t="s">
        <v>70</v>
      </c>
      <c r="B3633" t="s">
        <v>60</v>
      </c>
      <c r="C3633">
        <v>24</v>
      </c>
      <c r="D3633" t="s">
        <v>22</v>
      </c>
      <c r="E3633" t="s">
        <v>16</v>
      </c>
      <c r="F3633" s="1">
        <v>43838</v>
      </c>
      <c r="G3633">
        <v>0</v>
      </c>
      <c r="H3633">
        <v>0</v>
      </c>
      <c r="I3633">
        <v>12</v>
      </c>
      <c r="J3633">
        <v>12</v>
      </c>
      <c r="K3633">
        <v>0</v>
      </c>
      <c r="L3633">
        <v>785</v>
      </c>
      <c r="M3633">
        <v>60</v>
      </c>
      <c r="N3633" s="1">
        <f t="shared" si="448"/>
        <v>44938</v>
      </c>
      <c r="O3633" s="1">
        <f t="shared" si="449"/>
        <v>43101</v>
      </c>
      <c r="P3633" s="1">
        <f t="shared" si="450"/>
        <v>44044</v>
      </c>
      <c r="Q3633" s="8">
        <f t="shared" si="451"/>
        <v>0</v>
      </c>
      <c r="R3633" s="8">
        <f t="shared" si="452"/>
        <v>32</v>
      </c>
      <c r="S3633" s="8">
        <f t="shared" ca="1" si="453"/>
        <v>27</v>
      </c>
      <c r="T3633">
        <f t="shared" ca="1" si="454"/>
        <v>0.48800000000000004</v>
      </c>
      <c r="U3633" s="8">
        <f t="shared" ca="1" si="455"/>
        <v>5.1040000000000001</v>
      </c>
      <c r="V3633" s="9">
        <f ca="1">RawData[[#This Row],[Z (smoothed demand size)]]/RawData[[#This Row],[X (smoothed interval)]]</f>
        <v>9.5611285266457693E-2</v>
      </c>
    </row>
    <row r="3634" spans="1:22">
      <c r="A3634" t="s">
        <v>70</v>
      </c>
      <c r="B3634" t="s">
        <v>60</v>
      </c>
      <c r="C3634">
        <v>24</v>
      </c>
      <c r="D3634" t="s">
        <v>22</v>
      </c>
      <c r="E3634" t="s">
        <v>16</v>
      </c>
      <c r="F3634" s="1">
        <v>43839</v>
      </c>
      <c r="G3634">
        <v>0</v>
      </c>
      <c r="H3634">
        <v>0</v>
      </c>
      <c r="I3634">
        <v>12</v>
      </c>
      <c r="J3634">
        <v>12</v>
      </c>
      <c r="K3634">
        <v>0</v>
      </c>
      <c r="L3634">
        <v>683</v>
      </c>
      <c r="M3634">
        <v>15</v>
      </c>
      <c r="N3634" s="1">
        <f t="shared" si="448"/>
        <v>44938</v>
      </c>
      <c r="O3634" s="1">
        <f t="shared" si="449"/>
        <v>43101</v>
      </c>
      <c r="P3634" s="1">
        <f t="shared" si="450"/>
        <v>44075</v>
      </c>
      <c r="Q3634" s="8">
        <f t="shared" si="451"/>
        <v>0</v>
      </c>
      <c r="R3634" s="8">
        <f t="shared" si="452"/>
        <v>33</v>
      </c>
      <c r="S3634" s="8">
        <f t="shared" ca="1" si="453"/>
        <v>27</v>
      </c>
      <c r="T3634">
        <f t="shared" ca="1" si="454"/>
        <v>0.48800000000000004</v>
      </c>
      <c r="U3634" s="8">
        <f t="shared" ca="1" si="455"/>
        <v>5.1040000000000001</v>
      </c>
      <c r="V3634" s="9">
        <f ca="1">RawData[[#This Row],[Z (smoothed demand size)]]/RawData[[#This Row],[X (smoothed interval)]]</f>
        <v>9.5611285266457693E-2</v>
      </c>
    </row>
    <row r="3635" spans="1:22">
      <c r="A3635" t="s">
        <v>70</v>
      </c>
      <c r="B3635" t="s">
        <v>60</v>
      </c>
      <c r="C3635">
        <v>24</v>
      </c>
      <c r="D3635" t="s">
        <v>22</v>
      </c>
      <c r="E3635" t="s">
        <v>16</v>
      </c>
      <c r="F3635" s="1">
        <v>43840</v>
      </c>
      <c r="G3635">
        <v>0</v>
      </c>
      <c r="H3635">
        <v>0</v>
      </c>
      <c r="I3635">
        <v>12</v>
      </c>
      <c r="J3635">
        <v>12</v>
      </c>
      <c r="K3635">
        <v>0</v>
      </c>
      <c r="L3635">
        <v>704</v>
      </c>
      <c r="M3635">
        <v>60</v>
      </c>
      <c r="N3635" s="1">
        <f t="shared" si="448"/>
        <v>44938</v>
      </c>
      <c r="O3635" s="1">
        <f t="shared" si="449"/>
        <v>43101</v>
      </c>
      <c r="P3635" s="1">
        <f t="shared" si="450"/>
        <v>44105</v>
      </c>
      <c r="Q3635" s="8">
        <f t="shared" si="451"/>
        <v>0</v>
      </c>
      <c r="R3635" s="8">
        <f t="shared" si="452"/>
        <v>34</v>
      </c>
      <c r="S3635" s="8">
        <f t="shared" ca="1" si="453"/>
        <v>27</v>
      </c>
      <c r="T3635">
        <f t="shared" ca="1" si="454"/>
        <v>0.48800000000000004</v>
      </c>
      <c r="U3635" s="8">
        <f t="shared" ca="1" si="455"/>
        <v>5.1040000000000001</v>
      </c>
      <c r="V3635" s="9">
        <f ca="1">RawData[[#This Row],[Z (smoothed demand size)]]/RawData[[#This Row],[X (smoothed interval)]]</f>
        <v>9.5611285266457693E-2</v>
      </c>
    </row>
    <row r="3636" spans="1:22">
      <c r="A3636" t="s">
        <v>70</v>
      </c>
      <c r="B3636" t="s">
        <v>60</v>
      </c>
      <c r="C3636">
        <v>24</v>
      </c>
      <c r="D3636" t="s">
        <v>22</v>
      </c>
      <c r="E3636" t="s">
        <v>16</v>
      </c>
      <c r="F3636" s="1">
        <v>43841</v>
      </c>
      <c r="G3636">
        <v>0</v>
      </c>
      <c r="H3636">
        <v>0</v>
      </c>
      <c r="I3636">
        <v>12</v>
      </c>
      <c r="J3636">
        <v>12</v>
      </c>
      <c r="K3636">
        <v>0</v>
      </c>
      <c r="L3636">
        <v>685</v>
      </c>
      <c r="M3636">
        <v>60</v>
      </c>
      <c r="N3636" s="1">
        <f t="shared" si="448"/>
        <v>44938</v>
      </c>
      <c r="O3636" s="1">
        <f t="shared" si="449"/>
        <v>43101</v>
      </c>
      <c r="P3636" s="1">
        <f t="shared" si="450"/>
        <v>44136</v>
      </c>
      <c r="Q3636" s="8">
        <f t="shared" si="451"/>
        <v>0</v>
      </c>
      <c r="R3636" s="8">
        <f t="shared" si="452"/>
        <v>35</v>
      </c>
      <c r="S3636" s="8">
        <f t="shared" ca="1" si="453"/>
        <v>27</v>
      </c>
      <c r="T3636">
        <f t="shared" ca="1" si="454"/>
        <v>0.48800000000000004</v>
      </c>
      <c r="U3636" s="8">
        <f t="shared" ca="1" si="455"/>
        <v>5.1040000000000001</v>
      </c>
      <c r="V3636" s="9">
        <f ca="1">RawData[[#This Row],[Z (smoothed demand size)]]/RawData[[#This Row],[X (smoothed interval)]]</f>
        <v>9.5611285266457693E-2</v>
      </c>
    </row>
    <row r="3637" spans="1:22">
      <c r="A3637" t="s">
        <v>70</v>
      </c>
      <c r="B3637" t="s">
        <v>60</v>
      </c>
      <c r="C3637">
        <v>24</v>
      </c>
      <c r="D3637" t="s">
        <v>22</v>
      </c>
      <c r="E3637" t="s">
        <v>16</v>
      </c>
      <c r="F3637" s="1">
        <v>43842</v>
      </c>
      <c r="G3637">
        <v>0</v>
      </c>
      <c r="H3637">
        <v>0</v>
      </c>
      <c r="I3637">
        <v>12</v>
      </c>
      <c r="J3637">
        <v>12</v>
      </c>
      <c r="K3637">
        <v>0</v>
      </c>
      <c r="L3637">
        <v>778</v>
      </c>
      <c r="M3637">
        <v>15</v>
      </c>
      <c r="N3637" s="1">
        <f t="shared" si="448"/>
        <v>44938</v>
      </c>
      <c r="O3637" s="1">
        <f t="shared" si="449"/>
        <v>43101</v>
      </c>
      <c r="P3637" s="1">
        <f t="shared" si="450"/>
        <v>44166</v>
      </c>
      <c r="Q3637" s="8">
        <f t="shared" si="451"/>
        <v>0</v>
      </c>
      <c r="R3637" s="8">
        <f t="shared" si="452"/>
        <v>36</v>
      </c>
      <c r="S3637" s="8">
        <f t="shared" ca="1" si="453"/>
        <v>27</v>
      </c>
      <c r="T3637">
        <f t="shared" ca="1" si="454"/>
        <v>0.48800000000000004</v>
      </c>
      <c r="U3637" s="8">
        <f t="shared" ca="1" si="455"/>
        <v>5.1040000000000001</v>
      </c>
      <c r="V3637" s="9">
        <f ca="1">RawData[[#This Row],[Z (smoothed demand size)]]/RawData[[#This Row],[X (smoothed interval)]]</f>
        <v>9.5611285266457693E-2</v>
      </c>
    </row>
    <row r="3638" spans="1:22">
      <c r="A3638" t="s">
        <v>70</v>
      </c>
      <c r="B3638" t="s">
        <v>60</v>
      </c>
      <c r="C3638">
        <v>24</v>
      </c>
      <c r="D3638" t="s">
        <v>22</v>
      </c>
      <c r="E3638" t="s">
        <v>16</v>
      </c>
      <c r="F3638" s="1">
        <v>44197</v>
      </c>
      <c r="G3638">
        <v>0</v>
      </c>
      <c r="H3638">
        <v>0</v>
      </c>
      <c r="I3638">
        <v>12</v>
      </c>
      <c r="J3638">
        <v>12</v>
      </c>
      <c r="K3638">
        <v>0</v>
      </c>
      <c r="L3638">
        <v>678</v>
      </c>
      <c r="M3638">
        <v>30</v>
      </c>
      <c r="N3638" s="1">
        <f t="shared" si="448"/>
        <v>44938</v>
      </c>
      <c r="O3638" s="1">
        <f t="shared" si="449"/>
        <v>43101</v>
      </c>
      <c r="P3638" s="1">
        <f t="shared" si="450"/>
        <v>44197</v>
      </c>
      <c r="Q3638" s="8">
        <f t="shared" si="451"/>
        <v>0</v>
      </c>
      <c r="R3638" s="8">
        <f t="shared" si="452"/>
        <v>37</v>
      </c>
      <c r="S3638" s="8">
        <f t="shared" ca="1" si="453"/>
        <v>27</v>
      </c>
      <c r="T3638">
        <f t="shared" ca="1" si="454"/>
        <v>0.48800000000000004</v>
      </c>
      <c r="U3638" s="8">
        <f t="shared" ca="1" si="455"/>
        <v>5.1040000000000001</v>
      </c>
      <c r="V3638" s="9">
        <f ca="1">RawData[[#This Row],[Z (smoothed demand size)]]/RawData[[#This Row],[X (smoothed interval)]]</f>
        <v>9.5611285266457693E-2</v>
      </c>
    </row>
    <row r="3639" spans="1:22">
      <c r="A3639" t="s">
        <v>70</v>
      </c>
      <c r="B3639" t="s">
        <v>60</v>
      </c>
      <c r="C3639">
        <v>24</v>
      </c>
      <c r="D3639" t="s">
        <v>22</v>
      </c>
      <c r="E3639" t="s">
        <v>16</v>
      </c>
      <c r="F3639" s="1">
        <v>44198</v>
      </c>
      <c r="G3639">
        <v>0</v>
      </c>
      <c r="H3639">
        <v>0</v>
      </c>
      <c r="I3639">
        <v>12</v>
      </c>
      <c r="J3639">
        <v>12</v>
      </c>
      <c r="K3639">
        <v>0</v>
      </c>
      <c r="L3639">
        <v>673</v>
      </c>
      <c r="M3639">
        <v>45</v>
      </c>
      <c r="N3639" s="1">
        <f t="shared" si="448"/>
        <v>44938</v>
      </c>
      <c r="O3639" s="1">
        <f t="shared" si="449"/>
        <v>43101</v>
      </c>
      <c r="P3639" s="1">
        <f t="shared" si="450"/>
        <v>44228</v>
      </c>
      <c r="Q3639" s="8">
        <f t="shared" si="451"/>
        <v>0</v>
      </c>
      <c r="R3639" s="8">
        <f t="shared" si="452"/>
        <v>38</v>
      </c>
      <c r="S3639" s="8">
        <f t="shared" ca="1" si="453"/>
        <v>27</v>
      </c>
      <c r="T3639">
        <f t="shared" ca="1" si="454"/>
        <v>0.48800000000000004</v>
      </c>
      <c r="U3639" s="8">
        <f t="shared" ca="1" si="455"/>
        <v>5.1040000000000001</v>
      </c>
      <c r="V3639" s="9">
        <f ca="1">RawData[[#This Row],[Z (smoothed demand size)]]/RawData[[#This Row],[X (smoothed interval)]]</f>
        <v>9.5611285266457693E-2</v>
      </c>
    </row>
    <row r="3640" spans="1:22">
      <c r="A3640" t="s">
        <v>70</v>
      </c>
      <c r="B3640" t="s">
        <v>60</v>
      </c>
      <c r="C3640">
        <v>24</v>
      </c>
      <c r="D3640" t="s">
        <v>22</v>
      </c>
      <c r="E3640" t="s">
        <v>16</v>
      </c>
      <c r="F3640" s="1">
        <v>44199</v>
      </c>
      <c r="G3640">
        <v>2</v>
      </c>
      <c r="H3640">
        <v>2</v>
      </c>
      <c r="I3640">
        <v>12</v>
      </c>
      <c r="J3640">
        <v>10</v>
      </c>
      <c r="K3640">
        <v>0</v>
      </c>
      <c r="L3640">
        <v>698</v>
      </c>
      <c r="M3640">
        <v>15</v>
      </c>
      <c r="N3640" s="1">
        <f t="shared" si="448"/>
        <v>44938</v>
      </c>
      <c r="O3640" s="1">
        <f t="shared" si="449"/>
        <v>43101</v>
      </c>
      <c r="P3640" s="1">
        <f t="shared" si="450"/>
        <v>44256</v>
      </c>
      <c r="Q3640" s="8">
        <f t="shared" si="451"/>
        <v>0</v>
      </c>
      <c r="R3640" s="8">
        <f t="shared" si="452"/>
        <v>39</v>
      </c>
      <c r="S3640" s="8">
        <f t="shared" ca="1" si="453"/>
        <v>39</v>
      </c>
      <c r="T3640">
        <f t="shared" ca="1" si="454"/>
        <v>0.7904000000000001</v>
      </c>
      <c r="U3640" s="8">
        <f t="shared" ca="1" si="455"/>
        <v>6.483200000000001</v>
      </c>
      <c r="V3640" s="9">
        <f ca="1">RawData[[#This Row],[Z (smoothed demand size)]]/RawData[[#This Row],[X (smoothed interval)]]</f>
        <v>0.12191510365251727</v>
      </c>
    </row>
    <row r="3641" spans="1:22">
      <c r="A3641" t="s">
        <v>70</v>
      </c>
      <c r="B3641" t="s">
        <v>60</v>
      </c>
      <c r="C3641">
        <v>24</v>
      </c>
      <c r="D3641" t="s">
        <v>22</v>
      </c>
      <c r="E3641" t="s">
        <v>16</v>
      </c>
      <c r="F3641" s="1">
        <v>44200</v>
      </c>
      <c r="G3641">
        <v>0</v>
      </c>
      <c r="H3641">
        <v>0</v>
      </c>
      <c r="I3641">
        <v>10</v>
      </c>
      <c r="J3641">
        <v>10</v>
      </c>
      <c r="K3641">
        <v>0</v>
      </c>
      <c r="L3641">
        <v>686</v>
      </c>
      <c r="M3641">
        <v>15</v>
      </c>
      <c r="N3641" s="1">
        <f t="shared" si="448"/>
        <v>44938</v>
      </c>
      <c r="O3641" s="1">
        <f t="shared" si="449"/>
        <v>43101</v>
      </c>
      <c r="P3641" s="1">
        <f t="shared" si="450"/>
        <v>44287</v>
      </c>
      <c r="Q3641" s="8">
        <f t="shared" si="451"/>
        <v>0</v>
      </c>
      <c r="R3641" s="8">
        <f t="shared" si="452"/>
        <v>40</v>
      </c>
      <c r="S3641" s="8">
        <f t="shared" ca="1" si="453"/>
        <v>39</v>
      </c>
      <c r="T3641">
        <f t="shared" ca="1" si="454"/>
        <v>0.7904000000000001</v>
      </c>
      <c r="U3641" s="8">
        <f t="shared" ca="1" si="455"/>
        <v>6.483200000000001</v>
      </c>
      <c r="V3641" s="9">
        <f ca="1">RawData[[#This Row],[Z (smoothed demand size)]]/RawData[[#This Row],[X (smoothed interval)]]</f>
        <v>0.12191510365251727</v>
      </c>
    </row>
    <row r="3642" spans="1:22">
      <c r="A3642" t="s">
        <v>70</v>
      </c>
      <c r="B3642" t="s">
        <v>60</v>
      </c>
      <c r="C3642">
        <v>24</v>
      </c>
      <c r="D3642" t="s">
        <v>22</v>
      </c>
      <c r="E3642" t="s">
        <v>16</v>
      </c>
      <c r="F3642" s="1">
        <v>44201</v>
      </c>
      <c r="G3642">
        <v>0</v>
      </c>
      <c r="H3642">
        <v>0</v>
      </c>
      <c r="I3642">
        <v>10</v>
      </c>
      <c r="J3642">
        <v>10</v>
      </c>
      <c r="K3642">
        <v>0</v>
      </c>
      <c r="L3642">
        <v>680</v>
      </c>
      <c r="M3642">
        <v>30</v>
      </c>
      <c r="N3642" s="1">
        <f t="shared" si="448"/>
        <v>44938</v>
      </c>
      <c r="O3642" s="1">
        <f t="shared" si="449"/>
        <v>43101</v>
      </c>
      <c r="P3642" s="1">
        <f t="shared" si="450"/>
        <v>44317</v>
      </c>
      <c r="Q3642" s="8">
        <f t="shared" si="451"/>
        <v>0</v>
      </c>
      <c r="R3642" s="8">
        <f t="shared" si="452"/>
        <v>41</v>
      </c>
      <c r="S3642" s="8">
        <f t="shared" ca="1" si="453"/>
        <v>39</v>
      </c>
      <c r="T3642">
        <f t="shared" ca="1" si="454"/>
        <v>0.7904000000000001</v>
      </c>
      <c r="U3642" s="8">
        <f t="shared" ca="1" si="455"/>
        <v>6.483200000000001</v>
      </c>
      <c r="V3642" s="9">
        <f ca="1">RawData[[#This Row],[Z (smoothed demand size)]]/RawData[[#This Row],[X (smoothed interval)]]</f>
        <v>0.12191510365251727</v>
      </c>
    </row>
    <row r="3643" spans="1:22">
      <c r="A3643" t="s">
        <v>70</v>
      </c>
      <c r="B3643" t="s">
        <v>60</v>
      </c>
      <c r="C3643">
        <v>24</v>
      </c>
      <c r="D3643" t="s">
        <v>22</v>
      </c>
      <c r="E3643" t="s">
        <v>16</v>
      </c>
      <c r="F3643" s="1">
        <v>44202</v>
      </c>
      <c r="G3643">
        <v>0</v>
      </c>
      <c r="H3643">
        <v>0</v>
      </c>
      <c r="I3643">
        <v>10</v>
      </c>
      <c r="J3643">
        <v>10</v>
      </c>
      <c r="K3643">
        <v>0</v>
      </c>
      <c r="L3643">
        <v>794</v>
      </c>
      <c r="M3643">
        <v>60</v>
      </c>
      <c r="N3643" s="1">
        <f t="shared" si="448"/>
        <v>44938</v>
      </c>
      <c r="O3643" s="1">
        <f t="shared" si="449"/>
        <v>43101</v>
      </c>
      <c r="P3643" s="1">
        <f t="shared" si="450"/>
        <v>44348</v>
      </c>
      <c r="Q3643" s="8">
        <f t="shared" si="451"/>
        <v>0</v>
      </c>
      <c r="R3643" s="8">
        <f t="shared" si="452"/>
        <v>42</v>
      </c>
      <c r="S3643" s="8">
        <f t="shared" ca="1" si="453"/>
        <v>39</v>
      </c>
      <c r="T3643">
        <f t="shared" ca="1" si="454"/>
        <v>0.7904000000000001</v>
      </c>
      <c r="U3643" s="8">
        <f t="shared" ca="1" si="455"/>
        <v>6.483200000000001</v>
      </c>
      <c r="V3643" s="9">
        <f ca="1">RawData[[#This Row],[Z (smoothed demand size)]]/RawData[[#This Row],[X (smoothed interval)]]</f>
        <v>0.12191510365251727</v>
      </c>
    </row>
    <row r="3644" spans="1:22">
      <c r="A3644" t="s">
        <v>70</v>
      </c>
      <c r="B3644" t="s">
        <v>60</v>
      </c>
      <c r="C3644">
        <v>24</v>
      </c>
      <c r="D3644" t="s">
        <v>22</v>
      </c>
      <c r="E3644" t="s">
        <v>16</v>
      </c>
      <c r="F3644" s="1">
        <v>44203</v>
      </c>
      <c r="G3644">
        <v>1</v>
      </c>
      <c r="H3644">
        <v>1</v>
      </c>
      <c r="I3644">
        <v>10</v>
      </c>
      <c r="J3644">
        <v>9</v>
      </c>
      <c r="K3644">
        <v>0</v>
      </c>
      <c r="L3644">
        <v>803</v>
      </c>
      <c r="M3644">
        <v>45</v>
      </c>
      <c r="N3644" s="1">
        <f t="shared" si="448"/>
        <v>44938</v>
      </c>
      <c r="O3644" s="1">
        <f t="shared" si="449"/>
        <v>43101</v>
      </c>
      <c r="P3644" s="1">
        <f t="shared" si="450"/>
        <v>44378</v>
      </c>
      <c r="Q3644" s="8">
        <f t="shared" si="451"/>
        <v>0</v>
      </c>
      <c r="R3644" s="8">
        <f t="shared" si="452"/>
        <v>43</v>
      </c>
      <c r="S3644" s="8">
        <f t="shared" ca="1" si="453"/>
        <v>43</v>
      </c>
      <c r="T3644">
        <f t="shared" ca="1" si="454"/>
        <v>0.83232000000000017</v>
      </c>
      <c r="U3644" s="8">
        <f t="shared" ca="1" si="455"/>
        <v>5.9865600000000008</v>
      </c>
      <c r="V3644" s="9">
        <f ca="1">RawData[[#This Row],[Z (smoothed demand size)]]/RawData[[#This Row],[X (smoothed interval)]]</f>
        <v>0.13903143040410521</v>
      </c>
    </row>
    <row r="3645" spans="1:22">
      <c r="A3645" t="s">
        <v>70</v>
      </c>
      <c r="B3645" t="s">
        <v>60</v>
      </c>
      <c r="C3645">
        <v>24</v>
      </c>
      <c r="D3645" t="s">
        <v>22</v>
      </c>
      <c r="E3645" t="s">
        <v>16</v>
      </c>
      <c r="F3645" s="1">
        <v>44204</v>
      </c>
      <c r="G3645">
        <v>0</v>
      </c>
      <c r="H3645">
        <v>0</v>
      </c>
      <c r="I3645">
        <v>9</v>
      </c>
      <c r="J3645">
        <v>9</v>
      </c>
      <c r="K3645">
        <v>0</v>
      </c>
      <c r="L3645">
        <v>788</v>
      </c>
      <c r="M3645">
        <v>60</v>
      </c>
      <c r="N3645" s="1">
        <f t="shared" si="448"/>
        <v>44938</v>
      </c>
      <c r="O3645" s="1">
        <f t="shared" si="449"/>
        <v>43101</v>
      </c>
      <c r="P3645" s="1">
        <f t="shared" si="450"/>
        <v>44409</v>
      </c>
      <c r="Q3645" s="8">
        <f t="shared" si="451"/>
        <v>0</v>
      </c>
      <c r="R3645" s="8">
        <f t="shared" si="452"/>
        <v>44</v>
      </c>
      <c r="S3645" s="8">
        <f t="shared" ca="1" si="453"/>
        <v>43</v>
      </c>
      <c r="T3645">
        <f t="shared" ca="1" si="454"/>
        <v>0.83232000000000017</v>
      </c>
      <c r="U3645" s="8">
        <f t="shared" ca="1" si="455"/>
        <v>5.9865600000000008</v>
      </c>
      <c r="V3645" s="9">
        <f ca="1">RawData[[#This Row],[Z (smoothed demand size)]]/RawData[[#This Row],[X (smoothed interval)]]</f>
        <v>0.13903143040410521</v>
      </c>
    </row>
    <row r="3646" spans="1:22">
      <c r="A3646" t="s">
        <v>70</v>
      </c>
      <c r="B3646" t="s">
        <v>60</v>
      </c>
      <c r="C3646">
        <v>24</v>
      </c>
      <c r="D3646" t="s">
        <v>22</v>
      </c>
      <c r="E3646" t="s">
        <v>16</v>
      </c>
      <c r="F3646" s="1">
        <v>44205</v>
      </c>
      <c r="G3646">
        <v>0</v>
      </c>
      <c r="H3646">
        <v>0</v>
      </c>
      <c r="I3646">
        <v>9</v>
      </c>
      <c r="J3646">
        <v>9</v>
      </c>
      <c r="K3646">
        <v>0</v>
      </c>
      <c r="L3646">
        <v>698</v>
      </c>
      <c r="M3646">
        <v>60</v>
      </c>
      <c r="N3646" s="1">
        <f t="shared" si="448"/>
        <v>44938</v>
      </c>
      <c r="O3646" s="1">
        <f t="shared" si="449"/>
        <v>43101</v>
      </c>
      <c r="P3646" s="1">
        <f t="shared" si="450"/>
        <v>44440</v>
      </c>
      <c r="Q3646" s="8">
        <f t="shared" si="451"/>
        <v>0</v>
      </c>
      <c r="R3646" s="8">
        <f t="shared" si="452"/>
        <v>45</v>
      </c>
      <c r="S3646" s="8">
        <f t="shared" ca="1" si="453"/>
        <v>43</v>
      </c>
      <c r="T3646">
        <f t="shared" ca="1" si="454"/>
        <v>0.83232000000000017</v>
      </c>
      <c r="U3646" s="8">
        <f t="shared" ca="1" si="455"/>
        <v>5.9865600000000008</v>
      </c>
      <c r="V3646" s="9">
        <f ca="1">RawData[[#This Row],[Z (smoothed demand size)]]/RawData[[#This Row],[X (smoothed interval)]]</f>
        <v>0.13903143040410521</v>
      </c>
    </row>
    <row r="3647" spans="1:22">
      <c r="A3647" t="s">
        <v>70</v>
      </c>
      <c r="B3647" t="s">
        <v>60</v>
      </c>
      <c r="C3647">
        <v>24</v>
      </c>
      <c r="D3647" t="s">
        <v>22</v>
      </c>
      <c r="E3647" t="s">
        <v>16</v>
      </c>
      <c r="F3647" s="1">
        <v>44206</v>
      </c>
      <c r="G3647">
        <v>0</v>
      </c>
      <c r="H3647">
        <v>0</v>
      </c>
      <c r="I3647">
        <v>9</v>
      </c>
      <c r="J3647">
        <v>9</v>
      </c>
      <c r="K3647">
        <v>0</v>
      </c>
      <c r="L3647">
        <v>684</v>
      </c>
      <c r="M3647">
        <v>45</v>
      </c>
      <c r="N3647" s="1">
        <f t="shared" si="448"/>
        <v>44938</v>
      </c>
      <c r="O3647" s="1">
        <f t="shared" si="449"/>
        <v>43101</v>
      </c>
      <c r="P3647" s="1">
        <f t="shared" si="450"/>
        <v>44470</v>
      </c>
      <c r="Q3647" s="8">
        <f t="shared" si="451"/>
        <v>0</v>
      </c>
      <c r="R3647" s="8">
        <f t="shared" si="452"/>
        <v>46</v>
      </c>
      <c r="S3647" s="8">
        <f t="shared" ca="1" si="453"/>
        <v>43</v>
      </c>
      <c r="T3647">
        <f t="shared" ca="1" si="454"/>
        <v>0.83232000000000017</v>
      </c>
      <c r="U3647" s="8">
        <f t="shared" ca="1" si="455"/>
        <v>5.9865600000000008</v>
      </c>
      <c r="V3647" s="9">
        <f ca="1">RawData[[#This Row],[Z (smoothed demand size)]]/RawData[[#This Row],[X (smoothed interval)]]</f>
        <v>0.13903143040410521</v>
      </c>
    </row>
    <row r="3648" spans="1:22">
      <c r="A3648" t="s">
        <v>70</v>
      </c>
      <c r="B3648" t="s">
        <v>60</v>
      </c>
      <c r="C3648">
        <v>24</v>
      </c>
      <c r="D3648" t="s">
        <v>22</v>
      </c>
      <c r="E3648" t="s">
        <v>16</v>
      </c>
      <c r="F3648" s="1">
        <v>44207</v>
      </c>
      <c r="G3648">
        <v>1</v>
      </c>
      <c r="H3648">
        <v>1</v>
      </c>
      <c r="I3648">
        <v>9</v>
      </c>
      <c r="J3648">
        <v>8</v>
      </c>
      <c r="K3648">
        <v>0</v>
      </c>
      <c r="L3648">
        <v>679</v>
      </c>
      <c r="M3648">
        <v>45</v>
      </c>
      <c r="N3648" s="1">
        <f t="shared" si="448"/>
        <v>44938</v>
      </c>
      <c r="O3648" s="1">
        <f t="shared" si="449"/>
        <v>43101</v>
      </c>
      <c r="P3648" s="1">
        <f t="shared" si="450"/>
        <v>44501</v>
      </c>
      <c r="Q3648" s="8">
        <f t="shared" si="451"/>
        <v>0</v>
      </c>
      <c r="R3648" s="8">
        <f t="shared" si="452"/>
        <v>47</v>
      </c>
      <c r="S3648" s="8">
        <f t="shared" ca="1" si="453"/>
        <v>47</v>
      </c>
      <c r="T3648">
        <f t="shared" ca="1" si="454"/>
        <v>0.86585600000000018</v>
      </c>
      <c r="U3648" s="8">
        <f t="shared" ca="1" si="455"/>
        <v>5.5892480000000004</v>
      </c>
      <c r="V3648" s="9">
        <f ca="1">RawData[[#This Row],[Z (smoothed demand size)]]/RawData[[#This Row],[X (smoothed interval)]]</f>
        <v>0.15491457884853205</v>
      </c>
    </row>
    <row r="3649" spans="1:22">
      <c r="A3649" t="s">
        <v>70</v>
      </c>
      <c r="B3649" t="s">
        <v>60</v>
      </c>
      <c r="C3649">
        <v>24</v>
      </c>
      <c r="D3649" t="s">
        <v>22</v>
      </c>
      <c r="E3649" t="s">
        <v>16</v>
      </c>
      <c r="F3649" s="1">
        <v>44208</v>
      </c>
      <c r="G3649">
        <v>0</v>
      </c>
      <c r="H3649">
        <v>0</v>
      </c>
      <c r="I3649">
        <v>8</v>
      </c>
      <c r="J3649">
        <v>8</v>
      </c>
      <c r="K3649">
        <v>0</v>
      </c>
      <c r="L3649">
        <v>804</v>
      </c>
      <c r="M3649">
        <v>45</v>
      </c>
      <c r="N3649" s="1">
        <f t="shared" si="448"/>
        <v>44938</v>
      </c>
      <c r="O3649" s="1">
        <f t="shared" si="449"/>
        <v>43101</v>
      </c>
      <c r="P3649" s="1">
        <f t="shared" si="450"/>
        <v>44531</v>
      </c>
      <c r="Q3649" s="8">
        <f t="shared" si="451"/>
        <v>0</v>
      </c>
      <c r="R3649" s="8">
        <f t="shared" si="452"/>
        <v>48</v>
      </c>
      <c r="S3649" s="8">
        <f t="shared" ca="1" si="453"/>
        <v>47</v>
      </c>
      <c r="T3649">
        <f t="shared" ca="1" si="454"/>
        <v>0.86585600000000018</v>
      </c>
      <c r="U3649" s="8">
        <f t="shared" ca="1" si="455"/>
        <v>5.5892480000000004</v>
      </c>
      <c r="V3649" s="9">
        <f ca="1">RawData[[#This Row],[Z (smoothed demand size)]]/RawData[[#This Row],[X (smoothed interval)]]</f>
        <v>0.15491457884853205</v>
      </c>
    </row>
    <row r="3650" spans="1:22">
      <c r="A3650" t="s">
        <v>70</v>
      </c>
      <c r="B3650" t="s">
        <v>60</v>
      </c>
      <c r="C3650">
        <v>24</v>
      </c>
      <c r="D3650" t="s">
        <v>22</v>
      </c>
      <c r="E3650" t="s">
        <v>16</v>
      </c>
      <c r="F3650" s="1">
        <v>44562</v>
      </c>
      <c r="G3650">
        <v>0</v>
      </c>
      <c r="H3650">
        <v>0</v>
      </c>
      <c r="I3650">
        <v>8</v>
      </c>
      <c r="J3650">
        <v>8</v>
      </c>
      <c r="K3650">
        <v>0</v>
      </c>
      <c r="L3650">
        <v>680</v>
      </c>
      <c r="M3650">
        <v>15</v>
      </c>
      <c r="N3650" s="1">
        <f t="shared" ref="N3650:N3713" si="456">MAX(F:F)</f>
        <v>44938</v>
      </c>
      <c r="O3650" s="1">
        <f t="shared" ref="O3650:O3713" si="457">MIN(F:F)</f>
        <v>43101</v>
      </c>
      <c r="P3650" s="1">
        <f t="shared" ref="P3650:P3713" si="458">DATE(YEAR(F3650), DAY(F3650), 1)</f>
        <v>44562</v>
      </c>
      <c r="Q3650" s="8">
        <f t="shared" ref="Q3650:Q3713" si="459" xml:space="preserve"> IF(A3650&lt;&gt;A3649, 1, 0)</f>
        <v>0</v>
      </c>
      <c r="R3650" s="8">
        <f t="shared" ref="R3650:R3713" si="460">IF(Q3650=1,1,R3649+1)</f>
        <v>49</v>
      </c>
      <c r="S3650" s="8">
        <f t="shared" ref="S3650:S3713" ca="1" si="461" xml:space="preserve"> IF(Q3650=1, IF(G3650&gt;0, R3650, 0), IF(G3650&gt;0, R3650, OFFSET(S3650,-1,0)))</f>
        <v>47</v>
      </c>
      <c r="T3650">
        <f t="shared" ref="T3650:T3713" ca="1" si="462" xml:space="preserve"> IF(Q3650=1, IF(G3650&gt;0, G3650, 0), IF(G3650&gt;0, $X$1*G3650+(1-$X$1)*OFFSET(T3650,-1,0), OFFSET(T3650,-1,0)))</f>
        <v>0.86585600000000018</v>
      </c>
      <c r="U3650" s="8">
        <f t="shared" ref="U3650:U3713" ca="1" si="463" xml:space="preserve"> IF(Q3650=1, 1, IF(G3650&gt;0, $X$1*(R3650-OFFSET(S3650,-1,0))+(1-$X$1)*OFFSET(U3650,-1,0), OFFSET(U3650,-1,0)))</f>
        <v>5.5892480000000004</v>
      </c>
      <c r="V3650" s="9">
        <f ca="1">RawData[[#This Row],[Z (smoothed demand size)]]/RawData[[#This Row],[X (smoothed interval)]]</f>
        <v>0.15491457884853205</v>
      </c>
    </row>
    <row r="3651" spans="1:22">
      <c r="A3651" t="s">
        <v>70</v>
      </c>
      <c r="B3651" t="s">
        <v>60</v>
      </c>
      <c r="C3651">
        <v>24</v>
      </c>
      <c r="D3651" t="s">
        <v>22</v>
      </c>
      <c r="E3651" t="s">
        <v>16</v>
      </c>
      <c r="F3651" s="1">
        <v>44563</v>
      </c>
      <c r="G3651">
        <v>0</v>
      </c>
      <c r="H3651">
        <v>0</v>
      </c>
      <c r="I3651">
        <v>8</v>
      </c>
      <c r="J3651">
        <v>8</v>
      </c>
      <c r="K3651">
        <v>0</v>
      </c>
      <c r="L3651">
        <v>681</v>
      </c>
      <c r="M3651">
        <v>30</v>
      </c>
      <c r="N3651" s="1">
        <f t="shared" si="456"/>
        <v>44938</v>
      </c>
      <c r="O3651" s="1">
        <f t="shared" si="457"/>
        <v>43101</v>
      </c>
      <c r="P3651" s="1">
        <f t="shared" si="458"/>
        <v>44593</v>
      </c>
      <c r="Q3651" s="8">
        <f t="shared" si="459"/>
        <v>0</v>
      </c>
      <c r="R3651" s="8">
        <f t="shared" si="460"/>
        <v>50</v>
      </c>
      <c r="S3651" s="8">
        <f t="shared" ca="1" si="461"/>
        <v>47</v>
      </c>
      <c r="T3651">
        <f t="shared" ca="1" si="462"/>
        <v>0.86585600000000018</v>
      </c>
      <c r="U3651" s="8">
        <f t="shared" ca="1" si="463"/>
        <v>5.5892480000000004</v>
      </c>
      <c r="V3651" s="9">
        <f ca="1">RawData[[#This Row],[Z (smoothed demand size)]]/RawData[[#This Row],[X (smoothed interval)]]</f>
        <v>0.15491457884853205</v>
      </c>
    </row>
    <row r="3652" spans="1:22">
      <c r="A3652" t="s">
        <v>70</v>
      </c>
      <c r="B3652" t="s">
        <v>60</v>
      </c>
      <c r="C3652">
        <v>24</v>
      </c>
      <c r="D3652" t="s">
        <v>22</v>
      </c>
      <c r="E3652" t="s">
        <v>16</v>
      </c>
      <c r="F3652" s="1">
        <v>44564</v>
      </c>
      <c r="G3652">
        <v>0</v>
      </c>
      <c r="H3652">
        <v>0</v>
      </c>
      <c r="I3652">
        <v>8</v>
      </c>
      <c r="J3652">
        <v>8</v>
      </c>
      <c r="K3652">
        <v>0</v>
      </c>
      <c r="L3652">
        <v>692</v>
      </c>
      <c r="M3652">
        <v>15</v>
      </c>
      <c r="N3652" s="1">
        <f t="shared" si="456"/>
        <v>44938</v>
      </c>
      <c r="O3652" s="1">
        <f t="shared" si="457"/>
        <v>43101</v>
      </c>
      <c r="P3652" s="1">
        <f t="shared" si="458"/>
        <v>44621</v>
      </c>
      <c r="Q3652" s="8">
        <f t="shared" si="459"/>
        <v>0</v>
      </c>
      <c r="R3652" s="8">
        <f t="shared" si="460"/>
        <v>51</v>
      </c>
      <c r="S3652" s="8">
        <f t="shared" ca="1" si="461"/>
        <v>47</v>
      </c>
      <c r="T3652">
        <f t="shared" ca="1" si="462"/>
        <v>0.86585600000000018</v>
      </c>
      <c r="U3652" s="8">
        <f t="shared" ca="1" si="463"/>
        <v>5.5892480000000004</v>
      </c>
      <c r="V3652" s="9">
        <f ca="1">RawData[[#This Row],[Z (smoothed demand size)]]/RawData[[#This Row],[X (smoothed interval)]]</f>
        <v>0.15491457884853205</v>
      </c>
    </row>
    <row r="3653" spans="1:22">
      <c r="A3653" t="s">
        <v>70</v>
      </c>
      <c r="B3653" t="s">
        <v>60</v>
      </c>
      <c r="C3653">
        <v>24</v>
      </c>
      <c r="D3653" t="s">
        <v>22</v>
      </c>
      <c r="E3653" t="s">
        <v>16</v>
      </c>
      <c r="F3653" s="1">
        <v>44565</v>
      </c>
      <c r="G3653">
        <v>0</v>
      </c>
      <c r="H3653">
        <v>0</v>
      </c>
      <c r="I3653">
        <v>8</v>
      </c>
      <c r="J3653">
        <v>8</v>
      </c>
      <c r="K3653">
        <v>0</v>
      </c>
      <c r="L3653">
        <v>685</v>
      </c>
      <c r="M3653">
        <v>15</v>
      </c>
      <c r="N3653" s="1">
        <f t="shared" si="456"/>
        <v>44938</v>
      </c>
      <c r="O3653" s="1">
        <f t="shared" si="457"/>
        <v>43101</v>
      </c>
      <c r="P3653" s="1">
        <f t="shared" si="458"/>
        <v>44652</v>
      </c>
      <c r="Q3653" s="8">
        <f t="shared" si="459"/>
        <v>0</v>
      </c>
      <c r="R3653" s="8">
        <f t="shared" si="460"/>
        <v>52</v>
      </c>
      <c r="S3653" s="8">
        <f t="shared" ca="1" si="461"/>
        <v>47</v>
      </c>
      <c r="T3653">
        <f t="shared" ca="1" si="462"/>
        <v>0.86585600000000018</v>
      </c>
      <c r="U3653" s="8">
        <f t="shared" ca="1" si="463"/>
        <v>5.5892480000000004</v>
      </c>
      <c r="V3653" s="9">
        <f ca="1">RawData[[#This Row],[Z (smoothed demand size)]]/RawData[[#This Row],[X (smoothed interval)]]</f>
        <v>0.15491457884853205</v>
      </c>
    </row>
    <row r="3654" spans="1:22">
      <c r="A3654" t="s">
        <v>70</v>
      </c>
      <c r="B3654" t="s">
        <v>60</v>
      </c>
      <c r="C3654">
        <v>24</v>
      </c>
      <c r="D3654" t="s">
        <v>22</v>
      </c>
      <c r="E3654" t="s">
        <v>16</v>
      </c>
      <c r="F3654" s="1">
        <v>44566</v>
      </c>
      <c r="G3654">
        <v>0</v>
      </c>
      <c r="H3654">
        <v>0</v>
      </c>
      <c r="I3654">
        <v>8</v>
      </c>
      <c r="J3654">
        <v>8</v>
      </c>
      <c r="K3654">
        <v>0</v>
      </c>
      <c r="L3654">
        <v>684</v>
      </c>
      <c r="M3654">
        <v>30</v>
      </c>
      <c r="N3654" s="1">
        <f t="shared" si="456"/>
        <v>44938</v>
      </c>
      <c r="O3654" s="1">
        <f t="shared" si="457"/>
        <v>43101</v>
      </c>
      <c r="P3654" s="1">
        <f t="shared" si="458"/>
        <v>44682</v>
      </c>
      <c r="Q3654" s="8">
        <f t="shared" si="459"/>
        <v>0</v>
      </c>
      <c r="R3654" s="8">
        <f t="shared" si="460"/>
        <v>53</v>
      </c>
      <c r="S3654" s="8">
        <f t="shared" ca="1" si="461"/>
        <v>47</v>
      </c>
      <c r="T3654">
        <f t="shared" ca="1" si="462"/>
        <v>0.86585600000000018</v>
      </c>
      <c r="U3654" s="8">
        <f t="shared" ca="1" si="463"/>
        <v>5.5892480000000004</v>
      </c>
      <c r="V3654" s="9">
        <f ca="1">RawData[[#This Row],[Z (smoothed demand size)]]/RawData[[#This Row],[X (smoothed interval)]]</f>
        <v>0.15491457884853205</v>
      </c>
    </row>
    <row r="3655" spans="1:22">
      <c r="A3655" t="s">
        <v>70</v>
      </c>
      <c r="B3655" t="s">
        <v>60</v>
      </c>
      <c r="C3655">
        <v>24</v>
      </c>
      <c r="D3655" t="s">
        <v>22</v>
      </c>
      <c r="E3655" t="s">
        <v>16</v>
      </c>
      <c r="F3655" s="1">
        <v>44567</v>
      </c>
      <c r="G3655">
        <v>0</v>
      </c>
      <c r="H3655">
        <v>0</v>
      </c>
      <c r="I3655">
        <v>8</v>
      </c>
      <c r="J3655">
        <v>8</v>
      </c>
      <c r="K3655">
        <v>0</v>
      </c>
      <c r="L3655">
        <v>785</v>
      </c>
      <c r="M3655">
        <v>60</v>
      </c>
      <c r="N3655" s="1">
        <f t="shared" si="456"/>
        <v>44938</v>
      </c>
      <c r="O3655" s="1">
        <f t="shared" si="457"/>
        <v>43101</v>
      </c>
      <c r="P3655" s="1">
        <f t="shared" si="458"/>
        <v>44713</v>
      </c>
      <c r="Q3655" s="8">
        <f t="shared" si="459"/>
        <v>0</v>
      </c>
      <c r="R3655" s="8">
        <f t="shared" si="460"/>
        <v>54</v>
      </c>
      <c r="S3655" s="8">
        <f t="shared" ca="1" si="461"/>
        <v>47</v>
      </c>
      <c r="T3655">
        <f t="shared" ca="1" si="462"/>
        <v>0.86585600000000018</v>
      </c>
      <c r="U3655" s="8">
        <f t="shared" ca="1" si="463"/>
        <v>5.5892480000000004</v>
      </c>
      <c r="V3655" s="9">
        <f ca="1">RawData[[#This Row],[Z (smoothed demand size)]]/RawData[[#This Row],[X (smoothed interval)]]</f>
        <v>0.15491457884853205</v>
      </c>
    </row>
    <row r="3656" spans="1:22">
      <c r="A3656" t="s">
        <v>70</v>
      </c>
      <c r="B3656" t="s">
        <v>60</v>
      </c>
      <c r="C3656">
        <v>24</v>
      </c>
      <c r="D3656" t="s">
        <v>22</v>
      </c>
      <c r="E3656" t="s">
        <v>16</v>
      </c>
      <c r="F3656" s="1">
        <v>44568</v>
      </c>
      <c r="G3656">
        <v>0</v>
      </c>
      <c r="H3656">
        <v>0</v>
      </c>
      <c r="I3656">
        <v>8</v>
      </c>
      <c r="J3656">
        <v>8</v>
      </c>
      <c r="K3656">
        <v>0</v>
      </c>
      <c r="L3656">
        <v>782</v>
      </c>
      <c r="M3656">
        <v>60</v>
      </c>
      <c r="N3656" s="1">
        <f t="shared" si="456"/>
        <v>44938</v>
      </c>
      <c r="O3656" s="1">
        <f t="shared" si="457"/>
        <v>43101</v>
      </c>
      <c r="P3656" s="1">
        <f t="shared" si="458"/>
        <v>44743</v>
      </c>
      <c r="Q3656" s="8">
        <f t="shared" si="459"/>
        <v>0</v>
      </c>
      <c r="R3656" s="8">
        <f t="shared" si="460"/>
        <v>55</v>
      </c>
      <c r="S3656" s="8">
        <f t="shared" ca="1" si="461"/>
        <v>47</v>
      </c>
      <c r="T3656">
        <f t="shared" ca="1" si="462"/>
        <v>0.86585600000000018</v>
      </c>
      <c r="U3656" s="8">
        <f t="shared" ca="1" si="463"/>
        <v>5.5892480000000004</v>
      </c>
      <c r="V3656" s="9">
        <f ca="1">RawData[[#This Row],[Z (smoothed demand size)]]/RawData[[#This Row],[X (smoothed interval)]]</f>
        <v>0.15491457884853205</v>
      </c>
    </row>
    <row r="3657" spans="1:22">
      <c r="A3657" t="s">
        <v>70</v>
      </c>
      <c r="B3657" t="s">
        <v>60</v>
      </c>
      <c r="C3657">
        <v>24</v>
      </c>
      <c r="D3657" t="s">
        <v>22</v>
      </c>
      <c r="E3657" t="s">
        <v>16</v>
      </c>
      <c r="F3657" s="1">
        <v>44569</v>
      </c>
      <c r="G3657">
        <v>0</v>
      </c>
      <c r="H3657">
        <v>0</v>
      </c>
      <c r="I3657">
        <v>8</v>
      </c>
      <c r="J3657">
        <v>8</v>
      </c>
      <c r="K3657">
        <v>0</v>
      </c>
      <c r="L3657">
        <v>789</v>
      </c>
      <c r="M3657">
        <v>30</v>
      </c>
      <c r="N3657" s="1">
        <f t="shared" si="456"/>
        <v>44938</v>
      </c>
      <c r="O3657" s="1">
        <f t="shared" si="457"/>
        <v>43101</v>
      </c>
      <c r="P3657" s="1">
        <f t="shared" si="458"/>
        <v>44774</v>
      </c>
      <c r="Q3657" s="8">
        <f t="shared" si="459"/>
        <v>0</v>
      </c>
      <c r="R3657" s="8">
        <f t="shared" si="460"/>
        <v>56</v>
      </c>
      <c r="S3657" s="8">
        <f t="shared" ca="1" si="461"/>
        <v>47</v>
      </c>
      <c r="T3657">
        <f t="shared" ca="1" si="462"/>
        <v>0.86585600000000018</v>
      </c>
      <c r="U3657" s="8">
        <f t="shared" ca="1" si="463"/>
        <v>5.5892480000000004</v>
      </c>
      <c r="V3657" s="9">
        <f ca="1">RawData[[#This Row],[Z (smoothed demand size)]]/RawData[[#This Row],[X (smoothed interval)]]</f>
        <v>0.15491457884853205</v>
      </c>
    </row>
    <row r="3658" spans="1:22">
      <c r="A3658" t="s">
        <v>70</v>
      </c>
      <c r="B3658" t="s">
        <v>60</v>
      </c>
      <c r="C3658">
        <v>24</v>
      </c>
      <c r="D3658" t="s">
        <v>22</v>
      </c>
      <c r="E3658" t="s">
        <v>16</v>
      </c>
      <c r="F3658" s="1">
        <v>44570</v>
      </c>
      <c r="G3658">
        <v>0</v>
      </c>
      <c r="H3658">
        <v>0</v>
      </c>
      <c r="I3658">
        <v>8</v>
      </c>
      <c r="J3658">
        <v>8</v>
      </c>
      <c r="K3658">
        <v>0</v>
      </c>
      <c r="L3658">
        <v>688</v>
      </c>
      <c r="M3658">
        <v>30</v>
      </c>
      <c r="N3658" s="1">
        <f t="shared" si="456"/>
        <v>44938</v>
      </c>
      <c r="O3658" s="1">
        <f t="shared" si="457"/>
        <v>43101</v>
      </c>
      <c r="P3658" s="1">
        <f t="shared" si="458"/>
        <v>44805</v>
      </c>
      <c r="Q3658" s="8">
        <f t="shared" si="459"/>
        <v>0</v>
      </c>
      <c r="R3658" s="8">
        <f t="shared" si="460"/>
        <v>57</v>
      </c>
      <c r="S3658" s="8">
        <f t="shared" ca="1" si="461"/>
        <v>47</v>
      </c>
      <c r="T3658">
        <f t="shared" ca="1" si="462"/>
        <v>0.86585600000000018</v>
      </c>
      <c r="U3658" s="8">
        <f t="shared" ca="1" si="463"/>
        <v>5.5892480000000004</v>
      </c>
      <c r="V3658" s="9">
        <f ca="1">RawData[[#This Row],[Z (smoothed demand size)]]/RawData[[#This Row],[X (smoothed interval)]]</f>
        <v>0.15491457884853205</v>
      </c>
    </row>
    <row r="3659" spans="1:22">
      <c r="A3659" t="s">
        <v>70</v>
      </c>
      <c r="B3659" t="s">
        <v>60</v>
      </c>
      <c r="C3659">
        <v>24</v>
      </c>
      <c r="D3659" t="s">
        <v>22</v>
      </c>
      <c r="E3659" t="s">
        <v>16</v>
      </c>
      <c r="F3659" s="1">
        <v>44571</v>
      </c>
      <c r="G3659">
        <v>0</v>
      </c>
      <c r="H3659">
        <v>0</v>
      </c>
      <c r="I3659">
        <v>8</v>
      </c>
      <c r="J3659">
        <v>8</v>
      </c>
      <c r="K3659">
        <v>0</v>
      </c>
      <c r="L3659">
        <v>683</v>
      </c>
      <c r="M3659">
        <v>60</v>
      </c>
      <c r="N3659" s="1">
        <f t="shared" si="456"/>
        <v>44938</v>
      </c>
      <c r="O3659" s="1">
        <f t="shared" si="457"/>
        <v>43101</v>
      </c>
      <c r="P3659" s="1">
        <f t="shared" si="458"/>
        <v>44835</v>
      </c>
      <c r="Q3659" s="8">
        <f t="shared" si="459"/>
        <v>0</v>
      </c>
      <c r="R3659" s="8">
        <f t="shared" si="460"/>
        <v>58</v>
      </c>
      <c r="S3659" s="8">
        <f t="shared" ca="1" si="461"/>
        <v>47</v>
      </c>
      <c r="T3659">
        <f t="shared" ca="1" si="462"/>
        <v>0.86585600000000018</v>
      </c>
      <c r="U3659" s="8">
        <f t="shared" ca="1" si="463"/>
        <v>5.5892480000000004</v>
      </c>
      <c r="V3659" s="9">
        <f ca="1">RawData[[#This Row],[Z (smoothed demand size)]]/RawData[[#This Row],[X (smoothed interval)]]</f>
        <v>0.15491457884853205</v>
      </c>
    </row>
    <row r="3660" spans="1:22">
      <c r="A3660" t="s">
        <v>70</v>
      </c>
      <c r="B3660" t="s">
        <v>60</v>
      </c>
      <c r="C3660">
        <v>24</v>
      </c>
      <c r="D3660" t="s">
        <v>22</v>
      </c>
      <c r="E3660" t="s">
        <v>16</v>
      </c>
      <c r="F3660" s="1">
        <v>44572</v>
      </c>
      <c r="G3660">
        <v>0</v>
      </c>
      <c r="H3660">
        <v>0</v>
      </c>
      <c r="I3660">
        <v>8</v>
      </c>
      <c r="J3660">
        <v>8</v>
      </c>
      <c r="K3660">
        <v>0</v>
      </c>
      <c r="L3660">
        <v>689</v>
      </c>
      <c r="M3660">
        <v>60</v>
      </c>
      <c r="N3660" s="1">
        <f t="shared" si="456"/>
        <v>44938</v>
      </c>
      <c r="O3660" s="1">
        <f t="shared" si="457"/>
        <v>43101</v>
      </c>
      <c r="P3660" s="1">
        <f t="shared" si="458"/>
        <v>44866</v>
      </c>
      <c r="Q3660" s="8">
        <f t="shared" si="459"/>
        <v>0</v>
      </c>
      <c r="R3660" s="8">
        <f t="shared" si="460"/>
        <v>59</v>
      </c>
      <c r="S3660" s="8">
        <f t="shared" ca="1" si="461"/>
        <v>47</v>
      </c>
      <c r="T3660">
        <f t="shared" ca="1" si="462"/>
        <v>0.86585600000000018</v>
      </c>
      <c r="U3660" s="8">
        <f t="shared" ca="1" si="463"/>
        <v>5.5892480000000004</v>
      </c>
      <c r="V3660" s="9">
        <f ca="1">RawData[[#This Row],[Z (smoothed demand size)]]/RawData[[#This Row],[X (smoothed interval)]]</f>
        <v>0.15491457884853205</v>
      </c>
    </row>
    <row r="3661" spans="1:22">
      <c r="A3661" t="s">
        <v>70</v>
      </c>
      <c r="B3661" t="s">
        <v>60</v>
      </c>
      <c r="C3661">
        <v>24</v>
      </c>
      <c r="D3661" t="s">
        <v>22</v>
      </c>
      <c r="E3661" t="s">
        <v>16</v>
      </c>
      <c r="F3661" s="1">
        <v>44573</v>
      </c>
      <c r="G3661">
        <v>0</v>
      </c>
      <c r="H3661">
        <v>0</v>
      </c>
      <c r="I3661">
        <v>8</v>
      </c>
      <c r="J3661">
        <v>8</v>
      </c>
      <c r="K3661">
        <v>0</v>
      </c>
      <c r="L3661">
        <v>791</v>
      </c>
      <c r="M3661">
        <v>45</v>
      </c>
      <c r="N3661" s="1">
        <f t="shared" si="456"/>
        <v>44938</v>
      </c>
      <c r="O3661" s="1">
        <f t="shared" si="457"/>
        <v>43101</v>
      </c>
      <c r="P3661" s="1">
        <f t="shared" si="458"/>
        <v>44896</v>
      </c>
      <c r="Q3661" s="8">
        <f t="shared" si="459"/>
        <v>0</v>
      </c>
      <c r="R3661" s="8">
        <f t="shared" si="460"/>
        <v>60</v>
      </c>
      <c r="S3661" s="8">
        <f t="shared" ca="1" si="461"/>
        <v>47</v>
      </c>
      <c r="T3661">
        <f t="shared" ca="1" si="462"/>
        <v>0.86585600000000018</v>
      </c>
      <c r="U3661" s="8">
        <f t="shared" ca="1" si="463"/>
        <v>5.5892480000000004</v>
      </c>
      <c r="V3661" s="9">
        <f ca="1">RawData[[#This Row],[Z (smoothed demand size)]]/RawData[[#This Row],[X (smoothed interval)]]</f>
        <v>0.15491457884853205</v>
      </c>
    </row>
    <row r="3662" spans="1:22">
      <c r="A3662" t="s">
        <v>70</v>
      </c>
      <c r="B3662" t="s">
        <v>60</v>
      </c>
      <c r="C3662">
        <v>24</v>
      </c>
      <c r="D3662" t="s">
        <v>22</v>
      </c>
      <c r="E3662" t="s">
        <v>16</v>
      </c>
      <c r="F3662" s="1">
        <v>44927</v>
      </c>
      <c r="G3662">
        <v>0</v>
      </c>
      <c r="H3662">
        <v>0</v>
      </c>
      <c r="I3662">
        <v>8</v>
      </c>
      <c r="J3662">
        <v>8</v>
      </c>
      <c r="K3662">
        <v>0</v>
      </c>
      <c r="L3662">
        <v>685</v>
      </c>
      <c r="M3662">
        <v>15</v>
      </c>
      <c r="N3662" s="1">
        <f t="shared" si="456"/>
        <v>44938</v>
      </c>
      <c r="O3662" s="1">
        <f t="shared" si="457"/>
        <v>43101</v>
      </c>
      <c r="P3662" s="1">
        <f t="shared" si="458"/>
        <v>44927</v>
      </c>
      <c r="Q3662" s="8">
        <f t="shared" si="459"/>
        <v>0</v>
      </c>
      <c r="R3662" s="8">
        <f t="shared" si="460"/>
        <v>61</v>
      </c>
      <c r="S3662" s="8">
        <f t="shared" ca="1" si="461"/>
        <v>47</v>
      </c>
      <c r="T3662">
        <f t="shared" ca="1" si="462"/>
        <v>0.86585600000000018</v>
      </c>
      <c r="U3662" s="8">
        <f t="shared" ca="1" si="463"/>
        <v>5.5892480000000004</v>
      </c>
      <c r="V3662" s="9">
        <f ca="1">RawData[[#This Row],[Z (smoothed demand size)]]/RawData[[#This Row],[X (smoothed interval)]]</f>
        <v>0.15491457884853205</v>
      </c>
    </row>
    <row r="3663" spans="1:22">
      <c r="A3663" t="s">
        <v>70</v>
      </c>
      <c r="B3663" t="s">
        <v>60</v>
      </c>
      <c r="C3663">
        <v>24</v>
      </c>
      <c r="D3663" t="s">
        <v>22</v>
      </c>
      <c r="E3663" t="s">
        <v>16</v>
      </c>
      <c r="F3663" s="1">
        <v>44928</v>
      </c>
      <c r="G3663">
        <v>0</v>
      </c>
      <c r="H3663">
        <v>0</v>
      </c>
      <c r="I3663">
        <v>8</v>
      </c>
      <c r="J3663">
        <v>8</v>
      </c>
      <c r="K3663">
        <v>0</v>
      </c>
      <c r="L3663">
        <v>681</v>
      </c>
      <c r="M3663">
        <v>30</v>
      </c>
      <c r="N3663" s="1">
        <f t="shared" si="456"/>
        <v>44938</v>
      </c>
      <c r="O3663" s="1">
        <f t="shared" si="457"/>
        <v>43101</v>
      </c>
      <c r="P3663" s="1">
        <f t="shared" si="458"/>
        <v>44958</v>
      </c>
      <c r="Q3663" s="8">
        <f t="shared" si="459"/>
        <v>0</v>
      </c>
      <c r="R3663" s="8">
        <f t="shared" si="460"/>
        <v>62</v>
      </c>
      <c r="S3663" s="8">
        <f t="shared" ca="1" si="461"/>
        <v>47</v>
      </c>
      <c r="T3663">
        <f t="shared" ca="1" si="462"/>
        <v>0.86585600000000018</v>
      </c>
      <c r="U3663" s="8">
        <f t="shared" ca="1" si="463"/>
        <v>5.5892480000000004</v>
      </c>
      <c r="V3663" s="9">
        <f ca="1">RawData[[#This Row],[Z (smoothed demand size)]]/RawData[[#This Row],[X (smoothed interval)]]</f>
        <v>0.15491457884853205</v>
      </c>
    </row>
    <row r="3664" spans="1:22">
      <c r="A3664" t="s">
        <v>70</v>
      </c>
      <c r="B3664" t="s">
        <v>60</v>
      </c>
      <c r="C3664">
        <v>24</v>
      </c>
      <c r="D3664" t="s">
        <v>22</v>
      </c>
      <c r="E3664" t="s">
        <v>16</v>
      </c>
      <c r="F3664" s="1">
        <v>44929</v>
      </c>
      <c r="G3664">
        <v>0</v>
      </c>
      <c r="H3664">
        <v>0</v>
      </c>
      <c r="I3664">
        <v>8</v>
      </c>
      <c r="J3664">
        <v>8</v>
      </c>
      <c r="K3664">
        <v>0</v>
      </c>
      <c r="L3664">
        <v>680</v>
      </c>
      <c r="M3664">
        <v>45</v>
      </c>
      <c r="N3664" s="1">
        <f t="shared" si="456"/>
        <v>44938</v>
      </c>
      <c r="O3664" s="1">
        <f t="shared" si="457"/>
        <v>43101</v>
      </c>
      <c r="P3664" s="1">
        <f t="shared" si="458"/>
        <v>44986</v>
      </c>
      <c r="Q3664" s="8">
        <f t="shared" si="459"/>
        <v>0</v>
      </c>
      <c r="R3664" s="8">
        <f t="shared" si="460"/>
        <v>63</v>
      </c>
      <c r="S3664" s="8">
        <f t="shared" ca="1" si="461"/>
        <v>47</v>
      </c>
      <c r="T3664">
        <f t="shared" ca="1" si="462"/>
        <v>0.86585600000000018</v>
      </c>
      <c r="U3664" s="8">
        <f t="shared" ca="1" si="463"/>
        <v>5.5892480000000004</v>
      </c>
      <c r="V3664" s="9">
        <f ca="1">RawData[[#This Row],[Z (smoothed demand size)]]/RawData[[#This Row],[X (smoothed interval)]]</f>
        <v>0.15491457884853205</v>
      </c>
    </row>
    <row r="3665" spans="1:22">
      <c r="A3665" t="s">
        <v>70</v>
      </c>
      <c r="B3665" t="s">
        <v>60</v>
      </c>
      <c r="C3665">
        <v>24</v>
      </c>
      <c r="D3665" t="s">
        <v>22</v>
      </c>
      <c r="E3665" t="s">
        <v>16</v>
      </c>
      <c r="F3665" s="1">
        <v>44930</v>
      </c>
      <c r="G3665">
        <v>0</v>
      </c>
      <c r="H3665">
        <v>0</v>
      </c>
      <c r="I3665">
        <v>8</v>
      </c>
      <c r="J3665">
        <v>8</v>
      </c>
      <c r="K3665">
        <v>0</v>
      </c>
      <c r="L3665">
        <v>685</v>
      </c>
      <c r="M3665">
        <v>45</v>
      </c>
      <c r="N3665" s="1">
        <f t="shared" si="456"/>
        <v>44938</v>
      </c>
      <c r="O3665" s="1">
        <f t="shared" si="457"/>
        <v>43101</v>
      </c>
      <c r="P3665" s="1">
        <f t="shared" si="458"/>
        <v>45017</v>
      </c>
      <c r="Q3665" s="8">
        <f t="shared" si="459"/>
        <v>0</v>
      </c>
      <c r="R3665" s="8">
        <f t="shared" si="460"/>
        <v>64</v>
      </c>
      <c r="S3665" s="8">
        <f t="shared" ca="1" si="461"/>
        <v>47</v>
      </c>
      <c r="T3665">
        <f t="shared" ca="1" si="462"/>
        <v>0.86585600000000018</v>
      </c>
      <c r="U3665" s="8">
        <f t="shared" ca="1" si="463"/>
        <v>5.5892480000000004</v>
      </c>
      <c r="V3665" s="9">
        <f ca="1">RawData[[#This Row],[Z (smoothed demand size)]]/RawData[[#This Row],[X (smoothed interval)]]</f>
        <v>0.15491457884853205</v>
      </c>
    </row>
    <row r="3666" spans="1:22">
      <c r="A3666" t="s">
        <v>70</v>
      </c>
      <c r="B3666" t="s">
        <v>60</v>
      </c>
      <c r="C3666">
        <v>24</v>
      </c>
      <c r="D3666" t="s">
        <v>22</v>
      </c>
      <c r="E3666" t="s">
        <v>16</v>
      </c>
      <c r="F3666" s="1">
        <v>44931</v>
      </c>
      <c r="G3666">
        <v>0</v>
      </c>
      <c r="H3666">
        <v>0</v>
      </c>
      <c r="I3666">
        <v>8</v>
      </c>
      <c r="J3666">
        <v>8</v>
      </c>
      <c r="K3666">
        <v>0</v>
      </c>
      <c r="L3666">
        <v>674</v>
      </c>
      <c r="M3666">
        <v>60</v>
      </c>
      <c r="N3666" s="1">
        <f t="shared" si="456"/>
        <v>44938</v>
      </c>
      <c r="O3666" s="1">
        <f t="shared" si="457"/>
        <v>43101</v>
      </c>
      <c r="P3666" s="1">
        <f t="shared" si="458"/>
        <v>45047</v>
      </c>
      <c r="Q3666" s="8">
        <f t="shared" si="459"/>
        <v>0</v>
      </c>
      <c r="R3666" s="8">
        <f t="shared" si="460"/>
        <v>65</v>
      </c>
      <c r="S3666" s="8">
        <f t="shared" ca="1" si="461"/>
        <v>47</v>
      </c>
      <c r="T3666">
        <f t="shared" ca="1" si="462"/>
        <v>0.86585600000000018</v>
      </c>
      <c r="U3666" s="8">
        <f t="shared" ca="1" si="463"/>
        <v>5.5892480000000004</v>
      </c>
      <c r="V3666" s="9">
        <f ca="1">RawData[[#This Row],[Z (smoothed demand size)]]/RawData[[#This Row],[X (smoothed interval)]]</f>
        <v>0.15491457884853205</v>
      </c>
    </row>
    <row r="3667" spans="1:22">
      <c r="A3667" t="s">
        <v>70</v>
      </c>
      <c r="B3667" t="s">
        <v>60</v>
      </c>
      <c r="C3667">
        <v>24</v>
      </c>
      <c r="D3667" t="s">
        <v>22</v>
      </c>
      <c r="E3667" t="s">
        <v>16</v>
      </c>
      <c r="F3667" s="1">
        <v>44932</v>
      </c>
      <c r="G3667">
        <v>4</v>
      </c>
      <c r="H3667">
        <v>4</v>
      </c>
      <c r="I3667">
        <v>8</v>
      </c>
      <c r="J3667">
        <v>4</v>
      </c>
      <c r="K3667">
        <v>0</v>
      </c>
      <c r="L3667">
        <v>808</v>
      </c>
      <c r="M3667">
        <v>45</v>
      </c>
      <c r="N3667" s="1">
        <f t="shared" si="456"/>
        <v>44938</v>
      </c>
      <c r="O3667" s="1">
        <f t="shared" si="457"/>
        <v>43101</v>
      </c>
      <c r="P3667" s="1">
        <f t="shared" si="458"/>
        <v>45078</v>
      </c>
      <c r="Q3667" s="8">
        <f t="shared" si="459"/>
        <v>0</v>
      </c>
      <c r="R3667" s="8">
        <f t="shared" si="460"/>
        <v>66</v>
      </c>
      <c r="S3667" s="8">
        <f t="shared" ca="1" si="461"/>
        <v>66</v>
      </c>
      <c r="T3667">
        <f t="shared" ca="1" si="462"/>
        <v>1.4926848000000001</v>
      </c>
      <c r="U3667" s="8">
        <f t="shared" ca="1" si="463"/>
        <v>8.2713984000000007</v>
      </c>
      <c r="V3667" s="9">
        <f ca="1">RawData[[#This Row],[Z (smoothed demand size)]]/RawData[[#This Row],[X (smoothed interval)]]</f>
        <v>0.18046341474737815</v>
      </c>
    </row>
    <row r="3668" spans="1:22">
      <c r="A3668" t="s">
        <v>70</v>
      </c>
      <c r="B3668" t="s">
        <v>60</v>
      </c>
      <c r="C3668">
        <v>24</v>
      </c>
      <c r="D3668" t="s">
        <v>22</v>
      </c>
      <c r="E3668" t="s">
        <v>16</v>
      </c>
      <c r="F3668" s="1">
        <v>44933</v>
      </c>
      <c r="G3668">
        <v>2</v>
      </c>
      <c r="H3668">
        <v>2</v>
      </c>
      <c r="I3668">
        <v>4</v>
      </c>
      <c r="J3668">
        <v>2</v>
      </c>
      <c r="K3668">
        <v>0</v>
      </c>
      <c r="L3668">
        <v>765</v>
      </c>
      <c r="M3668">
        <v>45</v>
      </c>
      <c r="N3668" s="1">
        <f t="shared" si="456"/>
        <v>44938</v>
      </c>
      <c r="O3668" s="1">
        <f t="shared" si="457"/>
        <v>43101</v>
      </c>
      <c r="P3668" s="1">
        <f t="shared" si="458"/>
        <v>45108</v>
      </c>
      <c r="Q3668" s="8">
        <f t="shared" si="459"/>
        <v>0</v>
      </c>
      <c r="R3668" s="8">
        <f t="shared" si="460"/>
        <v>67</v>
      </c>
      <c r="S3668" s="8">
        <f t="shared" ca="1" si="461"/>
        <v>67</v>
      </c>
      <c r="T3668">
        <f t="shared" ca="1" si="462"/>
        <v>1.5941478400000002</v>
      </c>
      <c r="U3668" s="8">
        <f t="shared" ca="1" si="463"/>
        <v>6.8171187200000007</v>
      </c>
      <c r="V3668" s="9">
        <f ca="1">RawData[[#This Row],[Z (smoothed demand size)]]/RawData[[#This Row],[X (smoothed interval)]]</f>
        <v>0.23384481119906331</v>
      </c>
    </row>
    <row r="3669" spans="1:22">
      <c r="A3669" t="s">
        <v>70</v>
      </c>
      <c r="B3669" t="s">
        <v>60</v>
      </c>
      <c r="C3669">
        <v>24</v>
      </c>
      <c r="D3669" t="s">
        <v>22</v>
      </c>
      <c r="E3669" t="s">
        <v>16</v>
      </c>
      <c r="F3669" s="1">
        <v>44934</v>
      </c>
      <c r="G3669">
        <v>0</v>
      </c>
      <c r="H3669">
        <v>0</v>
      </c>
      <c r="I3669">
        <v>21</v>
      </c>
      <c r="J3669">
        <v>21</v>
      </c>
      <c r="K3669">
        <v>0</v>
      </c>
      <c r="L3669">
        <v>781</v>
      </c>
      <c r="M3669">
        <v>45</v>
      </c>
      <c r="N3669" s="1">
        <f t="shared" si="456"/>
        <v>44938</v>
      </c>
      <c r="O3669" s="1">
        <f t="shared" si="457"/>
        <v>43101</v>
      </c>
      <c r="P3669" s="1">
        <f t="shared" si="458"/>
        <v>45139</v>
      </c>
      <c r="Q3669" s="8">
        <f t="shared" si="459"/>
        <v>0</v>
      </c>
      <c r="R3669" s="8">
        <f t="shared" si="460"/>
        <v>68</v>
      </c>
      <c r="S3669" s="8">
        <f t="shared" ca="1" si="461"/>
        <v>67</v>
      </c>
      <c r="T3669">
        <f t="shared" ca="1" si="462"/>
        <v>1.5941478400000002</v>
      </c>
      <c r="U3669" s="8">
        <f t="shared" ca="1" si="463"/>
        <v>6.8171187200000007</v>
      </c>
      <c r="V3669" s="9">
        <f ca="1">RawData[[#This Row],[Z (smoothed demand size)]]/RawData[[#This Row],[X (smoothed interval)]]</f>
        <v>0.23384481119906331</v>
      </c>
    </row>
    <row r="3670" spans="1:22">
      <c r="A3670" t="s">
        <v>70</v>
      </c>
      <c r="B3670" t="s">
        <v>60</v>
      </c>
      <c r="C3670">
        <v>24</v>
      </c>
      <c r="D3670" t="s">
        <v>22</v>
      </c>
      <c r="E3670" t="s">
        <v>16</v>
      </c>
      <c r="F3670" s="1">
        <v>44935</v>
      </c>
      <c r="G3670">
        <v>0</v>
      </c>
      <c r="H3670">
        <v>0</v>
      </c>
      <c r="I3670">
        <v>21</v>
      </c>
      <c r="J3670">
        <v>21</v>
      </c>
      <c r="K3670">
        <v>0</v>
      </c>
      <c r="L3670">
        <v>686</v>
      </c>
      <c r="M3670">
        <v>45</v>
      </c>
      <c r="N3670" s="1">
        <f t="shared" si="456"/>
        <v>44938</v>
      </c>
      <c r="O3670" s="1">
        <f t="shared" si="457"/>
        <v>43101</v>
      </c>
      <c r="P3670" s="1">
        <f t="shared" si="458"/>
        <v>45170</v>
      </c>
      <c r="Q3670" s="8">
        <f t="shared" si="459"/>
        <v>0</v>
      </c>
      <c r="R3670" s="8">
        <f t="shared" si="460"/>
        <v>69</v>
      </c>
      <c r="S3670" s="8">
        <f t="shared" ca="1" si="461"/>
        <v>67</v>
      </c>
      <c r="T3670">
        <f t="shared" ca="1" si="462"/>
        <v>1.5941478400000002</v>
      </c>
      <c r="U3670" s="8">
        <f t="shared" ca="1" si="463"/>
        <v>6.8171187200000007</v>
      </c>
      <c r="V3670" s="9">
        <f ca="1">RawData[[#This Row],[Z (smoothed demand size)]]/RawData[[#This Row],[X (smoothed interval)]]</f>
        <v>0.23384481119906331</v>
      </c>
    </row>
    <row r="3671" spans="1:22">
      <c r="A3671" t="s">
        <v>70</v>
      </c>
      <c r="B3671" t="s">
        <v>60</v>
      </c>
      <c r="C3671">
        <v>24</v>
      </c>
      <c r="D3671" t="s">
        <v>22</v>
      </c>
      <c r="E3671" t="s">
        <v>16</v>
      </c>
      <c r="F3671" s="1">
        <v>44936</v>
      </c>
      <c r="G3671">
        <v>0</v>
      </c>
      <c r="H3671">
        <v>0</v>
      </c>
      <c r="I3671">
        <v>21</v>
      </c>
      <c r="J3671">
        <v>21</v>
      </c>
      <c r="K3671">
        <v>0</v>
      </c>
      <c r="L3671">
        <v>688</v>
      </c>
      <c r="M3671">
        <v>30</v>
      </c>
      <c r="N3671" s="1">
        <f t="shared" si="456"/>
        <v>44938</v>
      </c>
      <c r="O3671" s="1">
        <f t="shared" si="457"/>
        <v>43101</v>
      </c>
      <c r="P3671" s="1">
        <f t="shared" si="458"/>
        <v>45200</v>
      </c>
      <c r="Q3671" s="8">
        <f t="shared" si="459"/>
        <v>0</v>
      </c>
      <c r="R3671" s="8">
        <f t="shared" si="460"/>
        <v>70</v>
      </c>
      <c r="S3671" s="8">
        <f t="shared" ca="1" si="461"/>
        <v>67</v>
      </c>
      <c r="T3671">
        <f t="shared" ca="1" si="462"/>
        <v>1.5941478400000002</v>
      </c>
      <c r="U3671" s="8">
        <f t="shared" ca="1" si="463"/>
        <v>6.8171187200000007</v>
      </c>
      <c r="V3671" s="9">
        <f ca="1">RawData[[#This Row],[Z (smoothed demand size)]]/RawData[[#This Row],[X (smoothed interval)]]</f>
        <v>0.23384481119906331</v>
      </c>
    </row>
    <row r="3672" spans="1:22">
      <c r="A3672" t="s">
        <v>70</v>
      </c>
      <c r="B3672" t="s">
        <v>60</v>
      </c>
      <c r="C3672">
        <v>24</v>
      </c>
      <c r="D3672" t="s">
        <v>22</v>
      </c>
      <c r="E3672" t="s">
        <v>16</v>
      </c>
      <c r="F3672" s="1">
        <v>44937</v>
      </c>
      <c r="G3672">
        <v>0</v>
      </c>
      <c r="H3672">
        <v>0</v>
      </c>
      <c r="I3672">
        <v>21</v>
      </c>
      <c r="J3672">
        <v>21</v>
      </c>
      <c r="K3672">
        <v>0</v>
      </c>
      <c r="L3672">
        <v>677</v>
      </c>
      <c r="M3672">
        <v>15</v>
      </c>
      <c r="N3672" s="1">
        <f t="shared" si="456"/>
        <v>44938</v>
      </c>
      <c r="O3672" s="1">
        <f t="shared" si="457"/>
        <v>43101</v>
      </c>
      <c r="P3672" s="1">
        <f t="shared" si="458"/>
        <v>45231</v>
      </c>
      <c r="Q3672" s="8">
        <f t="shared" si="459"/>
        <v>0</v>
      </c>
      <c r="R3672" s="8">
        <f t="shared" si="460"/>
        <v>71</v>
      </c>
      <c r="S3672" s="8">
        <f t="shared" ca="1" si="461"/>
        <v>67</v>
      </c>
      <c r="T3672">
        <f t="shared" ca="1" si="462"/>
        <v>1.5941478400000002</v>
      </c>
      <c r="U3672" s="8">
        <f t="shared" ca="1" si="463"/>
        <v>6.8171187200000007</v>
      </c>
      <c r="V3672" s="9">
        <f ca="1">RawData[[#This Row],[Z (smoothed demand size)]]/RawData[[#This Row],[X (smoothed interval)]]</f>
        <v>0.23384481119906331</v>
      </c>
    </row>
    <row r="3673" spans="1:22">
      <c r="A3673" t="s">
        <v>70</v>
      </c>
      <c r="B3673" t="s">
        <v>60</v>
      </c>
      <c r="C3673">
        <v>24</v>
      </c>
      <c r="D3673" t="s">
        <v>22</v>
      </c>
      <c r="E3673" t="s">
        <v>16</v>
      </c>
      <c r="F3673" s="1">
        <v>44938</v>
      </c>
      <c r="G3673">
        <v>5</v>
      </c>
      <c r="H3673">
        <v>5</v>
      </c>
      <c r="I3673">
        <v>21</v>
      </c>
      <c r="J3673">
        <v>16</v>
      </c>
      <c r="K3673">
        <v>0</v>
      </c>
      <c r="L3673">
        <v>780</v>
      </c>
      <c r="M3673">
        <v>60</v>
      </c>
      <c r="N3673" s="1">
        <f t="shared" si="456"/>
        <v>44938</v>
      </c>
      <c r="O3673" s="1">
        <f t="shared" si="457"/>
        <v>43101</v>
      </c>
      <c r="P3673" s="1">
        <f t="shared" si="458"/>
        <v>45261</v>
      </c>
      <c r="Q3673" s="8">
        <f t="shared" si="459"/>
        <v>0</v>
      </c>
      <c r="R3673" s="8">
        <f t="shared" si="460"/>
        <v>72</v>
      </c>
      <c r="S3673" s="8">
        <f t="shared" ca="1" si="461"/>
        <v>72</v>
      </c>
      <c r="T3673">
        <f t="shared" ca="1" si="462"/>
        <v>2.2753182720000003</v>
      </c>
      <c r="U3673" s="8">
        <f t="shared" ca="1" si="463"/>
        <v>6.4536949760000013</v>
      </c>
      <c r="V3673" s="9">
        <f ca="1">RawData[[#This Row],[Z (smoothed demand size)]]/RawData[[#This Row],[X (smoothed interval)]]</f>
        <v>0.35256055336693987</v>
      </c>
    </row>
    <row r="3674" spans="1:22">
      <c r="A3674" t="s">
        <v>71</v>
      </c>
      <c r="B3674" t="s">
        <v>60</v>
      </c>
      <c r="C3674">
        <v>27</v>
      </c>
      <c r="D3674" t="s">
        <v>15</v>
      </c>
      <c r="E3674" t="s">
        <v>16</v>
      </c>
      <c r="F3674" s="1">
        <v>43101</v>
      </c>
      <c r="G3674">
        <v>0</v>
      </c>
      <c r="H3674">
        <v>0</v>
      </c>
      <c r="I3674">
        <v>26</v>
      </c>
      <c r="J3674">
        <v>26</v>
      </c>
      <c r="K3674">
        <v>0</v>
      </c>
      <c r="L3674">
        <v>606</v>
      </c>
      <c r="M3674">
        <v>30</v>
      </c>
      <c r="N3674" s="1">
        <f t="shared" si="456"/>
        <v>44938</v>
      </c>
      <c r="O3674" s="1">
        <f t="shared" si="457"/>
        <v>43101</v>
      </c>
      <c r="P3674" s="1">
        <f t="shared" si="458"/>
        <v>43101</v>
      </c>
      <c r="Q3674" s="8">
        <f t="shared" si="459"/>
        <v>1</v>
      </c>
      <c r="R3674" s="8">
        <f t="shared" si="460"/>
        <v>1</v>
      </c>
      <c r="S3674" s="8">
        <f t="shared" ca="1" si="461"/>
        <v>0</v>
      </c>
      <c r="T3674">
        <f t="shared" ca="1" si="462"/>
        <v>0</v>
      </c>
      <c r="U3674" s="8">
        <f t="shared" ca="1" si="463"/>
        <v>1</v>
      </c>
      <c r="V3674" s="9">
        <f ca="1">RawData[[#This Row],[Z (smoothed demand size)]]/RawData[[#This Row],[X (smoothed interval)]]</f>
        <v>0</v>
      </c>
    </row>
    <row r="3675" spans="1:22">
      <c r="A3675" t="s">
        <v>71</v>
      </c>
      <c r="B3675" t="s">
        <v>60</v>
      </c>
      <c r="C3675">
        <v>27</v>
      </c>
      <c r="D3675" t="s">
        <v>15</v>
      </c>
      <c r="E3675" t="s">
        <v>16</v>
      </c>
      <c r="F3675" s="1">
        <v>43102</v>
      </c>
      <c r="G3675">
        <v>0</v>
      </c>
      <c r="H3675">
        <v>0</v>
      </c>
      <c r="I3675">
        <v>26</v>
      </c>
      <c r="J3675">
        <v>26</v>
      </c>
      <c r="K3675">
        <v>0</v>
      </c>
      <c r="L3675">
        <v>617</v>
      </c>
      <c r="M3675">
        <v>30</v>
      </c>
      <c r="N3675" s="1">
        <f t="shared" si="456"/>
        <v>44938</v>
      </c>
      <c r="O3675" s="1">
        <f t="shared" si="457"/>
        <v>43101</v>
      </c>
      <c r="P3675" s="1">
        <f t="shared" si="458"/>
        <v>43132</v>
      </c>
      <c r="Q3675" s="8">
        <f t="shared" si="459"/>
        <v>0</v>
      </c>
      <c r="R3675" s="8">
        <f t="shared" si="460"/>
        <v>2</v>
      </c>
      <c r="S3675" s="8">
        <f t="shared" ca="1" si="461"/>
        <v>0</v>
      </c>
      <c r="T3675">
        <f t="shared" ca="1" si="462"/>
        <v>0</v>
      </c>
      <c r="U3675" s="8">
        <f t="shared" ca="1" si="463"/>
        <v>1</v>
      </c>
      <c r="V3675" s="9">
        <f ca="1">RawData[[#This Row],[Z (smoothed demand size)]]/RawData[[#This Row],[X (smoothed interval)]]</f>
        <v>0</v>
      </c>
    </row>
    <row r="3676" spans="1:22">
      <c r="A3676" t="s">
        <v>71</v>
      </c>
      <c r="B3676" t="s">
        <v>60</v>
      </c>
      <c r="C3676">
        <v>27</v>
      </c>
      <c r="D3676" t="s">
        <v>15</v>
      </c>
      <c r="E3676" t="s">
        <v>16</v>
      </c>
      <c r="F3676" s="1">
        <v>43103</v>
      </c>
      <c r="G3676">
        <v>0</v>
      </c>
      <c r="H3676">
        <v>0</v>
      </c>
      <c r="I3676">
        <v>26</v>
      </c>
      <c r="J3676">
        <v>26</v>
      </c>
      <c r="K3676">
        <v>0</v>
      </c>
      <c r="L3676">
        <v>612</v>
      </c>
      <c r="M3676">
        <v>30</v>
      </c>
      <c r="N3676" s="1">
        <f t="shared" si="456"/>
        <v>44938</v>
      </c>
      <c r="O3676" s="1">
        <f t="shared" si="457"/>
        <v>43101</v>
      </c>
      <c r="P3676" s="1">
        <f t="shared" si="458"/>
        <v>43160</v>
      </c>
      <c r="Q3676" s="8">
        <f t="shared" si="459"/>
        <v>0</v>
      </c>
      <c r="R3676" s="8">
        <f t="shared" si="460"/>
        <v>3</v>
      </c>
      <c r="S3676" s="8">
        <f t="shared" ca="1" si="461"/>
        <v>0</v>
      </c>
      <c r="T3676">
        <f t="shared" ca="1" si="462"/>
        <v>0</v>
      </c>
      <c r="U3676" s="8">
        <f t="shared" ca="1" si="463"/>
        <v>1</v>
      </c>
      <c r="V3676" s="9">
        <f ca="1">RawData[[#This Row],[Z (smoothed demand size)]]/RawData[[#This Row],[X (smoothed interval)]]</f>
        <v>0</v>
      </c>
    </row>
    <row r="3677" spans="1:22">
      <c r="A3677" t="s">
        <v>71</v>
      </c>
      <c r="B3677" t="s">
        <v>60</v>
      </c>
      <c r="C3677">
        <v>27</v>
      </c>
      <c r="D3677" t="s">
        <v>15</v>
      </c>
      <c r="E3677" t="s">
        <v>16</v>
      </c>
      <c r="F3677" s="1">
        <v>43104</v>
      </c>
      <c r="G3677">
        <v>0</v>
      </c>
      <c r="H3677">
        <v>0</v>
      </c>
      <c r="I3677">
        <v>26</v>
      </c>
      <c r="J3677">
        <v>26</v>
      </c>
      <c r="K3677">
        <v>0</v>
      </c>
      <c r="L3677">
        <v>610</v>
      </c>
      <c r="M3677">
        <v>45</v>
      </c>
      <c r="N3677" s="1">
        <f t="shared" si="456"/>
        <v>44938</v>
      </c>
      <c r="O3677" s="1">
        <f t="shared" si="457"/>
        <v>43101</v>
      </c>
      <c r="P3677" s="1">
        <f t="shared" si="458"/>
        <v>43191</v>
      </c>
      <c r="Q3677" s="8">
        <f t="shared" si="459"/>
        <v>0</v>
      </c>
      <c r="R3677" s="8">
        <f t="shared" si="460"/>
        <v>4</v>
      </c>
      <c r="S3677" s="8">
        <f t="shared" ca="1" si="461"/>
        <v>0</v>
      </c>
      <c r="T3677">
        <f t="shared" ca="1" si="462"/>
        <v>0</v>
      </c>
      <c r="U3677" s="8">
        <f t="shared" ca="1" si="463"/>
        <v>1</v>
      </c>
      <c r="V3677" s="9">
        <f ca="1">RawData[[#This Row],[Z (smoothed demand size)]]/RawData[[#This Row],[X (smoothed interval)]]</f>
        <v>0</v>
      </c>
    </row>
    <row r="3678" spans="1:22">
      <c r="A3678" t="s">
        <v>71</v>
      </c>
      <c r="B3678" t="s">
        <v>60</v>
      </c>
      <c r="C3678">
        <v>27</v>
      </c>
      <c r="D3678" t="s">
        <v>15</v>
      </c>
      <c r="E3678" t="s">
        <v>16</v>
      </c>
      <c r="F3678" s="1">
        <v>43105</v>
      </c>
      <c r="G3678">
        <v>0</v>
      </c>
      <c r="H3678">
        <v>0</v>
      </c>
      <c r="I3678">
        <v>26</v>
      </c>
      <c r="J3678">
        <v>26</v>
      </c>
      <c r="K3678">
        <v>0</v>
      </c>
      <c r="L3678">
        <v>608</v>
      </c>
      <c r="M3678">
        <v>45</v>
      </c>
      <c r="N3678" s="1">
        <f t="shared" si="456"/>
        <v>44938</v>
      </c>
      <c r="O3678" s="1">
        <f t="shared" si="457"/>
        <v>43101</v>
      </c>
      <c r="P3678" s="1">
        <f t="shared" si="458"/>
        <v>43221</v>
      </c>
      <c r="Q3678" s="8">
        <f t="shared" si="459"/>
        <v>0</v>
      </c>
      <c r="R3678" s="8">
        <f t="shared" si="460"/>
        <v>5</v>
      </c>
      <c r="S3678" s="8">
        <f t="shared" ca="1" si="461"/>
        <v>0</v>
      </c>
      <c r="T3678">
        <f t="shared" ca="1" si="462"/>
        <v>0</v>
      </c>
      <c r="U3678" s="8">
        <f t="shared" ca="1" si="463"/>
        <v>1</v>
      </c>
      <c r="V3678" s="9">
        <f ca="1">RawData[[#This Row],[Z (smoothed demand size)]]/RawData[[#This Row],[X (smoothed interval)]]</f>
        <v>0</v>
      </c>
    </row>
    <row r="3679" spans="1:22">
      <c r="A3679" t="s">
        <v>71</v>
      </c>
      <c r="B3679" t="s">
        <v>60</v>
      </c>
      <c r="C3679">
        <v>27</v>
      </c>
      <c r="D3679" t="s">
        <v>15</v>
      </c>
      <c r="E3679" t="s">
        <v>16</v>
      </c>
      <c r="F3679" s="1">
        <v>43106</v>
      </c>
      <c r="G3679">
        <v>0</v>
      </c>
      <c r="H3679">
        <v>0</v>
      </c>
      <c r="I3679">
        <v>26</v>
      </c>
      <c r="J3679">
        <v>26</v>
      </c>
      <c r="K3679">
        <v>0</v>
      </c>
      <c r="L3679">
        <v>705</v>
      </c>
      <c r="M3679">
        <v>30</v>
      </c>
      <c r="N3679" s="1">
        <f t="shared" si="456"/>
        <v>44938</v>
      </c>
      <c r="O3679" s="1">
        <f t="shared" si="457"/>
        <v>43101</v>
      </c>
      <c r="P3679" s="1">
        <f t="shared" si="458"/>
        <v>43252</v>
      </c>
      <c r="Q3679" s="8">
        <f t="shared" si="459"/>
        <v>0</v>
      </c>
      <c r="R3679" s="8">
        <f t="shared" si="460"/>
        <v>6</v>
      </c>
      <c r="S3679" s="8">
        <f t="shared" ca="1" si="461"/>
        <v>0</v>
      </c>
      <c r="T3679">
        <f t="shared" ca="1" si="462"/>
        <v>0</v>
      </c>
      <c r="U3679" s="8">
        <f t="shared" ca="1" si="463"/>
        <v>1</v>
      </c>
      <c r="V3679" s="9">
        <f ca="1">RawData[[#This Row],[Z (smoothed demand size)]]/RawData[[#This Row],[X (smoothed interval)]]</f>
        <v>0</v>
      </c>
    </row>
    <row r="3680" spans="1:22">
      <c r="A3680" t="s">
        <v>71</v>
      </c>
      <c r="B3680" t="s">
        <v>60</v>
      </c>
      <c r="C3680">
        <v>27</v>
      </c>
      <c r="D3680" t="s">
        <v>15</v>
      </c>
      <c r="E3680" t="s">
        <v>16</v>
      </c>
      <c r="F3680" s="1">
        <v>43107</v>
      </c>
      <c r="G3680">
        <v>0</v>
      </c>
      <c r="H3680">
        <v>0</v>
      </c>
      <c r="I3680">
        <v>26</v>
      </c>
      <c r="J3680">
        <v>26</v>
      </c>
      <c r="K3680">
        <v>0</v>
      </c>
      <c r="L3680">
        <v>687</v>
      </c>
      <c r="M3680">
        <v>15</v>
      </c>
      <c r="N3680" s="1">
        <f t="shared" si="456"/>
        <v>44938</v>
      </c>
      <c r="O3680" s="1">
        <f t="shared" si="457"/>
        <v>43101</v>
      </c>
      <c r="P3680" s="1">
        <f t="shared" si="458"/>
        <v>43282</v>
      </c>
      <c r="Q3680" s="8">
        <f t="shared" si="459"/>
        <v>0</v>
      </c>
      <c r="R3680" s="8">
        <f t="shared" si="460"/>
        <v>7</v>
      </c>
      <c r="S3680" s="8">
        <f t="shared" ca="1" si="461"/>
        <v>0</v>
      </c>
      <c r="T3680">
        <f t="shared" ca="1" si="462"/>
        <v>0</v>
      </c>
      <c r="U3680" s="8">
        <f t="shared" ca="1" si="463"/>
        <v>1</v>
      </c>
      <c r="V3680" s="9">
        <f ca="1">RawData[[#This Row],[Z (smoothed demand size)]]/RawData[[#This Row],[X (smoothed interval)]]</f>
        <v>0</v>
      </c>
    </row>
    <row r="3681" spans="1:22">
      <c r="A3681" t="s">
        <v>71</v>
      </c>
      <c r="B3681" t="s">
        <v>60</v>
      </c>
      <c r="C3681">
        <v>27</v>
      </c>
      <c r="D3681" t="s">
        <v>15</v>
      </c>
      <c r="E3681" t="s">
        <v>16</v>
      </c>
      <c r="F3681" s="1">
        <v>43108</v>
      </c>
      <c r="G3681">
        <v>0</v>
      </c>
      <c r="H3681">
        <v>0</v>
      </c>
      <c r="I3681">
        <v>26</v>
      </c>
      <c r="J3681">
        <v>26</v>
      </c>
      <c r="K3681">
        <v>0</v>
      </c>
      <c r="L3681">
        <v>713</v>
      </c>
      <c r="M3681">
        <v>45</v>
      </c>
      <c r="N3681" s="1">
        <f t="shared" si="456"/>
        <v>44938</v>
      </c>
      <c r="O3681" s="1">
        <f t="shared" si="457"/>
        <v>43101</v>
      </c>
      <c r="P3681" s="1">
        <f t="shared" si="458"/>
        <v>43313</v>
      </c>
      <c r="Q3681" s="8">
        <f t="shared" si="459"/>
        <v>0</v>
      </c>
      <c r="R3681" s="8">
        <f t="shared" si="460"/>
        <v>8</v>
      </c>
      <c r="S3681" s="8">
        <f t="shared" ca="1" si="461"/>
        <v>0</v>
      </c>
      <c r="T3681">
        <f t="shared" ca="1" si="462"/>
        <v>0</v>
      </c>
      <c r="U3681" s="8">
        <f t="shared" ca="1" si="463"/>
        <v>1</v>
      </c>
      <c r="V3681" s="9">
        <f ca="1">RawData[[#This Row],[Z (smoothed demand size)]]/RawData[[#This Row],[X (smoothed interval)]]</f>
        <v>0</v>
      </c>
    </row>
    <row r="3682" spans="1:22">
      <c r="A3682" t="s">
        <v>71</v>
      </c>
      <c r="B3682" t="s">
        <v>60</v>
      </c>
      <c r="C3682">
        <v>27</v>
      </c>
      <c r="D3682" t="s">
        <v>15</v>
      </c>
      <c r="E3682" t="s">
        <v>16</v>
      </c>
      <c r="F3682" s="1">
        <v>43109</v>
      </c>
      <c r="G3682">
        <v>0</v>
      </c>
      <c r="H3682">
        <v>0</v>
      </c>
      <c r="I3682">
        <v>26</v>
      </c>
      <c r="J3682">
        <v>26</v>
      </c>
      <c r="K3682">
        <v>0</v>
      </c>
      <c r="L3682">
        <v>607</v>
      </c>
      <c r="M3682">
        <v>60</v>
      </c>
      <c r="N3682" s="1">
        <f t="shared" si="456"/>
        <v>44938</v>
      </c>
      <c r="O3682" s="1">
        <f t="shared" si="457"/>
        <v>43101</v>
      </c>
      <c r="P3682" s="1">
        <f t="shared" si="458"/>
        <v>43344</v>
      </c>
      <c r="Q3682" s="8">
        <f t="shared" si="459"/>
        <v>0</v>
      </c>
      <c r="R3682" s="8">
        <f t="shared" si="460"/>
        <v>9</v>
      </c>
      <c r="S3682" s="8">
        <f t="shared" ca="1" si="461"/>
        <v>0</v>
      </c>
      <c r="T3682">
        <f t="shared" ca="1" si="462"/>
        <v>0</v>
      </c>
      <c r="U3682" s="8">
        <f t="shared" ca="1" si="463"/>
        <v>1</v>
      </c>
      <c r="V3682" s="9">
        <f ca="1">RawData[[#This Row],[Z (smoothed demand size)]]/RawData[[#This Row],[X (smoothed interval)]]</f>
        <v>0</v>
      </c>
    </row>
    <row r="3683" spans="1:22">
      <c r="A3683" t="s">
        <v>71</v>
      </c>
      <c r="B3683" t="s">
        <v>60</v>
      </c>
      <c r="C3683">
        <v>27</v>
      </c>
      <c r="D3683" t="s">
        <v>15</v>
      </c>
      <c r="E3683" t="s">
        <v>16</v>
      </c>
      <c r="F3683" s="1">
        <v>43110</v>
      </c>
      <c r="G3683">
        <v>0</v>
      </c>
      <c r="H3683">
        <v>0</v>
      </c>
      <c r="I3683">
        <v>26</v>
      </c>
      <c r="J3683">
        <v>26</v>
      </c>
      <c r="K3683">
        <v>0</v>
      </c>
      <c r="L3683">
        <v>603</v>
      </c>
      <c r="M3683">
        <v>60</v>
      </c>
      <c r="N3683" s="1">
        <f t="shared" si="456"/>
        <v>44938</v>
      </c>
      <c r="O3683" s="1">
        <f t="shared" si="457"/>
        <v>43101</v>
      </c>
      <c r="P3683" s="1">
        <f t="shared" si="458"/>
        <v>43374</v>
      </c>
      <c r="Q3683" s="8">
        <f t="shared" si="459"/>
        <v>0</v>
      </c>
      <c r="R3683" s="8">
        <f t="shared" si="460"/>
        <v>10</v>
      </c>
      <c r="S3683" s="8">
        <f t="shared" ca="1" si="461"/>
        <v>0</v>
      </c>
      <c r="T3683">
        <f t="shared" ca="1" si="462"/>
        <v>0</v>
      </c>
      <c r="U3683" s="8">
        <f t="shared" ca="1" si="463"/>
        <v>1</v>
      </c>
      <c r="V3683" s="9">
        <f ca="1">RawData[[#This Row],[Z (smoothed demand size)]]/RawData[[#This Row],[X (smoothed interval)]]</f>
        <v>0</v>
      </c>
    </row>
    <row r="3684" spans="1:22">
      <c r="A3684" t="s">
        <v>71</v>
      </c>
      <c r="B3684" t="s">
        <v>60</v>
      </c>
      <c r="C3684">
        <v>27</v>
      </c>
      <c r="D3684" t="s">
        <v>15</v>
      </c>
      <c r="E3684" t="s">
        <v>16</v>
      </c>
      <c r="F3684" s="1">
        <v>43111</v>
      </c>
      <c r="G3684">
        <v>4</v>
      </c>
      <c r="H3684">
        <v>4</v>
      </c>
      <c r="I3684">
        <v>26</v>
      </c>
      <c r="J3684">
        <v>22</v>
      </c>
      <c r="K3684">
        <v>0</v>
      </c>
      <c r="L3684">
        <v>616</v>
      </c>
      <c r="M3684">
        <v>60</v>
      </c>
      <c r="N3684" s="1">
        <f t="shared" si="456"/>
        <v>44938</v>
      </c>
      <c r="O3684" s="1">
        <f t="shared" si="457"/>
        <v>43101</v>
      </c>
      <c r="P3684" s="1">
        <f t="shared" si="458"/>
        <v>43405</v>
      </c>
      <c r="Q3684" s="8">
        <f t="shared" si="459"/>
        <v>0</v>
      </c>
      <c r="R3684" s="8">
        <f t="shared" si="460"/>
        <v>11</v>
      </c>
      <c r="S3684" s="8">
        <f t="shared" ca="1" si="461"/>
        <v>11</v>
      </c>
      <c r="T3684">
        <f t="shared" ca="1" si="462"/>
        <v>0.8</v>
      </c>
      <c r="U3684" s="8">
        <f t="shared" ca="1" si="463"/>
        <v>3</v>
      </c>
      <c r="V3684" s="9">
        <f ca="1">RawData[[#This Row],[Z (smoothed demand size)]]/RawData[[#This Row],[X (smoothed interval)]]</f>
        <v>0.26666666666666666</v>
      </c>
    </row>
    <row r="3685" spans="1:22">
      <c r="A3685" t="s">
        <v>71</v>
      </c>
      <c r="B3685" t="s">
        <v>60</v>
      </c>
      <c r="C3685">
        <v>27</v>
      </c>
      <c r="D3685" t="s">
        <v>15</v>
      </c>
      <c r="E3685" t="s">
        <v>16</v>
      </c>
      <c r="F3685" s="1">
        <v>43112</v>
      </c>
      <c r="G3685">
        <v>0</v>
      </c>
      <c r="H3685">
        <v>0</v>
      </c>
      <c r="I3685">
        <v>22</v>
      </c>
      <c r="J3685">
        <v>22</v>
      </c>
      <c r="K3685">
        <v>0</v>
      </c>
      <c r="L3685">
        <v>708</v>
      </c>
      <c r="M3685">
        <v>15</v>
      </c>
      <c r="N3685" s="1">
        <f t="shared" si="456"/>
        <v>44938</v>
      </c>
      <c r="O3685" s="1">
        <f t="shared" si="457"/>
        <v>43101</v>
      </c>
      <c r="P3685" s="1">
        <f t="shared" si="458"/>
        <v>43435</v>
      </c>
      <c r="Q3685" s="8">
        <f t="shared" si="459"/>
        <v>0</v>
      </c>
      <c r="R3685" s="8">
        <f t="shared" si="460"/>
        <v>12</v>
      </c>
      <c r="S3685" s="8">
        <f t="shared" ca="1" si="461"/>
        <v>11</v>
      </c>
      <c r="T3685">
        <f t="shared" ca="1" si="462"/>
        <v>0.8</v>
      </c>
      <c r="U3685" s="8">
        <f t="shared" ca="1" si="463"/>
        <v>3</v>
      </c>
      <c r="V3685" s="9">
        <f ca="1">RawData[[#This Row],[Z (smoothed demand size)]]/RawData[[#This Row],[X (smoothed interval)]]</f>
        <v>0.26666666666666666</v>
      </c>
    </row>
    <row r="3686" spans="1:22">
      <c r="A3686" t="s">
        <v>71</v>
      </c>
      <c r="B3686" t="s">
        <v>60</v>
      </c>
      <c r="C3686">
        <v>27</v>
      </c>
      <c r="D3686" t="s">
        <v>15</v>
      </c>
      <c r="E3686" t="s">
        <v>16</v>
      </c>
      <c r="F3686" s="1">
        <v>43466</v>
      </c>
      <c r="G3686">
        <v>0</v>
      </c>
      <c r="H3686">
        <v>0</v>
      </c>
      <c r="I3686">
        <v>22</v>
      </c>
      <c r="J3686">
        <v>22</v>
      </c>
      <c r="K3686">
        <v>0</v>
      </c>
      <c r="L3686">
        <v>607</v>
      </c>
      <c r="M3686">
        <v>60</v>
      </c>
      <c r="N3686" s="1">
        <f t="shared" si="456"/>
        <v>44938</v>
      </c>
      <c r="O3686" s="1">
        <f t="shared" si="457"/>
        <v>43101</v>
      </c>
      <c r="P3686" s="1">
        <f t="shared" si="458"/>
        <v>43466</v>
      </c>
      <c r="Q3686" s="8">
        <f t="shared" si="459"/>
        <v>0</v>
      </c>
      <c r="R3686" s="8">
        <f t="shared" si="460"/>
        <v>13</v>
      </c>
      <c r="S3686" s="8">
        <f t="shared" ca="1" si="461"/>
        <v>11</v>
      </c>
      <c r="T3686">
        <f t="shared" ca="1" si="462"/>
        <v>0.8</v>
      </c>
      <c r="U3686" s="8">
        <f t="shared" ca="1" si="463"/>
        <v>3</v>
      </c>
      <c r="V3686" s="9">
        <f ca="1">RawData[[#This Row],[Z (smoothed demand size)]]/RawData[[#This Row],[X (smoothed interval)]]</f>
        <v>0.26666666666666666</v>
      </c>
    </row>
    <row r="3687" spans="1:22">
      <c r="A3687" t="s">
        <v>71</v>
      </c>
      <c r="B3687" t="s">
        <v>60</v>
      </c>
      <c r="C3687">
        <v>27</v>
      </c>
      <c r="D3687" t="s">
        <v>15</v>
      </c>
      <c r="E3687" t="s">
        <v>16</v>
      </c>
      <c r="F3687" s="1">
        <v>43467</v>
      </c>
      <c r="G3687">
        <v>1</v>
      </c>
      <c r="H3687">
        <v>1</v>
      </c>
      <c r="I3687">
        <v>22</v>
      </c>
      <c r="J3687">
        <v>21</v>
      </c>
      <c r="K3687">
        <v>0</v>
      </c>
      <c r="L3687">
        <v>615</v>
      </c>
      <c r="M3687">
        <v>45</v>
      </c>
      <c r="N3687" s="1">
        <f t="shared" si="456"/>
        <v>44938</v>
      </c>
      <c r="O3687" s="1">
        <f t="shared" si="457"/>
        <v>43101</v>
      </c>
      <c r="P3687" s="1">
        <f t="shared" si="458"/>
        <v>43497</v>
      </c>
      <c r="Q3687" s="8">
        <f t="shared" si="459"/>
        <v>0</v>
      </c>
      <c r="R3687" s="8">
        <f t="shared" si="460"/>
        <v>14</v>
      </c>
      <c r="S3687" s="8">
        <f t="shared" ca="1" si="461"/>
        <v>14</v>
      </c>
      <c r="T3687">
        <f t="shared" ca="1" si="462"/>
        <v>0.84000000000000008</v>
      </c>
      <c r="U3687" s="8">
        <f t="shared" ca="1" si="463"/>
        <v>3.0000000000000004</v>
      </c>
      <c r="V3687" s="9">
        <f ca="1">RawData[[#This Row],[Z (smoothed demand size)]]/RawData[[#This Row],[X (smoothed interval)]]</f>
        <v>0.27999999999999997</v>
      </c>
    </row>
    <row r="3688" spans="1:22">
      <c r="A3688" t="s">
        <v>71</v>
      </c>
      <c r="B3688" t="s">
        <v>60</v>
      </c>
      <c r="C3688">
        <v>27</v>
      </c>
      <c r="D3688" t="s">
        <v>15</v>
      </c>
      <c r="E3688" t="s">
        <v>16</v>
      </c>
      <c r="F3688" s="1">
        <v>43468</v>
      </c>
      <c r="G3688">
        <v>2</v>
      </c>
      <c r="H3688">
        <v>2</v>
      </c>
      <c r="I3688">
        <v>21</v>
      </c>
      <c r="J3688">
        <v>19</v>
      </c>
      <c r="K3688">
        <v>0</v>
      </c>
      <c r="L3688">
        <v>613</v>
      </c>
      <c r="M3688">
        <v>45</v>
      </c>
      <c r="N3688" s="1">
        <f t="shared" si="456"/>
        <v>44938</v>
      </c>
      <c r="O3688" s="1">
        <f t="shared" si="457"/>
        <v>43101</v>
      </c>
      <c r="P3688" s="1">
        <f t="shared" si="458"/>
        <v>43525</v>
      </c>
      <c r="Q3688" s="8">
        <f t="shared" si="459"/>
        <v>0</v>
      </c>
      <c r="R3688" s="8">
        <f t="shared" si="460"/>
        <v>15</v>
      </c>
      <c r="S3688" s="8">
        <f t="shared" ca="1" si="461"/>
        <v>15</v>
      </c>
      <c r="T3688">
        <f t="shared" ca="1" si="462"/>
        <v>1.0720000000000001</v>
      </c>
      <c r="U3688" s="8">
        <f t="shared" ca="1" si="463"/>
        <v>2.6000000000000005</v>
      </c>
      <c r="V3688" s="9">
        <f ca="1">RawData[[#This Row],[Z (smoothed demand size)]]/RawData[[#This Row],[X (smoothed interval)]]</f>
        <v>0.41230769230769226</v>
      </c>
    </row>
    <row r="3689" spans="1:22">
      <c r="A3689" t="s">
        <v>71</v>
      </c>
      <c r="B3689" t="s">
        <v>60</v>
      </c>
      <c r="C3689">
        <v>27</v>
      </c>
      <c r="D3689" t="s">
        <v>15</v>
      </c>
      <c r="E3689" t="s">
        <v>16</v>
      </c>
      <c r="F3689" s="1">
        <v>43469</v>
      </c>
      <c r="G3689">
        <v>0</v>
      </c>
      <c r="H3689">
        <v>0</v>
      </c>
      <c r="I3689">
        <v>19</v>
      </c>
      <c r="J3689">
        <v>19</v>
      </c>
      <c r="K3689">
        <v>0</v>
      </c>
      <c r="L3689">
        <v>609</v>
      </c>
      <c r="M3689">
        <v>30</v>
      </c>
      <c r="N3689" s="1">
        <f t="shared" si="456"/>
        <v>44938</v>
      </c>
      <c r="O3689" s="1">
        <f t="shared" si="457"/>
        <v>43101</v>
      </c>
      <c r="P3689" s="1">
        <f t="shared" si="458"/>
        <v>43556</v>
      </c>
      <c r="Q3689" s="8">
        <f t="shared" si="459"/>
        <v>0</v>
      </c>
      <c r="R3689" s="8">
        <f t="shared" si="460"/>
        <v>16</v>
      </c>
      <c r="S3689" s="8">
        <f t="shared" ca="1" si="461"/>
        <v>15</v>
      </c>
      <c r="T3689">
        <f t="shared" ca="1" si="462"/>
        <v>1.0720000000000001</v>
      </c>
      <c r="U3689" s="8">
        <f t="shared" ca="1" si="463"/>
        <v>2.6000000000000005</v>
      </c>
      <c r="V3689" s="9">
        <f ca="1">RawData[[#This Row],[Z (smoothed demand size)]]/RawData[[#This Row],[X (smoothed interval)]]</f>
        <v>0.41230769230769226</v>
      </c>
    </row>
    <row r="3690" spans="1:22">
      <c r="A3690" t="s">
        <v>71</v>
      </c>
      <c r="B3690" t="s">
        <v>60</v>
      </c>
      <c r="C3690">
        <v>27</v>
      </c>
      <c r="D3690" t="s">
        <v>15</v>
      </c>
      <c r="E3690" t="s">
        <v>16</v>
      </c>
      <c r="F3690" s="1">
        <v>43470</v>
      </c>
      <c r="G3690">
        <v>0</v>
      </c>
      <c r="H3690">
        <v>0</v>
      </c>
      <c r="I3690">
        <v>19</v>
      </c>
      <c r="J3690">
        <v>19</v>
      </c>
      <c r="K3690">
        <v>0</v>
      </c>
      <c r="L3690">
        <v>597</v>
      </c>
      <c r="M3690">
        <v>60</v>
      </c>
      <c r="N3690" s="1">
        <f t="shared" si="456"/>
        <v>44938</v>
      </c>
      <c r="O3690" s="1">
        <f t="shared" si="457"/>
        <v>43101</v>
      </c>
      <c r="P3690" s="1">
        <f t="shared" si="458"/>
        <v>43586</v>
      </c>
      <c r="Q3690" s="8">
        <f t="shared" si="459"/>
        <v>0</v>
      </c>
      <c r="R3690" s="8">
        <f t="shared" si="460"/>
        <v>17</v>
      </c>
      <c r="S3690" s="8">
        <f t="shared" ca="1" si="461"/>
        <v>15</v>
      </c>
      <c r="T3690">
        <f t="shared" ca="1" si="462"/>
        <v>1.0720000000000001</v>
      </c>
      <c r="U3690" s="8">
        <f t="shared" ca="1" si="463"/>
        <v>2.6000000000000005</v>
      </c>
      <c r="V3690" s="9">
        <f ca="1">RawData[[#This Row],[Z (smoothed demand size)]]/RawData[[#This Row],[X (smoothed interval)]]</f>
        <v>0.41230769230769226</v>
      </c>
    </row>
    <row r="3691" spans="1:22">
      <c r="A3691" t="s">
        <v>71</v>
      </c>
      <c r="B3691" t="s">
        <v>60</v>
      </c>
      <c r="C3691">
        <v>27</v>
      </c>
      <c r="D3691" t="s">
        <v>15</v>
      </c>
      <c r="E3691" t="s">
        <v>16</v>
      </c>
      <c r="F3691" s="1">
        <v>43471</v>
      </c>
      <c r="G3691">
        <v>2</v>
      </c>
      <c r="H3691">
        <v>2</v>
      </c>
      <c r="I3691">
        <v>19</v>
      </c>
      <c r="J3691">
        <v>17</v>
      </c>
      <c r="K3691">
        <v>0</v>
      </c>
      <c r="L3691">
        <v>699</v>
      </c>
      <c r="M3691">
        <v>15</v>
      </c>
      <c r="N3691" s="1">
        <f t="shared" si="456"/>
        <v>44938</v>
      </c>
      <c r="O3691" s="1">
        <f t="shared" si="457"/>
        <v>43101</v>
      </c>
      <c r="P3691" s="1">
        <f t="shared" si="458"/>
        <v>43617</v>
      </c>
      <c r="Q3691" s="8">
        <f t="shared" si="459"/>
        <v>0</v>
      </c>
      <c r="R3691" s="8">
        <f t="shared" si="460"/>
        <v>18</v>
      </c>
      <c r="S3691" s="8">
        <f t="shared" ca="1" si="461"/>
        <v>18</v>
      </c>
      <c r="T3691">
        <f t="shared" ca="1" si="462"/>
        <v>1.2576000000000001</v>
      </c>
      <c r="U3691" s="8">
        <f t="shared" ca="1" si="463"/>
        <v>2.6800000000000006</v>
      </c>
      <c r="V3691" s="9">
        <f ca="1">RawData[[#This Row],[Z (smoothed demand size)]]/RawData[[#This Row],[X (smoothed interval)]]</f>
        <v>0.46925373134328352</v>
      </c>
    </row>
    <row r="3692" spans="1:22">
      <c r="A3692" t="s">
        <v>71</v>
      </c>
      <c r="B3692" t="s">
        <v>60</v>
      </c>
      <c r="C3692">
        <v>27</v>
      </c>
      <c r="D3692" t="s">
        <v>15</v>
      </c>
      <c r="E3692" t="s">
        <v>16</v>
      </c>
      <c r="F3692" s="1">
        <v>43472</v>
      </c>
      <c r="G3692">
        <v>0</v>
      </c>
      <c r="H3692">
        <v>0</v>
      </c>
      <c r="I3692">
        <v>17</v>
      </c>
      <c r="J3692">
        <v>17</v>
      </c>
      <c r="K3692">
        <v>0</v>
      </c>
      <c r="L3692">
        <v>698</v>
      </c>
      <c r="M3692">
        <v>60</v>
      </c>
      <c r="N3692" s="1">
        <f t="shared" si="456"/>
        <v>44938</v>
      </c>
      <c r="O3692" s="1">
        <f t="shared" si="457"/>
        <v>43101</v>
      </c>
      <c r="P3692" s="1">
        <f t="shared" si="458"/>
        <v>43647</v>
      </c>
      <c r="Q3692" s="8">
        <f t="shared" si="459"/>
        <v>0</v>
      </c>
      <c r="R3692" s="8">
        <f t="shared" si="460"/>
        <v>19</v>
      </c>
      <c r="S3692" s="8">
        <f t="shared" ca="1" si="461"/>
        <v>18</v>
      </c>
      <c r="T3692">
        <f t="shared" ca="1" si="462"/>
        <v>1.2576000000000001</v>
      </c>
      <c r="U3692" s="8">
        <f t="shared" ca="1" si="463"/>
        <v>2.6800000000000006</v>
      </c>
      <c r="V3692" s="9">
        <f ca="1">RawData[[#This Row],[Z (smoothed demand size)]]/RawData[[#This Row],[X (smoothed interval)]]</f>
        <v>0.46925373134328352</v>
      </c>
    </row>
    <row r="3693" spans="1:22">
      <c r="A3693" t="s">
        <v>71</v>
      </c>
      <c r="B3693" t="s">
        <v>60</v>
      </c>
      <c r="C3693">
        <v>27</v>
      </c>
      <c r="D3693" t="s">
        <v>15</v>
      </c>
      <c r="E3693" t="s">
        <v>16</v>
      </c>
      <c r="F3693" s="1">
        <v>43473</v>
      </c>
      <c r="G3693">
        <v>0</v>
      </c>
      <c r="H3693">
        <v>0</v>
      </c>
      <c r="I3693">
        <v>17</v>
      </c>
      <c r="J3693">
        <v>17</v>
      </c>
      <c r="K3693">
        <v>0</v>
      </c>
      <c r="L3693">
        <v>697</v>
      </c>
      <c r="M3693">
        <v>60</v>
      </c>
      <c r="N3693" s="1">
        <f t="shared" si="456"/>
        <v>44938</v>
      </c>
      <c r="O3693" s="1">
        <f t="shared" si="457"/>
        <v>43101</v>
      </c>
      <c r="P3693" s="1">
        <f t="shared" si="458"/>
        <v>43678</v>
      </c>
      <c r="Q3693" s="8">
        <f t="shared" si="459"/>
        <v>0</v>
      </c>
      <c r="R3693" s="8">
        <f t="shared" si="460"/>
        <v>20</v>
      </c>
      <c r="S3693" s="8">
        <f t="shared" ca="1" si="461"/>
        <v>18</v>
      </c>
      <c r="T3693">
        <f t="shared" ca="1" si="462"/>
        <v>1.2576000000000001</v>
      </c>
      <c r="U3693" s="8">
        <f t="shared" ca="1" si="463"/>
        <v>2.6800000000000006</v>
      </c>
      <c r="V3693" s="9">
        <f ca="1">RawData[[#This Row],[Z (smoothed demand size)]]/RawData[[#This Row],[X (smoothed interval)]]</f>
        <v>0.46925373134328352</v>
      </c>
    </row>
    <row r="3694" spans="1:22">
      <c r="A3694" t="s">
        <v>71</v>
      </c>
      <c r="B3694" t="s">
        <v>60</v>
      </c>
      <c r="C3694">
        <v>27</v>
      </c>
      <c r="D3694" t="s">
        <v>15</v>
      </c>
      <c r="E3694" t="s">
        <v>16</v>
      </c>
      <c r="F3694" s="1">
        <v>43474</v>
      </c>
      <c r="G3694">
        <v>0</v>
      </c>
      <c r="H3694">
        <v>0</v>
      </c>
      <c r="I3694">
        <v>17</v>
      </c>
      <c r="J3694">
        <v>17</v>
      </c>
      <c r="K3694">
        <v>0</v>
      </c>
      <c r="L3694">
        <v>605</v>
      </c>
      <c r="M3694">
        <v>60</v>
      </c>
      <c r="N3694" s="1">
        <f t="shared" si="456"/>
        <v>44938</v>
      </c>
      <c r="O3694" s="1">
        <f t="shared" si="457"/>
        <v>43101</v>
      </c>
      <c r="P3694" s="1">
        <f t="shared" si="458"/>
        <v>43709</v>
      </c>
      <c r="Q3694" s="8">
        <f t="shared" si="459"/>
        <v>0</v>
      </c>
      <c r="R3694" s="8">
        <f t="shared" si="460"/>
        <v>21</v>
      </c>
      <c r="S3694" s="8">
        <f t="shared" ca="1" si="461"/>
        <v>18</v>
      </c>
      <c r="T3694">
        <f t="shared" ca="1" si="462"/>
        <v>1.2576000000000001</v>
      </c>
      <c r="U3694" s="8">
        <f t="shared" ca="1" si="463"/>
        <v>2.6800000000000006</v>
      </c>
      <c r="V3694" s="9">
        <f ca="1">RawData[[#This Row],[Z (smoothed demand size)]]/RawData[[#This Row],[X (smoothed interval)]]</f>
        <v>0.46925373134328352</v>
      </c>
    </row>
    <row r="3695" spans="1:22">
      <c r="A3695" t="s">
        <v>71</v>
      </c>
      <c r="B3695" t="s">
        <v>60</v>
      </c>
      <c r="C3695">
        <v>27</v>
      </c>
      <c r="D3695" t="s">
        <v>15</v>
      </c>
      <c r="E3695" t="s">
        <v>16</v>
      </c>
      <c r="F3695" s="1">
        <v>43475</v>
      </c>
      <c r="G3695">
        <v>0</v>
      </c>
      <c r="H3695">
        <v>0</v>
      </c>
      <c r="I3695">
        <v>17</v>
      </c>
      <c r="J3695">
        <v>17</v>
      </c>
      <c r="K3695">
        <v>0</v>
      </c>
      <c r="L3695">
        <v>612</v>
      </c>
      <c r="M3695">
        <v>60</v>
      </c>
      <c r="N3695" s="1">
        <f t="shared" si="456"/>
        <v>44938</v>
      </c>
      <c r="O3695" s="1">
        <f t="shared" si="457"/>
        <v>43101</v>
      </c>
      <c r="P3695" s="1">
        <f t="shared" si="458"/>
        <v>43739</v>
      </c>
      <c r="Q3695" s="8">
        <f t="shared" si="459"/>
        <v>0</v>
      </c>
      <c r="R3695" s="8">
        <f t="shared" si="460"/>
        <v>22</v>
      </c>
      <c r="S3695" s="8">
        <f t="shared" ca="1" si="461"/>
        <v>18</v>
      </c>
      <c r="T3695">
        <f t="shared" ca="1" si="462"/>
        <v>1.2576000000000001</v>
      </c>
      <c r="U3695" s="8">
        <f t="shared" ca="1" si="463"/>
        <v>2.6800000000000006</v>
      </c>
      <c r="V3695" s="9">
        <f ca="1">RawData[[#This Row],[Z (smoothed demand size)]]/RawData[[#This Row],[X (smoothed interval)]]</f>
        <v>0.46925373134328352</v>
      </c>
    </row>
    <row r="3696" spans="1:22">
      <c r="A3696" t="s">
        <v>71</v>
      </c>
      <c r="B3696" t="s">
        <v>60</v>
      </c>
      <c r="C3696">
        <v>27</v>
      </c>
      <c r="D3696" t="s">
        <v>15</v>
      </c>
      <c r="E3696" t="s">
        <v>16</v>
      </c>
      <c r="F3696" s="1">
        <v>43476</v>
      </c>
      <c r="G3696">
        <v>0</v>
      </c>
      <c r="H3696">
        <v>0</v>
      </c>
      <c r="I3696">
        <v>17</v>
      </c>
      <c r="J3696">
        <v>17</v>
      </c>
      <c r="K3696">
        <v>0</v>
      </c>
      <c r="L3696">
        <v>600</v>
      </c>
      <c r="M3696">
        <v>60</v>
      </c>
      <c r="N3696" s="1">
        <f t="shared" si="456"/>
        <v>44938</v>
      </c>
      <c r="O3696" s="1">
        <f t="shared" si="457"/>
        <v>43101</v>
      </c>
      <c r="P3696" s="1">
        <f t="shared" si="458"/>
        <v>43770</v>
      </c>
      <c r="Q3696" s="8">
        <f t="shared" si="459"/>
        <v>0</v>
      </c>
      <c r="R3696" s="8">
        <f t="shared" si="460"/>
        <v>23</v>
      </c>
      <c r="S3696" s="8">
        <f t="shared" ca="1" si="461"/>
        <v>18</v>
      </c>
      <c r="T3696">
        <f t="shared" ca="1" si="462"/>
        <v>1.2576000000000001</v>
      </c>
      <c r="U3696" s="8">
        <f t="shared" ca="1" si="463"/>
        <v>2.6800000000000006</v>
      </c>
      <c r="V3696" s="9">
        <f ca="1">RawData[[#This Row],[Z (smoothed demand size)]]/RawData[[#This Row],[X (smoothed interval)]]</f>
        <v>0.46925373134328352</v>
      </c>
    </row>
    <row r="3697" spans="1:22">
      <c r="A3697" t="s">
        <v>71</v>
      </c>
      <c r="B3697" t="s">
        <v>60</v>
      </c>
      <c r="C3697">
        <v>27</v>
      </c>
      <c r="D3697" t="s">
        <v>15</v>
      </c>
      <c r="E3697" t="s">
        <v>16</v>
      </c>
      <c r="F3697" s="1">
        <v>43477</v>
      </c>
      <c r="G3697">
        <v>0</v>
      </c>
      <c r="H3697">
        <v>0</v>
      </c>
      <c r="I3697">
        <v>17</v>
      </c>
      <c r="J3697">
        <v>17</v>
      </c>
      <c r="K3697">
        <v>0</v>
      </c>
      <c r="L3697">
        <v>707</v>
      </c>
      <c r="M3697">
        <v>60</v>
      </c>
      <c r="N3697" s="1">
        <f t="shared" si="456"/>
        <v>44938</v>
      </c>
      <c r="O3697" s="1">
        <f t="shared" si="457"/>
        <v>43101</v>
      </c>
      <c r="P3697" s="1">
        <f t="shared" si="458"/>
        <v>43800</v>
      </c>
      <c r="Q3697" s="8">
        <f t="shared" si="459"/>
        <v>0</v>
      </c>
      <c r="R3697" s="8">
        <f t="shared" si="460"/>
        <v>24</v>
      </c>
      <c r="S3697" s="8">
        <f t="shared" ca="1" si="461"/>
        <v>18</v>
      </c>
      <c r="T3697">
        <f t="shared" ca="1" si="462"/>
        <v>1.2576000000000001</v>
      </c>
      <c r="U3697" s="8">
        <f t="shared" ca="1" si="463"/>
        <v>2.6800000000000006</v>
      </c>
      <c r="V3697" s="9">
        <f ca="1">RawData[[#This Row],[Z (smoothed demand size)]]/RawData[[#This Row],[X (smoothed interval)]]</f>
        <v>0.46925373134328352</v>
      </c>
    </row>
    <row r="3698" spans="1:22">
      <c r="A3698" t="s">
        <v>71</v>
      </c>
      <c r="B3698" t="s">
        <v>60</v>
      </c>
      <c r="C3698">
        <v>27</v>
      </c>
      <c r="D3698" t="s">
        <v>15</v>
      </c>
      <c r="E3698" t="s">
        <v>16</v>
      </c>
      <c r="F3698" s="1">
        <v>43831</v>
      </c>
      <c r="G3698">
        <v>0</v>
      </c>
      <c r="H3698">
        <v>0</v>
      </c>
      <c r="I3698">
        <v>17</v>
      </c>
      <c r="J3698">
        <v>17</v>
      </c>
      <c r="K3698">
        <v>0</v>
      </c>
      <c r="L3698">
        <v>605</v>
      </c>
      <c r="M3698">
        <v>15</v>
      </c>
      <c r="N3698" s="1">
        <f t="shared" si="456"/>
        <v>44938</v>
      </c>
      <c r="O3698" s="1">
        <f t="shared" si="457"/>
        <v>43101</v>
      </c>
      <c r="P3698" s="1">
        <f t="shared" si="458"/>
        <v>43831</v>
      </c>
      <c r="Q3698" s="8">
        <f t="shared" si="459"/>
        <v>0</v>
      </c>
      <c r="R3698" s="8">
        <f t="shared" si="460"/>
        <v>25</v>
      </c>
      <c r="S3698" s="8">
        <f t="shared" ca="1" si="461"/>
        <v>18</v>
      </c>
      <c r="T3698">
        <f t="shared" ca="1" si="462"/>
        <v>1.2576000000000001</v>
      </c>
      <c r="U3698" s="8">
        <f t="shared" ca="1" si="463"/>
        <v>2.6800000000000006</v>
      </c>
      <c r="V3698" s="9">
        <f ca="1">RawData[[#This Row],[Z (smoothed demand size)]]/RawData[[#This Row],[X (smoothed interval)]]</f>
        <v>0.46925373134328352</v>
      </c>
    </row>
    <row r="3699" spans="1:22">
      <c r="A3699" t="s">
        <v>71</v>
      </c>
      <c r="B3699" t="s">
        <v>60</v>
      </c>
      <c r="C3699">
        <v>27</v>
      </c>
      <c r="D3699" t="s">
        <v>15</v>
      </c>
      <c r="E3699" t="s">
        <v>16</v>
      </c>
      <c r="F3699" s="1">
        <v>43832</v>
      </c>
      <c r="G3699">
        <v>1</v>
      </c>
      <c r="H3699">
        <v>1</v>
      </c>
      <c r="I3699">
        <v>17</v>
      </c>
      <c r="J3699">
        <v>16</v>
      </c>
      <c r="K3699">
        <v>0</v>
      </c>
      <c r="L3699">
        <v>600</v>
      </c>
      <c r="M3699">
        <v>30</v>
      </c>
      <c r="N3699" s="1">
        <f t="shared" si="456"/>
        <v>44938</v>
      </c>
      <c r="O3699" s="1">
        <f t="shared" si="457"/>
        <v>43101</v>
      </c>
      <c r="P3699" s="1">
        <f t="shared" si="458"/>
        <v>43862</v>
      </c>
      <c r="Q3699" s="8">
        <f t="shared" si="459"/>
        <v>0</v>
      </c>
      <c r="R3699" s="8">
        <f t="shared" si="460"/>
        <v>26</v>
      </c>
      <c r="S3699" s="8">
        <f t="shared" ca="1" si="461"/>
        <v>26</v>
      </c>
      <c r="T3699">
        <f t="shared" ca="1" si="462"/>
        <v>1.20608</v>
      </c>
      <c r="U3699" s="8">
        <f t="shared" ca="1" si="463"/>
        <v>3.7440000000000007</v>
      </c>
      <c r="V3699" s="9">
        <f ca="1">RawData[[#This Row],[Z (smoothed demand size)]]/RawData[[#This Row],[X (smoothed interval)]]</f>
        <v>0.32213675213675208</v>
      </c>
    </row>
    <row r="3700" spans="1:22">
      <c r="A3700" t="s">
        <v>71</v>
      </c>
      <c r="B3700" t="s">
        <v>60</v>
      </c>
      <c r="C3700">
        <v>27</v>
      </c>
      <c r="D3700" t="s">
        <v>15</v>
      </c>
      <c r="E3700" t="s">
        <v>16</v>
      </c>
      <c r="F3700" s="1">
        <v>43833</v>
      </c>
      <c r="G3700">
        <v>0</v>
      </c>
      <c r="H3700">
        <v>0</v>
      </c>
      <c r="I3700">
        <v>16</v>
      </c>
      <c r="J3700">
        <v>16</v>
      </c>
      <c r="K3700">
        <v>0</v>
      </c>
      <c r="L3700">
        <v>604</v>
      </c>
      <c r="M3700">
        <v>15</v>
      </c>
      <c r="N3700" s="1">
        <f t="shared" si="456"/>
        <v>44938</v>
      </c>
      <c r="O3700" s="1">
        <f t="shared" si="457"/>
        <v>43101</v>
      </c>
      <c r="P3700" s="1">
        <f t="shared" si="458"/>
        <v>43891</v>
      </c>
      <c r="Q3700" s="8">
        <f t="shared" si="459"/>
        <v>0</v>
      </c>
      <c r="R3700" s="8">
        <f t="shared" si="460"/>
        <v>27</v>
      </c>
      <c r="S3700" s="8">
        <f t="shared" ca="1" si="461"/>
        <v>26</v>
      </c>
      <c r="T3700">
        <f t="shared" ca="1" si="462"/>
        <v>1.20608</v>
      </c>
      <c r="U3700" s="8">
        <f t="shared" ca="1" si="463"/>
        <v>3.7440000000000007</v>
      </c>
      <c r="V3700" s="9">
        <f ca="1">RawData[[#This Row],[Z (smoothed demand size)]]/RawData[[#This Row],[X (smoothed interval)]]</f>
        <v>0.32213675213675208</v>
      </c>
    </row>
    <row r="3701" spans="1:22">
      <c r="A3701" t="s">
        <v>71</v>
      </c>
      <c r="B3701" t="s">
        <v>60</v>
      </c>
      <c r="C3701">
        <v>27</v>
      </c>
      <c r="D3701" t="s">
        <v>15</v>
      </c>
      <c r="E3701" t="s">
        <v>16</v>
      </c>
      <c r="F3701" s="1">
        <v>43834</v>
      </c>
      <c r="G3701">
        <v>0</v>
      </c>
      <c r="H3701">
        <v>0</v>
      </c>
      <c r="I3701">
        <v>16</v>
      </c>
      <c r="J3701">
        <v>16</v>
      </c>
      <c r="K3701">
        <v>0</v>
      </c>
      <c r="L3701">
        <v>607</v>
      </c>
      <c r="M3701">
        <v>30</v>
      </c>
      <c r="N3701" s="1">
        <f t="shared" si="456"/>
        <v>44938</v>
      </c>
      <c r="O3701" s="1">
        <f t="shared" si="457"/>
        <v>43101</v>
      </c>
      <c r="P3701" s="1">
        <f t="shared" si="458"/>
        <v>43922</v>
      </c>
      <c r="Q3701" s="8">
        <f t="shared" si="459"/>
        <v>0</v>
      </c>
      <c r="R3701" s="8">
        <f t="shared" si="460"/>
        <v>28</v>
      </c>
      <c r="S3701" s="8">
        <f t="shared" ca="1" si="461"/>
        <v>26</v>
      </c>
      <c r="T3701">
        <f t="shared" ca="1" si="462"/>
        <v>1.20608</v>
      </c>
      <c r="U3701" s="8">
        <f t="shared" ca="1" si="463"/>
        <v>3.7440000000000007</v>
      </c>
      <c r="V3701" s="9">
        <f ca="1">RawData[[#This Row],[Z (smoothed demand size)]]/RawData[[#This Row],[X (smoothed interval)]]</f>
        <v>0.32213675213675208</v>
      </c>
    </row>
    <row r="3702" spans="1:22">
      <c r="A3702" t="s">
        <v>71</v>
      </c>
      <c r="B3702" t="s">
        <v>60</v>
      </c>
      <c r="C3702">
        <v>27</v>
      </c>
      <c r="D3702" t="s">
        <v>15</v>
      </c>
      <c r="E3702" t="s">
        <v>16</v>
      </c>
      <c r="F3702" s="1">
        <v>43835</v>
      </c>
      <c r="G3702">
        <v>1</v>
      </c>
      <c r="H3702">
        <v>1</v>
      </c>
      <c r="I3702">
        <v>16</v>
      </c>
      <c r="J3702">
        <v>15</v>
      </c>
      <c r="K3702">
        <v>0</v>
      </c>
      <c r="L3702">
        <v>614</v>
      </c>
      <c r="M3702">
        <v>45</v>
      </c>
      <c r="N3702" s="1">
        <f t="shared" si="456"/>
        <v>44938</v>
      </c>
      <c r="O3702" s="1">
        <f t="shared" si="457"/>
        <v>43101</v>
      </c>
      <c r="P3702" s="1">
        <f t="shared" si="458"/>
        <v>43952</v>
      </c>
      <c r="Q3702" s="8">
        <f t="shared" si="459"/>
        <v>0</v>
      </c>
      <c r="R3702" s="8">
        <f t="shared" si="460"/>
        <v>29</v>
      </c>
      <c r="S3702" s="8">
        <f t="shared" ca="1" si="461"/>
        <v>29</v>
      </c>
      <c r="T3702">
        <f t="shared" ca="1" si="462"/>
        <v>1.1648640000000001</v>
      </c>
      <c r="U3702" s="8">
        <f t="shared" ca="1" si="463"/>
        <v>3.5952000000000006</v>
      </c>
      <c r="V3702" s="9">
        <f ca="1">RawData[[#This Row],[Z (smoothed demand size)]]/RawData[[#This Row],[X (smoothed interval)]]</f>
        <v>0.32400534045393858</v>
      </c>
    </row>
    <row r="3703" spans="1:22">
      <c r="A3703" t="s">
        <v>71</v>
      </c>
      <c r="B3703" t="s">
        <v>60</v>
      </c>
      <c r="C3703">
        <v>27</v>
      </c>
      <c r="D3703" t="s">
        <v>15</v>
      </c>
      <c r="E3703" t="s">
        <v>16</v>
      </c>
      <c r="F3703" s="1">
        <v>43836</v>
      </c>
      <c r="G3703">
        <v>0</v>
      </c>
      <c r="H3703">
        <v>0</v>
      </c>
      <c r="I3703">
        <v>15</v>
      </c>
      <c r="J3703">
        <v>15</v>
      </c>
      <c r="K3703">
        <v>0</v>
      </c>
      <c r="L3703">
        <v>701</v>
      </c>
      <c r="M3703">
        <v>60</v>
      </c>
      <c r="N3703" s="1">
        <f t="shared" si="456"/>
        <v>44938</v>
      </c>
      <c r="O3703" s="1">
        <f t="shared" si="457"/>
        <v>43101</v>
      </c>
      <c r="P3703" s="1">
        <f t="shared" si="458"/>
        <v>43983</v>
      </c>
      <c r="Q3703" s="8">
        <f t="shared" si="459"/>
        <v>0</v>
      </c>
      <c r="R3703" s="8">
        <f t="shared" si="460"/>
        <v>30</v>
      </c>
      <c r="S3703" s="8">
        <f t="shared" ca="1" si="461"/>
        <v>29</v>
      </c>
      <c r="T3703">
        <f t="shared" ca="1" si="462"/>
        <v>1.1648640000000001</v>
      </c>
      <c r="U3703" s="8">
        <f t="shared" ca="1" si="463"/>
        <v>3.5952000000000006</v>
      </c>
      <c r="V3703" s="9">
        <f ca="1">RawData[[#This Row],[Z (smoothed demand size)]]/RawData[[#This Row],[X (smoothed interval)]]</f>
        <v>0.32400534045393858</v>
      </c>
    </row>
    <row r="3704" spans="1:22">
      <c r="A3704" t="s">
        <v>71</v>
      </c>
      <c r="B3704" t="s">
        <v>60</v>
      </c>
      <c r="C3704">
        <v>27</v>
      </c>
      <c r="D3704" t="s">
        <v>15</v>
      </c>
      <c r="E3704" t="s">
        <v>16</v>
      </c>
      <c r="F3704" s="1">
        <v>43837</v>
      </c>
      <c r="G3704">
        <v>0</v>
      </c>
      <c r="H3704">
        <v>0</v>
      </c>
      <c r="I3704">
        <v>15</v>
      </c>
      <c r="J3704">
        <v>15</v>
      </c>
      <c r="K3704">
        <v>0</v>
      </c>
      <c r="L3704">
        <v>704</v>
      </c>
      <c r="M3704">
        <v>45</v>
      </c>
      <c r="N3704" s="1">
        <f t="shared" si="456"/>
        <v>44938</v>
      </c>
      <c r="O3704" s="1">
        <f t="shared" si="457"/>
        <v>43101</v>
      </c>
      <c r="P3704" s="1">
        <f t="shared" si="458"/>
        <v>44013</v>
      </c>
      <c r="Q3704" s="8">
        <f t="shared" si="459"/>
        <v>0</v>
      </c>
      <c r="R3704" s="8">
        <f t="shared" si="460"/>
        <v>31</v>
      </c>
      <c r="S3704" s="8">
        <f t="shared" ca="1" si="461"/>
        <v>29</v>
      </c>
      <c r="T3704">
        <f t="shared" ca="1" si="462"/>
        <v>1.1648640000000001</v>
      </c>
      <c r="U3704" s="8">
        <f t="shared" ca="1" si="463"/>
        <v>3.5952000000000006</v>
      </c>
      <c r="V3704" s="9">
        <f ca="1">RawData[[#This Row],[Z (smoothed demand size)]]/RawData[[#This Row],[X (smoothed interval)]]</f>
        <v>0.32400534045393858</v>
      </c>
    </row>
    <row r="3705" spans="1:22">
      <c r="A3705" t="s">
        <v>71</v>
      </c>
      <c r="B3705" t="s">
        <v>60</v>
      </c>
      <c r="C3705">
        <v>27</v>
      </c>
      <c r="D3705" t="s">
        <v>15</v>
      </c>
      <c r="E3705" t="s">
        <v>16</v>
      </c>
      <c r="F3705" s="1">
        <v>43838</v>
      </c>
      <c r="G3705">
        <v>0</v>
      </c>
      <c r="H3705">
        <v>0</v>
      </c>
      <c r="I3705">
        <v>15</v>
      </c>
      <c r="J3705">
        <v>15</v>
      </c>
      <c r="K3705">
        <v>0</v>
      </c>
      <c r="L3705">
        <v>696</v>
      </c>
      <c r="M3705">
        <v>60</v>
      </c>
      <c r="N3705" s="1">
        <f t="shared" si="456"/>
        <v>44938</v>
      </c>
      <c r="O3705" s="1">
        <f t="shared" si="457"/>
        <v>43101</v>
      </c>
      <c r="P3705" s="1">
        <f t="shared" si="458"/>
        <v>44044</v>
      </c>
      <c r="Q3705" s="8">
        <f t="shared" si="459"/>
        <v>0</v>
      </c>
      <c r="R3705" s="8">
        <f t="shared" si="460"/>
        <v>32</v>
      </c>
      <c r="S3705" s="8">
        <f t="shared" ca="1" si="461"/>
        <v>29</v>
      </c>
      <c r="T3705">
        <f t="shared" ca="1" si="462"/>
        <v>1.1648640000000001</v>
      </c>
      <c r="U3705" s="8">
        <f t="shared" ca="1" si="463"/>
        <v>3.5952000000000006</v>
      </c>
      <c r="V3705" s="9">
        <f ca="1">RawData[[#This Row],[Z (smoothed demand size)]]/RawData[[#This Row],[X (smoothed interval)]]</f>
        <v>0.32400534045393858</v>
      </c>
    </row>
    <row r="3706" spans="1:22">
      <c r="A3706" t="s">
        <v>71</v>
      </c>
      <c r="B3706" t="s">
        <v>60</v>
      </c>
      <c r="C3706">
        <v>27</v>
      </c>
      <c r="D3706" t="s">
        <v>15</v>
      </c>
      <c r="E3706" t="s">
        <v>16</v>
      </c>
      <c r="F3706" s="1">
        <v>43839</v>
      </c>
      <c r="G3706">
        <v>1</v>
      </c>
      <c r="H3706">
        <v>1</v>
      </c>
      <c r="I3706">
        <v>15</v>
      </c>
      <c r="J3706">
        <v>14</v>
      </c>
      <c r="K3706">
        <v>0</v>
      </c>
      <c r="L3706">
        <v>604</v>
      </c>
      <c r="M3706">
        <v>60</v>
      </c>
      <c r="N3706" s="1">
        <f t="shared" si="456"/>
        <v>44938</v>
      </c>
      <c r="O3706" s="1">
        <f t="shared" si="457"/>
        <v>43101</v>
      </c>
      <c r="P3706" s="1">
        <f t="shared" si="458"/>
        <v>44075</v>
      </c>
      <c r="Q3706" s="8">
        <f t="shared" si="459"/>
        <v>0</v>
      </c>
      <c r="R3706" s="8">
        <f t="shared" si="460"/>
        <v>33</v>
      </c>
      <c r="S3706" s="8">
        <f t="shared" ca="1" si="461"/>
        <v>33</v>
      </c>
      <c r="T3706">
        <f t="shared" ca="1" si="462"/>
        <v>1.1318912000000001</v>
      </c>
      <c r="U3706" s="8">
        <f t="shared" ca="1" si="463"/>
        <v>3.6761600000000003</v>
      </c>
      <c r="V3706" s="9">
        <f ca="1">RawData[[#This Row],[Z (smoothed demand size)]]/RawData[[#This Row],[X (smoothed interval)]]</f>
        <v>0.30790041782729805</v>
      </c>
    </row>
    <row r="3707" spans="1:22">
      <c r="A3707" t="s">
        <v>71</v>
      </c>
      <c r="B3707" t="s">
        <v>60</v>
      </c>
      <c r="C3707">
        <v>27</v>
      </c>
      <c r="D3707" t="s">
        <v>15</v>
      </c>
      <c r="E3707" t="s">
        <v>16</v>
      </c>
      <c r="F3707" s="1">
        <v>43840</v>
      </c>
      <c r="G3707">
        <v>0</v>
      </c>
      <c r="H3707">
        <v>0</v>
      </c>
      <c r="I3707">
        <v>14</v>
      </c>
      <c r="J3707">
        <v>14</v>
      </c>
      <c r="K3707">
        <v>0</v>
      </c>
      <c r="L3707">
        <v>617</v>
      </c>
      <c r="M3707">
        <v>60</v>
      </c>
      <c r="N3707" s="1">
        <f t="shared" si="456"/>
        <v>44938</v>
      </c>
      <c r="O3707" s="1">
        <f t="shared" si="457"/>
        <v>43101</v>
      </c>
      <c r="P3707" s="1">
        <f t="shared" si="458"/>
        <v>44105</v>
      </c>
      <c r="Q3707" s="8">
        <f t="shared" si="459"/>
        <v>0</v>
      </c>
      <c r="R3707" s="8">
        <f t="shared" si="460"/>
        <v>34</v>
      </c>
      <c r="S3707" s="8">
        <f t="shared" ca="1" si="461"/>
        <v>33</v>
      </c>
      <c r="T3707">
        <f t="shared" ca="1" si="462"/>
        <v>1.1318912000000001</v>
      </c>
      <c r="U3707" s="8">
        <f t="shared" ca="1" si="463"/>
        <v>3.6761600000000003</v>
      </c>
      <c r="V3707" s="9">
        <f ca="1">RawData[[#This Row],[Z (smoothed demand size)]]/RawData[[#This Row],[X (smoothed interval)]]</f>
        <v>0.30790041782729805</v>
      </c>
    </row>
    <row r="3708" spans="1:22">
      <c r="A3708" t="s">
        <v>71</v>
      </c>
      <c r="B3708" t="s">
        <v>60</v>
      </c>
      <c r="C3708">
        <v>27</v>
      </c>
      <c r="D3708" t="s">
        <v>15</v>
      </c>
      <c r="E3708" t="s">
        <v>16</v>
      </c>
      <c r="F3708" s="1">
        <v>43841</v>
      </c>
      <c r="G3708">
        <v>0</v>
      </c>
      <c r="H3708">
        <v>0</v>
      </c>
      <c r="I3708">
        <v>14</v>
      </c>
      <c r="J3708">
        <v>14</v>
      </c>
      <c r="K3708">
        <v>0</v>
      </c>
      <c r="L3708">
        <v>605</v>
      </c>
      <c r="M3708">
        <v>15</v>
      </c>
      <c r="N3708" s="1">
        <f t="shared" si="456"/>
        <v>44938</v>
      </c>
      <c r="O3708" s="1">
        <f t="shared" si="457"/>
        <v>43101</v>
      </c>
      <c r="P3708" s="1">
        <f t="shared" si="458"/>
        <v>44136</v>
      </c>
      <c r="Q3708" s="8">
        <f t="shared" si="459"/>
        <v>0</v>
      </c>
      <c r="R3708" s="8">
        <f t="shared" si="460"/>
        <v>35</v>
      </c>
      <c r="S3708" s="8">
        <f t="shared" ca="1" si="461"/>
        <v>33</v>
      </c>
      <c r="T3708">
        <f t="shared" ca="1" si="462"/>
        <v>1.1318912000000001</v>
      </c>
      <c r="U3708" s="8">
        <f t="shared" ca="1" si="463"/>
        <v>3.6761600000000003</v>
      </c>
      <c r="V3708" s="9">
        <f ca="1">RawData[[#This Row],[Z (smoothed demand size)]]/RawData[[#This Row],[X (smoothed interval)]]</f>
        <v>0.30790041782729805</v>
      </c>
    </row>
    <row r="3709" spans="1:22">
      <c r="A3709" t="s">
        <v>71</v>
      </c>
      <c r="B3709" t="s">
        <v>60</v>
      </c>
      <c r="C3709">
        <v>27</v>
      </c>
      <c r="D3709" t="s">
        <v>15</v>
      </c>
      <c r="E3709" t="s">
        <v>16</v>
      </c>
      <c r="F3709" s="1">
        <v>43842</v>
      </c>
      <c r="G3709">
        <v>0</v>
      </c>
      <c r="H3709">
        <v>0</v>
      </c>
      <c r="I3709">
        <v>14</v>
      </c>
      <c r="J3709">
        <v>14</v>
      </c>
      <c r="K3709">
        <v>0</v>
      </c>
      <c r="L3709">
        <v>692</v>
      </c>
      <c r="M3709">
        <v>60</v>
      </c>
      <c r="N3709" s="1">
        <f t="shared" si="456"/>
        <v>44938</v>
      </c>
      <c r="O3709" s="1">
        <f t="shared" si="457"/>
        <v>43101</v>
      </c>
      <c r="P3709" s="1">
        <f t="shared" si="458"/>
        <v>44166</v>
      </c>
      <c r="Q3709" s="8">
        <f t="shared" si="459"/>
        <v>0</v>
      </c>
      <c r="R3709" s="8">
        <f t="shared" si="460"/>
        <v>36</v>
      </c>
      <c r="S3709" s="8">
        <f t="shared" ca="1" si="461"/>
        <v>33</v>
      </c>
      <c r="T3709">
        <f t="shared" ca="1" si="462"/>
        <v>1.1318912000000001</v>
      </c>
      <c r="U3709" s="8">
        <f t="shared" ca="1" si="463"/>
        <v>3.6761600000000003</v>
      </c>
      <c r="V3709" s="9">
        <f ca="1">RawData[[#This Row],[Z (smoothed demand size)]]/RawData[[#This Row],[X (smoothed interval)]]</f>
        <v>0.30790041782729805</v>
      </c>
    </row>
    <row r="3710" spans="1:22">
      <c r="A3710" t="s">
        <v>71</v>
      </c>
      <c r="B3710" t="s">
        <v>60</v>
      </c>
      <c r="C3710">
        <v>27</v>
      </c>
      <c r="D3710" t="s">
        <v>15</v>
      </c>
      <c r="E3710" t="s">
        <v>16</v>
      </c>
      <c r="F3710" s="1">
        <v>44197</v>
      </c>
      <c r="G3710">
        <v>0</v>
      </c>
      <c r="H3710">
        <v>0</v>
      </c>
      <c r="I3710">
        <v>14</v>
      </c>
      <c r="J3710">
        <v>14</v>
      </c>
      <c r="K3710">
        <v>0</v>
      </c>
      <c r="L3710">
        <v>600</v>
      </c>
      <c r="M3710">
        <v>30</v>
      </c>
      <c r="N3710" s="1">
        <f t="shared" si="456"/>
        <v>44938</v>
      </c>
      <c r="O3710" s="1">
        <f t="shared" si="457"/>
        <v>43101</v>
      </c>
      <c r="P3710" s="1">
        <f t="shared" si="458"/>
        <v>44197</v>
      </c>
      <c r="Q3710" s="8">
        <f t="shared" si="459"/>
        <v>0</v>
      </c>
      <c r="R3710" s="8">
        <f t="shared" si="460"/>
        <v>37</v>
      </c>
      <c r="S3710" s="8">
        <f t="shared" ca="1" si="461"/>
        <v>33</v>
      </c>
      <c r="T3710">
        <f t="shared" ca="1" si="462"/>
        <v>1.1318912000000001</v>
      </c>
      <c r="U3710" s="8">
        <f t="shared" ca="1" si="463"/>
        <v>3.6761600000000003</v>
      </c>
      <c r="V3710" s="9">
        <f ca="1">RawData[[#This Row],[Z (smoothed demand size)]]/RawData[[#This Row],[X (smoothed interval)]]</f>
        <v>0.30790041782729805</v>
      </c>
    </row>
    <row r="3711" spans="1:22">
      <c r="A3711" t="s">
        <v>71</v>
      </c>
      <c r="B3711" t="s">
        <v>60</v>
      </c>
      <c r="C3711">
        <v>27</v>
      </c>
      <c r="D3711" t="s">
        <v>15</v>
      </c>
      <c r="E3711" t="s">
        <v>16</v>
      </c>
      <c r="F3711" s="1">
        <v>44198</v>
      </c>
      <c r="G3711">
        <v>0</v>
      </c>
      <c r="H3711">
        <v>0</v>
      </c>
      <c r="I3711">
        <v>14</v>
      </c>
      <c r="J3711">
        <v>14</v>
      </c>
      <c r="K3711">
        <v>0</v>
      </c>
      <c r="L3711">
        <v>605</v>
      </c>
      <c r="M3711">
        <v>30</v>
      </c>
      <c r="N3711" s="1">
        <f t="shared" si="456"/>
        <v>44938</v>
      </c>
      <c r="O3711" s="1">
        <f t="shared" si="457"/>
        <v>43101</v>
      </c>
      <c r="P3711" s="1">
        <f t="shared" si="458"/>
        <v>44228</v>
      </c>
      <c r="Q3711" s="8">
        <f t="shared" si="459"/>
        <v>0</v>
      </c>
      <c r="R3711" s="8">
        <f t="shared" si="460"/>
        <v>38</v>
      </c>
      <c r="S3711" s="8">
        <f t="shared" ca="1" si="461"/>
        <v>33</v>
      </c>
      <c r="T3711">
        <f t="shared" ca="1" si="462"/>
        <v>1.1318912000000001</v>
      </c>
      <c r="U3711" s="8">
        <f t="shared" ca="1" si="463"/>
        <v>3.6761600000000003</v>
      </c>
      <c r="V3711" s="9">
        <f ca="1">RawData[[#This Row],[Z (smoothed demand size)]]/RawData[[#This Row],[X (smoothed interval)]]</f>
        <v>0.30790041782729805</v>
      </c>
    </row>
    <row r="3712" spans="1:22">
      <c r="A3712" t="s">
        <v>71</v>
      </c>
      <c r="B3712" t="s">
        <v>60</v>
      </c>
      <c r="C3712">
        <v>27</v>
      </c>
      <c r="D3712" t="s">
        <v>15</v>
      </c>
      <c r="E3712" t="s">
        <v>16</v>
      </c>
      <c r="F3712" s="1">
        <v>44199</v>
      </c>
      <c r="G3712">
        <v>0</v>
      </c>
      <c r="H3712">
        <v>0</v>
      </c>
      <c r="I3712">
        <v>14</v>
      </c>
      <c r="J3712">
        <v>14</v>
      </c>
      <c r="K3712">
        <v>0</v>
      </c>
      <c r="L3712">
        <v>597</v>
      </c>
      <c r="M3712">
        <v>30</v>
      </c>
      <c r="N3712" s="1">
        <f t="shared" si="456"/>
        <v>44938</v>
      </c>
      <c r="O3712" s="1">
        <f t="shared" si="457"/>
        <v>43101</v>
      </c>
      <c r="P3712" s="1">
        <f t="shared" si="458"/>
        <v>44256</v>
      </c>
      <c r="Q3712" s="8">
        <f t="shared" si="459"/>
        <v>0</v>
      </c>
      <c r="R3712" s="8">
        <f t="shared" si="460"/>
        <v>39</v>
      </c>
      <c r="S3712" s="8">
        <f t="shared" ca="1" si="461"/>
        <v>33</v>
      </c>
      <c r="T3712">
        <f t="shared" ca="1" si="462"/>
        <v>1.1318912000000001</v>
      </c>
      <c r="U3712" s="8">
        <f t="shared" ca="1" si="463"/>
        <v>3.6761600000000003</v>
      </c>
      <c r="V3712" s="9">
        <f ca="1">RawData[[#This Row],[Z (smoothed demand size)]]/RawData[[#This Row],[X (smoothed interval)]]</f>
        <v>0.30790041782729805</v>
      </c>
    </row>
    <row r="3713" spans="1:22">
      <c r="A3713" t="s">
        <v>71</v>
      </c>
      <c r="B3713" t="s">
        <v>60</v>
      </c>
      <c r="C3713">
        <v>27</v>
      </c>
      <c r="D3713" t="s">
        <v>15</v>
      </c>
      <c r="E3713" t="s">
        <v>16</v>
      </c>
      <c r="F3713" s="1">
        <v>44200</v>
      </c>
      <c r="G3713">
        <v>0</v>
      </c>
      <c r="H3713">
        <v>0</v>
      </c>
      <c r="I3713">
        <v>14</v>
      </c>
      <c r="J3713">
        <v>14</v>
      </c>
      <c r="K3713">
        <v>0</v>
      </c>
      <c r="L3713">
        <v>605</v>
      </c>
      <c r="M3713">
        <v>45</v>
      </c>
      <c r="N3713" s="1">
        <f t="shared" si="456"/>
        <v>44938</v>
      </c>
      <c r="O3713" s="1">
        <f t="shared" si="457"/>
        <v>43101</v>
      </c>
      <c r="P3713" s="1">
        <f t="shared" si="458"/>
        <v>44287</v>
      </c>
      <c r="Q3713" s="8">
        <f t="shared" si="459"/>
        <v>0</v>
      </c>
      <c r="R3713" s="8">
        <f t="shared" si="460"/>
        <v>40</v>
      </c>
      <c r="S3713" s="8">
        <f t="shared" ca="1" si="461"/>
        <v>33</v>
      </c>
      <c r="T3713">
        <f t="shared" ca="1" si="462"/>
        <v>1.1318912000000001</v>
      </c>
      <c r="U3713" s="8">
        <f t="shared" ca="1" si="463"/>
        <v>3.6761600000000003</v>
      </c>
      <c r="V3713" s="9">
        <f ca="1">RawData[[#This Row],[Z (smoothed demand size)]]/RawData[[#This Row],[X (smoothed interval)]]</f>
        <v>0.30790041782729805</v>
      </c>
    </row>
    <row r="3714" spans="1:22">
      <c r="A3714" t="s">
        <v>71</v>
      </c>
      <c r="B3714" t="s">
        <v>60</v>
      </c>
      <c r="C3714">
        <v>27</v>
      </c>
      <c r="D3714" t="s">
        <v>15</v>
      </c>
      <c r="E3714" t="s">
        <v>16</v>
      </c>
      <c r="F3714" s="1">
        <v>44201</v>
      </c>
      <c r="G3714">
        <v>0</v>
      </c>
      <c r="H3714">
        <v>0</v>
      </c>
      <c r="I3714">
        <v>14</v>
      </c>
      <c r="J3714">
        <v>14</v>
      </c>
      <c r="K3714">
        <v>0</v>
      </c>
      <c r="L3714">
        <v>605</v>
      </c>
      <c r="M3714">
        <v>45</v>
      </c>
      <c r="N3714" s="1">
        <f t="shared" ref="N3714:N3777" si="464">MAX(F:F)</f>
        <v>44938</v>
      </c>
      <c r="O3714" s="1">
        <f t="shared" ref="O3714:O3777" si="465">MIN(F:F)</f>
        <v>43101</v>
      </c>
      <c r="P3714" s="1">
        <f t="shared" ref="P3714:P3777" si="466">DATE(YEAR(F3714), DAY(F3714), 1)</f>
        <v>44317</v>
      </c>
      <c r="Q3714" s="8">
        <f t="shared" ref="Q3714:Q3777" si="467" xml:space="preserve"> IF(A3714&lt;&gt;A3713, 1, 0)</f>
        <v>0</v>
      </c>
      <c r="R3714" s="8">
        <f t="shared" ref="R3714:R3777" si="468">IF(Q3714=1,1,R3713+1)</f>
        <v>41</v>
      </c>
      <c r="S3714" s="8">
        <f t="shared" ref="S3714:S3777" ca="1" si="469" xml:space="preserve"> IF(Q3714=1, IF(G3714&gt;0, R3714, 0), IF(G3714&gt;0, R3714, OFFSET(S3714,-1,0)))</f>
        <v>33</v>
      </c>
      <c r="T3714">
        <f t="shared" ref="T3714:T3777" ca="1" si="470" xml:space="preserve"> IF(Q3714=1, IF(G3714&gt;0, G3714, 0), IF(G3714&gt;0, $X$1*G3714+(1-$X$1)*OFFSET(T3714,-1,0), OFFSET(T3714,-1,0)))</f>
        <v>1.1318912000000001</v>
      </c>
      <c r="U3714" s="8">
        <f t="shared" ref="U3714:U3777" ca="1" si="471" xml:space="preserve"> IF(Q3714=1, 1, IF(G3714&gt;0, $X$1*(R3714-OFFSET(S3714,-1,0))+(1-$X$1)*OFFSET(U3714,-1,0), OFFSET(U3714,-1,0)))</f>
        <v>3.6761600000000003</v>
      </c>
      <c r="V3714" s="9">
        <f ca="1">RawData[[#This Row],[Z (smoothed demand size)]]/RawData[[#This Row],[X (smoothed interval)]]</f>
        <v>0.30790041782729805</v>
      </c>
    </row>
    <row r="3715" spans="1:22">
      <c r="A3715" t="s">
        <v>71</v>
      </c>
      <c r="B3715" t="s">
        <v>60</v>
      </c>
      <c r="C3715">
        <v>27</v>
      </c>
      <c r="D3715" t="s">
        <v>15</v>
      </c>
      <c r="E3715" t="s">
        <v>16</v>
      </c>
      <c r="F3715" s="1">
        <v>44202</v>
      </c>
      <c r="G3715">
        <v>1</v>
      </c>
      <c r="H3715">
        <v>1</v>
      </c>
      <c r="I3715">
        <v>14</v>
      </c>
      <c r="J3715">
        <v>13</v>
      </c>
      <c r="K3715">
        <v>0</v>
      </c>
      <c r="L3715">
        <v>698</v>
      </c>
      <c r="M3715">
        <v>30</v>
      </c>
      <c r="N3715" s="1">
        <f t="shared" si="464"/>
        <v>44938</v>
      </c>
      <c r="O3715" s="1">
        <f t="shared" si="465"/>
        <v>43101</v>
      </c>
      <c r="P3715" s="1">
        <f t="shared" si="466"/>
        <v>44348</v>
      </c>
      <c r="Q3715" s="8">
        <f t="shared" si="467"/>
        <v>0</v>
      </c>
      <c r="R3715" s="8">
        <f t="shared" si="468"/>
        <v>42</v>
      </c>
      <c r="S3715" s="8">
        <f t="shared" ca="1" si="469"/>
        <v>42</v>
      </c>
      <c r="T3715">
        <f t="shared" ca="1" si="470"/>
        <v>1.1055129600000002</v>
      </c>
      <c r="U3715" s="8">
        <f t="shared" ca="1" si="471"/>
        <v>4.7409280000000003</v>
      </c>
      <c r="V3715" s="9">
        <f ca="1">RawData[[#This Row],[Z (smoothed demand size)]]/RawData[[#This Row],[X (smoothed interval)]]</f>
        <v>0.23318492919529682</v>
      </c>
    </row>
    <row r="3716" spans="1:22">
      <c r="A3716" t="s">
        <v>71</v>
      </c>
      <c r="B3716" t="s">
        <v>60</v>
      </c>
      <c r="C3716">
        <v>27</v>
      </c>
      <c r="D3716" t="s">
        <v>15</v>
      </c>
      <c r="E3716" t="s">
        <v>16</v>
      </c>
      <c r="F3716" s="1">
        <v>44203</v>
      </c>
      <c r="G3716">
        <v>0</v>
      </c>
      <c r="H3716">
        <v>0</v>
      </c>
      <c r="I3716">
        <v>13</v>
      </c>
      <c r="J3716">
        <v>13</v>
      </c>
      <c r="K3716">
        <v>0</v>
      </c>
      <c r="L3716">
        <v>682</v>
      </c>
      <c r="M3716">
        <v>45</v>
      </c>
      <c r="N3716" s="1">
        <f t="shared" si="464"/>
        <v>44938</v>
      </c>
      <c r="O3716" s="1">
        <f t="shared" si="465"/>
        <v>43101</v>
      </c>
      <c r="P3716" s="1">
        <f t="shared" si="466"/>
        <v>44378</v>
      </c>
      <c r="Q3716" s="8">
        <f t="shared" si="467"/>
        <v>0</v>
      </c>
      <c r="R3716" s="8">
        <f t="shared" si="468"/>
        <v>43</v>
      </c>
      <c r="S3716" s="8">
        <f t="shared" ca="1" si="469"/>
        <v>42</v>
      </c>
      <c r="T3716">
        <f t="shared" ca="1" si="470"/>
        <v>1.1055129600000002</v>
      </c>
      <c r="U3716" s="8">
        <f t="shared" ca="1" si="471"/>
        <v>4.7409280000000003</v>
      </c>
      <c r="V3716" s="9">
        <f ca="1">RawData[[#This Row],[Z (smoothed demand size)]]/RawData[[#This Row],[X (smoothed interval)]]</f>
        <v>0.23318492919529682</v>
      </c>
    </row>
    <row r="3717" spans="1:22">
      <c r="A3717" t="s">
        <v>71</v>
      </c>
      <c r="B3717" t="s">
        <v>60</v>
      </c>
      <c r="C3717">
        <v>27</v>
      </c>
      <c r="D3717" t="s">
        <v>15</v>
      </c>
      <c r="E3717" t="s">
        <v>16</v>
      </c>
      <c r="F3717" s="1">
        <v>44204</v>
      </c>
      <c r="G3717">
        <v>0</v>
      </c>
      <c r="H3717">
        <v>0</v>
      </c>
      <c r="I3717">
        <v>13</v>
      </c>
      <c r="J3717">
        <v>13</v>
      </c>
      <c r="K3717">
        <v>0</v>
      </c>
      <c r="L3717">
        <v>680</v>
      </c>
      <c r="M3717">
        <v>30</v>
      </c>
      <c r="N3717" s="1">
        <f t="shared" si="464"/>
        <v>44938</v>
      </c>
      <c r="O3717" s="1">
        <f t="shared" si="465"/>
        <v>43101</v>
      </c>
      <c r="P3717" s="1">
        <f t="shared" si="466"/>
        <v>44409</v>
      </c>
      <c r="Q3717" s="8">
        <f t="shared" si="467"/>
        <v>0</v>
      </c>
      <c r="R3717" s="8">
        <f t="shared" si="468"/>
        <v>44</v>
      </c>
      <c r="S3717" s="8">
        <f t="shared" ca="1" si="469"/>
        <v>42</v>
      </c>
      <c r="T3717">
        <f t="shared" ca="1" si="470"/>
        <v>1.1055129600000002</v>
      </c>
      <c r="U3717" s="8">
        <f t="shared" ca="1" si="471"/>
        <v>4.7409280000000003</v>
      </c>
      <c r="V3717" s="9">
        <f ca="1">RawData[[#This Row],[Z (smoothed demand size)]]/RawData[[#This Row],[X (smoothed interval)]]</f>
        <v>0.23318492919529682</v>
      </c>
    </row>
    <row r="3718" spans="1:22">
      <c r="A3718" t="s">
        <v>71</v>
      </c>
      <c r="B3718" t="s">
        <v>60</v>
      </c>
      <c r="C3718">
        <v>27</v>
      </c>
      <c r="D3718" t="s">
        <v>15</v>
      </c>
      <c r="E3718" t="s">
        <v>16</v>
      </c>
      <c r="F3718" s="1">
        <v>44205</v>
      </c>
      <c r="G3718">
        <v>0</v>
      </c>
      <c r="H3718">
        <v>0</v>
      </c>
      <c r="I3718">
        <v>13</v>
      </c>
      <c r="J3718">
        <v>13</v>
      </c>
      <c r="K3718">
        <v>0</v>
      </c>
      <c r="L3718">
        <v>601</v>
      </c>
      <c r="M3718">
        <v>60</v>
      </c>
      <c r="N3718" s="1">
        <f t="shared" si="464"/>
        <v>44938</v>
      </c>
      <c r="O3718" s="1">
        <f t="shared" si="465"/>
        <v>43101</v>
      </c>
      <c r="P3718" s="1">
        <f t="shared" si="466"/>
        <v>44440</v>
      </c>
      <c r="Q3718" s="8">
        <f t="shared" si="467"/>
        <v>0</v>
      </c>
      <c r="R3718" s="8">
        <f t="shared" si="468"/>
        <v>45</v>
      </c>
      <c r="S3718" s="8">
        <f t="shared" ca="1" si="469"/>
        <v>42</v>
      </c>
      <c r="T3718">
        <f t="shared" ca="1" si="470"/>
        <v>1.1055129600000002</v>
      </c>
      <c r="U3718" s="8">
        <f t="shared" ca="1" si="471"/>
        <v>4.7409280000000003</v>
      </c>
      <c r="V3718" s="9">
        <f ca="1">RawData[[#This Row],[Z (smoothed demand size)]]/RawData[[#This Row],[X (smoothed interval)]]</f>
        <v>0.23318492919529682</v>
      </c>
    </row>
    <row r="3719" spans="1:22">
      <c r="A3719" t="s">
        <v>71</v>
      </c>
      <c r="B3719" t="s">
        <v>60</v>
      </c>
      <c r="C3719">
        <v>27</v>
      </c>
      <c r="D3719" t="s">
        <v>15</v>
      </c>
      <c r="E3719" t="s">
        <v>16</v>
      </c>
      <c r="F3719" s="1">
        <v>44206</v>
      </c>
      <c r="G3719">
        <v>0</v>
      </c>
      <c r="H3719">
        <v>0</v>
      </c>
      <c r="I3719">
        <v>13</v>
      </c>
      <c r="J3719">
        <v>13</v>
      </c>
      <c r="K3719">
        <v>0</v>
      </c>
      <c r="L3719">
        <v>603</v>
      </c>
      <c r="M3719">
        <v>15</v>
      </c>
      <c r="N3719" s="1">
        <f t="shared" si="464"/>
        <v>44938</v>
      </c>
      <c r="O3719" s="1">
        <f t="shared" si="465"/>
        <v>43101</v>
      </c>
      <c r="P3719" s="1">
        <f t="shared" si="466"/>
        <v>44470</v>
      </c>
      <c r="Q3719" s="8">
        <f t="shared" si="467"/>
        <v>0</v>
      </c>
      <c r="R3719" s="8">
        <f t="shared" si="468"/>
        <v>46</v>
      </c>
      <c r="S3719" s="8">
        <f t="shared" ca="1" si="469"/>
        <v>42</v>
      </c>
      <c r="T3719">
        <f t="shared" ca="1" si="470"/>
        <v>1.1055129600000002</v>
      </c>
      <c r="U3719" s="8">
        <f t="shared" ca="1" si="471"/>
        <v>4.7409280000000003</v>
      </c>
      <c r="V3719" s="9">
        <f ca="1">RawData[[#This Row],[Z (smoothed demand size)]]/RawData[[#This Row],[X (smoothed interval)]]</f>
        <v>0.23318492919529682</v>
      </c>
    </row>
    <row r="3720" spans="1:22">
      <c r="A3720" t="s">
        <v>71</v>
      </c>
      <c r="B3720" t="s">
        <v>60</v>
      </c>
      <c r="C3720">
        <v>27</v>
      </c>
      <c r="D3720" t="s">
        <v>15</v>
      </c>
      <c r="E3720" t="s">
        <v>16</v>
      </c>
      <c r="F3720" s="1">
        <v>44207</v>
      </c>
      <c r="G3720">
        <v>0</v>
      </c>
      <c r="H3720">
        <v>0</v>
      </c>
      <c r="I3720">
        <v>13</v>
      </c>
      <c r="J3720">
        <v>13</v>
      </c>
      <c r="K3720">
        <v>0</v>
      </c>
      <c r="L3720">
        <v>597</v>
      </c>
      <c r="M3720">
        <v>45</v>
      </c>
      <c r="N3720" s="1">
        <f t="shared" si="464"/>
        <v>44938</v>
      </c>
      <c r="O3720" s="1">
        <f t="shared" si="465"/>
        <v>43101</v>
      </c>
      <c r="P3720" s="1">
        <f t="shared" si="466"/>
        <v>44501</v>
      </c>
      <c r="Q3720" s="8">
        <f t="shared" si="467"/>
        <v>0</v>
      </c>
      <c r="R3720" s="8">
        <f t="shared" si="468"/>
        <v>47</v>
      </c>
      <c r="S3720" s="8">
        <f t="shared" ca="1" si="469"/>
        <v>42</v>
      </c>
      <c r="T3720">
        <f t="shared" ca="1" si="470"/>
        <v>1.1055129600000002</v>
      </c>
      <c r="U3720" s="8">
        <f t="shared" ca="1" si="471"/>
        <v>4.7409280000000003</v>
      </c>
      <c r="V3720" s="9">
        <f ca="1">RawData[[#This Row],[Z (smoothed demand size)]]/RawData[[#This Row],[X (smoothed interval)]]</f>
        <v>0.23318492919529682</v>
      </c>
    </row>
    <row r="3721" spans="1:22">
      <c r="A3721" t="s">
        <v>71</v>
      </c>
      <c r="B3721" t="s">
        <v>60</v>
      </c>
      <c r="C3721">
        <v>27</v>
      </c>
      <c r="D3721" t="s">
        <v>15</v>
      </c>
      <c r="E3721" t="s">
        <v>16</v>
      </c>
      <c r="F3721" s="1">
        <v>44208</v>
      </c>
      <c r="G3721">
        <v>0</v>
      </c>
      <c r="H3721">
        <v>0</v>
      </c>
      <c r="I3721">
        <v>13</v>
      </c>
      <c r="J3721">
        <v>13</v>
      </c>
      <c r="K3721">
        <v>0</v>
      </c>
      <c r="L3721">
        <v>685</v>
      </c>
      <c r="M3721">
        <v>45</v>
      </c>
      <c r="N3721" s="1">
        <f t="shared" si="464"/>
        <v>44938</v>
      </c>
      <c r="O3721" s="1">
        <f t="shared" si="465"/>
        <v>43101</v>
      </c>
      <c r="P3721" s="1">
        <f t="shared" si="466"/>
        <v>44531</v>
      </c>
      <c r="Q3721" s="8">
        <f t="shared" si="467"/>
        <v>0</v>
      </c>
      <c r="R3721" s="8">
        <f t="shared" si="468"/>
        <v>48</v>
      </c>
      <c r="S3721" s="8">
        <f t="shared" ca="1" si="469"/>
        <v>42</v>
      </c>
      <c r="T3721">
        <f t="shared" ca="1" si="470"/>
        <v>1.1055129600000002</v>
      </c>
      <c r="U3721" s="8">
        <f t="shared" ca="1" si="471"/>
        <v>4.7409280000000003</v>
      </c>
      <c r="V3721" s="9">
        <f ca="1">RawData[[#This Row],[Z (smoothed demand size)]]/RawData[[#This Row],[X (smoothed interval)]]</f>
        <v>0.23318492919529682</v>
      </c>
    </row>
    <row r="3722" spans="1:22">
      <c r="A3722" t="s">
        <v>71</v>
      </c>
      <c r="B3722" t="s">
        <v>60</v>
      </c>
      <c r="C3722">
        <v>27</v>
      </c>
      <c r="D3722" t="s">
        <v>15</v>
      </c>
      <c r="E3722" t="s">
        <v>16</v>
      </c>
      <c r="F3722" s="1">
        <v>44562</v>
      </c>
      <c r="G3722">
        <v>0</v>
      </c>
      <c r="H3722">
        <v>0</v>
      </c>
      <c r="I3722">
        <v>13</v>
      </c>
      <c r="J3722">
        <v>13</v>
      </c>
      <c r="K3722">
        <v>0</v>
      </c>
      <c r="L3722">
        <v>604</v>
      </c>
      <c r="M3722">
        <v>30</v>
      </c>
      <c r="N3722" s="1">
        <f t="shared" si="464"/>
        <v>44938</v>
      </c>
      <c r="O3722" s="1">
        <f t="shared" si="465"/>
        <v>43101</v>
      </c>
      <c r="P3722" s="1">
        <f t="shared" si="466"/>
        <v>44562</v>
      </c>
      <c r="Q3722" s="8">
        <f t="shared" si="467"/>
        <v>0</v>
      </c>
      <c r="R3722" s="8">
        <f t="shared" si="468"/>
        <v>49</v>
      </c>
      <c r="S3722" s="8">
        <f t="shared" ca="1" si="469"/>
        <v>42</v>
      </c>
      <c r="T3722">
        <f t="shared" ca="1" si="470"/>
        <v>1.1055129600000002</v>
      </c>
      <c r="U3722" s="8">
        <f t="shared" ca="1" si="471"/>
        <v>4.7409280000000003</v>
      </c>
      <c r="V3722" s="9">
        <f ca="1">RawData[[#This Row],[Z (smoothed demand size)]]/RawData[[#This Row],[X (smoothed interval)]]</f>
        <v>0.23318492919529682</v>
      </c>
    </row>
    <row r="3723" spans="1:22">
      <c r="A3723" t="s">
        <v>71</v>
      </c>
      <c r="B3723" t="s">
        <v>60</v>
      </c>
      <c r="C3723">
        <v>27</v>
      </c>
      <c r="D3723" t="s">
        <v>15</v>
      </c>
      <c r="E3723" t="s">
        <v>16</v>
      </c>
      <c r="F3723" s="1">
        <v>44563</v>
      </c>
      <c r="G3723">
        <v>0</v>
      </c>
      <c r="H3723">
        <v>0</v>
      </c>
      <c r="I3723">
        <v>13</v>
      </c>
      <c r="J3723">
        <v>13</v>
      </c>
      <c r="K3723">
        <v>0</v>
      </c>
      <c r="L3723">
        <v>600</v>
      </c>
      <c r="M3723">
        <v>30</v>
      </c>
      <c r="N3723" s="1">
        <f t="shared" si="464"/>
        <v>44938</v>
      </c>
      <c r="O3723" s="1">
        <f t="shared" si="465"/>
        <v>43101</v>
      </c>
      <c r="P3723" s="1">
        <f t="shared" si="466"/>
        <v>44593</v>
      </c>
      <c r="Q3723" s="8">
        <f t="shared" si="467"/>
        <v>0</v>
      </c>
      <c r="R3723" s="8">
        <f t="shared" si="468"/>
        <v>50</v>
      </c>
      <c r="S3723" s="8">
        <f t="shared" ca="1" si="469"/>
        <v>42</v>
      </c>
      <c r="T3723">
        <f t="shared" ca="1" si="470"/>
        <v>1.1055129600000002</v>
      </c>
      <c r="U3723" s="8">
        <f t="shared" ca="1" si="471"/>
        <v>4.7409280000000003</v>
      </c>
      <c r="V3723" s="9">
        <f ca="1">RawData[[#This Row],[Z (smoothed demand size)]]/RawData[[#This Row],[X (smoothed interval)]]</f>
        <v>0.23318492919529682</v>
      </c>
    </row>
    <row r="3724" spans="1:22">
      <c r="A3724" t="s">
        <v>71</v>
      </c>
      <c r="B3724" t="s">
        <v>60</v>
      </c>
      <c r="C3724">
        <v>27</v>
      </c>
      <c r="D3724" t="s">
        <v>15</v>
      </c>
      <c r="E3724" t="s">
        <v>16</v>
      </c>
      <c r="F3724" s="1">
        <v>44564</v>
      </c>
      <c r="G3724">
        <v>0</v>
      </c>
      <c r="H3724">
        <v>0</v>
      </c>
      <c r="I3724">
        <v>13</v>
      </c>
      <c r="J3724">
        <v>13</v>
      </c>
      <c r="K3724">
        <v>0</v>
      </c>
      <c r="L3724">
        <v>607</v>
      </c>
      <c r="M3724">
        <v>15</v>
      </c>
      <c r="N3724" s="1">
        <f t="shared" si="464"/>
        <v>44938</v>
      </c>
      <c r="O3724" s="1">
        <f t="shared" si="465"/>
        <v>43101</v>
      </c>
      <c r="P3724" s="1">
        <f t="shared" si="466"/>
        <v>44621</v>
      </c>
      <c r="Q3724" s="8">
        <f t="shared" si="467"/>
        <v>0</v>
      </c>
      <c r="R3724" s="8">
        <f t="shared" si="468"/>
        <v>51</v>
      </c>
      <c r="S3724" s="8">
        <f t="shared" ca="1" si="469"/>
        <v>42</v>
      </c>
      <c r="T3724">
        <f t="shared" ca="1" si="470"/>
        <v>1.1055129600000002</v>
      </c>
      <c r="U3724" s="8">
        <f t="shared" ca="1" si="471"/>
        <v>4.7409280000000003</v>
      </c>
      <c r="V3724" s="9">
        <f ca="1">RawData[[#This Row],[Z (smoothed demand size)]]/RawData[[#This Row],[X (smoothed interval)]]</f>
        <v>0.23318492919529682</v>
      </c>
    </row>
    <row r="3725" spans="1:22">
      <c r="A3725" t="s">
        <v>71</v>
      </c>
      <c r="B3725" t="s">
        <v>60</v>
      </c>
      <c r="C3725">
        <v>27</v>
      </c>
      <c r="D3725" t="s">
        <v>15</v>
      </c>
      <c r="E3725" t="s">
        <v>16</v>
      </c>
      <c r="F3725" s="1">
        <v>44565</v>
      </c>
      <c r="G3725">
        <v>0</v>
      </c>
      <c r="H3725">
        <v>0</v>
      </c>
      <c r="I3725">
        <v>13</v>
      </c>
      <c r="J3725">
        <v>13</v>
      </c>
      <c r="K3725">
        <v>0</v>
      </c>
      <c r="L3725">
        <v>593</v>
      </c>
      <c r="M3725">
        <v>30</v>
      </c>
      <c r="N3725" s="1">
        <f t="shared" si="464"/>
        <v>44938</v>
      </c>
      <c r="O3725" s="1">
        <f t="shared" si="465"/>
        <v>43101</v>
      </c>
      <c r="P3725" s="1">
        <f t="shared" si="466"/>
        <v>44652</v>
      </c>
      <c r="Q3725" s="8">
        <f t="shared" si="467"/>
        <v>0</v>
      </c>
      <c r="R3725" s="8">
        <f t="shared" si="468"/>
        <v>52</v>
      </c>
      <c r="S3725" s="8">
        <f t="shared" ca="1" si="469"/>
        <v>42</v>
      </c>
      <c r="T3725">
        <f t="shared" ca="1" si="470"/>
        <v>1.1055129600000002</v>
      </c>
      <c r="U3725" s="8">
        <f t="shared" ca="1" si="471"/>
        <v>4.7409280000000003</v>
      </c>
      <c r="V3725" s="9">
        <f ca="1">RawData[[#This Row],[Z (smoothed demand size)]]/RawData[[#This Row],[X (smoothed interval)]]</f>
        <v>0.23318492919529682</v>
      </c>
    </row>
    <row r="3726" spans="1:22">
      <c r="A3726" t="s">
        <v>71</v>
      </c>
      <c r="B3726" t="s">
        <v>60</v>
      </c>
      <c r="C3726">
        <v>27</v>
      </c>
      <c r="D3726" t="s">
        <v>15</v>
      </c>
      <c r="E3726" t="s">
        <v>16</v>
      </c>
      <c r="F3726" s="1">
        <v>44566</v>
      </c>
      <c r="G3726">
        <v>0</v>
      </c>
      <c r="H3726">
        <v>0</v>
      </c>
      <c r="I3726">
        <v>13</v>
      </c>
      <c r="J3726">
        <v>13</v>
      </c>
      <c r="K3726">
        <v>0</v>
      </c>
      <c r="L3726">
        <v>601</v>
      </c>
      <c r="M3726">
        <v>45</v>
      </c>
      <c r="N3726" s="1">
        <f t="shared" si="464"/>
        <v>44938</v>
      </c>
      <c r="O3726" s="1">
        <f t="shared" si="465"/>
        <v>43101</v>
      </c>
      <c r="P3726" s="1">
        <f t="shared" si="466"/>
        <v>44682</v>
      </c>
      <c r="Q3726" s="8">
        <f t="shared" si="467"/>
        <v>0</v>
      </c>
      <c r="R3726" s="8">
        <f t="shared" si="468"/>
        <v>53</v>
      </c>
      <c r="S3726" s="8">
        <f t="shared" ca="1" si="469"/>
        <v>42</v>
      </c>
      <c r="T3726">
        <f t="shared" ca="1" si="470"/>
        <v>1.1055129600000002</v>
      </c>
      <c r="U3726" s="8">
        <f t="shared" ca="1" si="471"/>
        <v>4.7409280000000003</v>
      </c>
      <c r="V3726" s="9">
        <f ca="1">RawData[[#This Row],[Z (smoothed demand size)]]/RawData[[#This Row],[X (smoothed interval)]]</f>
        <v>0.23318492919529682</v>
      </c>
    </row>
    <row r="3727" spans="1:22">
      <c r="A3727" t="s">
        <v>71</v>
      </c>
      <c r="B3727" t="s">
        <v>60</v>
      </c>
      <c r="C3727">
        <v>27</v>
      </c>
      <c r="D3727" t="s">
        <v>15</v>
      </c>
      <c r="E3727" t="s">
        <v>16</v>
      </c>
      <c r="F3727" s="1">
        <v>44567</v>
      </c>
      <c r="G3727">
        <v>2</v>
      </c>
      <c r="H3727">
        <v>2</v>
      </c>
      <c r="I3727">
        <v>13</v>
      </c>
      <c r="J3727">
        <v>11</v>
      </c>
      <c r="K3727">
        <v>0</v>
      </c>
      <c r="L3727">
        <v>704</v>
      </c>
      <c r="M3727">
        <v>15</v>
      </c>
      <c r="N3727" s="1">
        <f t="shared" si="464"/>
        <v>44938</v>
      </c>
      <c r="O3727" s="1">
        <f t="shared" si="465"/>
        <v>43101</v>
      </c>
      <c r="P3727" s="1">
        <f t="shared" si="466"/>
        <v>44713</v>
      </c>
      <c r="Q3727" s="8">
        <f t="shared" si="467"/>
        <v>0</v>
      </c>
      <c r="R3727" s="8">
        <f t="shared" si="468"/>
        <v>54</v>
      </c>
      <c r="S3727" s="8">
        <f t="shared" ca="1" si="469"/>
        <v>54</v>
      </c>
      <c r="T3727">
        <f t="shared" ca="1" si="470"/>
        <v>1.2844103680000001</v>
      </c>
      <c r="U3727" s="8">
        <f t="shared" ca="1" si="471"/>
        <v>6.1927424000000002</v>
      </c>
      <c r="V3727" s="9">
        <f ca="1">RawData[[#This Row],[Z (smoothed demand size)]]/RawData[[#This Row],[X (smoothed interval)]]</f>
        <v>0.20740574773463855</v>
      </c>
    </row>
    <row r="3728" spans="1:22">
      <c r="A3728" t="s">
        <v>71</v>
      </c>
      <c r="B3728" t="s">
        <v>60</v>
      </c>
      <c r="C3728">
        <v>27</v>
      </c>
      <c r="D3728" t="s">
        <v>15</v>
      </c>
      <c r="E3728" t="s">
        <v>16</v>
      </c>
      <c r="F3728" s="1">
        <v>44568</v>
      </c>
      <c r="G3728">
        <v>2</v>
      </c>
      <c r="H3728">
        <v>2</v>
      </c>
      <c r="I3728">
        <v>11</v>
      </c>
      <c r="J3728">
        <v>9</v>
      </c>
      <c r="K3728">
        <v>0</v>
      </c>
      <c r="L3728">
        <v>690</v>
      </c>
      <c r="M3728">
        <v>15</v>
      </c>
      <c r="N3728" s="1">
        <f t="shared" si="464"/>
        <v>44938</v>
      </c>
      <c r="O3728" s="1">
        <f t="shared" si="465"/>
        <v>43101</v>
      </c>
      <c r="P3728" s="1">
        <f t="shared" si="466"/>
        <v>44743</v>
      </c>
      <c r="Q3728" s="8">
        <f t="shared" si="467"/>
        <v>0</v>
      </c>
      <c r="R3728" s="8">
        <f t="shared" si="468"/>
        <v>55</v>
      </c>
      <c r="S3728" s="8">
        <f t="shared" ca="1" si="469"/>
        <v>55</v>
      </c>
      <c r="T3728">
        <f t="shared" ca="1" si="470"/>
        <v>1.4275282944000001</v>
      </c>
      <c r="U3728" s="8">
        <f t="shared" ca="1" si="471"/>
        <v>5.1541939200000009</v>
      </c>
      <c r="V3728" s="9">
        <f ca="1">RawData[[#This Row],[Z (smoothed demand size)]]/RawData[[#This Row],[X (smoothed interval)]]</f>
        <v>0.27696441316666637</v>
      </c>
    </row>
    <row r="3729" spans="1:22">
      <c r="A3729" t="s">
        <v>71</v>
      </c>
      <c r="B3729" t="s">
        <v>60</v>
      </c>
      <c r="C3729">
        <v>27</v>
      </c>
      <c r="D3729" t="s">
        <v>15</v>
      </c>
      <c r="E3729" t="s">
        <v>16</v>
      </c>
      <c r="F3729" s="1">
        <v>44569</v>
      </c>
      <c r="G3729">
        <v>0</v>
      </c>
      <c r="H3729">
        <v>0</v>
      </c>
      <c r="I3729">
        <v>9</v>
      </c>
      <c r="J3729">
        <v>9</v>
      </c>
      <c r="K3729">
        <v>0</v>
      </c>
      <c r="L3729">
        <v>688</v>
      </c>
      <c r="M3729">
        <v>30</v>
      </c>
      <c r="N3729" s="1">
        <f t="shared" si="464"/>
        <v>44938</v>
      </c>
      <c r="O3729" s="1">
        <f t="shared" si="465"/>
        <v>43101</v>
      </c>
      <c r="P3729" s="1">
        <f t="shared" si="466"/>
        <v>44774</v>
      </c>
      <c r="Q3729" s="8">
        <f t="shared" si="467"/>
        <v>0</v>
      </c>
      <c r="R3729" s="8">
        <f t="shared" si="468"/>
        <v>56</v>
      </c>
      <c r="S3729" s="8">
        <f t="shared" ca="1" si="469"/>
        <v>55</v>
      </c>
      <c r="T3729">
        <f t="shared" ca="1" si="470"/>
        <v>1.4275282944000001</v>
      </c>
      <c r="U3729" s="8">
        <f t="shared" ca="1" si="471"/>
        <v>5.1541939200000009</v>
      </c>
      <c r="V3729" s="9">
        <f ca="1">RawData[[#This Row],[Z (smoothed demand size)]]/RawData[[#This Row],[X (smoothed interval)]]</f>
        <v>0.27696441316666637</v>
      </c>
    </row>
    <row r="3730" spans="1:22">
      <c r="A3730" t="s">
        <v>71</v>
      </c>
      <c r="B3730" t="s">
        <v>60</v>
      </c>
      <c r="C3730">
        <v>27</v>
      </c>
      <c r="D3730" t="s">
        <v>15</v>
      </c>
      <c r="E3730" t="s">
        <v>16</v>
      </c>
      <c r="F3730" s="1">
        <v>44570</v>
      </c>
      <c r="G3730">
        <v>0</v>
      </c>
      <c r="H3730">
        <v>0</v>
      </c>
      <c r="I3730">
        <v>9</v>
      </c>
      <c r="J3730">
        <v>9</v>
      </c>
      <c r="K3730">
        <v>0</v>
      </c>
      <c r="L3730">
        <v>607</v>
      </c>
      <c r="M3730">
        <v>45</v>
      </c>
      <c r="N3730" s="1">
        <f t="shared" si="464"/>
        <v>44938</v>
      </c>
      <c r="O3730" s="1">
        <f t="shared" si="465"/>
        <v>43101</v>
      </c>
      <c r="P3730" s="1">
        <f t="shared" si="466"/>
        <v>44805</v>
      </c>
      <c r="Q3730" s="8">
        <f t="shared" si="467"/>
        <v>0</v>
      </c>
      <c r="R3730" s="8">
        <f t="shared" si="468"/>
        <v>57</v>
      </c>
      <c r="S3730" s="8">
        <f t="shared" ca="1" si="469"/>
        <v>55</v>
      </c>
      <c r="T3730">
        <f t="shared" ca="1" si="470"/>
        <v>1.4275282944000001</v>
      </c>
      <c r="U3730" s="8">
        <f t="shared" ca="1" si="471"/>
        <v>5.1541939200000009</v>
      </c>
      <c r="V3730" s="9">
        <f ca="1">RawData[[#This Row],[Z (smoothed demand size)]]/RawData[[#This Row],[X (smoothed interval)]]</f>
        <v>0.27696441316666637</v>
      </c>
    </row>
    <row r="3731" spans="1:22">
      <c r="A3731" t="s">
        <v>71</v>
      </c>
      <c r="B3731" t="s">
        <v>60</v>
      </c>
      <c r="C3731">
        <v>27</v>
      </c>
      <c r="D3731" t="s">
        <v>15</v>
      </c>
      <c r="E3731" t="s">
        <v>16</v>
      </c>
      <c r="F3731" s="1">
        <v>44571</v>
      </c>
      <c r="G3731">
        <v>0</v>
      </c>
      <c r="H3731">
        <v>0</v>
      </c>
      <c r="I3731">
        <v>9</v>
      </c>
      <c r="J3731">
        <v>9</v>
      </c>
      <c r="K3731">
        <v>0</v>
      </c>
      <c r="L3731">
        <v>609</v>
      </c>
      <c r="M3731">
        <v>30</v>
      </c>
      <c r="N3731" s="1">
        <f t="shared" si="464"/>
        <v>44938</v>
      </c>
      <c r="O3731" s="1">
        <f t="shared" si="465"/>
        <v>43101</v>
      </c>
      <c r="P3731" s="1">
        <f t="shared" si="466"/>
        <v>44835</v>
      </c>
      <c r="Q3731" s="8">
        <f t="shared" si="467"/>
        <v>0</v>
      </c>
      <c r="R3731" s="8">
        <f t="shared" si="468"/>
        <v>58</v>
      </c>
      <c r="S3731" s="8">
        <f t="shared" ca="1" si="469"/>
        <v>55</v>
      </c>
      <c r="T3731">
        <f t="shared" ca="1" si="470"/>
        <v>1.4275282944000001</v>
      </c>
      <c r="U3731" s="8">
        <f t="shared" ca="1" si="471"/>
        <v>5.1541939200000009</v>
      </c>
      <c r="V3731" s="9">
        <f ca="1">RawData[[#This Row],[Z (smoothed demand size)]]/RawData[[#This Row],[X (smoothed interval)]]</f>
        <v>0.27696441316666637</v>
      </c>
    </row>
    <row r="3732" spans="1:22">
      <c r="A3732" t="s">
        <v>71</v>
      </c>
      <c r="B3732" t="s">
        <v>60</v>
      </c>
      <c r="C3732">
        <v>27</v>
      </c>
      <c r="D3732" t="s">
        <v>15</v>
      </c>
      <c r="E3732" t="s">
        <v>16</v>
      </c>
      <c r="F3732" s="1">
        <v>44572</v>
      </c>
      <c r="G3732">
        <v>5</v>
      </c>
      <c r="H3732">
        <v>5</v>
      </c>
      <c r="I3732">
        <v>9</v>
      </c>
      <c r="J3732">
        <v>4</v>
      </c>
      <c r="K3732">
        <v>0</v>
      </c>
      <c r="L3732">
        <v>598</v>
      </c>
      <c r="M3732">
        <v>15</v>
      </c>
      <c r="N3732" s="1">
        <f t="shared" si="464"/>
        <v>44938</v>
      </c>
      <c r="O3732" s="1">
        <f t="shared" si="465"/>
        <v>43101</v>
      </c>
      <c r="P3732" s="1">
        <f t="shared" si="466"/>
        <v>44866</v>
      </c>
      <c r="Q3732" s="8">
        <f t="shared" si="467"/>
        <v>0</v>
      </c>
      <c r="R3732" s="8">
        <f t="shared" si="468"/>
        <v>59</v>
      </c>
      <c r="S3732" s="8">
        <f t="shared" ca="1" si="469"/>
        <v>59</v>
      </c>
      <c r="T3732">
        <f t="shared" ca="1" si="470"/>
        <v>2.1420226355200001</v>
      </c>
      <c r="U3732" s="8">
        <f t="shared" ca="1" si="471"/>
        <v>4.9233551360000005</v>
      </c>
      <c r="V3732" s="9">
        <f ca="1">RawData[[#This Row],[Z (smoothed demand size)]]/RawData[[#This Row],[X (smoothed interval)]]</f>
        <v>0.43507376095162109</v>
      </c>
    </row>
    <row r="3733" spans="1:22">
      <c r="A3733" t="s">
        <v>71</v>
      </c>
      <c r="B3733" t="s">
        <v>60</v>
      </c>
      <c r="C3733">
        <v>27</v>
      </c>
      <c r="D3733" t="s">
        <v>15</v>
      </c>
      <c r="E3733" t="s">
        <v>16</v>
      </c>
      <c r="F3733" s="1">
        <v>44573</v>
      </c>
      <c r="G3733">
        <v>0</v>
      </c>
      <c r="H3733">
        <v>0</v>
      </c>
      <c r="I3733">
        <v>27</v>
      </c>
      <c r="J3733">
        <v>27</v>
      </c>
      <c r="K3733">
        <v>0</v>
      </c>
      <c r="L3733">
        <v>688</v>
      </c>
      <c r="M3733">
        <v>15</v>
      </c>
      <c r="N3733" s="1">
        <f t="shared" si="464"/>
        <v>44938</v>
      </c>
      <c r="O3733" s="1">
        <f t="shared" si="465"/>
        <v>43101</v>
      </c>
      <c r="P3733" s="1">
        <f t="shared" si="466"/>
        <v>44896</v>
      </c>
      <c r="Q3733" s="8">
        <f t="shared" si="467"/>
        <v>0</v>
      </c>
      <c r="R3733" s="8">
        <f t="shared" si="468"/>
        <v>60</v>
      </c>
      <c r="S3733" s="8">
        <f t="shared" ca="1" si="469"/>
        <v>59</v>
      </c>
      <c r="T3733">
        <f t="shared" ca="1" si="470"/>
        <v>2.1420226355200001</v>
      </c>
      <c r="U3733" s="8">
        <f t="shared" ca="1" si="471"/>
        <v>4.9233551360000005</v>
      </c>
      <c r="V3733" s="9">
        <f ca="1">RawData[[#This Row],[Z (smoothed demand size)]]/RawData[[#This Row],[X (smoothed interval)]]</f>
        <v>0.43507376095162109</v>
      </c>
    </row>
    <row r="3734" spans="1:22">
      <c r="A3734" t="s">
        <v>71</v>
      </c>
      <c r="B3734" t="s">
        <v>60</v>
      </c>
      <c r="C3734">
        <v>27</v>
      </c>
      <c r="D3734" t="s">
        <v>15</v>
      </c>
      <c r="E3734" t="s">
        <v>16</v>
      </c>
      <c r="F3734" s="1">
        <v>44927</v>
      </c>
      <c r="G3734">
        <v>0</v>
      </c>
      <c r="H3734">
        <v>0</v>
      </c>
      <c r="I3734">
        <v>27</v>
      </c>
      <c r="J3734">
        <v>27</v>
      </c>
      <c r="K3734">
        <v>0</v>
      </c>
      <c r="L3734">
        <v>605</v>
      </c>
      <c r="M3734">
        <v>60</v>
      </c>
      <c r="N3734" s="1">
        <f t="shared" si="464"/>
        <v>44938</v>
      </c>
      <c r="O3734" s="1">
        <f t="shared" si="465"/>
        <v>43101</v>
      </c>
      <c r="P3734" s="1">
        <f t="shared" si="466"/>
        <v>44927</v>
      </c>
      <c r="Q3734" s="8">
        <f t="shared" si="467"/>
        <v>0</v>
      </c>
      <c r="R3734" s="8">
        <f t="shared" si="468"/>
        <v>61</v>
      </c>
      <c r="S3734" s="8">
        <f t="shared" ca="1" si="469"/>
        <v>59</v>
      </c>
      <c r="T3734">
        <f t="shared" ca="1" si="470"/>
        <v>2.1420226355200001</v>
      </c>
      <c r="U3734" s="8">
        <f t="shared" ca="1" si="471"/>
        <v>4.9233551360000005</v>
      </c>
      <c r="V3734" s="9">
        <f ca="1">RawData[[#This Row],[Z (smoothed demand size)]]/RawData[[#This Row],[X (smoothed interval)]]</f>
        <v>0.43507376095162109</v>
      </c>
    </row>
    <row r="3735" spans="1:22">
      <c r="A3735" t="s">
        <v>71</v>
      </c>
      <c r="B3735" t="s">
        <v>60</v>
      </c>
      <c r="C3735">
        <v>27</v>
      </c>
      <c r="D3735" t="s">
        <v>15</v>
      </c>
      <c r="E3735" t="s">
        <v>16</v>
      </c>
      <c r="F3735" s="1">
        <v>44928</v>
      </c>
      <c r="G3735">
        <v>0</v>
      </c>
      <c r="H3735">
        <v>0</v>
      </c>
      <c r="I3735">
        <v>27</v>
      </c>
      <c r="J3735">
        <v>27</v>
      </c>
      <c r="K3735">
        <v>0</v>
      </c>
      <c r="L3735">
        <v>602</v>
      </c>
      <c r="M3735">
        <v>30</v>
      </c>
      <c r="N3735" s="1">
        <f t="shared" si="464"/>
        <v>44938</v>
      </c>
      <c r="O3735" s="1">
        <f t="shared" si="465"/>
        <v>43101</v>
      </c>
      <c r="P3735" s="1">
        <f t="shared" si="466"/>
        <v>44958</v>
      </c>
      <c r="Q3735" s="8">
        <f t="shared" si="467"/>
        <v>0</v>
      </c>
      <c r="R3735" s="8">
        <f t="shared" si="468"/>
        <v>62</v>
      </c>
      <c r="S3735" s="8">
        <f t="shared" ca="1" si="469"/>
        <v>59</v>
      </c>
      <c r="T3735">
        <f t="shared" ca="1" si="470"/>
        <v>2.1420226355200001</v>
      </c>
      <c r="U3735" s="8">
        <f t="shared" ca="1" si="471"/>
        <v>4.9233551360000005</v>
      </c>
      <c r="V3735" s="9">
        <f ca="1">RawData[[#This Row],[Z (smoothed demand size)]]/RawData[[#This Row],[X (smoothed interval)]]</f>
        <v>0.43507376095162109</v>
      </c>
    </row>
    <row r="3736" spans="1:22">
      <c r="A3736" t="s">
        <v>71</v>
      </c>
      <c r="B3736" t="s">
        <v>60</v>
      </c>
      <c r="C3736">
        <v>27</v>
      </c>
      <c r="D3736" t="s">
        <v>15</v>
      </c>
      <c r="E3736" t="s">
        <v>16</v>
      </c>
      <c r="F3736" s="1">
        <v>44929</v>
      </c>
      <c r="G3736">
        <v>0</v>
      </c>
      <c r="H3736">
        <v>0</v>
      </c>
      <c r="I3736">
        <v>27</v>
      </c>
      <c r="J3736">
        <v>27</v>
      </c>
      <c r="K3736">
        <v>0</v>
      </c>
      <c r="L3736">
        <v>602</v>
      </c>
      <c r="M3736">
        <v>60</v>
      </c>
      <c r="N3736" s="1">
        <f t="shared" si="464"/>
        <v>44938</v>
      </c>
      <c r="O3736" s="1">
        <f t="shared" si="465"/>
        <v>43101</v>
      </c>
      <c r="P3736" s="1">
        <f t="shared" si="466"/>
        <v>44986</v>
      </c>
      <c r="Q3736" s="8">
        <f t="shared" si="467"/>
        <v>0</v>
      </c>
      <c r="R3736" s="8">
        <f t="shared" si="468"/>
        <v>63</v>
      </c>
      <c r="S3736" s="8">
        <f t="shared" ca="1" si="469"/>
        <v>59</v>
      </c>
      <c r="T3736">
        <f t="shared" ca="1" si="470"/>
        <v>2.1420226355200001</v>
      </c>
      <c r="U3736" s="8">
        <f t="shared" ca="1" si="471"/>
        <v>4.9233551360000005</v>
      </c>
      <c r="V3736" s="9">
        <f ca="1">RawData[[#This Row],[Z (smoothed demand size)]]/RawData[[#This Row],[X (smoothed interval)]]</f>
        <v>0.43507376095162109</v>
      </c>
    </row>
    <row r="3737" spans="1:22">
      <c r="A3737" t="s">
        <v>71</v>
      </c>
      <c r="B3737" t="s">
        <v>60</v>
      </c>
      <c r="C3737">
        <v>27</v>
      </c>
      <c r="D3737" t="s">
        <v>15</v>
      </c>
      <c r="E3737" t="s">
        <v>16</v>
      </c>
      <c r="F3737" s="1">
        <v>44930</v>
      </c>
      <c r="G3737">
        <v>0</v>
      </c>
      <c r="H3737">
        <v>0</v>
      </c>
      <c r="I3737">
        <v>27</v>
      </c>
      <c r="J3737">
        <v>27</v>
      </c>
      <c r="K3737">
        <v>0</v>
      </c>
      <c r="L3737">
        <v>601</v>
      </c>
      <c r="M3737">
        <v>45</v>
      </c>
      <c r="N3737" s="1">
        <f t="shared" si="464"/>
        <v>44938</v>
      </c>
      <c r="O3737" s="1">
        <f t="shared" si="465"/>
        <v>43101</v>
      </c>
      <c r="P3737" s="1">
        <f t="shared" si="466"/>
        <v>45017</v>
      </c>
      <c r="Q3737" s="8">
        <f t="shared" si="467"/>
        <v>0</v>
      </c>
      <c r="R3737" s="8">
        <f t="shared" si="468"/>
        <v>64</v>
      </c>
      <c r="S3737" s="8">
        <f t="shared" ca="1" si="469"/>
        <v>59</v>
      </c>
      <c r="T3737">
        <f t="shared" ca="1" si="470"/>
        <v>2.1420226355200001</v>
      </c>
      <c r="U3737" s="8">
        <f t="shared" ca="1" si="471"/>
        <v>4.9233551360000005</v>
      </c>
      <c r="V3737" s="9">
        <f ca="1">RawData[[#This Row],[Z (smoothed demand size)]]/RawData[[#This Row],[X (smoothed interval)]]</f>
        <v>0.43507376095162109</v>
      </c>
    </row>
    <row r="3738" spans="1:22">
      <c r="A3738" t="s">
        <v>71</v>
      </c>
      <c r="B3738" t="s">
        <v>60</v>
      </c>
      <c r="C3738">
        <v>27</v>
      </c>
      <c r="D3738" t="s">
        <v>15</v>
      </c>
      <c r="E3738" t="s">
        <v>16</v>
      </c>
      <c r="F3738" s="1">
        <v>44931</v>
      </c>
      <c r="G3738">
        <v>0</v>
      </c>
      <c r="H3738">
        <v>0</v>
      </c>
      <c r="I3738">
        <v>27</v>
      </c>
      <c r="J3738">
        <v>27</v>
      </c>
      <c r="K3738">
        <v>0</v>
      </c>
      <c r="L3738">
        <v>600</v>
      </c>
      <c r="M3738">
        <v>30</v>
      </c>
      <c r="N3738" s="1">
        <f t="shared" si="464"/>
        <v>44938</v>
      </c>
      <c r="O3738" s="1">
        <f t="shared" si="465"/>
        <v>43101</v>
      </c>
      <c r="P3738" s="1">
        <f t="shared" si="466"/>
        <v>45047</v>
      </c>
      <c r="Q3738" s="8">
        <f t="shared" si="467"/>
        <v>0</v>
      </c>
      <c r="R3738" s="8">
        <f t="shared" si="468"/>
        <v>65</v>
      </c>
      <c r="S3738" s="8">
        <f t="shared" ca="1" si="469"/>
        <v>59</v>
      </c>
      <c r="T3738">
        <f t="shared" ca="1" si="470"/>
        <v>2.1420226355200001</v>
      </c>
      <c r="U3738" s="8">
        <f t="shared" ca="1" si="471"/>
        <v>4.9233551360000005</v>
      </c>
      <c r="V3738" s="9">
        <f ca="1">RawData[[#This Row],[Z (smoothed demand size)]]/RawData[[#This Row],[X (smoothed interval)]]</f>
        <v>0.43507376095162109</v>
      </c>
    </row>
    <row r="3739" spans="1:22">
      <c r="A3739" t="s">
        <v>71</v>
      </c>
      <c r="B3739" t="s">
        <v>60</v>
      </c>
      <c r="C3739">
        <v>27</v>
      </c>
      <c r="D3739" t="s">
        <v>15</v>
      </c>
      <c r="E3739" t="s">
        <v>16</v>
      </c>
      <c r="F3739" s="1">
        <v>44932</v>
      </c>
      <c r="G3739">
        <v>0</v>
      </c>
      <c r="H3739">
        <v>0</v>
      </c>
      <c r="I3739">
        <v>27</v>
      </c>
      <c r="J3739">
        <v>27</v>
      </c>
      <c r="K3739">
        <v>0</v>
      </c>
      <c r="L3739">
        <v>697</v>
      </c>
      <c r="M3739">
        <v>60</v>
      </c>
      <c r="N3739" s="1">
        <f t="shared" si="464"/>
        <v>44938</v>
      </c>
      <c r="O3739" s="1">
        <f t="shared" si="465"/>
        <v>43101</v>
      </c>
      <c r="P3739" s="1">
        <f t="shared" si="466"/>
        <v>45078</v>
      </c>
      <c r="Q3739" s="8">
        <f t="shared" si="467"/>
        <v>0</v>
      </c>
      <c r="R3739" s="8">
        <f t="shared" si="468"/>
        <v>66</v>
      </c>
      <c r="S3739" s="8">
        <f t="shared" ca="1" si="469"/>
        <v>59</v>
      </c>
      <c r="T3739">
        <f t="shared" ca="1" si="470"/>
        <v>2.1420226355200001</v>
      </c>
      <c r="U3739" s="8">
        <f t="shared" ca="1" si="471"/>
        <v>4.9233551360000005</v>
      </c>
      <c r="V3739" s="9">
        <f ca="1">RawData[[#This Row],[Z (smoothed demand size)]]/RawData[[#This Row],[X (smoothed interval)]]</f>
        <v>0.43507376095162109</v>
      </c>
    </row>
    <row r="3740" spans="1:22">
      <c r="A3740" t="s">
        <v>71</v>
      </c>
      <c r="B3740" t="s">
        <v>60</v>
      </c>
      <c r="C3740">
        <v>27</v>
      </c>
      <c r="D3740" t="s">
        <v>15</v>
      </c>
      <c r="E3740" t="s">
        <v>16</v>
      </c>
      <c r="F3740" s="1">
        <v>44933</v>
      </c>
      <c r="G3740">
        <v>0</v>
      </c>
      <c r="H3740">
        <v>0</v>
      </c>
      <c r="I3740">
        <v>27</v>
      </c>
      <c r="J3740">
        <v>27</v>
      </c>
      <c r="K3740">
        <v>0</v>
      </c>
      <c r="L3740">
        <v>699</v>
      </c>
      <c r="M3740">
        <v>30</v>
      </c>
      <c r="N3740" s="1">
        <f t="shared" si="464"/>
        <v>44938</v>
      </c>
      <c r="O3740" s="1">
        <f t="shared" si="465"/>
        <v>43101</v>
      </c>
      <c r="P3740" s="1">
        <f t="shared" si="466"/>
        <v>45108</v>
      </c>
      <c r="Q3740" s="8">
        <f t="shared" si="467"/>
        <v>0</v>
      </c>
      <c r="R3740" s="8">
        <f t="shared" si="468"/>
        <v>67</v>
      </c>
      <c r="S3740" s="8">
        <f t="shared" ca="1" si="469"/>
        <v>59</v>
      </c>
      <c r="T3740">
        <f t="shared" ca="1" si="470"/>
        <v>2.1420226355200001</v>
      </c>
      <c r="U3740" s="8">
        <f t="shared" ca="1" si="471"/>
        <v>4.9233551360000005</v>
      </c>
      <c r="V3740" s="9">
        <f ca="1">RawData[[#This Row],[Z (smoothed demand size)]]/RawData[[#This Row],[X (smoothed interval)]]</f>
        <v>0.43507376095162109</v>
      </c>
    </row>
    <row r="3741" spans="1:22">
      <c r="A3741" t="s">
        <v>71</v>
      </c>
      <c r="B3741" t="s">
        <v>60</v>
      </c>
      <c r="C3741">
        <v>27</v>
      </c>
      <c r="D3741" t="s">
        <v>15</v>
      </c>
      <c r="E3741" t="s">
        <v>16</v>
      </c>
      <c r="F3741" s="1">
        <v>44934</v>
      </c>
      <c r="G3741">
        <v>0</v>
      </c>
      <c r="H3741">
        <v>0</v>
      </c>
      <c r="I3741">
        <v>27</v>
      </c>
      <c r="J3741">
        <v>27</v>
      </c>
      <c r="K3741">
        <v>0</v>
      </c>
      <c r="L3741">
        <v>683</v>
      </c>
      <c r="M3741">
        <v>45</v>
      </c>
      <c r="N3741" s="1">
        <f t="shared" si="464"/>
        <v>44938</v>
      </c>
      <c r="O3741" s="1">
        <f t="shared" si="465"/>
        <v>43101</v>
      </c>
      <c r="P3741" s="1">
        <f t="shared" si="466"/>
        <v>45139</v>
      </c>
      <c r="Q3741" s="8">
        <f t="shared" si="467"/>
        <v>0</v>
      </c>
      <c r="R3741" s="8">
        <f t="shared" si="468"/>
        <v>68</v>
      </c>
      <c r="S3741" s="8">
        <f t="shared" ca="1" si="469"/>
        <v>59</v>
      </c>
      <c r="T3741">
        <f t="shared" ca="1" si="470"/>
        <v>2.1420226355200001</v>
      </c>
      <c r="U3741" s="8">
        <f t="shared" ca="1" si="471"/>
        <v>4.9233551360000005</v>
      </c>
      <c r="V3741" s="9">
        <f ca="1">RawData[[#This Row],[Z (smoothed demand size)]]/RawData[[#This Row],[X (smoothed interval)]]</f>
        <v>0.43507376095162109</v>
      </c>
    </row>
    <row r="3742" spans="1:22">
      <c r="A3742" t="s">
        <v>71</v>
      </c>
      <c r="B3742" t="s">
        <v>60</v>
      </c>
      <c r="C3742">
        <v>27</v>
      </c>
      <c r="D3742" t="s">
        <v>15</v>
      </c>
      <c r="E3742" t="s">
        <v>16</v>
      </c>
      <c r="F3742" s="1">
        <v>44935</v>
      </c>
      <c r="G3742">
        <v>0</v>
      </c>
      <c r="H3742">
        <v>0</v>
      </c>
      <c r="I3742">
        <v>27</v>
      </c>
      <c r="J3742">
        <v>27</v>
      </c>
      <c r="K3742">
        <v>0</v>
      </c>
      <c r="L3742">
        <v>605</v>
      </c>
      <c r="M3742">
        <v>60</v>
      </c>
      <c r="N3742" s="1">
        <f t="shared" si="464"/>
        <v>44938</v>
      </c>
      <c r="O3742" s="1">
        <f t="shared" si="465"/>
        <v>43101</v>
      </c>
      <c r="P3742" s="1">
        <f t="shared" si="466"/>
        <v>45170</v>
      </c>
      <c r="Q3742" s="8">
        <f t="shared" si="467"/>
        <v>0</v>
      </c>
      <c r="R3742" s="8">
        <f t="shared" si="468"/>
        <v>69</v>
      </c>
      <c r="S3742" s="8">
        <f t="shared" ca="1" si="469"/>
        <v>59</v>
      </c>
      <c r="T3742">
        <f t="shared" ca="1" si="470"/>
        <v>2.1420226355200001</v>
      </c>
      <c r="U3742" s="8">
        <f t="shared" ca="1" si="471"/>
        <v>4.9233551360000005</v>
      </c>
      <c r="V3742" s="9">
        <f ca="1">RawData[[#This Row],[Z (smoothed demand size)]]/RawData[[#This Row],[X (smoothed interval)]]</f>
        <v>0.43507376095162109</v>
      </c>
    </row>
    <row r="3743" spans="1:22">
      <c r="A3743" t="s">
        <v>71</v>
      </c>
      <c r="B3743" t="s">
        <v>60</v>
      </c>
      <c r="C3743">
        <v>27</v>
      </c>
      <c r="D3743" t="s">
        <v>15</v>
      </c>
      <c r="E3743" t="s">
        <v>16</v>
      </c>
      <c r="F3743" s="1">
        <v>44936</v>
      </c>
      <c r="G3743">
        <v>0</v>
      </c>
      <c r="H3743">
        <v>0</v>
      </c>
      <c r="I3743">
        <v>27</v>
      </c>
      <c r="J3743">
        <v>27</v>
      </c>
      <c r="K3743">
        <v>0</v>
      </c>
      <c r="L3743">
        <v>600</v>
      </c>
      <c r="M3743">
        <v>30</v>
      </c>
      <c r="N3743" s="1">
        <f t="shared" si="464"/>
        <v>44938</v>
      </c>
      <c r="O3743" s="1">
        <f t="shared" si="465"/>
        <v>43101</v>
      </c>
      <c r="P3743" s="1">
        <f t="shared" si="466"/>
        <v>45200</v>
      </c>
      <c r="Q3743" s="8">
        <f t="shared" si="467"/>
        <v>0</v>
      </c>
      <c r="R3743" s="8">
        <f t="shared" si="468"/>
        <v>70</v>
      </c>
      <c r="S3743" s="8">
        <f t="shared" ca="1" si="469"/>
        <v>59</v>
      </c>
      <c r="T3743">
        <f t="shared" ca="1" si="470"/>
        <v>2.1420226355200001</v>
      </c>
      <c r="U3743" s="8">
        <f t="shared" ca="1" si="471"/>
        <v>4.9233551360000005</v>
      </c>
      <c r="V3743" s="9">
        <f ca="1">RawData[[#This Row],[Z (smoothed demand size)]]/RawData[[#This Row],[X (smoothed interval)]]</f>
        <v>0.43507376095162109</v>
      </c>
    </row>
    <row r="3744" spans="1:22">
      <c r="A3744" t="s">
        <v>71</v>
      </c>
      <c r="B3744" t="s">
        <v>60</v>
      </c>
      <c r="C3744">
        <v>27</v>
      </c>
      <c r="D3744" t="s">
        <v>15</v>
      </c>
      <c r="E3744" t="s">
        <v>16</v>
      </c>
      <c r="F3744" s="1">
        <v>44937</v>
      </c>
      <c r="G3744">
        <v>0</v>
      </c>
      <c r="H3744">
        <v>0</v>
      </c>
      <c r="I3744">
        <v>27</v>
      </c>
      <c r="J3744">
        <v>27</v>
      </c>
      <c r="K3744">
        <v>0</v>
      </c>
      <c r="L3744">
        <v>592</v>
      </c>
      <c r="M3744">
        <v>60</v>
      </c>
      <c r="N3744" s="1">
        <f t="shared" si="464"/>
        <v>44938</v>
      </c>
      <c r="O3744" s="1">
        <f t="shared" si="465"/>
        <v>43101</v>
      </c>
      <c r="P3744" s="1">
        <f t="shared" si="466"/>
        <v>45231</v>
      </c>
      <c r="Q3744" s="8">
        <f t="shared" si="467"/>
        <v>0</v>
      </c>
      <c r="R3744" s="8">
        <f t="shared" si="468"/>
        <v>71</v>
      </c>
      <c r="S3744" s="8">
        <f t="shared" ca="1" si="469"/>
        <v>59</v>
      </c>
      <c r="T3744">
        <f t="shared" ca="1" si="470"/>
        <v>2.1420226355200001</v>
      </c>
      <c r="U3744" s="8">
        <f t="shared" ca="1" si="471"/>
        <v>4.9233551360000005</v>
      </c>
      <c r="V3744" s="9">
        <f ca="1">RawData[[#This Row],[Z (smoothed demand size)]]/RawData[[#This Row],[X (smoothed interval)]]</f>
        <v>0.43507376095162109</v>
      </c>
    </row>
    <row r="3745" spans="1:22">
      <c r="A3745" t="s">
        <v>71</v>
      </c>
      <c r="B3745" t="s">
        <v>60</v>
      </c>
      <c r="C3745">
        <v>27</v>
      </c>
      <c r="D3745" t="s">
        <v>15</v>
      </c>
      <c r="E3745" t="s">
        <v>16</v>
      </c>
      <c r="F3745" s="1">
        <v>44938</v>
      </c>
      <c r="G3745">
        <v>0</v>
      </c>
      <c r="H3745">
        <v>0</v>
      </c>
      <c r="I3745">
        <v>27</v>
      </c>
      <c r="J3745">
        <v>27</v>
      </c>
      <c r="K3745">
        <v>0</v>
      </c>
      <c r="L3745">
        <v>683</v>
      </c>
      <c r="M3745">
        <v>60</v>
      </c>
      <c r="N3745" s="1">
        <f t="shared" si="464"/>
        <v>44938</v>
      </c>
      <c r="O3745" s="1">
        <f t="shared" si="465"/>
        <v>43101</v>
      </c>
      <c r="P3745" s="1">
        <f t="shared" si="466"/>
        <v>45261</v>
      </c>
      <c r="Q3745" s="8">
        <f t="shared" si="467"/>
        <v>0</v>
      </c>
      <c r="R3745" s="8">
        <f t="shared" si="468"/>
        <v>72</v>
      </c>
      <c r="S3745" s="8">
        <f t="shared" ca="1" si="469"/>
        <v>59</v>
      </c>
      <c r="T3745">
        <f t="shared" ca="1" si="470"/>
        <v>2.1420226355200001</v>
      </c>
      <c r="U3745" s="8">
        <f t="shared" ca="1" si="471"/>
        <v>4.9233551360000005</v>
      </c>
      <c r="V3745" s="9">
        <f ca="1">RawData[[#This Row],[Z (smoothed demand size)]]/RawData[[#This Row],[X (smoothed interval)]]</f>
        <v>0.43507376095162109</v>
      </c>
    </row>
    <row r="3746" spans="1:22">
      <c r="A3746" t="s">
        <v>72</v>
      </c>
      <c r="B3746" t="s">
        <v>60</v>
      </c>
      <c r="C3746">
        <v>28</v>
      </c>
      <c r="D3746" t="s">
        <v>15</v>
      </c>
      <c r="E3746" t="s">
        <v>16</v>
      </c>
      <c r="F3746" s="1">
        <v>43101</v>
      </c>
      <c r="G3746">
        <v>2</v>
      </c>
      <c r="H3746">
        <v>2</v>
      </c>
      <c r="I3746">
        <v>26</v>
      </c>
      <c r="J3746">
        <v>24</v>
      </c>
      <c r="K3746">
        <v>0</v>
      </c>
      <c r="L3746">
        <v>558</v>
      </c>
      <c r="M3746">
        <v>60</v>
      </c>
      <c r="N3746" s="1">
        <f t="shared" si="464"/>
        <v>44938</v>
      </c>
      <c r="O3746" s="1">
        <f t="shared" si="465"/>
        <v>43101</v>
      </c>
      <c r="P3746" s="1">
        <f t="shared" si="466"/>
        <v>43101</v>
      </c>
      <c r="Q3746" s="8">
        <f t="shared" si="467"/>
        <v>1</v>
      </c>
      <c r="R3746" s="8">
        <f t="shared" si="468"/>
        <v>1</v>
      </c>
      <c r="S3746" s="8">
        <f t="shared" ca="1" si="469"/>
        <v>1</v>
      </c>
      <c r="T3746">
        <f t="shared" ca="1" si="470"/>
        <v>2</v>
      </c>
      <c r="U3746" s="8">
        <f t="shared" ca="1" si="471"/>
        <v>1</v>
      </c>
      <c r="V3746" s="9">
        <f ca="1">RawData[[#This Row],[Z (smoothed demand size)]]/RawData[[#This Row],[X (smoothed interval)]]</f>
        <v>2</v>
      </c>
    </row>
    <row r="3747" spans="1:22">
      <c r="A3747" t="s">
        <v>72</v>
      </c>
      <c r="B3747" t="s">
        <v>60</v>
      </c>
      <c r="C3747">
        <v>28</v>
      </c>
      <c r="D3747" t="s">
        <v>15</v>
      </c>
      <c r="E3747" t="s">
        <v>16</v>
      </c>
      <c r="F3747" s="1">
        <v>43102</v>
      </c>
      <c r="G3747">
        <v>0</v>
      </c>
      <c r="H3747">
        <v>0</v>
      </c>
      <c r="I3747">
        <v>24</v>
      </c>
      <c r="J3747">
        <v>24</v>
      </c>
      <c r="K3747">
        <v>0</v>
      </c>
      <c r="L3747">
        <v>557</v>
      </c>
      <c r="M3747">
        <v>15</v>
      </c>
      <c r="N3747" s="1">
        <f t="shared" si="464"/>
        <v>44938</v>
      </c>
      <c r="O3747" s="1">
        <f t="shared" si="465"/>
        <v>43101</v>
      </c>
      <c r="P3747" s="1">
        <f t="shared" si="466"/>
        <v>43132</v>
      </c>
      <c r="Q3747" s="8">
        <f t="shared" si="467"/>
        <v>0</v>
      </c>
      <c r="R3747" s="8">
        <f t="shared" si="468"/>
        <v>2</v>
      </c>
      <c r="S3747" s="8">
        <f t="shared" ca="1" si="469"/>
        <v>1</v>
      </c>
      <c r="T3747">
        <f t="shared" ca="1" si="470"/>
        <v>2</v>
      </c>
      <c r="U3747" s="8">
        <f t="shared" ca="1" si="471"/>
        <v>1</v>
      </c>
      <c r="V3747" s="9">
        <f ca="1">RawData[[#This Row],[Z (smoothed demand size)]]/RawData[[#This Row],[X (smoothed interval)]]</f>
        <v>2</v>
      </c>
    </row>
    <row r="3748" spans="1:22">
      <c r="A3748" t="s">
        <v>72</v>
      </c>
      <c r="B3748" t="s">
        <v>60</v>
      </c>
      <c r="C3748">
        <v>28</v>
      </c>
      <c r="D3748" t="s">
        <v>15</v>
      </c>
      <c r="E3748" t="s">
        <v>16</v>
      </c>
      <c r="F3748" s="1">
        <v>43103</v>
      </c>
      <c r="G3748">
        <v>0</v>
      </c>
      <c r="H3748">
        <v>0</v>
      </c>
      <c r="I3748">
        <v>24</v>
      </c>
      <c r="J3748">
        <v>24</v>
      </c>
      <c r="K3748">
        <v>0</v>
      </c>
      <c r="L3748">
        <v>558</v>
      </c>
      <c r="M3748">
        <v>15</v>
      </c>
      <c r="N3748" s="1">
        <f t="shared" si="464"/>
        <v>44938</v>
      </c>
      <c r="O3748" s="1">
        <f t="shared" si="465"/>
        <v>43101</v>
      </c>
      <c r="P3748" s="1">
        <f t="shared" si="466"/>
        <v>43160</v>
      </c>
      <c r="Q3748" s="8">
        <f t="shared" si="467"/>
        <v>0</v>
      </c>
      <c r="R3748" s="8">
        <f t="shared" si="468"/>
        <v>3</v>
      </c>
      <c r="S3748" s="8">
        <f t="shared" ca="1" si="469"/>
        <v>1</v>
      </c>
      <c r="T3748">
        <f t="shared" ca="1" si="470"/>
        <v>2</v>
      </c>
      <c r="U3748" s="8">
        <f t="shared" ca="1" si="471"/>
        <v>1</v>
      </c>
      <c r="V3748" s="9">
        <f ca="1">RawData[[#This Row],[Z (smoothed demand size)]]/RawData[[#This Row],[X (smoothed interval)]]</f>
        <v>2</v>
      </c>
    </row>
    <row r="3749" spans="1:22">
      <c r="A3749" t="s">
        <v>72</v>
      </c>
      <c r="B3749" t="s">
        <v>60</v>
      </c>
      <c r="C3749">
        <v>28</v>
      </c>
      <c r="D3749" t="s">
        <v>15</v>
      </c>
      <c r="E3749" t="s">
        <v>16</v>
      </c>
      <c r="F3749" s="1">
        <v>43104</v>
      </c>
      <c r="G3749">
        <v>0</v>
      </c>
      <c r="H3749">
        <v>0</v>
      </c>
      <c r="I3749">
        <v>24</v>
      </c>
      <c r="J3749">
        <v>24</v>
      </c>
      <c r="K3749">
        <v>0</v>
      </c>
      <c r="L3749">
        <v>559</v>
      </c>
      <c r="M3749">
        <v>45</v>
      </c>
      <c r="N3749" s="1">
        <f t="shared" si="464"/>
        <v>44938</v>
      </c>
      <c r="O3749" s="1">
        <f t="shared" si="465"/>
        <v>43101</v>
      </c>
      <c r="P3749" s="1">
        <f t="shared" si="466"/>
        <v>43191</v>
      </c>
      <c r="Q3749" s="8">
        <f t="shared" si="467"/>
        <v>0</v>
      </c>
      <c r="R3749" s="8">
        <f t="shared" si="468"/>
        <v>4</v>
      </c>
      <c r="S3749" s="8">
        <f t="shared" ca="1" si="469"/>
        <v>1</v>
      </c>
      <c r="T3749">
        <f t="shared" ca="1" si="470"/>
        <v>2</v>
      </c>
      <c r="U3749" s="8">
        <f t="shared" ca="1" si="471"/>
        <v>1</v>
      </c>
      <c r="V3749" s="9">
        <f ca="1">RawData[[#This Row],[Z (smoothed demand size)]]/RawData[[#This Row],[X (smoothed interval)]]</f>
        <v>2</v>
      </c>
    </row>
    <row r="3750" spans="1:22">
      <c r="A3750" t="s">
        <v>72</v>
      </c>
      <c r="B3750" t="s">
        <v>60</v>
      </c>
      <c r="C3750">
        <v>28</v>
      </c>
      <c r="D3750" t="s">
        <v>15</v>
      </c>
      <c r="E3750" t="s">
        <v>16</v>
      </c>
      <c r="F3750" s="1">
        <v>43105</v>
      </c>
      <c r="G3750">
        <v>0</v>
      </c>
      <c r="H3750">
        <v>0</v>
      </c>
      <c r="I3750">
        <v>24</v>
      </c>
      <c r="J3750">
        <v>24</v>
      </c>
      <c r="K3750">
        <v>0</v>
      </c>
      <c r="L3750">
        <v>558</v>
      </c>
      <c r="M3750">
        <v>60</v>
      </c>
      <c r="N3750" s="1">
        <f t="shared" si="464"/>
        <v>44938</v>
      </c>
      <c r="O3750" s="1">
        <f t="shared" si="465"/>
        <v>43101</v>
      </c>
      <c r="P3750" s="1">
        <f t="shared" si="466"/>
        <v>43221</v>
      </c>
      <c r="Q3750" s="8">
        <f t="shared" si="467"/>
        <v>0</v>
      </c>
      <c r="R3750" s="8">
        <f t="shared" si="468"/>
        <v>5</v>
      </c>
      <c r="S3750" s="8">
        <f t="shared" ca="1" si="469"/>
        <v>1</v>
      </c>
      <c r="T3750">
        <f t="shared" ca="1" si="470"/>
        <v>2</v>
      </c>
      <c r="U3750" s="8">
        <f t="shared" ca="1" si="471"/>
        <v>1</v>
      </c>
      <c r="V3750" s="9">
        <f ca="1">RawData[[#This Row],[Z (smoothed demand size)]]/RawData[[#This Row],[X (smoothed interval)]]</f>
        <v>2</v>
      </c>
    </row>
    <row r="3751" spans="1:22">
      <c r="A3751" t="s">
        <v>72</v>
      </c>
      <c r="B3751" t="s">
        <v>60</v>
      </c>
      <c r="C3751">
        <v>28</v>
      </c>
      <c r="D3751" t="s">
        <v>15</v>
      </c>
      <c r="E3751" t="s">
        <v>16</v>
      </c>
      <c r="F3751" s="1">
        <v>43106</v>
      </c>
      <c r="G3751">
        <v>0</v>
      </c>
      <c r="H3751">
        <v>0</v>
      </c>
      <c r="I3751">
        <v>24</v>
      </c>
      <c r="J3751">
        <v>24</v>
      </c>
      <c r="K3751">
        <v>0</v>
      </c>
      <c r="L3751">
        <v>635</v>
      </c>
      <c r="M3751">
        <v>45</v>
      </c>
      <c r="N3751" s="1">
        <f t="shared" si="464"/>
        <v>44938</v>
      </c>
      <c r="O3751" s="1">
        <f t="shared" si="465"/>
        <v>43101</v>
      </c>
      <c r="P3751" s="1">
        <f t="shared" si="466"/>
        <v>43252</v>
      </c>
      <c r="Q3751" s="8">
        <f t="shared" si="467"/>
        <v>0</v>
      </c>
      <c r="R3751" s="8">
        <f t="shared" si="468"/>
        <v>6</v>
      </c>
      <c r="S3751" s="8">
        <f t="shared" ca="1" si="469"/>
        <v>1</v>
      </c>
      <c r="T3751">
        <f t="shared" ca="1" si="470"/>
        <v>2</v>
      </c>
      <c r="U3751" s="8">
        <f t="shared" ca="1" si="471"/>
        <v>1</v>
      </c>
      <c r="V3751" s="9">
        <f ca="1">RawData[[#This Row],[Z (smoothed demand size)]]/RawData[[#This Row],[X (smoothed interval)]]</f>
        <v>2</v>
      </c>
    </row>
    <row r="3752" spans="1:22">
      <c r="A3752" t="s">
        <v>72</v>
      </c>
      <c r="B3752" t="s">
        <v>60</v>
      </c>
      <c r="C3752">
        <v>28</v>
      </c>
      <c r="D3752" t="s">
        <v>15</v>
      </c>
      <c r="E3752" t="s">
        <v>16</v>
      </c>
      <c r="F3752" s="1">
        <v>43107</v>
      </c>
      <c r="G3752">
        <v>0</v>
      </c>
      <c r="H3752">
        <v>0</v>
      </c>
      <c r="I3752">
        <v>24</v>
      </c>
      <c r="J3752">
        <v>24</v>
      </c>
      <c r="K3752">
        <v>0</v>
      </c>
      <c r="L3752">
        <v>626</v>
      </c>
      <c r="M3752">
        <v>45</v>
      </c>
      <c r="N3752" s="1">
        <f t="shared" si="464"/>
        <v>44938</v>
      </c>
      <c r="O3752" s="1">
        <f t="shared" si="465"/>
        <v>43101</v>
      </c>
      <c r="P3752" s="1">
        <f t="shared" si="466"/>
        <v>43282</v>
      </c>
      <c r="Q3752" s="8">
        <f t="shared" si="467"/>
        <v>0</v>
      </c>
      <c r="R3752" s="8">
        <f t="shared" si="468"/>
        <v>7</v>
      </c>
      <c r="S3752" s="8">
        <f t="shared" ca="1" si="469"/>
        <v>1</v>
      </c>
      <c r="T3752">
        <f t="shared" ca="1" si="470"/>
        <v>2</v>
      </c>
      <c r="U3752" s="8">
        <f t="shared" ca="1" si="471"/>
        <v>1</v>
      </c>
      <c r="V3752" s="9">
        <f ca="1">RawData[[#This Row],[Z (smoothed demand size)]]/RawData[[#This Row],[X (smoothed interval)]]</f>
        <v>2</v>
      </c>
    </row>
    <row r="3753" spans="1:22">
      <c r="A3753" t="s">
        <v>72</v>
      </c>
      <c r="B3753" t="s">
        <v>60</v>
      </c>
      <c r="C3753">
        <v>28</v>
      </c>
      <c r="D3753" t="s">
        <v>15</v>
      </c>
      <c r="E3753" t="s">
        <v>16</v>
      </c>
      <c r="F3753" s="1">
        <v>43108</v>
      </c>
      <c r="G3753">
        <v>0</v>
      </c>
      <c r="H3753">
        <v>0</v>
      </c>
      <c r="I3753">
        <v>24</v>
      </c>
      <c r="J3753">
        <v>24</v>
      </c>
      <c r="K3753">
        <v>0</v>
      </c>
      <c r="L3753">
        <v>654</v>
      </c>
      <c r="M3753">
        <v>30</v>
      </c>
      <c r="N3753" s="1">
        <f t="shared" si="464"/>
        <v>44938</v>
      </c>
      <c r="O3753" s="1">
        <f t="shared" si="465"/>
        <v>43101</v>
      </c>
      <c r="P3753" s="1">
        <f t="shared" si="466"/>
        <v>43313</v>
      </c>
      <c r="Q3753" s="8">
        <f t="shared" si="467"/>
        <v>0</v>
      </c>
      <c r="R3753" s="8">
        <f t="shared" si="468"/>
        <v>8</v>
      </c>
      <c r="S3753" s="8">
        <f t="shared" ca="1" si="469"/>
        <v>1</v>
      </c>
      <c r="T3753">
        <f t="shared" ca="1" si="470"/>
        <v>2</v>
      </c>
      <c r="U3753" s="8">
        <f t="shared" ca="1" si="471"/>
        <v>1</v>
      </c>
      <c r="V3753" s="9">
        <f ca="1">RawData[[#This Row],[Z (smoothed demand size)]]/RawData[[#This Row],[X (smoothed interval)]]</f>
        <v>2</v>
      </c>
    </row>
    <row r="3754" spans="1:22">
      <c r="A3754" t="s">
        <v>72</v>
      </c>
      <c r="B3754" t="s">
        <v>60</v>
      </c>
      <c r="C3754">
        <v>28</v>
      </c>
      <c r="D3754" t="s">
        <v>15</v>
      </c>
      <c r="E3754" t="s">
        <v>16</v>
      </c>
      <c r="F3754" s="1">
        <v>43109</v>
      </c>
      <c r="G3754">
        <v>3</v>
      </c>
      <c r="H3754">
        <v>3</v>
      </c>
      <c r="I3754">
        <v>24</v>
      </c>
      <c r="J3754">
        <v>21</v>
      </c>
      <c r="K3754">
        <v>0</v>
      </c>
      <c r="L3754">
        <v>553</v>
      </c>
      <c r="M3754">
        <v>45</v>
      </c>
      <c r="N3754" s="1">
        <f t="shared" si="464"/>
        <v>44938</v>
      </c>
      <c r="O3754" s="1">
        <f t="shared" si="465"/>
        <v>43101</v>
      </c>
      <c r="P3754" s="1">
        <f t="shared" si="466"/>
        <v>43344</v>
      </c>
      <c r="Q3754" s="8">
        <f t="shared" si="467"/>
        <v>0</v>
      </c>
      <c r="R3754" s="8">
        <f t="shared" si="468"/>
        <v>9</v>
      </c>
      <c r="S3754" s="8">
        <f t="shared" ca="1" si="469"/>
        <v>9</v>
      </c>
      <c r="T3754">
        <f t="shared" ca="1" si="470"/>
        <v>2.2000000000000002</v>
      </c>
      <c r="U3754" s="8">
        <f t="shared" ca="1" si="471"/>
        <v>2.4000000000000004</v>
      </c>
      <c r="V3754" s="9">
        <f ca="1">RawData[[#This Row],[Z (smoothed demand size)]]/RawData[[#This Row],[X (smoothed interval)]]</f>
        <v>0.91666666666666663</v>
      </c>
    </row>
    <row r="3755" spans="1:22">
      <c r="A3755" t="s">
        <v>72</v>
      </c>
      <c r="B3755" t="s">
        <v>60</v>
      </c>
      <c r="C3755">
        <v>28</v>
      </c>
      <c r="D3755" t="s">
        <v>15</v>
      </c>
      <c r="E3755" t="s">
        <v>16</v>
      </c>
      <c r="F3755" s="1">
        <v>43110</v>
      </c>
      <c r="G3755">
        <v>0</v>
      </c>
      <c r="H3755">
        <v>0</v>
      </c>
      <c r="I3755">
        <v>21</v>
      </c>
      <c r="J3755">
        <v>21</v>
      </c>
      <c r="K3755">
        <v>0</v>
      </c>
      <c r="L3755">
        <v>556</v>
      </c>
      <c r="M3755">
        <v>15</v>
      </c>
      <c r="N3755" s="1">
        <f t="shared" si="464"/>
        <v>44938</v>
      </c>
      <c r="O3755" s="1">
        <f t="shared" si="465"/>
        <v>43101</v>
      </c>
      <c r="P3755" s="1">
        <f t="shared" si="466"/>
        <v>43374</v>
      </c>
      <c r="Q3755" s="8">
        <f t="shared" si="467"/>
        <v>0</v>
      </c>
      <c r="R3755" s="8">
        <f t="shared" si="468"/>
        <v>10</v>
      </c>
      <c r="S3755" s="8">
        <f t="shared" ca="1" si="469"/>
        <v>9</v>
      </c>
      <c r="T3755">
        <f t="shared" ca="1" si="470"/>
        <v>2.2000000000000002</v>
      </c>
      <c r="U3755" s="8">
        <f t="shared" ca="1" si="471"/>
        <v>2.4000000000000004</v>
      </c>
      <c r="V3755" s="9">
        <f ca="1">RawData[[#This Row],[Z (smoothed demand size)]]/RawData[[#This Row],[X (smoothed interval)]]</f>
        <v>0.91666666666666663</v>
      </c>
    </row>
    <row r="3756" spans="1:22">
      <c r="A3756" t="s">
        <v>72</v>
      </c>
      <c r="B3756" t="s">
        <v>60</v>
      </c>
      <c r="C3756">
        <v>28</v>
      </c>
      <c r="D3756" t="s">
        <v>15</v>
      </c>
      <c r="E3756" t="s">
        <v>16</v>
      </c>
      <c r="F3756" s="1">
        <v>43111</v>
      </c>
      <c r="G3756">
        <v>0</v>
      </c>
      <c r="H3756">
        <v>0</v>
      </c>
      <c r="I3756">
        <v>21</v>
      </c>
      <c r="J3756">
        <v>21</v>
      </c>
      <c r="K3756">
        <v>0</v>
      </c>
      <c r="L3756">
        <v>563</v>
      </c>
      <c r="M3756">
        <v>30</v>
      </c>
      <c r="N3756" s="1">
        <f t="shared" si="464"/>
        <v>44938</v>
      </c>
      <c r="O3756" s="1">
        <f t="shared" si="465"/>
        <v>43101</v>
      </c>
      <c r="P3756" s="1">
        <f t="shared" si="466"/>
        <v>43405</v>
      </c>
      <c r="Q3756" s="8">
        <f t="shared" si="467"/>
        <v>0</v>
      </c>
      <c r="R3756" s="8">
        <f t="shared" si="468"/>
        <v>11</v>
      </c>
      <c r="S3756" s="8">
        <f t="shared" ca="1" si="469"/>
        <v>9</v>
      </c>
      <c r="T3756">
        <f t="shared" ca="1" si="470"/>
        <v>2.2000000000000002</v>
      </c>
      <c r="U3756" s="8">
        <f t="shared" ca="1" si="471"/>
        <v>2.4000000000000004</v>
      </c>
      <c r="V3756" s="9">
        <f ca="1">RawData[[#This Row],[Z (smoothed demand size)]]/RawData[[#This Row],[X (smoothed interval)]]</f>
        <v>0.91666666666666663</v>
      </c>
    </row>
    <row r="3757" spans="1:22">
      <c r="A3757" t="s">
        <v>72</v>
      </c>
      <c r="B3757" t="s">
        <v>60</v>
      </c>
      <c r="C3757">
        <v>28</v>
      </c>
      <c r="D3757" t="s">
        <v>15</v>
      </c>
      <c r="E3757" t="s">
        <v>16</v>
      </c>
      <c r="F3757" s="1">
        <v>43112</v>
      </c>
      <c r="G3757">
        <v>1</v>
      </c>
      <c r="H3757">
        <v>1</v>
      </c>
      <c r="I3757">
        <v>21</v>
      </c>
      <c r="J3757">
        <v>20</v>
      </c>
      <c r="K3757">
        <v>0</v>
      </c>
      <c r="L3757">
        <v>643</v>
      </c>
      <c r="M3757">
        <v>60</v>
      </c>
      <c r="N3757" s="1">
        <f t="shared" si="464"/>
        <v>44938</v>
      </c>
      <c r="O3757" s="1">
        <f t="shared" si="465"/>
        <v>43101</v>
      </c>
      <c r="P3757" s="1">
        <f t="shared" si="466"/>
        <v>43435</v>
      </c>
      <c r="Q3757" s="8">
        <f t="shared" si="467"/>
        <v>0</v>
      </c>
      <c r="R3757" s="8">
        <f t="shared" si="468"/>
        <v>12</v>
      </c>
      <c r="S3757" s="8">
        <f t="shared" ca="1" si="469"/>
        <v>12</v>
      </c>
      <c r="T3757">
        <f t="shared" ca="1" si="470"/>
        <v>1.9600000000000002</v>
      </c>
      <c r="U3757" s="8">
        <f t="shared" ca="1" si="471"/>
        <v>2.5200000000000005</v>
      </c>
      <c r="V3757" s="9">
        <f ca="1">RawData[[#This Row],[Z (smoothed demand size)]]/RawData[[#This Row],[X (smoothed interval)]]</f>
        <v>0.77777777777777768</v>
      </c>
    </row>
    <row r="3758" spans="1:22">
      <c r="A3758" t="s">
        <v>72</v>
      </c>
      <c r="B3758" t="s">
        <v>60</v>
      </c>
      <c r="C3758">
        <v>28</v>
      </c>
      <c r="D3758" t="s">
        <v>15</v>
      </c>
      <c r="E3758" t="s">
        <v>16</v>
      </c>
      <c r="F3758" s="1">
        <v>43466</v>
      </c>
      <c r="G3758">
        <v>0</v>
      </c>
      <c r="H3758">
        <v>0</v>
      </c>
      <c r="I3758">
        <v>20</v>
      </c>
      <c r="J3758">
        <v>20</v>
      </c>
      <c r="K3758">
        <v>0</v>
      </c>
      <c r="L3758">
        <v>547</v>
      </c>
      <c r="M3758">
        <v>60</v>
      </c>
      <c r="N3758" s="1">
        <f t="shared" si="464"/>
        <v>44938</v>
      </c>
      <c r="O3758" s="1">
        <f t="shared" si="465"/>
        <v>43101</v>
      </c>
      <c r="P3758" s="1">
        <f t="shared" si="466"/>
        <v>43466</v>
      </c>
      <c r="Q3758" s="8">
        <f t="shared" si="467"/>
        <v>0</v>
      </c>
      <c r="R3758" s="8">
        <f t="shared" si="468"/>
        <v>13</v>
      </c>
      <c r="S3758" s="8">
        <f t="shared" ca="1" si="469"/>
        <v>12</v>
      </c>
      <c r="T3758">
        <f t="shared" ca="1" si="470"/>
        <v>1.9600000000000002</v>
      </c>
      <c r="U3758" s="8">
        <f t="shared" ca="1" si="471"/>
        <v>2.5200000000000005</v>
      </c>
      <c r="V3758" s="9">
        <f ca="1">RawData[[#This Row],[Z (smoothed demand size)]]/RawData[[#This Row],[X (smoothed interval)]]</f>
        <v>0.77777777777777768</v>
      </c>
    </row>
    <row r="3759" spans="1:22">
      <c r="A3759" t="s">
        <v>72</v>
      </c>
      <c r="B3759" t="s">
        <v>60</v>
      </c>
      <c r="C3759">
        <v>28</v>
      </c>
      <c r="D3759" t="s">
        <v>15</v>
      </c>
      <c r="E3759" t="s">
        <v>16</v>
      </c>
      <c r="F3759" s="1">
        <v>43467</v>
      </c>
      <c r="G3759">
        <v>0</v>
      </c>
      <c r="H3759">
        <v>0</v>
      </c>
      <c r="I3759">
        <v>20</v>
      </c>
      <c r="J3759">
        <v>20</v>
      </c>
      <c r="K3759">
        <v>0</v>
      </c>
      <c r="L3759">
        <v>549</v>
      </c>
      <c r="M3759">
        <v>45</v>
      </c>
      <c r="N3759" s="1">
        <f t="shared" si="464"/>
        <v>44938</v>
      </c>
      <c r="O3759" s="1">
        <f t="shared" si="465"/>
        <v>43101</v>
      </c>
      <c r="P3759" s="1">
        <f t="shared" si="466"/>
        <v>43497</v>
      </c>
      <c r="Q3759" s="8">
        <f t="shared" si="467"/>
        <v>0</v>
      </c>
      <c r="R3759" s="8">
        <f t="shared" si="468"/>
        <v>14</v>
      </c>
      <c r="S3759" s="8">
        <f t="shared" ca="1" si="469"/>
        <v>12</v>
      </c>
      <c r="T3759">
        <f t="shared" ca="1" si="470"/>
        <v>1.9600000000000002</v>
      </c>
      <c r="U3759" s="8">
        <f t="shared" ca="1" si="471"/>
        <v>2.5200000000000005</v>
      </c>
      <c r="V3759" s="9">
        <f ca="1">RawData[[#This Row],[Z (smoothed demand size)]]/RawData[[#This Row],[X (smoothed interval)]]</f>
        <v>0.77777777777777768</v>
      </c>
    </row>
    <row r="3760" spans="1:22">
      <c r="A3760" t="s">
        <v>72</v>
      </c>
      <c r="B3760" t="s">
        <v>60</v>
      </c>
      <c r="C3760">
        <v>28</v>
      </c>
      <c r="D3760" t="s">
        <v>15</v>
      </c>
      <c r="E3760" t="s">
        <v>16</v>
      </c>
      <c r="F3760" s="1">
        <v>43468</v>
      </c>
      <c r="G3760">
        <v>0</v>
      </c>
      <c r="H3760">
        <v>0</v>
      </c>
      <c r="I3760">
        <v>20</v>
      </c>
      <c r="J3760">
        <v>20</v>
      </c>
      <c r="K3760">
        <v>0</v>
      </c>
      <c r="L3760">
        <v>560</v>
      </c>
      <c r="M3760">
        <v>60</v>
      </c>
      <c r="N3760" s="1">
        <f t="shared" si="464"/>
        <v>44938</v>
      </c>
      <c r="O3760" s="1">
        <f t="shared" si="465"/>
        <v>43101</v>
      </c>
      <c r="P3760" s="1">
        <f t="shared" si="466"/>
        <v>43525</v>
      </c>
      <c r="Q3760" s="8">
        <f t="shared" si="467"/>
        <v>0</v>
      </c>
      <c r="R3760" s="8">
        <f t="shared" si="468"/>
        <v>15</v>
      </c>
      <c r="S3760" s="8">
        <f t="shared" ca="1" si="469"/>
        <v>12</v>
      </c>
      <c r="T3760">
        <f t="shared" ca="1" si="470"/>
        <v>1.9600000000000002</v>
      </c>
      <c r="U3760" s="8">
        <f t="shared" ca="1" si="471"/>
        <v>2.5200000000000005</v>
      </c>
      <c r="V3760" s="9">
        <f ca="1">RawData[[#This Row],[Z (smoothed demand size)]]/RawData[[#This Row],[X (smoothed interval)]]</f>
        <v>0.77777777777777768</v>
      </c>
    </row>
    <row r="3761" spans="1:22">
      <c r="A3761" t="s">
        <v>72</v>
      </c>
      <c r="B3761" t="s">
        <v>60</v>
      </c>
      <c r="C3761">
        <v>28</v>
      </c>
      <c r="D3761" t="s">
        <v>15</v>
      </c>
      <c r="E3761" t="s">
        <v>16</v>
      </c>
      <c r="F3761" s="1">
        <v>43469</v>
      </c>
      <c r="G3761">
        <v>0</v>
      </c>
      <c r="H3761">
        <v>0</v>
      </c>
      <c r="I3761">
        <v>20</v>
      </c>
      <c r="J3761">
        <v>20</v>
      </c>
      <c r="K3761">
        <v>0</v>
      </c>
      <c r="L3761">
        <v>559</v>
      </c>
      <c r="M3761">
        <v>30</v>
      </c>
      <c r="N3761" s="1">
        <f t="shared" si="464"/>
        <v>44938</v>
      </c>
      <c r="O3761" s="1">
        <f t="shared" si="465"/>
        <v>43101</v>
      </c>
      <c r="P3761" s="1">
        <f t="shared" si="466"/>
        <v>43556</v>
      </c>
      <c r="Q3761" s="8">
        <f t="shared" si="467"/>
        <v>0</v>
      </c>
      <c r="R3761" s="8">
        <f t="shared" si="468"/>
        <v>16</v>
      </c>
      <c r="S3761" s="8">
        <f t="shared" ca="1" si="469"/>
        <v>12</v>
      </c>
      <c r="T3761">
        <f t="shared" ca="1" si="470"/>
        <v>1.9600000000000002</v>
      </c>
      <c r="U3761" s="8">
        <f t="shared" ca="1" si="471"/>
        <v>2.5200000000000005</v>
      </c>
      <c r="V3761" s="9">
        <f ca="1">RawData[[#This Row],[Z (smoothed demand size)]]/RawData[[#This Row],[X (smoothed interval)]]</f>
        <v>0.77777777777777768</v>
      </c>
    </row>
    <row r="3762" spans="1:22">
      <c r="A3762" t="s">
        <v>72</v>
      </c>
      <c r="B3762" t="s">
        <v>60</v>
      </c>
      <c r="C3762">
        <v>28</v>
      </c>
      <c r="D3762" t="s">
        <v>15</v>
      </c>
      <c r="E3762" t="s">
        <v>16</v>
      </c>
      <c r="F3762" s="1">
        <v>43470</v>
      </c>
      <c r="G3762">
        <v>0</v>
      </c>
      <c r="H3762">
        <v>0</v>
      </c>
      <c r="I3762">
        <v>20</v>
      </c>
      <c r="J3762">
        <v>20</v>
      </c>
      <c r="K3762">
        <v>0</v>
      </c>
      <c r="L3762">
        <v>552</v>
      </c>
      <c r="M3762">
        <v>45</v>
      </c>
      <c r="N3762" s="1">
        <f t="shared" si="464"/>
        <v>44938</v>
      </c>
      <c r="O3762" s="1">
        <f t="shared" si="465"/>
        <v>43101</v>
      </c>
      <c r="P3762" s="1">
        <f t="shared" si="466"/>
        <v>43586</v>
      </c>
      <c r="Q3762" s="8">
        <f t="shared" si="467"/>
        <v>0</v>
      </c>
      <c r="R3762" s="8">
        <f t="shared" si="468"/>
        <v>17</v>
      </c>
      <c r="S3762" s="8">
        <f t="shared" ca="1" si="469"/>
        <v>12</v>
      </c>
      <c r="T3762">
        <f t="shared" ca="1" si="470"/>
        <v>1.9600000000000002</v>
      </c>
      <c r="U3762" s="8">
        <f t="shared" ca="1" si="471"/>
        <v>2.5200000000000005</v>
      </c>
      <c r="V3762" s="9">
        <f ca="1">RawData[[#This Row],[Z (smoothed demand size)]]/RawData[[#This Row],[X (smoothed interval)]]</f>
        <v>0.77777777777777768</v>
      </c>
    </row>
    <row r="3763" spans="1:22">
      <c r="A3763" t="s">
        <v>72</v>
      </c>
      <c r="B3763" t="s">
        <v>60</v>
      </c>
      <c r="C3763">
        <v>28</v>
      </c>
      <c r="D3763" t="s">
        <v>15</v>
      </c>
      <c r="E3763" t="s">
        <v>16</v>
      </c>
      <c r="F3763" s="1">
        <v>43471</v>
      </c>
      <c r="G3763">
        <v>0</v>
      </c>
      <c r="H3763">
        <v>0</v>
      </c>
      <c r="I3763">
        <v>20</v>
      </c>
      <c r="J3763">
        <v>20</v>
      </c>
      <c r="K3763">
        <v>0</v>
      </c>
      <c r="L3763">
        <v>638</v>
      </c>
      <c r="M3763">
        <v>30</v>
      </c>
      <c r="N3763" s="1">
        <f t="shared" si="464"/>
        <v>44938</v>
      </c>
      <c r="O3763" s="1">
        <f t="shared" si="465"/>
        <v>43101</v>
      </c>
      <c r="P3763" s="1">
        <f t="shared" si="466"/>
        <v>43617</v>
      </c>
      <c r="Q3763" s="8">
        <f t="shared" si="467"/>
        <v>0</v>
      </c>
      <c r="R3763" s="8">
        <f t="shared" si="468"/>
        <v>18</v>
      </c>
      <c r="S3763" s="8">
        <f t="shared" ca="1" si="469"/>
        <v>12</v>
      </c>
      <c r="T3763">
        <f t="shared" ca="1" si="470"/>
        <v>1.9600000000000002</v>
      </c>
      <c r="U3763" s="8">
        <f t="shared" ca="1" si="471"/>
        <v>2.5200000000000005</v>
      </c>
      <c r="V3763" s="9">
        <f ca="1">RawData[[#This Row],[Z (smoothed demand size)]]/RawData[[#This Row],[X (smoothed interval)]]</f>
        <v>0.77777777777777768</v>
      </c>
    </row>
    <row r="3764" spans="1:22">
      <c r="A3764" t="s">
        <v>72</v>
      </c>
      <c r="B3764" t="s">
        <v>60</v>
      </c>
      <c r="C3764">
        <v>28</v>
      </c>
      <c r="D3764" t="s">
        <v>15</v>
      </c>
      <c r="E3764" t="s">
        <v>16</v>
      </c>
      <c r="F3764" s="1">
        <v>43472</v>
      </c>
      <c r="G3764">
        <v>0</v>
      </c>
      <c r="H3764">
        <v>0</v>
      </c>
      <c r="I3764">
        <v>20</v>
      </c>
      <c r="J3764">
        <v>20</v>
      </c>
      <c r="K3764">
        <v>0</v>
      </c>
      <c r="L3764">
        <v>639</v>
      </c>
      <c r="M3764">
        <v>60</v>
      </c>
      <c r="N3764" s="1">
        <f t="shared" si="464"/>
        <v>44938</v>
      </c>
      <c r="O3764" s="1">
        <f t="shared" si="465"/>
        <v>43101</v>
      </c>
      <c r="P3764" s="1">
        <f t="shared" si="466"/>
        <v>43647</v>
      </c>
      <c r="Q3764" s="8">
        <f t="shared" si="467"/>
        <v>0</v>
      </c>
      <c r="R3764" s="8">
        <f t="shared" si="468"/>
        <v>19</v>
      </c>
      <c r="S3764" s="8">
        <f t="shared" ca="1" si="469"/>
        <v>12</v>
      </c>
      <c r="T3764">
        <f t="shared" ca="1" si="470"/>
        <v>1.9600000000000002</v>
      </c>
      <c r="U3764" s="8">
        <f t="shared" ca="1" si="471"/>
        <v>2.5200000000000005</v>
      </c>
      <c r="V3764" s="9">
        <f ca="1">RawData[[#This Row],[Z (smoothed demand size)]]/RawData[[#This Row],[X (smoothed interval)]]</f>
        <v>0.77777777777777768</v>
      </c>
    </row>
    <row r="3765" spans="1:22">
      <c r="A3765" t="s">
        <v>72</v>
      </c>
      <c r="B3765" t="s">
        <v>60</v>
      </c>
      <c r="C3765">
        <v>28</v>
      </c>
      <c r="D3765" t="s">
        <v>15</v>
      </c>
      <c r="E3765" t="s">
        <v>16</v>
      </c>
      <c r="F3765" s="1">
        <v>43473</v>
      </c>
      <c r="G3765">
        <v>0</v>
      </c>
      <c r="H3765">
        <v>0</v>
      </c>
      <c r="I3765">
        <v>20</v>
      </c>
      <c r="J3765">
        <v>20</v>
      </c>
      <c r="K3765">
        <v>0</v>
      </c>
      <c r="L3765">
        <v>640</v>
      </c>
      <c r="M3765">
        <v>15</v>
      </c>
      <c r="N3765" s="1">
        <f t="shared" si="464"/>
        <v>44938</v>
      </c>
      <c r="O3765" s="1">
        <f t="shared" si="465"/>
        <v>43101</v>
      </c>
      <c r="P3765" s="1">
        <f t="shared" si="466"/>
        <v>43678</v>
      </c>
      <c r="Q3765" s="8">
        <f t="shared" si="467"/>
        <v>0</v>
      </c>
      <c r="R3765" s="8">
        <f t="shared" si="468"/>
        <v>20</v>
      </c>
      <c r="S3765" s="8">
        <f t="shared" ca="1" si="469"/>
        <v>12</v>
      </c>
      <c r="T3765">
        <f t="shared" ca="1" si="470"/>
        <v>1.9600000000000002</v>
      </c>
      <c r="U3765" s="8">
        <f t="shared" ca="1" si="471"/>
        <v>2.5200000000000005</v>
      </c>
      <c r="V3765" s="9">
        <f ca="1">RawData[[#This Row],[Z (smoothed demand size)]]/RawData[[#This Row],[X (smoothed interval)]]</f>
        <v>0.77777777777777768</v>
      </c>
    </row>
    <row r="3766" spans="1:22">
      <c r="A3766" t="s">
        <v>72</v>
      </c>
      <c r="B3766" t="s">
        <v>60</v>
      </c>
      <c r="C3766">
        <v>28</v>
      </c>
      <c r="D3766" t="s">
        <v>15</v>
      </c>
      <c r="E3766" t="s">
        <v>16</v>
      </c>
      <c r="F3766" s="1">
        <v>43474</v>
      </c>
      <c r="G3766">
        <v>0</v>
      </c>
      <c r="H3766">
        <v>0</v>
      </c>
      <c r="I3766">
        <v>20</v>
      </c>
      <c r="J3766">
        <v>20</v>
      </c>
      <c r="K3766">
        <v>0</v>
      </c>
      <c r="L3766">
        <v>558</v>
      </c>
      <c r="M3766">
        <v>45</v>
      </c>
      <c r="N3766" s="1">
        <f t="shared" si="464"/>
        <v>44938</v>
      </c>
      <c r="O3766" s="1">
        <f t="shared" si="465"/>
        <v>43101</v>
      </c>
      <c r="P3766" s="1">
        <f t="shared" si="466"/>
        <v>43709</v>
      </c>
      <c r="Q3766" s="8">
        <f t="shared" si="467"/>
        <v>0</v>
      </c>
      <c r="R3766" s="8">
        <f t="shared" si="468"/>
        <v>21</v>
      </c>
      <c r="S3766" s="8">
        <f t="shared" ca="1" si="469"/>
        <v>12</v>
      </c>
      <c r="T3766">
        <f t="shared" ca="1" si="470"/>
        <v>1.9600000000000002</v>
      </c>
      <c r="U3766" s="8">
        <f t="shared" ca="1" si="471"/>
        <v>2.5200000000000005</v>
      </c>
      <c r="V3766" s="9">
        <f ca="1">RawData[[#This Row],[Z (smoothed demand size)]]/RawData[[#This Row],[X (smoothed interval)]]</f>
        <v>0.77777777777777768</v>
      </c>
    </row>
    <row r="3767" spans="1:22">
      <c r="A3767" t="s">
        <v>72</v>
      </c>
      <c r="B3767" t="s">
        <v>60</v>
      </c>
      <c r="C3767">
        <v>28</v>
      </c>
      <c r="D3767" t="s">
        <v>15</v>
      </c>
      <c r="E3767" t="s">
        <v>16</v>
      </c>
      <c r="F3767" s="1">
        <v>43475</v>
      </c>
      <c r="G3767">
        <v>0</v>
      </c>
      <c r="H3767">
        <v>0</v>
      </c>
      <c r="I3767">
        <v>20</v>
      </c>
      <c r="J3767">
        <v>20</v>
      </c>
      <c r="K3767">
        <v>0</v>
      </c>
      <c r="L3767">
        <v>553</v>
      </c>
      <c r="M3767">
        <v>30</v>
      </c>
      <c r="N3767" s="1">
        <f t="shared" si="464"/>
        <v>44938</v>
      </c>
      <c r="O3767" s="1">
        <f t="shared" si="465"/>
        <v>43101</v>
      </c>
      <c r="P3767" s="1">
        <f t="shared" si="466"/>
        <v>43739</v>
      </c>
      <c r="Q3767" s="8">
        <f t="shared" si="467"/>
        <v>0</v>
      </c>
      <c r="R3767" s="8">
        <f t="shared" si="468"/>
        <v>22</v>
      </c>
      <c r="S3767" s="8">
        <f t="shared" ca="1" si="469"/>
        <v>12</v>
      </c>
      <c r="T3767">
        <f t="shared" ca="1" si="470"/>
        <v>1.9600000000000002</v>
      </c>
      <c r="U3767" s="8">
        <f t="shared" ca="1" si="471"/>
        <v>2.5200000000000005</v>
      </c>
      <c r="V3767" s="9">
        <f ca="1">RawData[[#This Row],[Z (smoothed demand size)]]/RawData[[#This Row],[X (smoothed interval)]]</f>
        <v>0.77777777777777768</v>
      </c>
    </row>
    <row r="3768" spans="1:22">
      <c r="A3768" t="s">
        <v>72</v>
      </c>
      <c r="B3768" t="s">
        <v>60</v>
      </c>
      <c r="C3768">
        <v>28</v>
      </c>
      <c r="D3768" t="s">
        <v>15</v>
      </c>
      <c r="E3768" t="s">
        <v>16</v>
      </c>
      <c r="F3768" s="1">
        <v>43476</v>
      </c>
      <c r="G3768">
        <v>0</v>
      </c>
      <c r="H3768">
        <v>0</v>
      </c>
      <c r="I3768">
        <v>20</v>
      </c>
      <c r="J3768">
        <v>20</v>
      </c>
      <c r="K3768">
        <v>0</v>
      </c>
      <c r="L3768">
        <v>559</v>
      </c>
      <c r="M3768">
        <v>45</v>
      </c>
      <c r="N3768" s="1">
        <f t="shared" si="464"/>
        <v>44938</v>
      </c>
      <c r="O3768" s="1">
        <f t="shared" si="465"/>
        <v>43101</v>
      </c>
      <c r="P3768" s="1">
        <f t="shared" si="466"/>
        <v>43770</v>
      </c>
      <c r="Q3768" s="8">
        <f t="shared" si="467"/>
        <v>0</v>
      </c>
      <c r="R3768" s="8">
        <f t="shared" si="468"/>
        <v>23</v>
      </c>
      <c r="S3768" s="8">
        <f t="shared" ca="1" si="469"/>
        <v>12</v>
      </c>
      <c r="T3768">
        <f t="shared" ca="1" si="470"/>
        <v>1.9600000000000002</v>
      </c>
      <c r="U3768" s="8">
        <f t="shared" ca="1" si="471"/>
        <v>2.5200000000000005</v>
      </c>
      <c r="V3768" s="9">
        <f ca="1">RawData[[#This Row],[Z (smoothed demand size)]]/RawData[[#This Row],[X (smoothed interval)]]</f>
        <v>0.77777777777777768</v>
      </c>
    </row>
    <row r="3769" spans="1:22">
      <c r="A3769" t="s">
        <v>72</v>
      </c>
      <c r="B3769" t="s">
        <v>60</v>
      </c>
      <c r="C3769">
        <v>28</v>
      </c>
      <c r="D3769" t="s">
        <v>15</v>
      </c>
      <c r="E3769" t="s">
        <v>16</v>
      </c>
      <c r="F3769" s="1">
        <v>43477</v>
      </c>
      <c r="G3769">
        <v>0</v>
      </c>
      <c r="H3769">
        <v>0</v>
      </c>
      <c r="I3769">
        <v>20</v>
      </c>
      <c r="J3769">
        <v>20</v>
      </c>
      <c r="K3769">
        <v>0</v>
      </c>
      <c r="L3769">
        <v>642</v>
      </c>
      <c r="M3769">
        <v>45</v>
      </c>
      <c r="N3769" s="1">
        <f t="shared" si="464"/>
        <v>44938</v>
      </c>
      <c r="O3769" s="1">
        <f t="shared" si="465"/>
        <v>43101</v>
      </c>
      <c r="P3769" s="1">
        <f t="shared" si="466"/>
        <v>43800</v>
      </c>
      <c r="Q3769" s="8">
        <f t="shared" si="467"/>
        <v>0</v>
      </c>
      <c r="R3769" s="8">
        <f t="shared" si="468"/>
        <v>24</v>
      </c>
      <c r="S3769" s="8">
        <f t="shared" ca="1" si="469"/>
        <v>12</v>
      </c>
      <c r="T3769">
        <f t="shared" ca="1" si="470"/>
        <v>1.9600000000000002</v>
      </c>
      <c r="U3769" s="8">
        <f t="shared" ca="1" si="471"/>
        <v>2.5200000000000005</v>
      </c>
      <c r="V3769" s="9">
        <f ca="1">RawData[[#This Row],[Z (smoothed demand size)]]/RawData[[#This Row],[X (smoothed interval)]]</f>
        <v>0.77777777777777768</v>
      </c>
    </row>
    <row r="3770" spans="1:22">
      <c r="A3770" t="s">
        <v>72</v>
      </c>
      <c r="B3770" t="s">
        <v>60</v>
      </c>
      <c r="C3770">
        <v>28</v>
      </c>
      <c r="D3770" t="s">
        <v>15</v>
      </c>
      <c r="E3770" t="s">
        <v>16</v>
      </c>
      <c r="F3770" s="1">
        <v>43831</v>
      </c>
      <c r="G3770">
        <v>2</v>
      </c>
      <c r="H3770">
        <v>2</v>
      </c>
      <c r="I3770">
        <v>20</v>
      </c>
      <c r="J3770">
        <v>18</v>
      </c>
      <c r="K3770">
        <v>0</v>
      </c>
      <c r="L3770">
        <v>558</v>
      </c>
      <c r="M3770">
        <v>45</v>
      </c>
      <c r="N3770" s="1">
        <f t="shared" si="464"/>
        <v>44938</v>
      </c>
      <c r="O3770" s="1">
        <f t="shared" si="465"/>
        <v>43101</v>
      </c>
      <c r="P3770" s="1">
        <f t="shared" si="466"/>
        <v>43831</v>
      </c>
      <c r="Q3770" s="8">
        <f t="shared" si="467"/>
        <v>0</v>
      </c>
      <c r="R3770" s="8">
        <f t="shared" si="468"/>
        <v>25</v>
      </c>
      <c r="S3770" s="8">
        <f t="shared" ca="1" si="469"/>
        <v>25</v>
      </c>
      <c r="T3770">
        <f t="shared" ca="1" si="470"/>
        <v>1.9680000000000004</v>
      </c>
      <c r="U3770" s="8">
        <f t="shared" ca="1" si="471"/>
        <v>4.6160000000000005</v>
      </c>
      <c r="V3770" s="9">
        <f ca="1">RawData[[#This Row],[Z (smoothed demand size)]]/RawData[[#This Row],[X (smoothed interval)]]</f>
        <v>0.42634315424610059</v>
      </c>
    </row>
    <row r="3771" spans="1:22">
      <c r="A3771" t="s">
        <v>72</v>
      </c>
      <c r="B3771" t="s">
        <v>60</v>
      </c>
      <c r="C3771">
        <v>28</v>
      </c>
      <c r="D3771" t="s">
        <v>15</v>
      </c>
      <c r="E3771" t="s">
        <v>16</v>
      </c>
      <c r="F3771" s="1">
        <v>43832</v>
      </c>
      <c r="G3771">
        <v>0</v>
      </c>
      <c r="H3771">
        <v>0</v>
      </c>
      <c r="I3771">
        <v>18</v>
      </c>
      <c r="J3771">
        <v>18</v>
      </c>
      <c r="K3771">
        <v>0</v>
      </c>
      <c r="L3771">
        <v>558</v>
      </c>
      <c r="M3771">
        <v>45</v>
      </c>
      <c r="N3771" s="1">
        <f t="shared" si="464"/>
        <v>44938</v>
      </c>
      <c r="O3771" s="1">
        <f t="shared" si="465"/>
        <v>43101</v>
      </c>
      <c r="P3771" s="1">
        <f t="shared" si="466"/>
        <v>43862</v>
      </c>
      <c r="Q3771" s="8">
        <f t="shared" si="467"/>
        <v>0</v>
      </c>
      <c r="R3771" s="8">
        <f t="shared" si="468"/>
        <v>26</v>
      </c>
      <c r="S3771" s="8">
        <f t="shared" ca="1" si="469"/>
        <v>25</v>
      </c>
      <c r="T3771">
        <f t="shared" ca="1" si="470"/>
        <v>1.9680000000000004</v>
      </c>
      <c r="U3771" s="8">
        <f t="shared" ca="1" si="471"/>
        <v>4.6160000000000005</v>
      </c>
      <c r="V3771" s="9">
        <f ca="1">RawData[[#This Row],[Z (smoothed demand size)]]/RawData[[#This Row],[X (smoothed interval)]]</f>
        <v>0.42634315424610059</v>
      </c>
    </row>
    <row r="3772" spans="1:22">
      <c r="A3772" t="s">
        <v>72</v>
      </c>
      <c r="B3772" t="s">
        <v>60</v>
      </c>
      <c r="C3772">
        <v>28</v>
      </c>
      <c r="D3772" t="s">
        <v>15</v>
      </c>
      <c r="E3772" t="s">
        <v>16</v>
      </c>
      <c r="F3772" s="1">
        <v>43833</v>
      </c>
      <c r="G3772">
        <v>3</v>
      </c>
      <c r="H3772">
        <v>3</v>
      </c>
      <c r="I3772">
        <v>18</v>
      </c>
      <c r="J3772">
        <v>15</v>
      </c>
      <c r="K3772">
        <v>0</v>
      </c>
      <c r="L3772">
        <v>558</v>
      </c>
      <c r="M3772">
        <v>15</v>
      </c>
      <c r="N3772" s="1">
        <f t="shared" si="464"/>
        <v>44938</v>
      </c>
      <c r="O3772" s="1">
        <f t="shared" si="465"/>
        <v>43101</v>
      </c>
      <c r="P3772" s="1">
        <f t="shared" si="466"/>
        <v>43891</v>
      </c>
      <c r="Q3772" s="8">
        <f t="shared" si="467"/>
        <v>0</v>
      </c>
      <c r="R3772" s="8">
        <f t="shared" si="468"/>
        <v>27</v>
      </c>
      <c r="S3772" s="8">
        <f t="shared" ca="1" si="469"/>
        <v>27</v>
      </c>
      <c r="T3772">
        <f t="shared" ca="1" si="470"/>
        <v>2.1744000000000003</v>
      </c>
      <c r="U3772" s="8">
        <f t="shared" ca="1" si="471"/>
        <v>4.0928000000000004</v>
      </c>
      <c r="V3772" s="9">
        <f ca="1">RawData[[#This Row],[Z (smoothed demand size)]]/RawData[[#This Row],[X (smoothed interval)]]</f>
        <v>0.53127443315089917</v>
      </c>
    </row>
    <row r="3773" spans="1:22">
      <c r="A3773" t="s">
        <v>72</v>
      </c>
      <c r="B3773" t="s">
        <v>60</v>
      </c>
      <c r="C3773">
        <v>28</v>
      </c>
      <c r="D3773" t="s">
        <v>15</v>
      </c>
      <c r="E3773" t="s">
        <v>16</v>
      </c>
      <c r="F3773" s="1">
        <v>43834</v>
      </c>
      <c r="G3773">
        <v>0</v>
      </c>
      <c r="H3773">
        <v>0</v>
      </c>
      <c r="I3773">
        <v>15</v>
      </c>
      <c r="J3773">
        <v>15</v>
      </c>
      <c r="K3773">
        <v>0</v>
      </c>
      <c r="L3773">
        <v>551</v>
      </c>
      <c r="M3773">
        <v>60</v>
      </c>
      <c r="N3773" s="1">
        <f t="shared" si="464"/>
        <v>44938</v>
      </c>
      <c r="O3773" s="1">
        <f t="shared" si="465"/>
        <v>43101</v>
      </c>
      <c r="P3773" s="1">
        <f t="shared" si="466"/>
        <v>43922</v>
      </c>
      <c r="Q3773" s="8">
        <f t="shared" si="467"/>
        <v>0</v>
      </c>
      <c r="R3773" s="8">
        <f t="shared" si="468"/>
        <v>28</v>
      </c>
      <c r="S3773" s="8">
        <f t="shared" ca="1" si="469"/>
        <v>27</v>
      </c>
      <c r="T3773">
        <f t="shared" ca="1" si="470"/>
        <v>2.1744000000000003</v>
      </c>
      <c r="U3773" s="8">
        <f t="shared" ca="1" si="471"/>
        <v>4.0928000000000004</v>
      </c>
      <c r="V3773" s="9">
        <f ca="1">RawData[[#This Row],[Z (smoothed demand size)]]/RawData[[#This Row],[X (smoothed interval)]]</f>
        <v>0.53127443315089917</v>
      </c>
    </row>
    <row r="3774" spans="1:22">
      <c r="A3774" t="s">
        <v>72</v>
      </c>
      <c r="B3774" t="s">
        <v>60</v>
      </c>
      <c r="C3774">
        <v>28</v>
      </c>
      <c r="D3774" t="s">
        <v>15</v>
      </c>
      <c r="E3774" t="s">
        <v>16</v>
      </c>
      <c r="F3774" s="1">
        <v>43835</v>
      </c>
      <c r="G3774">
        <v>0</v>
      </c>
      <c r="H3774">
        <v>0</v>
      </c>
      <c r="I3774">
        <v>15</v>
      </c>
      <c r="J3774">
        <v>15</v>
      </c>
      <c r="K3774">
        <v>0</v>
      </c>
      <c r="L3774">
        <v>553</v>
      </c>
      <c r="M3774">
        <v>15</v>
      </c>
      <c r="N3774" s="1">
        <f t="shared" si="464"/>
        <v>44938</v>
      </c>
      <c r="O3774" s="1">
        <f t="shared" si="465"/>
        <v>43101</v>
      </c>
      <c r="P3774" s="1">
        <f t="shared" si="466"/>
        <v>43952</v>
      </c>
      <c r="Q3774" s="8">
        <f t="shared" si="467"/>
        <v>0</v>
      </c>
      <c r="R3774" s="8">
        <f t="shared" si="468"/>
        <v>29</v>
      </c>
      <c r="S3774" s="8">
        <f t="shared" ca="1" si="469"/>
        <v>27</v>
      </c>
      <c r="T3774">
        <f t="shared" ca="1" si="470"/>
        <v>2.1744000000000003</v>
      </c>
      <c r="U3774" s="8">
        <f t="shared" ca="1" si="471"/>
        <v>4.0928000000000004</v>
      </c>
      <c r="V3774" s="9">
        <f ca="1">RawData[[#This Row],[Z (smoothed demand size)]]/RawData[[#This Row],[X (smoothed interval)]]</f>
        <v>0.53127443315089917</v>
      </c>
    </row>
    <row r="3775" spans="1:22">
      <c r="A3775" t="s">
        <v>72</v>
      </c>
      <c r="B3775" t="s">
        <v>60</v>
      </c>
      <c r="C3775">
        <v>28</v>
      </c>
      <c r="D3775" t="s">
        <v>15</v>
      </c>
      <c r="E3775" t="s">
        <v>16</v>
      </c>
      <c r="F3775" s="1">
        <v>43836</v>
      </c>
      <c r="G3775">
        <v>0</v>
      </c>
      <c r="H3775">
        <v>0</v>
      </c>
      <c r="I3775">
        <v>15</v>
      </c>
      <c r="J3775">
        <v>15</v>
      </c>
      <c r="K3775">
        <v>0</v>
      </c>
      <c r="L3775">
        <v>631</v>
      </c>
      <c r="M3775">
        <v>45</v>
      </c>
      <c r="N3775" s="1">
        <f t="shared" si="464"/>
        <v>44938</v>
      </c>
      <c r="O3775" s="1">
        <f t="shared" si="465"/>
        <v>43101</v>
      </c>
      <c r="P3775" s="1">
        <f t="shared" si="466"/>
        <v>43983</v>
      </c>
      <c r="Q3775" s="8">
        <f t="shared" si="467"/>
        <v>0</v>
      </c>
      <c r="R3775" s="8">
        <f t="shared" si="468"/>
        <v>30</v>
      </c>
      <c r="S3775" s="8">
        <f t="shared" ca="1" si="469"/>
        <v>27</v>
      </c>
      <c r="T3775">
        <f t="shared" ca="1" si="470"/>
        <v>2.1744000000000003</v>
      </c>
      <c r="U3775" s="8">
        <f t="shared" ca="1" si="471"/>
        <v>4.0928000000000004</v>
      </c>
      <c r="V3775" s="9">
        <f ca="1">RawData[[#This Row],[Z (smoothed demand size)]]/RawData[[#This Row],[X (smoothed interval)]]</f>
        <v>0.53127443315089917</v>
      </c>
    </row>
    <row r="3776" spans="1:22">
      <c r="A3776" t="s">
        <v>72</v>
      </c>
      <c r="B3776" t="s">
        <v>60</v>
      </c>
      <c r="C3776">
        <v>28</v>
      </c>
      <c r="D3776" t="s">
        <v>15</v>
      </c>
      <c r="E3776" t="s">
        <v>16</v>
      </c>
      <c r="F3776" s="1">
        <v>43837</v>
      </c>
      <c r="G3776">
        <v>0</v>
      </c>
      <c r="H3776">
        <v>0</v>
      </c>
      <c r="I3776">
        <v>15</v>
      </c>
      <c r="J3776">
        <v>15</v>
      </c>
      <c r="K3776">
        <v>0</v>
      </c>
      <c r="L3776">
        <v>638</v>
      </c>
      <c r="M3776">
        <v>45</v>
      </c>
      <c r="N3776" s="1">
        <f t="shared" si="464"/>
        <v>44938</v>
      </c>
      <c r="O3776" s="1">
        <f t="shared" si="465"/>
        <v>43101</v>
      </c>
      <c r="P3776" s="1">
        <f t="shared" si="466"/>
        <v>44013</v>
      </c>
      <c r="Q3776" s="8">
        <f t="shared" si="467"/>
        <v>0</v>
      </c>
      <c r="R3776" s="8">
        <f t="shared" si="468"/>
        <v>31</v>
      </c>
      <c r="S3776" s="8">
        <f t="shared" ca="1" si="469"/>
        <v>27</v>
      </c>
      <c r="T3776">
        <f t="shared" ca="1" si="470"/>
        <v>2.1744000000000003</v>
      </c>
      <c r="U3776" s="8">
        <f t="shared" ca="1" si="471"/>
        <v>4.0928000000000004</v>
      </c>
      <c r="V3776" s="9">
        <f ca="1">RawData[[#This Row],[Z (smoothed demand size)]]/RawData[[#This Row],[X (smoothed interval)]]</f>
        <v>0.53127443315089917</v>
      </c>
    </row>
    <row r="3777" spans="1:22">
      <c r="A3777" t="s">
        <v>72</v>
      </c>
      <c r="B3777" t="s">
        <v>60</v>
      </c>
      <c r="C3777">
        <v>28</v>
      </c>
      <c r="D3777" t="s">
        <v>15</v>
      </c>
      <c r="E3777" t="s">
        <v>16</v>
      </c>
      <c r="F3777" s="1">
        <v>43838</v>
      </c>
      <c r="G3777">
        <v>0</v>
      </c>
      <c r="H3777">
        <v>0</v>
      </c>
      <c r="I3777">
        <v>15</v>
      </c>
      <c r="J3777">
        <v>15</v>
      </c>
      <c r="K3777">
        <v>0</v>
      </c>
      <c r="L3777">
        <v>632</v>
      </c>
      <c r="M3777">
        <v>15</v>
      </c>
      <c r="N3777" s="1">
        <f t="shared" si="464"/>
        <v>44938</v>
      </c>
      <c r="O3777" s="1">
        <f t="shared" si="465"/>
        <v>43101</v>
      </c>
      <c r="P3777" s="1">
        <f t="shared" si="466"/>
        <v>44044</v>
      </c>
      <c r="Q3777" s="8">
        <f t="shared" si="467"/>
        <v>0</v>
      </c>
      <c r="R3777" s="8">
        <f t="shared" si="468"/>
        <v>32</v>
      </c>
      <c r="S3777" s="8">
        <f t="shared" ca="1" si="469"/>
        <v>27</v>
      </c>
      <c r="T3777">
        <f t="shared" ca="1" si="470"/>
        <v>2.1744000000000003</v>
      </c>
      <c r="U3777" s="8">
        <f t="shared" ca="1" si="471"/>
        <v>4.0928000000000004</v>
      </c>
      <c r="V3777" s="9">
        <f ca="1">RawData[[#This Row],[Z (smoothed demand size)]]/RawData[[#This Row],[X (smoothed interval)]]</f>
        <v>0.53127443315089917</v>
      </c>
    </row>
    <row r="3778" spans="1:22">
      <c r="A3778" t="s">
        <v>72</v>
      </c>
      <c r="B3778" t="s">
        <v>60</v>
      </c>
      <c r="C3778">
        <v>28</v>
      </c>
      <c r="D3778" t="s">
        <v>15</v>
      </c>
      <c r="E3778" t="s">
        <v>16</v>
      </c>
      <c r="F3778" s="1">
        <v>43839</v>
      </c>
      <c r="G3778">
        <v>1</v>
      </c>
      <c r="H3778">
        <v>1</v>
      </c>
      <c r="I3778">
        <v>15</v>
      </c>
      <c r="J3778">
        <v>14</v>
      </c>
      <c r="K3778">
        <v>0</v>
      </c>
      <c r="L3778">
        <v>556</v>
      </c>
      <c r="M3778">
        <v>30</v>
      </c>
      <c r="N3778" s="1">
        <f t="shared" ref="N3778:N3841" si="472">MAX(F:F)</f>
        <v>44938</v>
      </c>
      <c r="O3778" s="1">
        <f t="shared" ref="O3778:O3841" si="473">MIN(F:F)</f>
        <v>43101</v>
      </c>
      <c r="P3778" s="1">
        <f t="shared" ref="P3778:P3841" si="474">DATE(YEAR(F3778), DAY(F3778), 1)</f>
        <v>44075</v>
      </c>
      <c r="Q3778" s="8">
        <f t="shared" ref="Q3778:Q3841" si="475" xml:space="preserve"> IF(A3778&lt;&gt;A3777, 1, 0)</f>
        <v>0</v>
      </c>
      <c r="R3778" s="8">
        <f t="shared" ref="R3778:R3841" si="476">IF(Q3778=1,1,R3777+1)</f>
        <v>33</v>
      </c>
      <c r="S3778" s="8">
        <f t="shared" ref="S3778:S3841" ca="1" si="477" xml:space="preserve"> IF(Q3778=1, IF(G3778&gt;0, R3778, 0), IF(G3778&gt;0, R3778, OFFSET(S3778,-1,0)))</f>
        <v>33</v>
      </c>
      <c r="T3778">
        <f t="shared" ref="T3778:T3841" ca="1" si="478" xml:space="preserve"> IF(Q3778=1, IF(G3778&gt;0, G3778, 0), IF(G3778&gt;0, $X$1*G3778+(1-$X$1)*OFFSET(T3778,-1,0), OFFSET(T3778,-1,0)))</f>
        <v>1.9395200000000004</v>
      </c>
      <c r="U3778" s="8">
        <f t="shared" ref="U3778:U3841" ca="1" si="479" xml:space="preserve"> IF(Q3778=1, 1, IF(G3778&gt;0, $X$1*(R3778-OFFSET(S3778,-1,0))+(1-$X$1)*OFFSET(U3778,-1,0), OFFSET(U3778,-1,0)))</f>
        <v>4.4742400000000009</v>
      </c>
      <c r="V3778" s="9">
        <f ca="1">RawData[[#This Row],[Z (smoothed demand size)]]/RawData[[#This Row],[X (smoothed interval)]]</f>
        <v>0.43348591045630097</v>
      </c>
    </row>
    <row r="3779" spans="1:22">
      <c r="A3779" t="s">
        <v>72</v>
      </c>
      <c r="B3779" t="s">
        <v>60</v>
      </c>
      <c r="C3779">
        <v>28</v>
      </c>
      <c r="D3779" t="s">
        <v>15</v>
      </c>
      <c r="E3779" t="s">
        <v>16</v>
      </c>
      <c r="F3779" s="1">
        <v>43840</v>
      </c>
      <c r="G3779">
        <v>3</v>
      </c>
      <c r="H3779">
        <v>3</v>
      </c>
      <c r="I3779">
        <v>14</v>
      </c>
      <c r="J3779">
        <v>11</v>
      </c>
      <c r="K3779">
        <v>0</v>
      </c>
      <c r="L3779">
        <v>560</v>
      </c>
      <c r="M3779">
        <v>15</v>
      </c>
      <c r="N3779" s="1">
        <f t="shared" si="472"/>
        <v>44938</v>
      </c>
      <c r="O3779" s="1">
        <f t="shared" si="473"/>
        <v>43101</v>
      </c>
      <c r="P3779" s="1">
        <f t="shared" si="474"/>
        <v>44105</v>
      </c>
      <c r="Q3779" s="8">
        <f t="shared" si="475"/>
        <v>0</v>
      </c>
      <c r="R3779" s="8">
        <f t="shared" si="476"/>
        <v>34</v>
      </c>
      <c r="S3779" s="8">
        <f t="shared" ca="1" si="477"/>
        <v>34</v>
      </c>
      <c r="T3779">
        <f t="shared" ca="1" si="478"/>
        <v>2.1516160000000006</v>
      </c>
      <c r="U3779" s="8">
        <f t="shared" ca="1" si="479"/>
        <v>3.779392000000001</v>
      </c>
      <c r="V3779" s="9">
        <f ca="1">RawData[[#This Row],[Z (smoothed demand size)]]/RawData[[#This Row],[X (smoothed interval)]]</f>
        <v>0.56930215230386261</v>
      </c>
    </row>
    <row r="3780" spans="1:22">
      <c r="A3780" t="s">
        <v>72</v>
      </c>
      <c r="B3780" t="s">
        <v>60</v>
      </c>
      <c r="C3780">
        <v>28</v>
      </c>
      <c r="D3780" t="s">
        <v>15</v>
      </c>
      <c r="E3780" t="s">
        <v>16</v>
      </c>
      <c r="F3780" s="1">
        <v>43841</v>
      </c>
      <c r="G3780">
        <v>0</v>
      </c>
      <c r="H3780">
        <v>0</v>
      </c>
      <c r="I3780">
        <v>11</v>
      </c>
      <c r="J3780">
        <v>11</v>
      </c>
      <c r="K3780">
        <v>0</v>
      </c>
      <c r="L3780">
        <v>554</v>
      </c>
      <c r="M3780">
        <v>60</v>
      </c>
      <c r="N3780" s="1">
        <f t="shared" si="472"/>
        <v>44938</v>
      </c>
      <c r="O3780" s="1">
        <f t="shared" si="473"/>
        <v>43101</v>
      </c>
      <c r="P3780" s="1">
        <f t="shared" si="474"/>
        <v>44136</v>
      </c>
      <c r="Q3780" s="8">
        <f t="shared" si="475"/>
        <v>0</v>
      </c>
      <c r="R3780" s="8">
        <f t="shared" si="476"/>
        <v>35</v>
      </c>
      <c r="S3780" s="8">
        <f t="shared" ca="1" si="477"/>
        <v>34</v>
      </c>
      <c r="T3780">
        <f t="shared" ca="1" si="478"/>
        <v>2.1516160000000006</v>
      </c>
      <c r="U3780" s="8">
        <f t="shared" ca="1" si="479"/>
        <v>3.779392000000001</v>
      </c>
      <c r="V3780" s="9">
        <f ca="1">RawData[[#This Row],[Z (smoothed demand size)]]/RawData[[#This Row],[X (smoothed interval)]]</f>
        <v>0.56930215230386261</v>
      </c>
    </row>
    <row r="3781" spans="1:22">
      <c r="A3781" t="s">
        <v>72</v>
      </c>
      <c r="B3781" t="s">
        <v>60</v>
      </c>
      <c r="C3781">
        <v>28</v>
      </c>
      <c r="D3781" t="s">
        <v>15</v>
      </c>
      <c r="E3781" t="s">
        <v>16</v>
      </c>
      <c r="F3781" s="1">
        <v>43842</v>
      </c>
      <c r="G3781">
        <v>0</v>
      </c>
      <c r="H3781">
        <v>0</v>
      </c>
      <c r="I3781">
        <v>11</v>
      </c>
      <c r="J3781">
        <v>11</v>
      </c>
      <c r="K3781">
        <v>0</v>
      </c>
      <c r="L3781">
        <v>633</v>
      </c>
      <c r="M3781">
        <v>30</v>
      </c>
      <c r="N3781" s="1">
        <f t="shared" si="472"/>
        <v>44938</v>
      </c>
      <c r="O3781" s="1">
        <f t="shared" si="473"/>
        <v>43101</v>
      </c>
      <c r="P3781" s="1">
        <f t="shared" si="474"/>
        <v>44166</v>
      </c>
      <c r="Q3781" s="8">
        <f t="shared" si="475"/>
        <v>0</v>
      </c>
      <c r="R3781" s="8">
        <f t="shared" si="476"/>
        <v>36</v>
      </c>
      <c r="S3781" s="8">
        <f t="shared" ca="1" si="477"/>
        <v>34</v>
      </c>
      <c r="T3781">
        <f t="shared" ca="1" si="478"/>
        <v>2.1516160000000006</v>
      </c>
      <c r="U3781" s="8">
        <f t="shared" ca="1" si="479"/>
        <v>3.779392000000001</v>
      </c>
      <c r="V3781" s="9">
        <f ca="1">RawData[[#This Row],[Z (smoothed demand size)]]/RawData[[#This Row],[X (smoothed interval)]]</f>
        <v>0.56930215230386261</v>
      </c>
    </row>
    <row r="3782" spans="1:22">
      <c r="A3782" t="s">
        <v>72</v>
      </c>
      <c r="B3782" t="s">
        <v>60</v>
      </c>
      <c r="C3782">
        <v>28</v>
      </c>
      <c r="D3782" t="s">
        <v>15</v>
      </c>
      <c r="E3782" t="s">
        <v>16</v>
      </c>
      <c r="F3782" s="1">
        <v>44197</v>
      </c>
      <c r="G3782">
        <v>0</v>
      </c>
      <c r="H3782">
        <v>0</v>
      </c>
      <c r="I3782">
        <v>11</v>
      </c>
      <c r="J3782">
        <v>11</v>
      </c>
      <c r="K3782">
        <v>0</v>
      </c>
      <c r="L3782">
        <v>555</v>
      </c>
      <c r="M3782">
        <v>45</v>
      </c>
      <c r="N3782" s="1">
        <f t="shared" si="472"/>
        <v>44938</v>
      </c>
      <c r="O3782" s="1">
        <f t="shared" si="473"/>
        <v>43101</v>
      </c>
      <c r="P3782" s="1">
        <f t="shared" si="474"/>
        <v>44197</v>
      </c>
      <c r="Q3782" s="8">
        <f t="shared" si="475"/>
        <v>0</v>
      </c>
      <c r="R3782" s="8">
        <f t="shared" si="476"/>
        <v>37</v>
      </c>
      <c r="S3782" s="8">
        <f t="shared" ca="1" si="477"/>
        <v>34</v>
      </c>
      <c r="T3782">
        <f t="shared" ca="1" si="478"/>
        <v>2.1516160000000006</v>
      </c>
      <c r="U3782" s="8">
        <f t="shared" ca="1" si="479"/>
        <v>3.779392000000001</v>
      </c>
      <c r="V3782" s="9">
        <f ca="1">RawData[[#This Row],[Z (smoothed demand size)]]/RawData[[#This Row],[X (smoothed interval)]]</f>
        <v>0.56930215230386261</v>
      </c>
    </row>
    <row r="3783" spans="1:22">
      <c r="A3783" t="s">
        <v>72</v>
      </c>
      <c r="B3783" t="s">
        <v>60</v>
      </c>
      <c r="C3783">
        <v>28</v>
      </c>
      <c r="D3783" t="s">
        <v>15</v>
      </c>
      <c r="E3783" t="s">
        <v>16</v>
      </c>
      <c r="F3783" s="1">
        <v>44198</v>
      </c>
      <c r="G3783">
        <v>1</v>
      </c>
      <c r="H3783">
        <v>1</v>
      </c>
      <c r="I3783">
        <v>11</v>
      </c>
      <c r="J3783">
        <v>10</v>
      </c>
      <c r="K3783">
        <v>0</v>
      </c>
      <c r="L3783">
        <v>558</v>
      </c>
      <c r="M3783">
        <v>30</v>
      </c>
      <c r="N3783" s="1">
        <f t="shared" si="472"/>
        <v>44938</v>
      </c>
      <c r="O3783" s="1">
        <f t="shared" si="473"/>
        <v>43101</v>
      </c>
      <c r="P3783" s="1">
        <f t="shared" si="474"/>
        <v>44228</v>
      </c>
      <c r="Q3783" s="8">
        <f t="shared" si="475"/>
        <v>0</v>
      </c>
      <c r="R3783" s="8">
        <f t="shared" si="476"/>
        <v>38</v>
      </c>
      <c r="S3783" s="8">
        <f t="shared" ca="1" si="477"/>
        <v>38</v>
      </c>
      <c r="T3783">
        <f t="shared" ca="1" si="478"/>
        <v>1.9212928000000005</v>
      </c>
      <c r="U3783" s="8">
        <f t="shared" ca="1" si="479"/>
        <v>3.823513600000001</v>
      </c>
      <c r="V3783" s="9">
        <f ca="1">RawData[[#This Row],[Z (smoothed demand size)]]/RawData[[#This Row],[X (smoothed interval)]]</f>
        <v>0.50249404108304985</v>
      </c>
    </row>
    <row r="3784" spans="1:22">
      <c r="A3784" t="s">
        <v>72</v>
      </c>
      <c r="B3784" t="s">
        <v>60</v>
      </c>
      <c r="C3784">
        <v>28</v>
      </c>
      <c r="D3784" t="s">
        <v>15</v>
      </c>
      <c r="E3784" t="s">
        <v>16</v>
      </c>
      <c r="F3784" s="1">
        <v>44199</v>
      </c>
      <c r="G3784">
        <v>0</v>
      </c>
      <c r="H3784">
        <v>0</v>
      </c>
      <c r="I3784">
        <v>10</v>
      </c>
      <c r="J3784">
        <v>10</v>
      </c>
      <c r="K3784">
        <v>0</v>
      </c>
      <c r="L3784">
        <v>548</v>
      </c>
      <c r="M3784">
        <v>15</v>
      </c>
      <c r="N3784" s="1">
        <f t="shared" si="472"/>
        <v>44938</v>
      </c>
      <c r="O3784" s="1">
        <f t="shared" si="473"/>
        <v>43101</v>
      </c>
      <c r="P3784" s="1">
        <f t="shared" si="474"/>
        <v>44256</v>
      </c>
      <c r="Q3784" s="8">
        <f t="shared" si="475"/>
        <v>0</v>
      </c>
      <c r="R3784" s="8">
        <f t="shared" si="476"/>
        <v>39</v>
      </c>
      <c r="S3784" s="8">
        <f t="shared" ca="1" si="477"/>
        <v>38</v>
      </c>
      <c r="T3784">
        <f t="shared" ca="1" si="478"/>
        <v>1.9212928000000005</v>
      </c>
      <c r="U3784" s="8">
        <f t="shared" ca="1" si="479"/>
        <v>3.823513600000001</v>
      </c>
      <c r="V3784" s="9">
        <f ca="1">RawData[[#This Row],[Z (smoothed demand size)]]/RawData[[#This Row],[X (smoothed interval)]]</f>
        <v>0.50249404108304985</v>
      </c>
    </row>
    <row r="3785" spans="1:22">
      <c r="A3785" t="s">
        <v>72</v>
      </c>
      <c r="B3785" t="s">
        <v>60</v>
      </c>
      <c r="C3785">
        <v>28</v>
      </c>
      <c r="D3785" t="s">
        <v>15</v>
      </c>
      <c r="E3785" t="s">
        <v>16</v>
      </c>
      <c r="F3785" s="1">
        <v>44200</v>
      </c>
      <c r="G3785">
        <v>3</v>
      </c>
      <c r="H3785">
        <v>3</v>
      </c>
      <c r="I3785">
        <v>10</v>
      </c>
      <c r="J3785">
        <v>7</v>
      </c>
      <c r="K3785">
        <v>0</v>
      </c>
      <c r="L3785">
        <v>553</v>
      </c>
      <c r="M3785">
        <v>15</v>
      </c>
      <c r="N3785" s="1">
        <f t="shared" si="472"/>
        <v>44938</v>
      </c>
      <c r="O3785" s="1">
        <f t="shared" si="473"/>
        <v>43101</v>
      </c>
      <c r="P3785" s="1">
        <f t="shared" si="474"/>
        <v>44287</v>
      </c>
      <c r="Q3785" s="8">
        <f t="shared" si="475"/>
        <v>0</v>
      </c>
      <c r="R3785" s="8">
        <f t="shared" si="476"/>
        <v>40</v>
      </c>
      <c r="S3785" s="8">
        <f t="shared" ca="1" si="477"/>
        <v>40</v>
      </c>
      <c r="T3785">
        <f t="shared" ca="1" si="478"/>
        <v>2.1370342400000006</v>
      </c>
      <c r="U3785" s="8">
        <f t="shared" ca="1" si="479"/>
        <v>3.458810880000001</v>
      </c>
      <c r="V3785" s="9">
        <f ca="1">RawData[[#This Row],[Z (smoothed demand size)]]/RawData[[#This Row],[X (smoothed interval)]]</f>
        <v>0.61785229494825689</v>
      </c>
    </row>
    <row r="3786" spans="1:22">
      <c r="A3786" t="s">
        <v>72</v>
      </c>
      <c r="B3786" t="s">
        <v>60</v>
      </c>
      <c r="C3786">
        <v>28</v>
      </c>
      <c r="D3786" t="s">
        <v>15</v>
      </c>
      <c r="E3786" t="s">
        <v>16</v>
      </c>
      <c r="F3786" s="1">
        <v>44201</v>
      </c>
      <c r="G3786">
        <v>1</v>
      </c>
      <c r="H3786">
        <v>1</v>
      </c>
      <c r="I3786">
        <v>7</v>
      </c>
      <c r="J3786">
        <v>6</v>
      </c>
      <c r="K3786">
        <v>0</v>
      </c>
      <c r="L3786">
        <v>554</v>
      </c>
      <c r="M3786">
        <v>60</v>
      </c>
      <c r="N3786" s="1">
        <f t="shared" si="472"/>
        <v>44938</v>
      </c>
      <c r="O3786" s="1">
        <f t="shared" si="473"/>
        <v>43101</v>
      </c>
      <c r="P3786" s="1">
        <f t="shared" si="474"/>
        <v>44317</v>
      </c>
      <c r="Q3786" s="8">
        <f t="shared" si="475"/>
        <v>0</v>
      </c>
      <c r="R3786" s="8">
        <f t="shared" si="476"/>
        <v>41</v>
      </c>
      <c r="S3786" s="8">
        <f t="shared" ca="1" si="477"/>
        <v>41</v>
      </c>
      <c r="T3786">
        <f t="shared" ca="1" si="478"/>
        <v>1.9096273920000006</v>
      </c>
      <c r="U3786" s="8">
        <f t="shared" ca="1" si="479"/>
        <v>2.9670487040000011</v>
      </c>
      <c r="V3786" s="9">
        <f ca="1">RawData[[#This Row],[Z (smoothed demand size)]]/RawData[[#This Row],[X (smoothed interval)]]</f>
        <v>0.6436117443658923</v>
      </c>
    </row>
    <row r="3787" spans="1:22">
      <c r="A3787" t="s">
        <v>72</v>
      </c>
      <c r="B3787" t="s">
        <v>60</v>
      </c>
      <c r="C3787">
        <v>28</v>
      </c>
      <c r="D3787" t="s">
        <v>15</v>
      </c>
      <c r="E3787" t="s">
        <v>16</v>
      </c>
      <c r="F3787" s="1">
        <v>44202</v>
      </c>
      <c r="G3787">
        <v>0</v>
      </c>
      <c r="H3787">
        <v>0</v>
      </c>
      <c r="I3787">
        <v>6</v>
      </c>
      <c r="J3787">
        <v>6</v>
      </c>
      <c r="K3787">
        <v>0</v>
      </c>
      <c r="L3787">
        <v>633</v>
      </c>
      <c r="M3787">
        <v>30</v>
      </c>
      <c r="N3787" s="1">
        <f t="shared" si="472"/>
        <v>44938</v>
      </c>
      <c r="O3787" s="1">
        <f t="shared" si="473"/>
        <v>43101</v>
      </c>
      <c r="P3787" s="1">
        <f t="shared" si="474"/>
        <v>44348</v>
      </c>
      <c r="Q3787" s="8">
        <f t="shared" si="475"/>
        <v>0</v>
      </c>
      <c r="R3787" s="8">
        <f t="shared" si="476"/>
        <v>42</v>
      </c>
      <c r="S3787" s="8">
        <f t="shared" ca="1" si="477"/>
        <v>41</v>
      </c>
      <c r="T3787">
        <f t="shared" ca="1" si="478"/>
        <v>1.9096273920000006</v>
      </c>
      <c r="U3787" s="8">
        <f t="shared" ca="1" si="479"/>
        <v>2.9670487040000011</v>
      </c>
      <c r="V3787" s="9">
        <f ca="1">RawData[[#This Row],[Z (smoothed demand size)]]/RawData[[#This Row],[X (smoothed interval)]]</f>
        <v>0.6436117443658923</v>
      </c>
    </row>
    <row r="3788" spans="1:22">
      <c r="A3788" t="s">
        <v>72</v>
      </c>
      <c r="B3788" t="s">
        <v>60</v>
      </c>
      <c r="C3788">
        <v>28</v>
      </c>
      <c r="D3788" t="s">
        <v>15</v>
      </c>
      <c r="E3788" t="s">
        <v>16</v>
      </c>
      <c r="F3788" s="1">
        <v>44203</v>
      </c>
      <c r="G3788">
        <v>0</v>
      </c>
      <c r="H3788">
        <v>0</v>
      </c>
      <c r="I3788">
        <v>6</v>
      </c>
      <c r="J3788">
        <v>6</v>
      </c>
      <c r="K3788">
        <v>0</v>
      </c>
      <c r="L3788">
        <v>638</v>
      </c>
      <c r="M3788">
        <v>45</v>
      </c>
      <c r="N3788" s="1">
        <f t="shared" si="472"/>
        <v>44938</v>
      </c>
      <c r="O3788" s="1">
        <f t="shared" si="473"/>
        <v>43101</v>
      </c>
      <c r="P3788" s="1">
        <f t="shared" si="474"/>
        <v>44378</v>
      </c>
      <c r="Q3788" s="8">
        <f t="shared" si="475"/>
        <v>0</v>
      </c>
      <c r="R3788" s="8">
        <f t="shared" si="476"/>
        <v>43</v>
      </c>
      <c r="S3788" s="8">
        <f t="shared" ca="1" si="477"/>
        <v>41</v>
      </c>
      <c r="T3788">
        <f t="shared" ca="1" si="478"/>
        <v>1.9096273920000006</v>
      </c>
      <c r="U3788" s="8">
        <f t="shared" ca="1" si="479"/>
        <v>2.9670487040000011</v>
      </c>
      <c r="V3788" s="9">
        <f ca="1">RawData[[#This Row],[Z (smoothed demand size)]]/RawData[[#This Row],[X (smoothed interval)]]</f>
        <v>0.6436117443658923</v>
      </c>
    </row>
    <row r="3789" spans="1:22">
      <c r="A3789" t="s">
        <v>72</v>
      </c>
      <c r="B3789" t="s">
        <v>60</v>
      </c>
      <c r="C3789">
        <v>28</v>
      </c>
      <c r="D3789" t="s">
        <v>15</v>
      </c>
      <c r="E3789" t="s">
        <v>16</v>
      </c>
      <c r="F3789" s="1">
        <v>44204</v>
      </c>
      <c r="G3789">
        <v>0</v>
      </c>
      <c r="H3789">
        <v>0</v>
      </c>
      <c r="I3789">
        <v>6</v>
      </c>
      <c r="J3789">
        <v>6</v>
      </c>
      <c r="K3789">
        <v>0</v>
      </c>
      <c r="L3789">
        <v>624</v>
      </c>
      <c r="M3789">
        <v>60</v>
      </c>
      <c r="N3789" s="1">
        <f t="shared" si="472"/>
        <v>44938</v>
      </c>
      <c r="O3789" s="1">
        <f t="shared" si="473"/>
        <v>43101</v>
      </c>
      <c r="P3789" s="1">
        <f t="shared" si="474"/>
        <v>44409</v>
      </c>
      <c r="Q3789" s="8">
        <f t="shared" si="475"/>
        <v>0</v>
      </c>
      <c r="R3789" s="8">
        <f t="shared" si="476"/>
        <v>44</v>
      </c>
      <c r="S3789" s="8">
        <f t="shared" ca="1" si="477"/>
        <v>41</v>
      </c>
      <c r="T3789">
        <f t="shared" ca="1" si="478"/>
        <v>1.9096273920000006</v>
      </c>
      <c r="U3789" s="8">
        <f t="shared" ca="1" si="479"/>
        <v>2.9670487040000011</v>
      </c>
      <c r="V3789" s="9">
        <f ca="1">RawData[[#This Row],[Z (smoothed demand size)]]/RawData[[#This Row],[X (smoothed interval)]]</f>
        <v>0.6436117443658923</v>
      </c>
    </row>
    <row r="3790" spans="1:22">
      <c r="A3790" t="s">
        <v>72</v>
      </c>
      <c r="B3790" t="s">
        <v>60</v>
      </c>
      <c r="C3790">
        <v>28</v>
      </c>
      <c r="D3790" t="s">
        <v>15</v>
      </c>
      <c r="E3790" t="s">
        <v>16</v>
      </c>
      <c r="F3790" s="1">
        <v>44205</v>
      </c>
      <c r="G3790">
        <v>0</v>
      </c>
      <c r="H3790">
        <v>0</v>
      </c>
      <c r="I3790">
        <v>6</v>
      </c>
      <c r="J3790">
        <v>6</v>
      </c>
      <c r="K3790">
        <v>0</v>
      </c>
      <c r="L3790">
        <v>554</v>
      </c>
      <c r="M3790">
        <v>45</v>
      </c>
      <c r="N3790" s="1">
        <f t="shared" si="472"/>
        <v>44938</v>
      </c>
      <c r="O3790" s="1">
        <f t="shared" si="473"/>
        <v>43101</v>
      </c>
      <c r="P3790" s="1">
        <f t="shared" si="474"/>
        <v>44440</v>
      </c>
      <c r="Q3790" s="8">
        <f t="shared" si="475"/>
        <v>0</v>
      </c>
      <c r="R3790" s="8">
        <f t="shared" si="476"/>
        <v>45</v>
      </c>
      <c r="S3790" s="8">
        <f t="shared" ca="1" si="477"/>
        <v>41</v>
      </c>
      <c r="T3790">
        <f t="shared" ca="1" si="478"/>
        <v>1.9096273920000006</v>
      </c>
      <c r="U3790" s="8">
        <f t="shared" ca="1" si="479"/>
        <v>2.9670487040000011</v>
      </c>
      <c r="V3790" s="9">
        <f ca="1">RawData[[#This Row],[Z (smoothed demand size)]]/RawData[[#This Row],[X (smoothed interval)]]</f>
        <v>0.6436117443658923</v>
      </c>
    </row>
    <row r="3791" spans="1:22">
      <c r="A3791" t="s">
        <v>72</v>
      </c>
      <c r="B3791" t="s">
        <v>60</v>
      </c>
      <c r="C3791">
        <v>28</v>
      </c>
      <c r="D3791" t="s">
        <v>15</v>
      </c>
      <c r="E3791" t="s">
        <v>16</v>
      </c>
      <c r="F3791" s="1">
        <v>44206</v>
      </c>
      <c r="G3791">
        <v>2</v>
      </c>
      <c r="H3791">
        <v>2</v>
      </c>
      <c r="I3791">
        <v>6</v>
      </c>
      <c r="J3791">
        <v>4</v>
      </c>
      <c r="K3791">
        <v>0</v>
      </c>
      <c r="L3791">
        <v>562</v>
      </c>
      <c r="M3791">
        <v>15</v>
      </c>
      <c r="N3791" s="1">
        <f t="shared" si="472"/>
        <v>44938</v>
      </c>
      <c r="O3791" s="1">
        <f t="shared" si="473"/>
        <v>43101</v>
      </c>
      <c r="P3791" s="1">
        <f t="shared" si="474"/>
        <v>44470</v>
      </c>
      <c r="Q3791" s="8">
        <f t="shared" si="475"/>
        <v>0</v>
      </c>
      <c r="R3791" s="8">
        <f t="shared" si="476"/>
        <v>46</v>
      </c>
      <c r="S3791" s="8">
        <f t="shared" ca="1" si="477"/>
        <v>46</v>
      </c>
      <c r="T3791">
        <f t="shared" ca="1" si="478"/>
        <v>1.9277019136000004</v>
      </c>
      <c r="U3791" s="8">
        <f t="shared" ca="1" si="479"/>
        <v>3.3736389632000008</v>
      </c>
      <c r="V3791" s="9">
        <f ca="1">RawData[[#This Row],[Z (smoothed demand size)]]/RawData[[#This Row],[X (smoothed interval)]]</f>
        <v>0.57140136648514273</v>
      </c>
    </row>
    <row r="3792" spans="1:22">
      <c r="A3792" t="s">
        <v>72</v>
      </c>
      <c r="B3792" t="s">
        <v>60</v>
      </c>
      <c r="C3792">
        <v>28</v>
      </c>
      <c r="D3792" t="s">
        <v>15</v>
      </c>
      <c r="E3792" t="s">
        <v>16</v>
      </c>
      <c r="F3792" s="1">
        <v>44207</v>
      </c>
      <c r="G3792">
        <v>0</v>
      </c>
      <c r="H3792">
        <v>0</v>
      </c>
      <c r="I3792">
        <v>28</v>
      </c>
      <c r="J3792">
        <v>28</v>
      </c>
      <c r="K3792">
        <v>0</v>
      </c>
      <c r="L3792">
        <v>555</v>
      </c>
      <c r="M3792">
        <v>45</v>
      </c>
      <c r="N3792" s="1">
        <f t="shared" si="472"/>
        <v>44938</v>
      </c>
      <c r="O3792" s="1">
        <f t="shared" si="473"/>
        <v>43101</v>
      </c>
      <c r="P3792" s="1">
        <f t="shared" si="474"/>
        <v>44501</v>
      </c>
      <c r="Q3792" s="8">
        <f t="shared" si="475"/>
        <v>0</v>
      </c>
      <c r="R3792" s="8">
        <f t="shared" si="476"/>
        <v>47</v>
      </c>
      <c r="S3792" s="8">
        <f t="shared" ca="1" si="477"/>
        <v>46</v>
      </c>
      <c r="T3792">
        <f t="shared" ca="1" si="478"/>
        <v>1.9277019136000004</v>
      </c>
      <c r="U3792" s="8">
        <f t="shared" ca="1" si="479"/>
        <v>3.3736389632000008</v>
      </c>
      <c r="V3792" s="9">
        <f ca="1">RawData[[#This Row],[Z (smoothed demand size)]]/RawData[[#This Row],[X (smoothed interval)]]</f>
        <v>0.57140136648514273</v>
      </c>
    </row>
    <row r="3793" spans="1:22">
      <c r="A3793" t="s">
        <v>72</v>
      </c>
      <c r="B3793" t="s">
        <v>60</v>
      </c>
      <c r="C3793">
        <v>28</v>
      </c>
      <c r="D3793" t="s">
        <v>15</v>
      </c>
      <c r="E3793" t="s">
        <v>16</v>
      </c>
      <c r="F3793" s="1">
        <v>44208</v>
      </c>
      <c r="G3793">
        <v>3</v>
      </c>
      <c r="H3793">
        <v>3</v>
      </c>
      <c r="I3793">
        <v>28</v>
      </c>
      <c r="J3793">
        <v>25</v>
      </c>
      <c r="K3793">
        <v>0</v>
      </c>
      <c r="L3793">
        <v>635</v>
      </c>
      <c r="M3793">
        <v>45</v>
      </c>
      <c r="N3793" s="1">
        <f t="shared" si="472"/>
        <v>44938</v>
      </c>
      <c r="O3793" s="1">
        <f t="shared" si="473"/>
        <v>43101</v>
      </c>
      <c r="P3793" s="1">
        <f t="shared" si="474"/>
        <v>44531</v>
      </c>
      <c r="Q3793" s="8">
        <f t="shared" si="475"/>
        <v>0</v>
      </c>
      <c r="R3793" s="8">
        <f t="shared" si="476"/>
        <v>48</v>
      </c>
      <c r="S3793" s="8">
        <f t="shared" ca="1" si="477"/>
        <v>48</v>
      </c>
      <c r="T3793">
        <f t="shared" ca="1" si="478"/>
        <v>2.1421615308800006</v>
      </c>
      <c r="U3793" s="8">
        <f t="shared" ca="1" si="479"/>
        <v>3.0989111705600005</v>
      </c>
      <c r="V3793" s="9">
        <f ca="1">RawData[[#This Row],[Z (smoothed demand size)]]/RawData[[#This Row],[X (smoothed interval)]]</f>
        <v>0.69126264451552288</v>
      </c>
    </row>
    <row r="3794" spans="1:22">
      <c r="A3794" t="s">
        <v>72</v>
      </c>
      <c r="B3794" t="s">
        <v>60</v>
      </c>
      <c r="C3794">
        <v>28</v>
      </c>
      <c r="D3794" t="s">
        <v>15</v>
      </c>
      <c r="E3794" t="s">
        <v>16</v>
      </c>
      <c r="F3794" s="1">
        <v>44562</v>
      </c>
      <c r="G3794">
        <v>1</v>
      </c>
      <c r="H3794">
        <v>1</v>
      </c>
      <c r="I3794">
        <v>25</v>
      </c>
      <c r="J3794">
        <v>24</v>
      </c>
      <c r="K3794">
        <v>0</v>
      </c>
      <c r="L3794">
        <v>544</v>
      </c>
      <c r="M3794">
        <v>60</v>
      </c>
      <c r="N3794" s="1">
        <f t="shared" si="472"/>
        <v>44938</v>
      </c>
      <c r="O3794" s="1">
        <f t="shared" si="473"/>
        <v>43101</v>
      </c>
      <c r="P3794" s="1">
        <f t="shared" si="474"/>
        <v>44562</v>
      </c>
      <c r="Q3794" s="8">
        <f t="shared" si="475"/>
        <v>0</v>
      </c>
      <c r="R3794" s="8">
        <f t="shared" si="476"/>
        <v>49</v>
      </c>
      <c r="S3794" s="8">
        <f t="shared" ca="1" si="477"/>
        <v>49</v>
      </c>
      <c r="T3794">
        <f t="shared" ca="1" si="478"/>
        <v>1.9137292247040005</v>
      </c>
      <c r="U3794" s="8">
        <f t="shared" ca="1" si="479"/>
        <v>2.6791289364480009</v>
      </c>
      <c r="V3794" s="9">
        <f ca="1">RawData[[#This Row],[Z (smoothed demand size)]]/RawData[[#This Row],[X (smoothed interval)]]</f>
        <v>0.71431023668507343</v>
      </c>
    </row>
    <row r="3795" spans="1:22">
      <c r="A3795" t="s">
        <v>72</v>
      </c>
      <c r="B3795" t="s">
        <v>60</v>
      </c>
      <c r="C3795">
        <v>28</v>
      </c>
      <c r="D3795" t="s">
        <v>15</v>
      </c>
      <c r="E3795" t="s">
        <v>16</v>
      </c>
      <c r="F3795" s="1">
        <v>44563</v>
      </c>
      <c r="G3795">
        <v>0</v>
      </c>
      <c r="H3795">
        <v>0</v>
      </c>
      <c r="I3795">
        <v>24</v>
      </c>
      <c r="J3795">
        <v>24</v>
      </c>
      <c r="K3795">
        <v>0</v>
      </c>
      <c r="L3795">
        <v>548</v>
      </c>
      <c r="M3795">
        <v>60</v>
      </c>
      <c r="N3795" s="1">
        <f t="shared" si="472"/>
        <v>44938</v>
      </c>
      <c r="O3795" s="1">
        <f t="shared" si="473"/>
        <v>43101</v>
      </c>
      <c r="P3795" s="1">
        <f t="shared" si="474"/>
        <v>44593</v>
      </c>
      <c r="Q3795" s="8">
        <f t="shared" si="475"/>
        <v>0</v>
      </c>
      <c r="R3795" s="8">
        <f t="shared" si="476"/>
        <v>50</v>
      </c>
      <c r="S3795" s="8">
        <f t="shared" ca="1" si="477"/>
        <v>49</v>
      </c>
      <c r="T3795">
        <f t="shared" ca="1" si="478"/>
        <v>1.9137292247040005</v>
      </c>
      <c r="U3795" s="8">
        <f t="shared" ca="1" si="479"/>
        <v>2.6791289364480009</v>
      </c>
      <c r="V3795" s="9">
        <f ca="1">RawData[[#This Row],[Z (smoothed demand size)]]/RawData[[#This Row],[X (smoothed interval)]]</f>
        <v>0.71431023668507343</v>
      </c>
    </row>
    <row r="3796" spans="1:22">
      <c r="A3796" t="s">
        <v>72</v>
      </c>
      <c r="B3796" t="s">
        <v>60</v>
      </c>
      <c r="C3796">
        <v>28</v>
      </c>
      <c r="D3796" t="s">
        <v>15</v>
      </c>
      <c r="E3796" t="s">
        <v>16</v>
      </c>
      <c r="F3796" s="1">
        <v>44564</v>
      </c>
      <c r="G3796">
        <v>0</v>
      </c>
      <c r="H3796">
        <v>0</v>
      </c>
      <c r="I3796">
        <v>24</v>
      </c>
      <c r="J3796">
        <v>24</v>
      </c>
      <c r="K3796">
        <v>0</v>
      </c>
      <c r="L3796">
        <v>552</v>
      </c>
      <c r="M3796">
        <v>30</v>
      </c>
      <c r="N3796" s="1">
        <f t="shared" si="472"/>
        <v>44938</v>
      </c>
      <c r="O3796" s="1">
        <f t="shared" si="473"/>
        <v>43101</v>
      </c>
      <c r="P3796" s="1">
        <f t="shared" si="474"/>
        <v>44621</v>
      </c>
      <c r="Q3796" s="8">
        <f t="shared" si="475"/>
        <v>0</v>
      </c>
      <c r="R3796" s="8">
        <f t="shared" si="476"/>
        <v>51</v>
      </c>
      <c r="S3796" s="8">
        <f t="shared" ca="1" si="477"/>
        <v>49</v>
      </c>
      <c r="T3796">
        <f t="shared" ca="1" si="478"/>
        <v>1.9137292247040005</v>
      </c>
      <c r="U3796" s="8">
        <f t="shared" ca="1" si="479"/>
        <v>2.6791289364480009</v>
      </c>
      <c r="V3796" s="9">
        <f ca="1">RawData[[#This Row],[Z (smoothed demand size)]]/RawData[[#This Row],[X (smoothed interval)]]</f>
        <v>0.71431023668507343</v>
      </c>
    </row>
    <row r="3797" spans="1:22">
      <c r="A3797" t="s">
        <v>72</v>
      </c>
      <c r="B3797" t="s">
        <v>60</v>
      </c>
      <c r="C3797">
        <v>28</v>
      </c>
      <c r="D3797" t="s">
        <v>15</v>
      </c>
      <c r="E3797" t="s">
        <v>16</v>
      </c>
      <c r="F3797" s="1">
        <v>44565</v>
      </c>
      <c r="G3797">
        <v>0</v>
      </c>
      <c r="H3797">
        <v>0</v>
      </c>
      <c r="I3797">
        <v>24</v>
      </c>
      <c r="J3797">
        <v>24</v>
      </c>
      <c r="K3797">
        <v>0</v>
      </c>
      <c r="L3797">
        <v>551</v>
      </c>
      <c r="M3797">
        <v>45</v>
      </c>
      <c r="N3797" s="1">
        <f t="shared" si="472"/>
        <v>44938</v>
      </c>
      <c r="O3797" s="1">
        <f t="shared" si="473"/>
        <v>43101</v>
      </c>
      <c r="P3797" s="1">
        <f t="shared" si="474"/>
        <v>44652</v>
      </c>
      <c r="Q3797" s="8">
        <f t="shared" si="475"/>
        <v>0</v>
      </c>
      <c r="R3797" s="8">
        <f t="shared" si="476"/>
        <v>52</v>
      </c>
      <c r="S3797" s="8">
        <f t="shared" ca="1" si="477"/>
        <v>49</v>
      </c>
      <c r="T3797">
        <f t="shared" ca="1" si="478"/>
        <v>1.9137292247040005</v>
      </c>
      <c r="U3797" s="8">
        <f t="shared" ca="1" si="479"/>
        <v>2.6791289364480009</v>
      </c>
      <c r="V3797" s="9">
        <f ca="1">RawData[[#This Row],[Z (smoothed demand size)]]/RawData[[#This Row],[X (smoothed interval)]]</f>
        <v>0.71431023668507343</v>
      </c>
    </row>
    <row r="3798" spans="1:22">
      <c r="A3798" t="s">
        <v>72</v>
      </c>
      <c r="B3798" t="s">
        <v>60</v>
      </c>
      <c r="C3798">
        <v>28</v>
      </c>
      <c r="D3798" t="s">
        <v>15</v>
      </c>
      <c r="E3798" t="s">
        <v>16</v>
      </c>
      <c r="F3798" s="1">
        <v>44566</v>
      </c>
      <c r="G3798">
        <v>5</v>
      </c>
      <c r="H3798">
        <v>5</v>
      </c>
      <c r="I3798">
        <v>24</v>
      </c>
      <c r="J3798">
        <v>19</v>
      </c>
      <c r="K3798">
        <v>0</v>
      </c>
      <c r="L3798">
        <v>544</v>
      </c>
      <c r="M3798">
        <v>15</v>
      </c>
      <c r="N3798" s="1">
        <f t="shared" si="472"/>
        <v>44938</v>
      </c>
      <c r="O3798" s="1">
        <f t="shared" si="473"/>
        <v>43101</v>
      </c>
      <c r="P3798" s="1">
        <f t="shared" si="474"/>
        <v>44682</v>
      </c>
      <c r="Q3798" s="8">
        <f t="shared" si="475"/>
        <v>0</v>
      </c>
      <c r="R3798" s="8">
        <f t="shared" si="476"/>
        <v>53</v>
      </c>
      <c r="S3798" s="8">
        <f t="shared" ca="1" si="477"/>
        <v>53</v>
      </c>
      <c r="T3798">
        <f t="shared" ca="1" si="478"/>
        <v>2.5309833797632004</v>
      </c>
      <c r="U3798" s="8">
        <f t="shared" ca="1" si="479"/>
        <v>2.9433031491584005</v>
      </c>
      <c r="V3798" s="9">
        <f ca="1">RawData[[#This Row],[Z (smoothed demand size)]]/RawData[[#This Row],[X (smoothed interval)]]</f>
        <v>0.85991257152254341</v>
      </c>
    </row>
    <row r="3799" spans="1:22">
      <c r="A3799" t="s">
        <v>72</v>
      </c>
      <c r="B3799" t="s">
        <v>60</v>
      </c>
      <c r="C3799">
        <v>28</v>
      </c>
      <c r="D3799" t="s">
        <v>15</v>
      </c>
      <c r="E3799" t="s">
        <v>16</v>
      </c>
      <c r="F3799" s="1">
        <v>44567</v>
      </c>
      <c r="G3799">
        <v>0</v>
      </c>
      <c r="H3799">
        <v>0</v>
      </c>
      <c r="I3799">
        <v>19</v>
      </c>
      <c r="J3799">
        <v>19</v>
      </c>
      <c r="K3799">
        <v>0</v>
      </c>
      <c r="L3799">
        <v>634</v>
      </c>
      <c r="M3799">
        <v>60</v>
      </c>
      <c r="N3799" s="1">
        <f t="shared" si="472"/>
        <v>44938</v>
      </c>
      <c r="O3799" s="1">
        <f t="shared" si="473"/>
        <v>43101</v>
      </c>
      <c r="P3799" s="1">
        <f t="shared" si="474"/>
        <v>44713</v>
      </c>
      <c r="Q3799" s="8">
        <f t="shared" si="475"/>
        <v>0</v>
      </c>
      <c r="R3799" s="8">
        <f t="shared" si="476"/>
        <v>54</v>
      </c>
      <c r="S3799" s="8">
        <f t="shared" ca="1" si="477"/>
        <v>53</v>
      </c>
      <c r="T3799">
        <f t="shared" ca="1" si="478"/>
        <v>2.5309833797632004</v>
      </c>
      <c r="U3799" s="8">
        <f t="shared" ca="1" si="479"/>
        <v>2.9433031491584005</v>
      </c>
      <c r="V3799" s="9">
        <f ca="1">RawData[[#This Row],[Z (smoothed demand size)]]/RawData[[#This Row],[X (smoothed interval)]]</f>
        <v>0.85991257152254341</v>
      </c>
    </row>
    <row r="3800" spans="1:22">
      <c r="A3800" t="s">
        <v>72</v>
      </c>
      <c r="B3800" t="s">
        <v>60</v>
      </c>
      <c r="C3800">
        <v>28</v>
      </c>
      <c r="D3800" t="s">
        <v>15</v>
      </c>
      <c r="E3800" t="s">
        <v>16</v>
      </c>
      <c r="F3800" s="1">
        <v>44568</v>
      </c>
      <c r="G3800">
        <v>0</v>
      </c>
      <c r="H3800">
        <v>0</v>
      </c>
      <c r="I3800">
        <v>19</v>
      </c>
      <c r="J3800">
        <v>19</v>
      </c>
      <c r="K3800">
        <v>0</v>
      </c>
      <c r="L3800">
        <v>627</v>
      </c>
      <c r="M3800">
        <v>15</v>
      </c>
      <c r="N3800" s="1">
        <f t="shared" si="472"/>
        <v>44938</v>
      </c>
      <c r="O3800" s="1">
        <f t="shared" si="473"/>
        <v>43101</v>
      </c>
      <c r="P3800" s="1">
        <f t="shared" si="474"/>
        <v>44743</v>
      </c>
      <c r="Q3800" s="8">
        <f t="shared" si="475"/>
        <v>0</v>
      </c>
      <c r="R3800" s="8">
        <f t="shared" si="476"/>
        <v>55</v>
      </c>
      <c r="S3800" s="8">
        <f t="shared" ca="1" si="477"/>
        <v>53</v>
      </c>
      <c r="T3800">
        <f t="shared" ca="1" si="478"/>
        <v>2.5309833797632004</v>
      </c>
      <c r="U3800" s="8">
        <f t="shared" ca="1" si="479"/>
        <v>2.9433031491584005</v>
      </c>
      <c r="V3800" s="9">
        <f ca="1">RawData[[#This Row],[Z (smoothed demand size)]]/RawData[[#This Row],[X (smoothed interval)]]</f>
        <v>0.85991257152254341</v>
      </c>
    </row>
    <row r="3801" spans="1:22">
      <c r="A3801" t="s">
        <v>72</v>
      </c>
      <c r="B3801" t="s">
        <v>60</v>
      </c>
      <c r="C3801">
        <v>28</v>
      </c>
      <c r="D3801" t="s">
        <v>15</v>
      </c>
      <c r="E3801" t="s">
        <v>16</v>
      </c>
      <c r="F3801" s="1">
        <v>44569</v>
      </c>
      <c r="G3801">
        <v>0</v>
      </c>
      <c r="H3801">
        <v>0</v>
      </c>
      <c r="I3801">
        <v>19</v>
      </c>
      <c r="J3801">
        <v>19</v>
      </c>
      <c r="K3801">
        <v>0</v>
      </c>
      <c r="L3801">
        <v>629</v>
      </c>
      <c r="M3801">
        <v>30</v>
      </c>
      <c r="N3801" s="1">
        <f t="shared" si="472"/>
        <v>44938</v>
      </c>
      <c r="O3801" s="1">
        <f t="shared" si="473"/>
        <v>43101</v>
      </c>
      <c r="P3801" s="1">
        <f t="shared" si="474"/>
        <v>44774</v>
      </c>
      <c r="Q3801" s="8">
        <f t="shared" si="475"/>
        <v>0</v>
      </c>
      <c r="R3801" s="8">
        <f t="shared" si="476"/>
        <v>56</v>
      </c>
      <c r="S3801" s="8">
        <f t="shared" ca="1" si="477"/>
        <v>53</v>
      </c>
      <c r="T3801">
        <f t="shared" ca="1" si="478"/>
        <v>2.5309833797632004</v>
      </c>
      <c r="U3801" s="8">
        <f t="shared" ca="1" si="479"/>
        <v>2.9433031491584005</v>
      </c>
      <c r="V3801" s="9">
        <f ca="1">RawData[[#This Row],[Z (smoothed demand size)]]/RawData[[#This Row],[X (smoothed interval)]]</f>
        <v>0.85991257152254341</v>
      </c>
    </row>
    <row r="3802" spans="1:22">
      <c r="A3802" t="s">
        <v>72</v>
      </c>
      <c r="B3802" t="s">
        <v>60</v>
      </c>
      <c r="C3802">
        <v>28</v>
      </c>
      <c r="D3802" t="s">
        <v>15</v>
      </c>
      <c r="E3802" t="s">
        <v>16</v>
      </c>
      <c r="F3802" s="1">
        <v>44570</v>
      </c>
      <c r="G3802">
        <v>0</v>
      </c>
      <c r="H3802">
        <v>0</v>
      </c>
      <c r="I3802">
        <v>19</v>
      </c>
      <c r="J3802">
        <v>19</v>
      </c>
      <c r="K3802">
        <v>0</v>
      </c>
      <c r="L3802">
        <v>555</v>
      </c>
      <c r="M3802">
        <v>30</v>
      </c>
      <c r="N3802" s="1">
        <f t="shared" si="472"/>
        <v>44938</v>
      </c>
      <c r="O3802" s="1">
        <f t="shared" si="473"/>
        <v>43101</v>
      </c>
      <c r="P3802" s="1">
        <f t="shared" si="474"/>
        <v>44805</v>
      </c>
      <c r="Q3802" s="8">
        <f t="shared" si="475"/>
        <v>0</v>
      </c>
      <c r="R3802" s="8">
        <f t="shared" si="476"/>
        <v>57</v>
      </c>
      <c r="S3802" s="8">
        <f t="shared" ca="1" si="477"/>
        <v>53</v>
      </c>
      <c r="T3802">
        <f t="shared" ca="1" si="478"/>
        <v>2.5309833797632004</v>
      </c>
      <c r="U3802" s="8">
        <f t="shared" ca="1" si="479"/>
        <v>2.9433031491584005</v>
      </c>
      <c r="V3802" s="9">
        <f ca="1">RawData[[#This Row],[Z (smoothed demand size)]]/RawData[[#This Row],[X (smoothed interval)]]</f>
        <v>0.85991257152254341</v>
      </c>
    </row>
    <row r="3803" spans="1:22">
      <c r="A3803" t="s">
        <v>72</v>
      </c>
      <c r="B3803" t="s">
        <v>60</v>
      </c>
      <c r="C3803">
        <v>28</v>
      </c>
      <c r="D3803" t="s">
        <v>15</v>
      </c>
      <c r="E3803" t="s">
        <v>16</v>
      </c>
      <c r="F3803" s="1">
        <v>44571</v>
      </c>
      <c r="G3803">
        <v>0</v>
      </c>
      <c r="H3803">
        <v>0</v>
      </c>
      <c r="I3803">
        <v>19</v>
      </c>
      <c r="J3803">
        <v>19</v>
      </c>
      <c r="K3803">
        <v>0</v>
      </c>
      <c r="L3803">
        <v>549</v>
      </c>
      <c r="M3803">
        <v>30</v>
      </c>
      <c r="N3803" s="1">
        <f t="shared" si="472"/>
        <v>44938</v>
      </c>
      <c r="O3803" s="1">
        <f t="shared" si="473"/>
        <v>43101</v>
      </c>
      <c r="P3803" s="1">
        <f t="shared" si="474"/>
        <v>44835</v>
      </c>
      <c r="Q3803" s="8">
        <f t="shared" si="475"/>
        <v>0</v>
      </c>
      <c r="R3803" s="8">
        <f t="shared" si="476"/>
        <v>58</v>
      </c>
      <c r="S3803" s="8">
        <f t="shared" ca="1" si="477"/>
        <v>53</v>
      </c>
      <c r="T3803">
        <f t="shared" ca="1" si="478"/>
        <v>2.5309833797632004</v>
      </c>
      <c r="U3803" s="8">
        <f t="shared" ca="1" si="479"/>
        <v>2.9433031491584005</v>
      </c>
      <c r="V3803" s="9">
        <f ca="1">RawData[[#This Row],[Z (smoothed demand size)]]/RawData[[#This Row],[X (smoothed interval)]]</f>
        <v>0.85991257152254341</v>
      </c>
    </row>
    <row r="3804" spans="1:22">
      <c r="A3804" t="s">
        <v>72</v>
      </c>
      <c r="B3804" t="s">
        <v>60</v>
      </c>
      <c r="C3804">
        <v>28</v>
      </c>
      <c r="D3804" t="s">
        <v>15</v>
      </c>
      <c r="E3804" t="s">
        <v>16</v>
      </c>
      <c r="F3804" s="1">
        <v>44572</v>
      </c>
      <c r="G3804">
        <v>0</v>
      </c>
      <c r="H3804">
        <v>0</v>
      </c>
      <c r="I3804">
        <v>19</v>
      </c>
      <c r="J3804">
        <v>19</v>
      </c>
      <c r="K3804">
        <v>0</v>
      </c>
      <c r="L3804">
        <v>547</v>
      </c>
      <c r="M3804">
        <v>60</v>
      </c>
      <c r="N3804" s="1">
        <f t="shared" si="472"/>
        <v>44938</v>
      </c>
      <c r="O3804" s="1">
        <f t="shared" si="473"/>
        <v>43101</v>
      </c>
      <c r="P3804" s="1">
        <f t="shared" si="474"/>
        <v>44866</v>
      </c>
      <c r="Q3804" s="8">
        <f t="shared" si="475"/>
        <v>0</v>
      </c>
      <c r="R3804" s="8">
        <f t="shared" si="476"/>
        <v>59</v>
      </c>
      <c r="S3804" s="8">
        <f t="shared" ca="1" si="477"/>
        <v>53</v>
      </c>
      <c r="T3804">
        <f t="shared" ca="1" si="478"/>
        <v>2.5309833797632004</v>
      </c>
      <c r="U3804" s="8">
        <f t="shared" ca="1" si="479"/>
        <v>2.9433031491584005</v>
      </c>
      <c r="V3804" s="9">
        <f ca="1">RawData[[#This Row],[Z (smoothed demand size)]]/RawData[[#This Row],[X (smoothed interval)]]</f>
        <v>0.85991257152254341</v>
      </c>
    </row>
    <row r="3805" spans="1:22">
      <c r="A3805" t="s">
        <v>72</v>
      </c>
      <c r="B3805" t="s">
        <v>60</v>
      </c>
      <c r="C3805">
        <v>28</v>
      </c>
      <c r="D3805" t="s">
        <v>15</v>
      </c>
      <c r="E3805" t="s">
        <v>16</v>
      </c>
      <c r="F3805" s="1">
        <v>44573</v>
      </c>
      <c r="G3805">
        <v>0</v>
      </c>
      <c r="H3805">
        <v>0</v>
      </c>
      <c r="I3805">
        <v>19</v>
      </c>
      <c r="J3805">
        <v>19</v>
      </c>
      <c r="K3805">
        <v>0</v>
      </c>
      <c r="L3805">
        <v>627</v>
      </c>
      <c r="M3805">
        <v>45</v>
      </c>
      <c r="N3805" s="1">
        <f t="shared" si="472"/>
        <v>44938</v>
      </c>
      <c r="O3805" s="1">
        <f t="shared" si="473"/>
        <v>43101</v>
      </c>
      <c r="P3805" s="1">
        <f t="shared" si="474"/>
        <v>44896</v>
      </c>
      <c r="Q3805" s="8">
        <f t="shared" si="475"/>
        <v>0</v>
      </c>
      <c r="R3805" s="8">
        <f t="shared" si="476"/>
        <v>60</v>
      </c>
      <c r="S3805" s="8">
        <f t="shared" ca="1" si="477"/>
        <v>53</v>
      </c>
      <c r="T3805">
        <f t="shared" ca="1" si="478"/>
        <v>2.5309833797632004</v>
      </c>
      <c r="U3805" s="8">
        <f t="shared" ca="1" si="479"/>
        <v>2.9433031491584005</v>
      </c>
      <c r="V3805" s="9">
        <f ca="1">RawData[[#This Row],[Z (smoothed demand size)]]/RawData[[#This Row],[X (smoothed interval)]]</f>
        <v>0.85991257152254341</v>
      </c>
    </row>
    <row r="3806" spans="1:22">
      <c r="A3806" t="s">
        <v>72</v>
      </c>
      <c r="B3806" t="s">
        <v>60</v>
      </c>
      <c r="C3806">
        <v>28</v>
      </c>
      <c r="D3806" t="s">
        <v>15</v>
      </c>
      <c r="E3806" t="s">
        <v>16</v>
      </c>
      <c r="F3806" s="1">
        <v>44927</v>
      </c>
      <c r="G3806">
        <v>0</v>
      </c>
      <c r="H3806">
        <v>0</v>
      </c>
      <c r="I3806">
        <v>19</v>
      </c>
      <c r="J3806">
        <v>19</v>
      </c>
      <c r="K3806">
        <v>0</v>
      </c>
      <c r="L3806">
        <v>545</v>
      </c>
      <c r="M3806">
        <v>60</v>
      </c>
      <c r="N3806" s="1">
        <f t="shared" si="472"/>
        <v>44938</v>
      </c>
      <c r="O3806" s="1">
        <f t="shared" si="473"/>
        <v>43101</v>
      </c>
      <c r="P3806" s="1">
        <f t="shared" si="474"/>
        <v>44927</v>
      </c>
      <c r="Q3806" s="8">
        <f t="shared" si="475"/>
        <v>0</v>
      </c>
      <c r="R3806" s="8">
        <f t="shared" si="476"/>
        <v>61</v>
      </c>
      <c r="S3806" s="8">
        <f t="shared" ca="1" si="477"/>
        <v>53</v>
      </c>
      <c r="T3806">
        <f t="shared" ca="1" si="478"/>
        <v>2.5309833797632004</v>
      </c>
      <c r="U3806" s="8">
        <f t="shared" ca="1" si="479"/>
        <v>2.9433031491584005</v>
      </c>
      <c r="V3806" s="9">
        <f ca="1">RawData[[#This Row],[Z (smoothed demand size)]]/RawData[[#This Row],[X (smoothed interval)]]</f>
        <v>0.85991257152254341</v>
      </c>
    </row>
    <row r="3807" spans="1:22">
      <c r="A3807" t="s">
        <v>72</v>
      </c>
      <c r="B3807" t="s">
        <v>60</v>
      </c>
      <c r="C3807">
        <v>28</v>
      </c>
      <c r="D3807" t="s">
        <v>15</v>
      </c>
      <c r="E3807" t="s">
        <v>16</v>
      </c>
      <c r="F3807" s="1">
        <v>44928</v>
      </c>
      <c r="G3807">
        <v>0</v>
      </c>
      <c r="H3807">
        <v>0</v>
      </c>
      <c r="I3807">
        <v>19</v>
      </c>
      <c r="J3807">
        <v>19</v>
      </c>
      <c r="K3807">
        <v>0</v>
      </c>
      <c r="L3807">
        <v>546</v>
      </c>
      <c r="M3807">
        <v>60</v>
      </c>
      <c r="N3807" s="1">
        <f t="shared" si="472"/>
        <v>44938</v>
      </c>
      <c r="O3807" s="1">
        <f t="shared" si="473"/>
        <v>43101</v>
      </c>
      <c r="P3807" s="1">
        <f t="shared" si="474"/>
        <v>44958</v>
      </c>
      <c r="Q3807" s="8">
        <f t="shared" si="475"/>
        <v>0</v>
      </c>
      <c r="R3807" s="8">
        <f t="shared" si="476"/>
        <v>62</v>
      </c>
      <c r="S3807" s="8">
        <f t="shared" ca="1" si="477"/>
        <v>53</v>
      </c>
      <c r="T3807">
        <f t="shared" ca="1" si="478"/>
        <v>2.5309833797632004</v>
      </c>
      <c r="U3807" s="8">
        <f t="shared" ca="1" si="479"/>
        <v>2.9433031491584005</v>
      </c>
      <c r="V3807" s="9">
        <f ca="1">RawData[[#This Row],[Z (smoothed demand size)]]/RawData[[#This Row],[X (smoothed interval)]]</f>
        <v>0.85991257152254341</v>
      </c>
    </row>
    <row r="3808" spans="1:22">
      <c r="A3808" t="s">
        <v>72</v>
      </c>
      <c r="B3808" t="s">
        <v>60</v>
      </c>
      <c r="C3808">
        <v>28</v>
      </c>
      <c r="D3808" t="s">
        <v>15</v>
      </c>
      <c r="E3808" t="s">
        <v>16</v>
      </c>
      <c r="F3808" s="1">
        <v>44929</v>
      </c>
      <c r="G3808">
        <v>2</v>
      </c>
      <c r="H3808">
        <v>2</v>
      </c>
      <c r="I3808">
        <v>19</v>
      </c>
      <c r="J3808">
        <v>17</v>
      </c>
      <c r="K3808">
        <v>0</v>
      </c>
      <c r="L3808">
        <v>553</v>
      </c>
      <c r="M3808">
        <v>45</v>
      </c>
      <c r="N3808" s="1">
        <f t="shared" si="472"/>
        <v>44938</v>
      </c>
      <c r="O3808" s="1">
        <f t="shared" si="473"/>
        <v>43101</v>
      </c>
      <c r="P3808" s="1">
        <f t="shared" si="474"/>
        <v>44986</v>
      </c>
      <c r="Q3808" s="8">
        <f t="shared" si="475"/>
        <v>0</v>
      </c>
      <c r="R3808" s="8">
        <f t="shared" si="476"/>
        <v>63</v>
      </c>
      <c r="S3808" s="8">
        <f t="shared" ca="1" si="477"/>
        <v>63</v>
      </c>
      <c r="T3808">
        <f t="shared" ca="1" si="478"/>
        <v>2.4247867038105602</v>
      </c>
      <c r="U3808" s="8">
        <f t="shared" ca="1" si="479"/>
        <v>4.3546425193267204</v>
      </c>
      <c r="V3808" s="9">
        <f ca="1">RawData[[#This Row],[Z (smoothed demand size)]]/RawData[[#This Row],[X (smoothed interval)]]</f>
        <v>0.55682795844869049</v>
      </c>
    </row>
    <row r="3809" spans="1:22">
      <c r="A3809" t="s">
        <v>72</v>
      </c>
      <c r="B3809" t="s">
        <v>60</v>
      </c>
      <c r="C3809">
        <v>28</v>
      </c>
      <c r="D3809" t="s">
        <v>15</v>
      </c>
      <c r="E3809" t="s">
        <v>16</v>
      </c>
      <c r="F3809" s="1">
        <v>44930</v>
      </c>
      <c r="G3809">
        <v>0</v>
      </c>
      <c r="H3809">
        <v>0</v>
      </c>
      <c r="I3809">
        <v>17</v>
      </c>
      <c r="J3809">
        <v>17</v>
      </c>
      <c r="K3809">
        <v>0</v>
      </c>
      <c r="L3809">
        <v>548</v>
      </c>
      <c r="M3809">
        <v>15</v>
      </c>
      <c r="N3809" s="1">
        <f t="shared" si="472"/>
        <v>44938</v>
      </c>
      <c r="O3809" s="1">
        <f t="shared" si="473"/>
        <v>43101</v>
      </c>
      <c r="P3809" s="1">
        <f t="shared" si="474"/>
        <v>45017</v>
      </c>
      <c r="Q3809" s="8">
        <f t="shared" si="475"/>
        <v>0</v>
      </c>
      <c r="R3809" s="8">
        <f t="shared" si="476"/>
        <v>64</v>
      </c>
      <c r="S3809" s="8">
        <f t="shared" ca="1" si="477"/>
        <v>63</v>
      </c>
      <c r="T3809">
        <f t="shared" ca="1" si="478"/>
        <v>2.4247867038105602</v>
      </c>
      <c r="U3809" s="8">
        <f t="shared" ca="1" si="479"/>
        <v>4.3546425193267204</v>
      </c>
      <c r="V3809" s="9">
        <f ca="1">RawData[[#This Row],[Z (smoothed demand size)]]/RawData[[#This Row],[X (smoothed interval)]]</f>
        <v>0.55682795844869049</v>
      </c>
    </row>
    <row r="3810" spans="1:22">
      <c r="A3810" t="s">
        <v>72</v>
      </c>
      <c r="B3810" t="s">
        <v>60</v>
      </c>
      <c r="C3810">
        <v>28</v>
      </c>
      <c r="D3810" t="s">
        <v>15</v>
      </c>
      <c r="E3810" t="s">
        <v>16</v>
      </c>
      <c r="F3810" s="1">
        <v>44931</v>
      </c>
      <c r="G3810">
        <v>0</v>
      </c>
      <c r="H3810">
        <v>0</v>
      </c>
      <c r="I3810">
        <v>17</v>
      </c>
      <c r="J3810">
        <v>17</v>
      </c>
      <c r="K3810">
        <v>0</v>
      </c>
      <c r="L3810">
        <v>555</v>
      </c>
      <c r="M3810">
        <v>15</v>
      </c>
      <c r="N3810" s="1">
        <f t="shared" si="472"/>
        <v>44938</v>
      </c>
      <c r="O3810" s="1">
        <f t="shared" si="473"/>
        <v>43101</v>
      </c>
      <c r="P3810" s="1">
        <f t="shared" si="474"/>
        <v>45047</v>
      </c>
      <c r="Q3810" s="8">
        <f t="shared" si="475"/>
        <v>0</v>
      </c>
      <c r="R3810" s="8">
        <f t="shared" si="476"/>
        <v>65</v>
      </c>
      <c r="S3810" s="8">
        <f t="shared" ca="1" si="477"/>
        <v>63</v>
      </c>
      <c r="T3810">
        <f t="shared" ca="1" si="478"/>
        <v>2.4247867038105602</v>
      </c>
      <c r="U3810" s="8">
        <f t="shared" ca="1" si="479"/>
        <v>4.3546425193267204</v>
      </c>
      <c r="V3810" s="9">
        <f ca="1">RawData[[#This Row],[Z (smoothed demand size)]]/RawData[[#This Row],[X (smoothed interval)]]</f>
        <v>0.55682795844869049</v>
      </c>
    </row>
    <row r="3811" spans="1:22">
      <c r="A3811" t="s">
        <v>72</v>
      </c>
      <c r="B3811" t="s">
        <v>60</v>
      </c>
      <c r="C3811">
        <v>28</v>
      </c>
      <c r="D3811" t="s">
        <v>15</v>
      </c>
      <c r="E3811" t="s">
        <v>16</v>
      </c>
      <c r="F3811" s="1">
        <v>44932</v>
      </c>
      <c r="G3811">
        <v>0</v>
      </c>
      <c r="H3811">
        <v>0</v>
      </c>
      <c r="I3811">
        <v>17</v>
      </c>
      <c r="J3811">
        <v>17</v>
      </c>
      <c r="K3811">
        <v>0</v>
      </c>
      <c r="L3811">
        <v>624</v>
      </c>
      <c r="M3811">
        <v>30</v>
      </c>
      <c r="N3811" s="1">
        <f t="shared" si="472"/>
        <v>44938</v>
      </c>
      <c r="O3811" s="1">
        <f t="shared" si="473"/>
        <v>43101</v>
      </c>
      <c r="P3811" s="1">
        <f t="shared" si="474"/>
        <v>45078</v>
      </c>
      <c r="Q3811" s="8">
        <f t="shared" si="475"/>
        <v>0</v>
      </c>
      <c r="R3811" s="8">
        <f t="shared" si="476"/>
        <v>66</v>
      </c>
      <c r="S3811" s="8">
        <f t="shared" ca="1" si="477"/>
        <v>63</v>
      </c>
      <c r="T3811">
        <f t="shared" ca="1" si="478"/>
        <v>2.4247867038105602</v>
      </c>
      <c r="U3811" s="8">
        <f t="shared" ca="1" si="479"/>
        <v>4.3546425193267204</v>
      </c>
      <c r="V3811" s="9">
        <f ca="1">RawData[[#This Row],[Z (smoothed demand size)]]/RawData[[#This Row],[X (smoothed interval)]]</f>
        <v>0.55682795844869049</v>
      </c>
    </row>
    <row r="3812" spans="1:22">
      <c r="A3812" t="s">
        <v>72</v>
      </c>
      <c r="B3812" t="s">
        <v>60</v>
      </c>
      <c r="C3812">
        <v>28</v>
      </c>
      <c r="D3812" t="s">
        <v>15</v>
      </c>
      <c r="E3812" t="s">
        <v>16</v>
      </c>
      <c r="F3812" s="1">
        <v>44933</v>
      </c>
      <c r="G3812">
        <v>0</v>
      </c>
      <c r="H3812">
        <v>0</v>
      </c>
      <c r="I3812">
        <v>17</v>
      </c>
      <c r="J3812">
        <v>17</v>
      </c>
      <c r="K3812">
        <v>0</v>
      </c>
      <c r="L3812">
        <v>639</v>
      </c>
      <c r="M3812">
        <v>60</v>
      </c>
      <c r="N3812" s="1">
        <f t="shared" si="472"/>
        <v>44938</v>
      </c>
      <c r="O3812" s="1">
        <f t="shared" si="473"/>
        <v>43101</v>
      </c>
      <c r="P3812" s="1">
        <f t="shared" si="474"/>
        <v>45108</v>
      </c>
      <c r="Q3812" s="8">
        <f t="shared" si="475"/>
        <v>0</v>
      </c>
      <c r="R3812" s="8">
        <f t="shared" si="476"/>
        <v>67</v>
      </c>
      <c r="S3812" s="8">
        <f t="shared" ca="1" si="477"/>
        <v>63</v>
      </c>
      <c r="T3812">
        <f t="shared" ca="1" si="478"/>
        <v>2.4247867038105602</v>
      </c>
      <c r="U3812" s="8">
        <f t="shared" ca="1" si="479"/>
        <v>4.3546425193267204</v>
      </c>
      <c r="V3812" s="9">
        <f ca="1">RawData[[#This Row],[Z (smoothed demand size)]]/RawData[[#This Row],[X (smoothed interval)]]</f>
        <v>0.55682795844869049</v>
      </c>
    </row>
    <row r="3813" spans="1:22">
      <c r="A3813" t="s">
        <v>72</v>
      </c>
      <c r="B3813" t="s">
        <v>60</v>
      </c>
      <c r="C3813">
        <v>28</v>
      </c>
      <c r="D3813" t="s">
        <v>15</v>
      </c>
      <c r="E3813" t="s">
        <v>16</v>
      </c>
      <c r="F3813" s="1">
        <v>44934</v>
      </c>
      <c r="G3813">
        <v>1</v>
      </c>
      <c r="H3813">
        <v>1</v>
      </c>
      <c r="I3813">
        <v>17</v>
      </c>
      <c r="J3813">
        <v>16</v>
      </c>
      <c r="K3813">
        <v>0</v>
      </c>
      <c r="L3813">
        <v>630</v>
      </c>
      <c r="M3813">
        <v>15</v>
      </c>
      <c r="N3813" s="1">
        <f t="shared" si="472"/>
        <v>44938</v>
      </c>
      <c r="O3813" s="1">
        <f t="shared" si="473"/>
        <v>43101</v>
      </c>
      <c r="P3813" s="1">
        <f t="shared" si="474"/>
        <v>45139</v>
      </c>
      <c r="Q3813" s="8">
        <f t="shared" si="475"/>
        <v>0</v>
      </c>
      <c r="R3813" s="8">
        <f t="shared" si="476"/>
        <v>68</v>
      </c>
      <c r="S3813" s="8">
        <f t="shared" ca="1" si="477"/>
        <v>68</v>
      </c>
      <c r="T3813">
        <f t="shared" ca="1" si="478"/>
        <v>2.1398293630484484</v>
      </c>
      <c r="U3813" s="8">
        <f t="shared" ca="1" si="479"/>
        <v>4.483714015461377</v>
      </c>
      <c r="V3813" s="9">
        <f ca="1">RawData[[#This Row],[Z (smoothed demand size)]]/RawData[[#This Row],[X (smoothed interval)]]</f>
        <v>0.47724483668440626</v>
      </c>
    </row>
    <row r="3814" spans="1:22">
      <c r="A3814" t="s">
        <v>72</v>
      </c>
      <c r="B3814" t="s">
        <v>60</v>
      </c>
      <c r="C3814">
        <v>28</v>
      </c>
      <c r="D3814" t="s">
        <v>15</v>
      </c>
      <c r="E3814" t="s">
        <v>16</v>
      </c>
      <c r="F3814" s="1">
        <v>44935</v>
      </c>
      <c r="G3814">
        <v>2</v>
      </c>
      <c r="H3814">
        <v>2</v>
      </c>
      <c r="I3814">
        <v>16</v>
      </c>
      <c r="J3814">
        <v>14</v>
      </c>
      <c r="K3814">
        <v>0</v>
      </c>
      <c r="L3814">
        <v>547</v>
      </c>
      <c r="M3814">
        <v>60</v>
      </c>
      <c r="N3814" s="1">
        <f t="shared" si="472"/>
        <v>44938</v>
      </c>
      <c r="O3814" s="1">
        <f t="shared" si="473"/>
        <v>43101</v>
      </c>
      <c r="P3814" s="1">
        <f t="shared" si="474"/>
        <v>45170</v>
      </c>
      <c r="Q3814" s="8">
        <f t="shared" si="475"/>
        <v>0</v>
      </c>
      <c r="R3814" s="8">
        <f t="shared" si="476"/>
        <v>69</v>
      </c>
      <c r="S3814" s="8">
        <f t="shared" ca="1" si="477"/>
        <v>69</v>
      </c>
      <c r="T3814">
        <f t="shared" ca="1" si="478"/>
        <v>2.111863490438759</v>
      </c>
      <c r="U3814" s="8">
        <f t="shared" ca="1" si="479"/>
        <v>3.7869712123691022</v>
      </c>
      <c r="V3814" s="9">
        <f ca="1">RawData[[#This Row],[Z (smoothed demand size)]]/RawData[[#This Row],[X (smoothed interval)]]</f>
        <v>0.55766557811185269</v>
      </c>
    </row>
    <row r="3815" spans="1:22">
      <c r="A3815" t="s">
        <v>72</v>
      </c>
      <c r="B3815" t="s">
        <v>60</v>
      </c>
      <c r="C3815">
        <v>28</v>
      </c>
      <c r="D3815" t="s">
        <v>15</v>
      </c>
      <c r="E3815" t="s">
        <v>16</v>
      </c>
      <c r="F3815" s="1">
        <v>44936</v>
      </c>
      <c r="G3815">
        <v>0</v>
      </c>
      <c r="H3815">
        <v>0</v>
      </c>
      <c r="I3815">
        <v>14</v>
      </c>
      <c r="J3815">
        <v>14</v>
      </c>
      <c r="K3815">
        <v>0</v>
      </c>
      <c r="L3815">
        <v>547</v>
      </c>
      <c r="M3815">
        <v>45</v>
      </c>
      <c r="N3815" s="1">
        <f t="shared" si="472"/>
        <v>44938</v>
      </c>
      <c r="O3815" s="1">
        <f t="shared" si="473"/>
        <v>43101</v>
      </c>
      <c r="P3815" s="1">
        <f t="shared" si="474"/>
        <v>45200</v>
      </c>
      <c r="Q3815" s="8">
        <f t="shared" si="475"/>
        <v>0</v>
      </c>
      <c r="R3815" s="8">
        <f t="shared" si="476"/>
        <v>70</v>
      </c>
      <c r="S3815" s="8">
        <f t="shared" ca="1" si="477"/>
        <v>69</v>
      </c>
      <c r="T3815">
        <f t="shared" ca="1" si="478"/>
        <v>2.111863490438759</v>
      </c>
      <c r="U3815" s="8">
        <f t="shared" ca="1" si="479"/>
        <v>3.7869712123691022</v>
      </c>
      <c r="V3815" s="9">
        <f ca="1">RawData[[#This Row],[Z (smoothed demand size)]]/RawData[[#This Row],[X (smoothed interval)]]</f>
        <v>0.55766557811185269</v>
      </c>
    </row>
    <row r="3816" spans="1:22">
      <c r="A3816" t="s">
        <v>72</v>
      </c>
      <c r="B3816" t="s">
        <v>60</v>
      </c>
      <c r="C3816">
        <v>28</v>
      </c>
      <c r="D3816" t="s">
        <v>15</v>
      </c>
      <c r="E3816" t="s">
        <v>16</v>
      </c>
      <c r="F3816" s="1">
        <v>44937</v>
      </c>
      <c r="G3816">
        <v>0</v>
      </c>
      <c r="H3816">
        <v>0</v>
      </c>
      <c r="I3816">
        <v>14</v>
      </c>
      <c r="J3816">
        <v>14</v>
      </c>
      <c r="K3816">
        <v>0</v>
      </c>
      <c r="L3816">
        <v>561</v>
      </c>
      <c r="M3816">
        <v>45</v>
      </c>
      <c r="N3816" s="1">
        <f t="shared" si="472"/>
        <v>44938</v>
      </c>
      <c r="O3816" s="1">
        <f t="shared" si="473"/>
        <v>43101</v>
      </c>
      <c r="P3816" s="1">
        <f t="shared" si="474"/>
        <v>45231</v>
      </c>
      <c r="Q3816" s="8">
        <f t="shared" si="475"/>
        <v>0</v>
      </c>
      <c r="R3816" s="8">
        <f t="shared" si="476"/>
        <v>71</v>
      </c>
      <c r="S3816" s="8">
        <f t="shared" ca="1" si="477"/>
        <v>69</v>
      </c>
      <c r="T3816">
        <f t="shared" ca="1" si="478"/>
        <v>2.111863490438759</v>
      </c>
      <c r="U3816" s="8">
        <f t="shared" ca="1" si="479"/>
        <v>3.7869712123691022</v>
      </c>
      <c r="V3816" s="9">
        <f ca="1">RawData[[#This Row],[Z (smoothed demand size)]]/RawData[[#This Row],[X (smoothed interval)]]</f>
        <v>0.55766557811185269</v>
      </c>
    </row>
    <row r="3817" spans="1:22">
      <c r="A3817" t="s">
        <v>72</v>
      </c>
      <c r="B3817" t="s">
        <v>60</v>
      </c>
      <c r="C3817">
        <v>28</v>
      </c>
      <c r="D3817" t="s">
        <v>15</v>
      </c>
      <c r="E3817" t="s">
        <v>16</v>
      </c>
      <c r="F3817" s="1">
        <v>44938</v>
      </c>
      <c r="G3817">
        <v>3</v>
      </c>
      <c r="H3817">
        <v>3</v>
      </c>
      <c r="I3817">
        <v>14</v>
      </c>
      <c r="J3817">
        <v>11</v>
      </c>
      <c r="K3817">
        <v>0</v>
      </c>
      <c r="L3817">
        <v>628</v>
      </c>
      <c r="M3817">
        <v>30</v>
      </c>
      <c r="N3817" s="1">
        <f t="shared" si="472"/>
        <v>44938</v>
      </c>
      <c r="O3817" s="1">
        <f t="shared" si="473"/>
        <v>43101</v>
      </c>
      <c r="P3817" s="1">
        <f t="shared" si="474"/>
        <v>45261</v>
      </c>
      <c r="Q3817" s="8">
        <f t="shared" si="475"/>
        <v>0</v>
      </c>
      <c r="R3817" s="8">
        <f t="shared" si="476"/>
        <v>72</v>
      </c>
      <c r="S3817" s="8">
        <f t="shared" ca="1" si="477"/>
        <v>72</v>
      </c>
      <c r="T3817">
        <f t="shared" ca="1" si="478"/>
        <v>2.2894907923510073</v>
      </c>
      <c r="U3817" s="8">
        <f t="shared" ca="1" si="479"/>
        <v>3.629576969895282</v>
      </c>
      <c r="V3817" s="9">
        <f ca="1">RawData[[#This Row],[Z (smoothed demand size)]]/RawData[[#This Row],[X (smoothed interval)]]</f>
        <v>0.63078722709028601</v>
      </c>
    </row>
    <row r="3818" spans="1:22">
      <c r="A3818" t="s">
        <v>73</v>
      </c>
      <c r="B3818" t="s">
        <v>60</v>
      </c>
      <c r="C3818">
        <v>49</v>
      </c>
      <c r="D3818" t="s">
        <v>22</v>
      </c>
      <c r="E3818" t="s">
        <v>16</v>
      </c>
      <c r="F3818" s="1">
        <v>43101</v>
      </c>
      <c r="G3818">
        <v>0</v>
      </c>
      <c r="H3818">
        <v>0</v>
      </c>
      <c r="I3818">
        <v>20</v>
      </c>
      <c r="J3818">
        <v>20</v>
      </c>
      <c r="K3818">
        <v>0</v>
      </c>
      <c r="L3818">
        <v>602</v>
      </c>
      <c r="M3818">
        <v>60</v>
      </c>
      <c r="N3818" s="1">
        <f t="shared" si="472"/>
        <v>44938</v>
      </c>
      <c r="O3818" s="1">
        <f t="shared" si="473"/>
        <v>43101</v>
      </c>
      <c r="P3818" s="1">
        <f t="shared" si="474"/>
        <v>43101</v>
      </c>
      <c r="Q3818" s="8">
        <f t="shared" si="475"/>
        <v>1</v>
      </c>
      <c r="R3818" s="8">
        <f t="shared" si="476"/>
        <v>1</v>
      </c>
      <c r="S3818" s="8">
        <f t="shared" ca="1" si="477"/>
        <v>0</v>
      </c>
      <c r="T3818">
        <f t="shared" ca="1" si="478"/>
        <v>0</v>
      </c>
      <c r="U3818" s="8">
        <f t="shared" ca="1" si="479"/>
        <v>1</v>
      </c>
      <c r="V3818" s="9">
        <f ca="1">RawData[[#This Row],[Z (smoothed demand size)]]/RawData[[#This Row],[X (smoothed interval)]]</f>
        <v>0</v>
      </c>
    </row>
    <row r="3819" spans="1:22">
      <c r="A3819" t="s">
        <v>73</v>
      </c>
      <c r="B3819" t="s">
        <v>60</v>
      </c>
      <c r="C3819">
        <v>49</v>
      </c>
      <c r="D3819" t="s">
        <v>22</v>
      </c>
      <c r="E3819" t="s">
        <v>16</v>
      </c>
      <c r="F3819" s="1">
        <v>43102</v>
      </c>
      <c r="G3819">
        <v>0</v>
      </c>
      <c r="H3819">
        <v>0</v>
      </c>
      <c r="I3819">
        <v>20</v>
      </c>
      <c r="J3819">
        <v>20</v>
      </c>
      <c r="K3819">
        <v>0</v>
      </c>
      <c r="L3819">
        <v>599</v>
      </c>
      <c r="M3819">
        <v>60</v>
      </c>
      <c r="N3819" s="1">
        <f t="shared" si="472"/>
        <v>44938</v>
      </c>
      <c r="O3819" s="1">
        <f t="shared" si="473"/>
        <v>43101</v>
      </c>
      <c r="P3819" s="1">
        <f t="shared" si="474"/>
        <v>43132</v>
      </c>
      <c r="Q3819" s="8">
        <f t="shared" si="475"/>
        <v>0</v>
      </c>
      <c r="R3819" s="8">
        <f t="shared" si="476"/>
        <v>2</v>
      </c>
      <c r="S3819" s="8">
        <f t="shared" ca="1" si="477"/>
        <v>0</v>
      </c>
      <c r="T3819">
        <f t="shared" ca="1" si="478"/>
        <v>0</v>
      </c>
      <c r="U3819" s="8">
        <f t="shared" ca="1" si="479"/>
        <v>1</v>
      </c>
      <c r="V3819" s="9">
        <f ca="1">RawData[[#This Row],[Z (smoothed demand size)]]/RawData[[#This Row],[X (smoothed interval)]]</f>
        <v>0</v>
      </c>
    </row>
    <row r="3820" spans="1:22">
      <c r="A3820" t="s">
        <v>73</v>
      </c>
      <c r="B3820" t="s">
        <v>60</v>
      </c>
      <c r="C3820">
        <v>49</v>
      </c>
      <c r="D3820" t="s">
        <v>22</v>
      </c>
      <c r="E3820" t="s">
        <v>16</v>
      </c>
      <c r="F3820" s="1">
        <v>43103</v>
      </c>
      <c r="G3820">
        <v>0</v>
      </c>
      <c r="H3820">
        <v>0</v>
      </c>
      <c r="I3820">
        <v>20</v>
      </c>
      <c r="J3820">
        <v>20</v>
      </c>
      <c r="K3820">
        <v>0</v>
      </c>
      <c r="L3820">
        <v>607</v>
      </c>
      <c r="M3820">
        <v>30</v>
      </c>
      <c r="N3820" s="1">
        <f t="shared" si="472"/>
        <v>44938</v>
      </c>
      <c r="O3820" s="1">
        <f t="shared" si="473"/>
        <v>43101</v>
      </c>
      <c r="P3820" s="1">
        <f t="shared" si="474"/>
        <v>43160</v>
      </c>
      <c r="Q3820" s="8">
        <f t="shared" si="475"/>
        <v>0</v>
      </c>
      <c r="R3820" s="8">
        <f t="shared" si="476"/>
        <v>3</v>
      </c>
      <c r="S3820" s="8">
        <f t="shared" ca="1" si="477"/>
        <v>0</v>
      </c>
      <c r="T3820">
        <f t="shared" ca="1" si="478"/>
        <v>0</v>
      </c>
      <c r="U3820" s="8">
        <f t="shared" ca="1" si="479"/>
        <v>1</v>
      </c>
      <c r="V3820" s="9">
        <f ca="1">RawData[[#This Row],[Z (smoothed demand size)]]/RawData[[#This Row],[X (smoothed interval)]]</f>
        <v>0</v>
      </c>
    </row>
    <row r="3821" spans="1:22">
      <c r="A3821" t="s">
        <v>73</v>
      </c>
      <c r="B3821" t="s">
        <v>60</v>
      </c>
      <c r="C3821">
        <v>49</v>
      </c>
      <c r="D3821" t="s">
        <v>22</v>
      </c>
      <c r="E3821" t="s">
        <v>16</v>
      </c>
      <c r="F3821" s="1">
        <v>43104</v>
      </c>
      <c r="G3821">
        <v>0</v>
      </c>
      <c r="H3821">
        <v>0</v>
      </c>
      <c r="I3821">
        <v>20</v>
      </c>
      <c r="J3821">
        <v>20</v>
      </c>
      <c r="K3821">
        <v>0</v>
      </c>
      <c r="L3821">
        <v>607</v>
      </c>
      <c r="M3821">
        <v>45</v>
      </c>
      <c r="N3821" s="1">
        <f t="shared" si="472"/>
        <v>44938</v>
      </c>
      <c r="O3821" s="1">
        <f t="shared" si="473"/>
        <v>43101</v>
      </c>
      <c r="P3821" s="1">
        <f t="shared" si="474"/>
        <v>43191</v>
      </c>
      <c r="Q3821" s="8">
        <f t="shared" si="475"/>
        <v>0</v>
      </c>
      <c r="R3821" s="8">
        <f t="shared" si="476"/>
        <v>4</v>
      </c>
      <c r="S3821" s="8">
        <f t="shared" ca="1" si="477"/>
        <v>0</v>
      </c>
      <c r="T3821">
        <f t="shared" ca="1" si="478"/>
        <v>0</v>
      </c>
      <c r="U3821" s="8">
        <f t="shared" ca="1" si="479"/>
        <v>1</v>
      </c>
      <c r="V3821" s="9">
        <f ca="1">RawData[[#This Row],[Z (smoothed demand size)]]/RawData[[#This Row],[X (smoothed interval)]]</f>
        <v>0</v>
      </c>
    </row>
    <row r="3822" spans="1:22">
      <c r="A3822" t="s">
        <v>73</v>
      </c>
      <c r="B3822" t="s">
        <v>60</v>
      </c>
      <c r="C3822">
        <v>49</v>
      </c>
      <c r="D3822" t="s">
        <v>22</v>
      </c>
      <c r="E3822" t="s">
        <v>16</v>
      </c>
      <c r="F3822" s="1">
        <v>43105</v>
      </c>
      <c r="G3822">
        <v>0</v>
      </c>
      <c r="H3822">
        <v>0</v>
      </c>
      <c r="I3822">
        <v>20</v>
      </c>
      <c r="J3822">
        <v>20</v>
      </c>
      <c r="K3822">
        <v>0</v>
      </c>
      <c r="L3822">
        <v>615</v>
      </c>
      <c r="M3822">
        <v>45</v>
      </c>
      <c r="N3822" s="1">
        <f t="shared" si="472"/>
        <v>44938</v>
      </c>
      <c r="O3822" s="1">
        <f t="shared" si="473"/>
        <v>43101</v>
      </c>
      <c r="P3822" s="1">
        <f t="shared" si="474"/>
        <v>43221</v>
      </c>
      <c r="Q3822" s="8">
        <f t="shared" si="475"/>
        <v>0</v>
      </c>
      <c r="R3822" s="8">
        <f t="shared" si="476"/>
        <v>5</v>
      </c>
      <c r="S3822" s="8">
        <f t="shared" ca="1" si="477"/>
        <v>0</v>
      </c>
      <c r="T3822">
        <f t="shared" ca="1" si="478"/>
        <v>0</v>
      </c>
      <c r="U3822" s="8">
        <f t="shared" ca="1" si="479"/>
        <v>1</v>
      </c>
      <c r="V3822" s="9">
        <f ca="1">RawData[[#This Row],[Z (smoothed demand size)]]/RawData[[#This Row],[X (smoothed interval)]]</f>
        <v>0</v>
      </c>
    </row>
    <row r="3823" spans="1:22">
      <c r="A3823" t="s">
        <v>73</v>
      </c>
      <c r="B3823" t="s">
        <v>60</v>
      </c>
      <c r="C3823">
        <v>49</v>
      </c>
      <c r="D3823" t="s">
        <v>22</v>
      </c>
      <c r="E3823" t="s">
        <v>16</v>
      </c>
      <c r="F3823" s="1">
        <v>43106</v>
      </c>
      <c r="G3823">
        <v>0</v>
      </c>
      <c r="H3823">
        <v>0</v>
      </c>
      <c r="I3823">
        <v>20</v>
      </c>
      <c r="J3823">
        <v>20</v>
      </c>
      <c r="K3823">
        <v>0</v>
      </c>
      <c r="L3823">
        <v>698</v>
      </c>
      <c r="M3823">
        <v>15</v>
      </c>
      <c r="N3823" s="1">
        <f t="shared" si="472"/>
        <v>44938</v>
      </c>
      <c r="O3823" s="1">
        <f t="shared" si="473"/>
        <v>43101</v>
      </c>
      <c r="P3823" s="1">
        <f t="shared" si="474"/>
        <v>43252</v>
      </c>
      <c r="Q3823" s="8">
        <f t="shared" si="475"/>
        <v>0</v>
      </c>
      <c r="R3823" s="8">
        <f t="shared" si="476"/>
        <v>6</v>
      </c>
      <c r="S3823" s="8">
        <f t="shared" ca="1" si="477"/>
        <v>0</v>
      </c>
      <c r="T3823">
        <f t="shared" ca="1" si="478"/>
        <v>0</v>
      </c>
      <c r="U3823" s="8">
        <f t="shared" ca="1" si="479"/>
        <v>1</v>
      </c>
      <c r="V3823" s="9">
        <f ca="1">RawData[[#This Row],[Z (smoothed demand size)]]/RawData[[#This Row],[X (smoothed interval)]]</f>
        <v>0</v>
      </c>
    </row>
    <row r="3824" spans="1:22">
      <c r="A3824" t="s">
        <v>73</v>
      </c>
      <c r="B3824" t="s">
        <v>60</v>
      </c>
      <c r="C3824">
        <v>49</v>
      </c>
      <c r="D3824" t="s">
        <v>22</v>
      </c>
      <c r="E3824" t="s">
        <v>16</v>
      </c>
      <c r="F3824" s="1">
        <v>43107</v>
      </c>
      <c r="G3824">
        <v>0</v>
      </c>
      <c r="H3824">
        <v>0</v>
      </c>
      <c r="I3824">
        <v>20</v>
      </c>
      <c r="J3824">
        <v>20</v>
      </c>
      <c r="K3824">
        <v>0</v>
      </c>
      <c r="L3824">
        <v>697</v>
      </c>
      <c r="M3824">
        <v>15</v>
      </c>
      <c r="N3824" s="1">
        <f t="shared" si="472"/>
        <v>44938</v>
      </c>
      <c r="O3824" s="1">
        <f t="shared" si="473"/>
        <v>43101</v>
      </c>
      <c r="P3824" s="1">
        <f t="shared" si="474"/>
        <v>43282</v>
      </c>
      <c r="Q3824" s="8">
        <f t="shared" si="475"/>
        <v>0</v>
      </c>
      <c r="R3824" s="8">
        <f t="shared" si="476"/>
        <v>7</v>
      </c>
      <c r="S3824" s="8">
        <f t="shared" ca="1" si="477"/>
        <v>0</v>
      </c>
      <c r="T3824">
        <f t="shared" ca="1" si="478"/>
        <v>0</v>
      </c>
      <c r="U3824" s="8">
        <f t="shared" ca="1" si="479"/>
        <v>1</v>
      </c>
      <c r="V3824" s="9">
        <f ca="1">RawData[[#This Row],[Z (smoothed demand size)]]/RawData[[#This Row],[X (smoothed interval)]]</f>
        <v>0</v>
      </c>
    </row>
    <row r="3825" spans="1:22">
      <c r="A3825" t="s">
        <v>73</v>
      </c>
      <c r="B3825" t="s">
        <v>60</v>
      </c>
      <c r="C3825">
        <v>49</v>
      </c>
      <c r="D3825" t="s">
        <v>22</v>
      </c>
      <c r="E3825" t="s">
        <v>16</v>
      </c>
      <c r="F3825" s="1">
        <v>43108</v>
      </c>
      <c r="G3825">
        <v>0</v>
      </c>
      <c r="H3825">
        <v>0</v>
      </c>
      <c r="I3825">
        <v>20</v>
      </c>
      <c r="J3825">
        <v>20</v>
      </c>
      <c r="K3825">
        <v>0</v>
      </c>
      <c r="L3825">
        <v>701</v>
      </c>
      <c r="M3825">
        <v>15</v>
      </c>
      <c r="N3825" s="1">
        <f t="shared" si="472"/>
        <v>44938</v>
      </c>
      <c r="O3825" s="1">
        <f t="shared" si="473"/>
        <v>43101</v>
      </c>
      <c r="P3825" s="1">
        <f t="shared" si="474"/>
        <v>43313</v>
      </c>
      <c r="Q3825" s="8">
        <f t="shared" si="475"/>
        <v>0</v>
      </c>
      <c r="R3825" s="8">
        <f t="shared" si="476"/>
        <v>8</v>
      </c>
      <c r="S3825" s="8">
        <f t="shared" ca="1" si="477"/>
        <v>0</v>
      </c>
      <c r="T3825">
        <f t="shared" ca="1" si="478"/>
        <v>0</v>
      </c>
      <c r="U3825" s="8">
        <f t="shared" ca="1" si="479"/>
        <v>1</v>
      </c>
      <c r="V3825" s="9">
        <f ca="1">RawData[[#This Row],[Z (smoothed demand size)]]/RawData[[#This Row],[X (smoothed interval)]]</f>
        <v>0</v>
      </c>
    </row>
    <row r="3826" spans="1:22">
      <c r="A3826" t="s">
        <v>73</v>
      </c>
      <c r="B3826" t="s">
        <v>60</v>
      </c>
      <c r="C3826">
        <v>49</v>
      </c>
      <c r="D3826" t="s">
        <v>22</v>
      </c>
      <c r="E3826" t="s">
        <v>16</v>
      </c>
      <c r="F3826" s="1">
        <v>43109</v>
      </c>
      <c r="G3826">
        <v>0</v>
      </c>
      <c r="H3826">
        <v>0</v>
      </c>
      <c r="I3826">
        <v>20</v>
      </c>
      <c r="J3826">
        <v>20</v>
      </c>
      <c r="K3826">
        <v>0</v>
      </c>
      <c r="L3826">
        <v>608</v>
      </c>
      <c r="M3826">
        <v>60</v>
      </c>
      <c r="N3826" s="1">
        <f t="shared" si="472"/>
        <v>44938</v>
      </c>
      <c r="O3826" s="1">
        <f t="shared" si="473"/>
        <v>43101</v>
      </c>
      <c r="P3826" s="1">
        <f t="shared" si="474"/>
        <v>43344</v>
      </c>
      <c r="Q3826" s="8">
        <f t="shared" si="475"/>
        <v>0</v>
      </c>
      <c r="R3826" s="8">
        <f t="shared" si="476"/>
        <v>9</v>
      </c>
      <c r="S3826" s="8">
        <f t="shared" ca="1" si="477"/>
        <v>0</v>
      </c>
      <c r="T3826">
        <f t="shared" ca="1" si="478"/>
        <v>0</v>
      </c>
      <c r="U3826" s="8">
        <f t="shared" ca="1" si="479"/>
        <v>1</v>
      </c>
      <c r="V3826" s="9">
        <f ca="1">RawData[[#This Row],[Z (smoothed demand size)]]/RawData[[#This Row],[X (smoothed interval)]]</f>
        <v>0</v>
      </c>
    </row>
    <row r="3827" spans="1:22">
      <c r="A3827" t="s">
        <v>73</v>
      </c>
      <c r="B3827" t="s">
        <v>60</v>
      </c>
      <c r="C3827">
        <v>49</v>
      </c>
      <c r="D3827" t="s">
        <v>22</v>
      </c>
      <c r="E3827" t="s">
        <v>16</v>
      </c>
      <c r="F3827" s="1">
        <v>43110</v>
      </c>
      <c r="G3827">
        <v>0</v>
      </c>
      <c r="H3827">
        <v>0</v>
      </c>
      <c r="I3827">
        <v>20</v>
      </c>
      <c r="J3827">
        <v>20</v>
      </c>
      <c r="K3827">
        <v>0</v>
      </c>
      <c r="L3827">
        <v>614</v>
      </c>
      <c r="M3827">
        <v>45</v>
      </c>
      <c r="N3827" s="1">
        <f t="shared" si="472"/>
        <v>44938</v>
      </c>
      <c r="O3827" s="1">
        <f t="shared" si="473"/>
        <v>43101</v>
      </c>
      <c r="P3827" s="1">
        <f t="shared" si="474"/>
        <v>43374</v>
      </c>
      <c r="Q3827" s="8">
        <f t="shared" si="475"/>
        <v>0</v>
      </c>
      <c r="R3827" s="8">
        <f t="shared" si="476"/>
        <v>10</v>
      </c>
      <c r="S3827" s="8">
        <f t="shared" ca="1" si="477"/>
        <v>0</v>
      </c>
      <c r="T3827">
        <f t="shared" ca="1" si="478"/>
        <v>0</v>
      </c>
      <c r="U3827" s="8">
        <f t="shared" ca="1" si="479"/>
        <v>1</v>
      </c>
      <c r="V3827" s="9">
        <f ca="1">RawData[[#This Row],[Z (smoothed demand size)]]/RawData[[#This Row],[X (smoothed interval)]]</f>
        <v>0</v>
      </c>
    </row>
    <row r="3828" spans="1:22">
      <c r="A3828" t="s">
        <v>73</v>
      </c>
      <c r="B3828" t="s">
        <v>60</v>
      </c>
      <c r="C3828">
        <v>49</v>
      </c>
      <c r="D3828" t="s">
        <v>22</v>
      </c>
      <c r="E3828" t="s">
        <v>16</v>
      </c>
      <c r="F3828" s="1">
        <v>43111</v>
      </c>
      <c r="G3828">
        <v>3</v>
      </c>
      <c r="H3828">
        <v>3</v>
      </c>
      <c r="I3828">
        <v>20</v>
      </c>
      <c r="J3828">
        <v>17</v>
      </c>
      <c r="K3828">
        <v>0</v>
      </c>
      <c r="L3828">
        <v>617</v>
      </c>
      <c r="M3828">
        <v>30</v>
      </c>
      <c r="N3828" s="1">
        <f t="shared" si="472"/>
        <v>44938</v>
      </c>
      <c r="O3828" s="1">
        <f t="shared" si="473"/>
        <v>43101</v>
      </c>
      <c r="P3828" s="1">
        <f t="shared" si="474"/>
        <v>43405</v>
      </c>
      <c r="Q3828" s="8">
        <f t="shared" si="475"/>
        <v>0</v>
      </c>
      <c r="R3828" s="8">
        <f t="shared" si="476"/>
        <v>11</v>
      </c>
      <c r="S3828" s="8">
        <f t="shared" ca="1" si="477"/>
        <v>11</v>
      </c>
      <c r="T3828">
        <f t="shared" ca="1" si="478"/>
        <v>0.60000000000000009</v>
      </c>
      <c r="U3828" s="8">
        <f t="shared" ca="1" si="479"/>
        <v>3</v>
      </c>
      <c r="V3828" s="9">
        <f ca="1">RawData[[#This Row],[Z (smoothed demand size)]]/RawData[[#This Row],[X (smoothed interval)]]</f>
        <v>0.20000000000000004</v>
      </c>
    </row>
    <row r="3829" spans="1:22">
      <c r="A3829" t="s">
        <v>73</v>
      </c>
      <c r="B3829" t="s">
        <v>60</v>
      </c>
      <c r="C3829">
        <v>49</v>
      </c>
      <c r="D3829" t="s">
        <v>22</v>
      </c>
      <c r="E3829" t="s">
        <v>16</v>
      </c>
      <c r="F3829" s="1">
        <v>43112</v>
      </c>
      <c r="G3829">
        <v>0</v>
      </c>
      <c r="H3829">
        <v>0</v>
      </c>
      <c r="I3829">
        <v>17</v>
      </c>
      <c r="J3829">
        <v>17</v>
      </c>
      <c r="K3829">
        <v>0</v>
      </c>
      <c r="L3829">
        <v>699</v>
      </c>
      <c r="M3829">
        <v>45</v>
      </c>
      <c r="N3829" s="1">
        <f t="shared" si="472"/>
        <v>44938</v>
      </c>
      <c r="O3829" s="1">
        <f t="shared" si="473"/>
        <v>43101</v>
      </c>
      <c r="P3829" s="1">
        <f t="shared" si="474"/>
        <v>43435</v>
      </c>
      <c r="Q3829" s="8">
        <f t="shared" si="475"/>
        <v>0</v>
      </c>
      <c r="R3829" s="8">
        <f t="shared" si="476"/>
        <v>12</v>
      </c>
      <c r="S3829" s="8">
        <f t="shared" ca="1" si="477"/>
        <v>11</v>
      </c>
      <c r="T3829">
        <f t="shared" ca="1" si="478"/>
        <v>0.60000000000000009</v>
      </c>
      <c r="U3829" s="8">
        <f t="shared" ca="1" si="479"/>
        <v>3</v>
      </c>
      <c r="V3829" s="9">
        <f ca="1">RawData[[#This Row],[Z (smoothed demand size)]]/RawData[[#This Row],[X (smoothed interval)]]</f>
        <v>0.20000000000000004</v>
      </c>
    </row>
    <row r="3830" spans="1:22">
      <c r="A3830" t="s">
        <v>73</v>
      </c>
      <c r="B3830" t="s">
        <v>60</v>
      </c>
      <c r="C3830">
        <v>49</v>
      </c>
      <c r="D3830" t="s">
        <v>22</v>
      </c>
      <c r="E3830" t="s">
        <v>16</v>
      </c>
      <c r="F3830" s="1">
        <v>43466</v>
      </c>
      <c r="G3830">
        <v>0</v>
      </c>
      <c r="H3830">
        <v>0</v>
      </c>
      <c r="I3830">
        <v>17</v>
      </c>
      <c r="J3830">
        <v>17</v>
      </c>
      <c r="K3830">
        <v>0</v>
      </c>
      <c r="L3830">
        <v>601</v>
      </c>
      <c r="M3830">
        <v>45</v>
      </c>
      <c r="N3830" s="1">
        <f t="shared" si="472"/>
        <v>44938</v>
      </c>
      <c r="O3830" s="1">
        <f t="shared" si="473"/>
        <v>43101</v>
      </c>
      <c r="P3830" s="1">
        <f t="shared" si="474"/>
        <v>43466</v>
      </c>
      <c r="Q3830" s="8">
        <f t="shared" si="475"/>
        <v>0</v>
      </c>
      <c r="R3830" s="8">
        <f t="shared" si="476"/>
        <v>13</v>
      </c>
      <c r="S3830" s="8">
        <f t="shared" ca="1" si="477"/>
        <v>11</v>
      </c>
      <c r="T3830">
        <f t="shared" ca="1" si="478"/>
        <v>0.60000000000000009</v>
      </c>
      <c r="U3830" s="8">
        <f t="shared" ca="1" si="479"/>
        <v>3</v>
      </c>
      <c r="V3830" s="9">
        <f ca="1">RawData[[#This Row],[Z (smoothed demand size)]]/RawData[[#This Row],[X (smoothed interval)]]</f>
        <v>0.20000000000000004</v>
      </c>
    </row>
    <row r="3831" spans="1:22">
      <c r="A3831" t="s">
        <v>73</v>
      </c>
      <c r="B3831" t="s">
        <v>60</v>
      </c>
      <c r="C3831">
        <v>49</v>
      </c>
      <c r="D3831" t="s">
        <v>22</v>
      </c>
      <c r="E3831" t="s">
        <v>16</v>
      </c>
      <c r="F3831" s="1">
        <v>43467</v>
      </c>
      <c r="G3831">
        <v>0</v>
      </c>
      <c r="H3831">
        <v>0</v>
      </c>
      <c r="I3831">
        <v>17</v>
      </c>
      <c r="J3831">
        <v>17</v>
      </c>
      <c r="K3831">
        <v>0</v>
      </c>
      <c r="L3831">
        <v>606</v>
      </c>
      <c r="M3831">
        <v>30</v>
      </c>
      <c r="N3831" s="1">
        <f t="shared" si="472"/>
        <v>44938</v>
      </c>
      <c r="O3831" s="1">
        <f t="shared" si="473"/>
        <v>43101</v>
      </c>
      <c r="P3831" s="1">
        <f t="shared" si="474"/>
        <v>43497</v>
      </c>
      <c r="Q3831" s="8">
        <f t="shared" si="475"/>
        <v>0</v>
      </c>
      <c r="R3831" s="8">
        <f t="shared" si="476"/>
        <v>14</v>
      </c>
      <c r="S3831" s="8">
        <f t="shared" ca="1" si="477"/>
        <v>11</v>
      </c>
      <c r="T3831">
        <f t="shared" ca="1" si="478"/>
        <v>0.60000000000000009</v>
      </c>
      <c r="U3831" s="8">
        <f t="shared" ca="1" si="479"/>
        <v>3</v>
      </c>
      <c r="V3831" s="9">
        <f ca="1">RawData[[#This Row],[Z (smoothed demand size)]]/RawData[[#This Row],[X (smoothed interval)]]</f>
        <v>0.20000000000000004</v>
      </c>
    </row>
    <row r="3832" spans="1:22">
      <c r="A3832" t="s">
        <v>73</v>
      </c>
      <c r="B3832" t="s">
        <v>60</v>
      </c>
      <c r="C3832">
        <v>49</v>
      </c>
      <c r="D3832" t="s">
        <v>22</v>
      </c>
      <c r="E3832" t="s">
        <v>16</v>
      </c>
      <c r="F3832" s="1">
        <v>43468</v>
      </c>
      <c r="G3832">
        <v>0</v>
      </c>
      <c r="H3832">
        <v>0</v>
      </c>
      <c r="I3832">
        <v>17</v>
      </c>
      <c r="J3832">
        <v>17</v>
      </c>
      <c r="K3832">
        <v>0</v>
      </c>
      <c r="L3832">
        <v>608</v>
      </c>
      <c r="M3832">
        <v>45</v>
      </c>
      <c r="N3832" s="1">
        <f t="shared" si="472"/>
        <v>44938</v>
      </c>
      <c r="O3832" s="1">
        <f t="shared" si="473"/>
        <v>43101</v>
      </c>
      <c r="P3832" s="1">
        <f t="shared" si="474"/>
        <v>43525</v>
      </c>
      <c r="Q3832" s="8">
        <f t="shared" si="475"/>
        <v>0</v>
      </c>
      <c r="R3832" s="8">
        <f t="shared" si="476"/>
        <v>15</v>
      </c>
      <c r="S3832" s="8">
        <f t="shared" ca="1" si="477"/>
        <v>11</v>
      </c>
      <c r="T3832">
        <f t="shared" ca="1" si="478"/>
        <v>0.60000000000000009</v>
      </c>
      <c r="U3832" s="8">
        <f t="shared" ca="1" si="479"/>
        <v>3</v>
      </c>
      <c r="V3832" s="9">
        <f ca="1">RawData[[#This Row],[Z (smoothed demand size)]]/RawData[[#This Row],[X (smoothed interval)]]</f>
        <v>0.20000000000000004</v>
      </c>
    </row>
    <row r="3833" spans="1:22">
      <c r="A3833" t="s">
        <v>73</v>
      </c>
      <c r="B3833" t="s">
        <v>60</v>
      </c>
      <c r="C3833">
        <v>49</v>
      </c>
      <c r="D3833" t="s">
        <v>22</v>
      </c>
      <c r="E3833" t="s">
        <v>16</v>
      </c>
      <c r="F3833" s="1">
        <v>43469</v>
      </c>
      <c r="G3833">
        <v>0</v>
      </c>
      <c r="H3833">
        <v>0</v>
      </c>
      <c r="I3833">
        <v>17</v>
      </c>
      <c r="J3833">
        <v>17</v>
      </c>
      <c r="K3833">
        <v>0</v>
      </c>
      <c r="L3833">
        <v>598</v>
      </c>
      <c r="M3833">
        <v>60</v>
      </c>
      <c r="N3833" s="1">
        <f t="shared" si="472"/>
        <v>44938</v>
      </c>
      <c r="O3833" s="1">
        <f t="shared" si="473"/>
        <v>43101</v>
      </c>
      <c r="P3833" s="1">
        <f t="shared" si="474"/>
        <v>43556</v>
      </c>
      <c r="Q3833" s="8">
        <f t="shared" si="475"/>
        <v>0</v>
      </c>
      <c r="R3833" s="8">
        <f t="shared" si="476"/>
        <v>16</v>
      </c>
      <c r="S3833" s="8">
        <f t="shared" ca="1" si="477"/>
        <v>11</v>
      </c>
      <c r="T3833">
        <f t="shared" ca="1" si="478"/>
        <v>0.60000000000000009</v>
      </c>
      <c r="U3833" s="8">
        <f t="shared" ca="1" si="479"/>
        <v>3</v>
      </c>
      <c r="V3833" s="9">
        <f ca="1">RawData[[#This Row],[Z (smoothed demand size)]]/RawData[[#This Row],[X (smoothed interval)]]</f>
        <v>0.20000000000000004</v>
      </c>
    </row>
    <row r="3834" spans="1:22">
      <c r="A3834" t="s">
        <v>73</v>
      </c>
      <c r="B3834" t="s">
        <v>60</v>
      </c>
      <c r="C3834">
        <v>49</v>
      </c>
      <c r="D3834" t="s">
        <v>22</v>
      </c>
      <c r="E3834" t="s">
        <v>16</v>
      </c>
      <c r="F3834" s="1">
        <v>43470</v>
      </c>
      <c r="G3834">
        <v>0</v>
      </c>
      <c r="H3834">
        <v>0</v>
      </c>
      <c r="I3834">
        <v>17</v>
      </c>
      <c r="J3834">
        <v>17</v>
      </c>
      <c r="K3834">
        <v>0</v>
      </c>
      <c r="L3834">
        <v>605</v>
      </c>
      <c r="M3834">
        <v>60</v>
      </c>
      <c r="N3834" s="1">
        <f t="shared" si="472"/>
        <v>44938</v>
      </c>
      <c r="O3834" s="1">
        <f t="shared" si="473"/>
        <v>43101</v>
      </c>
      <c r="P3834" s="1">
        <f t="shared" si="474"/>
        <v>43586</v>
      </c>
      <c r="Q3834" s="8">
        <f t="shared" si="475"/>
        <v>0</v>
      </c>
      <c r="R3834" s="8">
        <f t="shared" si="476"/>
        <v>17</v>
      </c>
      <c r="S3834" s="8">
        <f t="shared" ca="1" si="477"/>
        <v>11</v>
      </c>
      <c r="T3834">
        <f t="shared" ca="1" si="478"/>
        <v>0.60000000000000009</v>
      </c>
      <c r="U3834" s="8">
        <f t="shared" ca="1" si="479"/>
        <v>3</v>
      </c>
      <c r="V3834" s="9">
        <f ca="1">RawData[[#This Row],[Z (smoothed demand size)]]/RawData[[#This Row],[X (smoothed interval)]]</f>
        <v>0.20000000000000004</v>
      </c>
    </row>
    <row r="3835" spans="1:22">
      <c r="A3835" t="s">
        <v>73</v>
      </c>
      <c r="B3835" t="s">
        <v>60</v>
      </c>
      <c r="C3835">
        <v>49</v>
      </c>
      <c r="D3835" t="s">
        <v>22</v>
      </c>
      <c r="E3835" t="s">
        <v>16</v>
      </c>
      <c r="F3835" s="1">
        <v>43471</v>
      </c>
      <c r="G3835">
        <v>2</v>
      </c>
      <c r="H3835">
        <v>2</v>
      </c>
      <c r="I3835">
        <v>17</v>
      </c>
      <c r="J3835">
        <v>15</v>
      </c>
      <c r="K3835">
        <v>0</v>
      </c>
      <c r="L3835">
        <v>687</v>
      </c>
      <c r="M3835">
        <v>15</v>
      </c>
      <c r="N3835" s="1">
        <f t="shared" si="472"/>
        <v>44938</v>
      </c>
      <c r="O3835" s="1">
        <f t="shared" si="473"/>
        <v>43101</v>
      </c>
      <c r="P3835" s="1">
        <f t="shared" si="474"/>
        <v>43617</v>
      </c>
      <c r="Q3835" s="8">
        <f t="shared" si="475"/>
        <v>0</v>
      </c>
      <c r="R3835" s="8">
        <f t="shared" si="476"/>
        <v>18</v>
      </c>
      <c r="S3835" s="8">
        <f t="shared" ca="1" si="477"/>
        <v>18</v>
      </c>
      <c r="T3835">
        <f t="shared" ca="1" si="478"/>
        <v>0.88000000000000012</v>
      </c>
      <c r="U3835" s="8">
        <f t="shared" ca="1" si="479"/>
        <v>3.8000000000000007</v>
      </c>
      <c r="V3835" s="9">
        <f ca="1">RawData[[#This Row],[Z (smoothed demand size)]]/RawData[[#This Row],[X (smoothed interval)]]</f>
        <v>0.23157894736842105</v>
      </c>
    </row>
    <row r="3836" spans="1:22">
      <c r="A3836" t="s">
        <v>73</v>
      </c>
      <c r="B3836" t="s">
        <v>60</v>
      </c>
      <c r="C3836">
        <v>49</v>
      </c>
      <c r="D3836" t="s">
        <v>22</v>
      </c>
      <c r="E3836" t="s">
        <v>16</v>
      </c>
      <c r="F3836" s="1">
        <v>43472</v>
      </c>
      <c r="G3836">
        <v>0</v>
      </c>
      <c r="H3836">
        <v>0</v>
      </c>
      <c r="I3836">
        <v>15</v>
      </c>
      <c r="J3836">
        <v>15</v>
      </c>
      <c r="K3836">
        <v>0</v>
      </c>
      <c r="L3836">
        <v>700</v>
      </c>
      <c r="M3836">
        <v>30</v>
      </c>
      <c r="N3836" s="1">
        <f t="shared" si="472"/>
        <v>44938</v>
      </c>
      <c r="O3836" s="1">
        <f t="shared" si="473"/>
        <v>43101</v>
      </c>
      <c r="P3836" s="1">
        <f t="shared" si="474"/>
        <v>43647</v>
      </c>
      <c r="Q3836" s="8">
        <f t="shared" si="475"/>
        <v>0</v>
      </c>
      <c r="R3836" s="8">
        <f t="shared" si="476"/>
        <v>19</v>
      </c>
      <c r="S3836" s="8">
        <f t="shared" ca="1" si="477"/>
        <v>18</v>
      </c>
      <c r="T3836">
        <f t="shared" ca="1" si="478"/>
        <v>0.88000000000000012</v>
      </c>
      <c r="U3836" s="8">
        <f t="shared" ca="1" si="479"/>
        <v>3.8000000000000007</v>
      </c>
      <c r="V3836" s="9">
        <f ca="1">RawData[[#This Row],[Z (smoothed demand size)]]/RawData[[#This Row],[X (smoothed interval)]]</f>
        <v>0.23157894736842105</v>
      </c>
    </row>
    <row r="3837" spans="1:22">
      <c r="A3837" t="s">
        <v>73</v>
      </c>
      <c r="B3837" t="s">
        <v>60</v>
      </c>
      <c r="C3837">
        <v>49</v>
      </c>
      <c r="D3837" t="s">
        <v>22</v>
      </c>
      <c r="E3837" t="s">
        <v>16</v>
      </c>
      <c r="F3837" s="1">
        <v>43473</v>
      </c>
      <c r="G3837">
        <v>1</v>
      </c>
      <c r="H3837">
        <v>1</v>
      </c>
      <c r="I3837">
        <v>15</v>
      </c>
      <c r="J3837">
        <v>14</v>
      </c>
      <c r="K3837">
        <v>0</v>
      </c>
      <c r="L3837">
        <v>690</v>
      </c>
      <c r="M3837">
        <v>15</v>
      </c>
      <c r="N3837" s="1">
        <f t="shared" si="472"/>
        <v>44938</v>
      </c>
      <c r="O3837" s="1">
        <f t="shared" si="473"/>
        <v>43101</v>
      </c>
      <c r="P3837" s="1">
        <f t="shared" si="474"/>
        <v>43678</v>
      </c>
      <c r="Q3837" s="8">
        <f t="shared" si="475"/>
        <v>0</v>
      </c>
      <c r="R3837" s="8">
        <f t="shared" si="476"/>
        <v>20</v>
      </c>
      <c r="S3837" s="8">
        <f t="shared" ca="1" si="477"/>
        <v>20</v>
      </c>
      <c r="T3837">
        <f t="shared" ca="1" si="478"/>
        <v>0.90400000000000014</v>
      </c>
      <c r="U3837" s="8">
        <f t="shared" ca="1" si="479"/>
        <v>3.4400000000000008</v>
      </c>
      <c r="V3837" s="9">
        <f ca="1">RawData[[#This Row],[Z (smoothed demand size)]]/RawData[[#This Row],[X (smoothed interval)]]</f>
        <v>0.26279069767441859</v>
      </c>
    </row>
    <row r="3838" spans="1:22">
      <c r="A3838" t="s">
        <v>73</v>
      </c>
      <c r="B3838" t="s">
        <v>60</v>
      </c>
      <c r="C3838">
        <v>49</v>
      </c>
      <c r="D3838" t="s">
        <v>22</v>
      </c>
      <c r="E3838" t="s">
        <v>16</v>
      </c>
      <c r="F3838" s="1">
        <v>43474</v>
      </c>
      <c r="G3838">
        <v>0</v>
      </c>
      <c r="H3838">
        <v>0</v>
      </c>
      <c r="I3838">
        <v>14</v>
      </c>
      <c r="J3838">
        <v>14</v>
      </c>
      <c r="K3838">
        <v>0</v>
      </c>
      <c r="L3838">
        <v>605</v>
      </c>
      <c r="M3838">
        <v>60</v>
      </c>
      <c r="N3838" s="1">
        <f t="shared" si="472"/>
        <v>44938</v>
      </c>
      <c r="O3838" s="1">
        <f t="shared" si="473"/>
        <v>43101</v>
      </c>
      <c r="P3838" s="1">
        <f t="shared" si="474"/>
        <v>43709</v>
      </c>
      <c r="Q3838" s="8">
        <f t="shared" si="475"/>
        <v>0</v>
      </c>
      <c r="R3838" s="8">
        <f t="shared" si="476"/>
        <v>21</v>
      </c>
      <c r="S3838" s="8">
        <f t="shared" ca="1" si="477"/>
        <v>20</v>
      </c>
      <c r="T3838">
        <f t="shared" ca="1" si="478"/>
        <v>0.90400000000000014</v>
      </c>
      <c r="U3838" s="8">
        <f t="shared" ca="1" si="479"/>
        <v>3.4400000000000008</v>
      </c>
      <c r="V3838" s="9">
        <f ca="1">RawData[[#This Row],[Z (smoothed demand size)]]/RawData[[#This Row],[X (smoothed interval)]]</f>
        <v>0.26279069767441859</v>
      </c>
    </row>
    <row r="3839" spans="1:22">
      <c r="A3839" t="s">
        <v>73</v>
      </c>
      <c r="B3839" t="s">
        <v>60</v>
      </c>
      <c r="C3839">
        <v>49</v>
      </c>
      <c r="D3839" t="s">
        <v>22</v>
      </c>
      <c r="E3839" t="s">
        <v>16</v>
      </c>
      <c r="F3839" s="1">
        <v>43475</v>
      </c>
      <c r="G3839">
        <v>0</v>
      </c>
      <c r="H3839">
        <v>0</v>
      </c>
      <c r="I3839">
        <v>14</v>
      </c>
      <c r="J3839">
        <v>14</v>
      </c>
      <c r="K3839">
        <v>0</v>
      </c>
      <c r="L3839">
        <v>606</v>
      </c>
      <c r="M3839">
        <v>30</v>
      </c>
      <c r="N3839" s="1">
        <f t="shared" si="472"/>
        <v>44938</v>
      </c>
      <c r="O3839" s="1">
        <f t="shared" si="473"/>
        <v>43101</v>
      </c>
      <c r="P3839" s="1">
        <f t="shared" si="474"/>
        <v>43739</v>
      </c>
      <c r="Q3839" s="8">
        <f t="shared" si="475"/>
        <v>0</v>
      </c>
      <c r="R3839" s="8">
        <f t="shared" si="476"/>
        <v>22</v>
      </c>
      <c r="S3839" s="8">
        <f t="shared" ca="1" si="477"/>
        <v>20</v>
      </c>
      <c r="T3839">
        <f t="shared" ca="1" si="478"/>
        <v>0.90400000000000014</v>
      </c>
      <c r="U3839" s="8">
        <f t="shared" ca="1" si="479"/>
        <v>3.4400000000000008</v>
      </c>
      <c r="V3839" s="9">
        <f ca="1">RawData[[#This Row],[Z (smoothed demand size)]]/RawData[[#This Row],[X (smoothed interval)]]</f>
        <v>0.26279069767441859</v>
      </c>
    </row>
    <row r="3840" spans="1:22">
      <c r="A3840" t="s">
        <v>73</v>
      </c>
      <c r="B3840" t="s">
        <v>60</v>
      </c>
      <c r="C3840">
        <v>49</v>
      </c>
      <c r="D3840" t="s">
        <v>22</v>
      </c>
      <c r="E3840" t="s">
        <v>16</v>
      </c>
      <c r="F3840" s="1">
        <v>43476</v>
      </c>
      <c r="G3840">
        <v>0</v>
      </c>
      <c r="H3840">
        <v>0</v>
      </c>
      <c r="I3840">
        <v>14</v>
      </c>
      <c r="J3840">
        <v>14</v>
      </c>
      <c r="K3840">
        <v>0</v>
      </c>
      <c r="L3840">
        <v>599</v>
      </c>
      <c r="M3840">
        <v>45</v>
      </c>
      <c r="N3840" s="1">
        <f t="shared" si="472"/>
        <v>44938</v>
      </c>
      <c r="O3840" s="1">
        <f t="shared" si="473"/>
        <v>43101</v>
      </c>
      <c r="P3840" s="1">
        <f t="shared" si="474"/>
        <v>43770</v>
      </c>
      <c r="Q3840" s="8">
        <f t="shared" si="475"/>
        <v>0</v>
      </c>
      <c r="R3840" s="8">
        <f t="shared" si="476"/>
        <v>23</v>
      </c>
      <c r="S3840" s="8">
        <f t="shared" ca="1" si="477"/>
        <v>20</v>
      </c>
      <c r="T3840">
        <f t="shared" ca="1" si="478"/>
        <v>0.90400000000000014</v>
      </c>
      <c r="U3840" s="8">
        <f t="shared" ca="1" si="479"/>
        <v>3.4400000000000008</v>
      </c>
      <c r="V3840" s="9">
        <f ca="1">RawData[[#This Row],[Z (smoothed demand size)]]/RawData[[#This Row],[X (smoothed interval)]]</f>
        <v>0.26279069767441859</v>
      </c>
    </row>
    <row r="3841" spans="1:22">
      <c r="A3841" t="s">
        <v>73</v>
      </c>
      <c r="B3841" t="s">
        <v>60</v>
      </c>
      <c r="C3841">
        <v>49</v>
      </c>
      <c r="D3841" t="s">
        <v>22</v>
      </c>
      <c r="E3841" t="s">
        <v>16</v>
      </c>
      <c r="F3841" s="1">
        <v>43477</v>
      </c>
      <c r="G3841">
        <v>0</v>
      </c>
      <c r="H3841">
        <v>0</v>
      </c>
      <c r="I3841">
        <v>14</v>
      </c>
      <c r="J3841">
        <v>14</v>
      </c>
      <c r="K3841">
        <v>0</v>
      </c>
      <c r="L3841">
        <v>698</v>
      </c>
      <c r="M3841">
        <v>30</v>
      </c>
      <c r="N3841" s="1">
        <f t="shared" si="472"/>
        <v>44938</v>
      </c>
      <c r="O3841" s="1">
        <f t="shared" si="473"/>
        <v>43101</v>
      </c>
      <c r="P3841" s="1">
        <f t="shared" si="474"/>
        <v>43800</v>
      </c>
      <c r="Q3841" s="8">
        <f t="shared" si="475"/>
        <v>0</v>
      </c>
      <c r="R3841" s="8">
        <f t="shared" si="476"/>
        <v>24</v>
      </c>
      <c r="S3841" s="8">
        <f t="shared" ca="1" si="477"/>
        <v>20</v>
      </c>
      <c r="T3841">
        <f t="shared" ca="1" si="478"/>
        <v>0.90400000000000014</v>
      </c>
      <c r="U3841" s="8">
        <f t="shared" ca="1" si="479"/>
        <v>3.4400000000000008</v>
      </c>
      <c r="V3841" s="9">
        <f ca="1">RawData[[#This Row],[Z (smoothed demand size)]]/RawData[[#This Row],[X (smoothed interval)]]</f>
        <v>0.26279069767441859</v>
      </c>
    </row>
    <row r="3842" spans="1:22">
      <c r="A3842" t="s">
        <v>73</v>
      </c>
      <c r="B3842" t="s">
        <v>60</v>
      </c>
      <c r="C3842">
        <v>49</v>
      </c>
      <c r="D3842" t="s">
        <v>22</v>
      </c>
      <c r="E3842" t="s">
        <v>16</v>
      </c>
      <c r="F3842" s="1">
        <v>43831</v>
      </c>
      <c r="G3842">
        <v>0</v>
      </c>
      <c r="H3842">
        <v>0</v>
      </c>
      <c r="I3842">
        <v>14</v>
      </c>
      <c r="J3842">
        <v>14</v>
      </c>
      <c r="K3842">
        <v>0</v>
      </c>
      <c r="L3842">
        <v>598</v>
      </c>
      <c r="M3842">
        <v>15</v>
      </c>
      <c r="N3842" s="1">
        <f t="shared" ref="N3842:N3905" si="480">MAX(F:F)</f>
        <v>44938</v>
      </c>
      <c r="O3842" s="1">
        <f t="shared" ref="O3842:O3905" si="481">MIN(F:F)</f>
        <v>43101</v>
      </c>
      <c r="P3842" s="1">
        <f t="shared" ref="P3842:P3905" si="482">DATE(YEAR(F3842), DAY(F3842), 1)</f>
        <v>43831</v>
      </c>
      <c r="Q3842" s="8">
        <f t="shared" ref="Q3842:Q3905" si="483" xml:space="preserve"> IF(A3842&lt;&gt;A3841, 1, 0)</f>
        <v>0</v>
      </c>
      <c r="R3842" s="8">
        <f t="shared" ref="R3842:R3905" si="484">IF(Q3842=1,1,R3841+1)</f>
        <v>25</v>
      </c>
      <c r="S3842" s="8">
        <f t="shared" ref="S3842:S3905" ca="1" si="485" xml:space="preserve"> IF(Q3842=1, IF(G3842&gt;0, R3842, 0), IF(G3842&gt;0, R3842, OFFSET(S3842,-1,0)))</f>
        <v>20</v>
      </c>
      <c r="T3842">
        <f t="shared" ref="T3842:T3905" ca="1" si="486" xml:space="preserve"> IF(Q3842=1, IF(G3842&gt;0, G3842, 0), IF(G3842&gt;0, $X$1*G3842+(1-$X$1)*OFFSET(T3842,-1,0), OFFSET(T3842,-1,0)))</f>
        <v>0.90400000000000014</v>
      </c>
      <c r="U3842" s="8">
        <f t="shared" ref="U3842:U3905" ca="1" si="487" xml:space="preserve"> IF(Q3842=1, 1, IF(G3842&gt;0, $X$1*(R3842-OFFSET(S3842,-1,0))+(1-$X$1)*OFFSET(U3842,-1,0), OFFSET(U3842,-1,0)))</f>
        <v>3.4400000000000008</v>
      </c>
      <c r="V3842" s="9">
        <f ca="1">RawData[[#This Row],[Z (smoothed demand size)]]/RawData[[#This Row],[X (smoothed interval)]]</f>
        <v>0.26279069767441859</v>
      </c>
    </row>
    <row r="3843" spans="1:22">
      <c r="A3843" t="s">
        <v>73</v>
      </c>
      <c r="B3843" t="s">
        <v>60</v>
      </c>
      <c r="C3843">
        <v>49</v>
      </c>
      <c r="D3843" t="s">
        <v>22</v>
      </c>
      <c r="E3843" t="s">
        <v>16</v>
      </c>
      <c r="F3843" s="1">
        <v>43832</v>
      </c>
      <c r="G3843">
        <v>0</v>
      </c>
      <c r="H3843">
        <v>0</v>
      </c>
      <c r="I3843">
        <v>14</v>
      </c>
      <c r="J3843">
        <v>14</v>
      </c>
      <c r="K3843">
        <v>0</v>
      </c>
      <c r="L3843">
        <v>614</v>
      </c>
      <c r="M3843">
        <v>30</v>
      </c>
      <c r="N3843" s="1">
        <f t="shared" si="480"/>
        <v>44938</v>
      </c>
      <c r="O3843" s="1">
        <f t="shared" si="481"/>
        <v>43101</v>
      </c>
      <c r="P3843" s="1">
        <f t="shared" si="482"/>
        <v>43862</v>
      </c>
      <c r="Q3843" s="8">
        <f t="shared" si="483"/>
        <v>0</v>
      </c>
      <c r="R3843" s="8">
        <f t="shared" si="484"/>
        <v>26</v>
      </c>
      <c r="S3843" s="8">
        <f t="shared" ca="1" si="485"/>
        <v>20</v>
      </c>
      <c r="T3843">
        <f t="shared" ca="1" si="486"/>
        <v>0.90400000000000014</v>
      </c>
      <c r="U3843" s="8">
        <f t="shared" ca="1" si="487"/>
        <v>3.4400000000000008</v>
      </c>
      <c r="V3843" s="9">
        <f ca="1">RawData[[#This Row],[Z (smoothed demand size)]]/RawData[[#This Row],[X (smoothed interval)]]</f>
        <v>0.26279069767441859</v>
      </c>
    </row>
    <row r="3844" spans="1:22">
      <c r="A3844" t="s">
        <v>73</v>
      </c>
      <c r="B3844" t="s">
        <v>60</v>
      </c>
      <c r="C3844">
        <v>49</v>
      </c>
      <c r="D3844" t="s">
        <v>22</v>
      </c>
      <c r="E3844" t="s">
        <v>16</v>
      </c>
      <c r="F3844" s="1">
        <v>43833</v>
      </c>
      <c r="G3844">
        <v>0</v>
      </c>
      <c r="H3844">
        <v>0</v>
      </c>
      <c r="I3844">
        <v>14</v>
      </c>
      <c r="J3844">
        <v>14</v>
      </c>
      <c r="K3844">
        <v>0</v>
      </c>
      <c r="L3844">
        <v>613</v>
      </c>
      <c r="M3844">
        <v>15</v>
      </c>
      <c r="N3844" s="1">
        <f t="shared" si="480"/>
        <v>44938</v>
      </c>
      <c r="O3844" s="1">
        <f t="shared" si="481"/>
        <v>43101</v>
      </c>
      <c r="P3844" s="1">
        <f t="shared" si="482"/>
        <v>43891</v>
      </c>
      <c r="Q3844" s="8">
        <f t="shared" si="483"/>
        <v>0</v>
      </c>
      <c r="R3844" s="8">
        <f t="shared" si="484"/>
        <v>27</v>
      </c>
      <c r="S3844" s="8">
        <f t="shared" ca="1" si="485"/>
        <v>20</v>
      </c>
      <c r="T3844">
        <f t="shared" ca="1" si="486"/>
        <v>0.90400000000000014</v>
      </c>
      <c r="U3844" s="8">
        <f t="shared" ca="1" si="487"/>
        <v>3.4400000000000008</v>
      </c>
      <c r="V3844" s="9">
        <f ca="1">RawData[[#This Row],[Z (smoothed demand size)]]/RawData[[#This Row],[X (smoothed interval)]]</f>
        <v>0.26279069767441859</v>
      </c>
    </row>
    <row r="3845" spans="1:22">
      <c r="A3845" t="s">
        <v>73</v>
      </c>
      <c r="B3845" t="s">
        <v>60</v>
      </c>
      <c r="C3845">
        <v>49</v>
      </c>
      <c r="D3845" t="s">
        <v>22</v>
      </c>
      <c r="E3845" t="s">
        <v>16</v>
      </c>
      <c r="F3845" s="1">
        <v>43834</v>
      </c>
      <c r="G3845">
        <v>0</v>
      </c>
      <c r="H3845">
        <v>0</v>
      </c>
      <c r="I3845">
        <v>14</v>
      </c>
      <c r="J3845">
        <v>14</v>
      </c>
      <c r="K3845">
        <v>0</v>
      </c>
      <c r="L3845">
        <v>612</v>
      </c>
      <c r="M3845">
        <v>45</v>
      </c>
      <c r="N3845" s="1">
        <f t="shared" si="480"/>
        <v>44938</v>
      </c>
      <c r="O3845" s="1">
        <f t="shared" si="481"/>
        <v>43101</v>
      </c>
      <c r="P3845" s="1">
        <f t="shared" si="482"/>
        <v>43922</v>
      </c>
      <c r="Q3845" s="8">
        <f t="shared" si="483"/>
        <v>0</v>
      </c>
      <c r="R3845" s="8">
        <f t="shared" si="484"/>
        <v>28</v>
      </c>
      <c r="S3845" s="8">
        <f t="shared" ca="1" si="485"/>
        <v>20</v>
      </c>
      <c r="T3845">
        <f t="shared" ca="1" si="486"/>
        <v>0.90400000000000014</v>
      </c>
      <c r="U3845" s="8">
        <f t="shared" ca="1" si="487"/>
        <v>3.4400000000000008</v>
      </c>
      <c r="V3845" s="9">
        <f ca="1">RawData[[#This Row],[Z (smoothed demand size)]]/RawData[[#This Row],[X (smoothed interval)]]</f>
        <v>0.26279069767441859</v>
      </c>
    </row>
    <row r="3846" spans="1:22">
      <c r="A3846" t="s">
        <v>73</v>
      </c>
      <c r="B3846" t="s">
        <v>60</v>
      </c>
      <c r="C3846">
        <v>49</v>
      </c>
      <c r="D3846" t="s">
        <v>22</v>
      </c>
      <c r="E3846" t="s">
        <v>16</v>
      </c>
      <c r="F3846" s="1">
        <v>43835</v>
      </c>
      <c r="G3846">
        <v>0</v>
      </c>
      <c r="H3846">
        <v>0</v>
      </c>
      <c r="I3846">
        <v>14</v>
      </c>
      <c r="J3846">
        <v>14</v>
      </c>
      <c r="K3846">
        <v>0</v>
      </c>
      <c r="L3846">
        <v>606</v>
      </c>
      <c r="M3846">
        <v>30</v>
      </c>
      <c r="N3846" s="1">
        <f t="shared" si="480"/>
        <v>44938</v>
      </c>
      <c r="O3846" s="1">
        <f t="shared" si="481"/>
        <v>43101</v>
      </c>
      <c r="P3846" s="1">
        <f t="shared" si="482"/>
        <v>43952</v>
      </c>
      <c r="Q3846" s="8">
        <f t="shared" si="483"/>
        <v>0</v>
      </c>
      <c r="R3846" s="8">
        <f t="shared" si="484"/>
        <v>29</v>
      </c>
      <c r="S3846" s="8">
        <f t="shared" ca="1" si="485"/>
        <v>20</v>
      </c>
      <c r="T3846">
        <f t="shared" ca="1" si="486"/>
        <v>0.90400000000000014</v>
      </c>
      <c r="U3846" s="8">
        <f t="shared" ca="1" si="487"/>
        <v>3.4400000000000008</v>
      </c>
      <c r="V3846" s="9">
        <f ca="1">RawData[[#This Row],[Z (smoothed demand size)]]/RawData[[#This Row],[X (smoothed interval)]]</f>
        <v>0.26279069767441859</v>
      </c>
    </row>
    <row r="3847" spans="1:22">
      <c r="A3847" t="s">
        <v>73</v>
      </c>
      <c r="B3847" t="s">
        <v>60</v>
      </c>
      <c r="C3847">
        <v>49</v>
      </c>
      <c r="D3847" t="s">
        <v>22</v>
      </c>
      <c r="E3847" t="s">
        <v>16</v>
      </c>
      <c r="F3847" s="1">
        <v>43836</v>
      </c>
      <c r="G3847">
        <v>0</v>
      </c>
      <c r="H3847">
        <v>0</v>
      </c>
      <c r="I3847">
        <v>14</v>
      </c>
      <c r="J3847">
        <v>14</v>
      </c>
      <c r="K3847">
        <v>0</v>
      </c>
      <c r="L3847">
        <v>698</v>
      </c>
      <c r="M3847">
        <v>15</v>
      </c>
      <c r="N3847" s="1">
        <f t="shared" si="480"/>
        <v>44938</v>
      </c>
      <c r="O3847" s="1">
        <f t="shared" si="481"/>
        <v>43101</v>
      </c>
      <c r="P3847" s="1">
        <f t="shared" si="482"/>
        <v>43983</v>
      </c>
      <c r="Q3847" s="8">
        <f t="shared" si="483"/>
        <v>0</v>
      </c>
      <c r="R3847" s="8">
        <f t="shared" si="484"/>
        <v>30</v>
      </c>
      <c r="S3847" s="8">
        <f t="shared" ca="1" si="485"/>
        <v>20</v>
      </c>
      <c r="T3847">
        <f t="shared" ca="1" si="486"/>
        <v>0.90400000000000014</v>
      </c>
      <c r="U3847" s="8">
        <f t="shared" ca="1" si="487"/>
        <v>3.4400000000000008</v>
      </c>
      <c r="V3847" s="9">
        <f ca="1">RawData[[#This Row],[Z (smoothed demand size)]]/RawData[[#This Row],[X (smoothed interval)]]</f>
        <v>0.26279069767441859</v>
      </c>
    </row>
    <row r="3848" spans="1:22">
      <c r="A3848" t="s">
        <v>73</v>
      </c>
      <c r="B3848" t="s">
        <v>60</v>
      </c>
      <c r="C3848">
        <v>49</v>
      </c>
      <c r="D3848" t="s">
        <v>22</v>
      </c>
      <c r="E3848" t="s">
        <v>16</v>
      </c>
      <c r="F3848" s="1">
        <v>43837</v>
      </c>
      <c r="G3848">
        <v>0</v>
      </c>
      <c r="H3848">
        <v>0</v>
      </c>
      <c r="I3848">
        <v>14</v>
      </c>
      <c r="J3848">
        <v>14</v>
      </c>
      <c r="K3848">
        <v>0</v>
      </c>
      <c r="L3848">
        <v>694</v>
      </c>
      <c r="M3848">
        <v>15</v>
      </c>
      <c r="N3848" s="1">
        <f t="shared" si="480"/>
        <v>44938</v>
      </c>
      <c r="O3848" s="1">
        <f t="shared" si="481"/>
        <v>43101</v>
      </c>
      <c r="P3848" s="1">
        <f t="shared" si="482"/>
        <v>44013</v>
      </c>
      <c r="Q3848" s="8">
        <f t="shared" si="483"/>
        <v>0</v>
      </c>
      <c r="R3848" s="8">
        <f t="shared" si="484"/>
        <v>31</v>
      </c>
      <c r="S3848" s="8">
        <f t="shared" ca="1" si="485"/>
        <v>20</v>
      </c>
      <c r="T3848">
        <f t="shared" ca="1" si="486"/>
        <v>0.90400000000000014</v>
      </c>
      <c r="U3848" s="8">
        <f t="shared" ca="1" si="487"/>
        <v>3.4400000000000008</v>
      </c>
      <c r="V3848" s="9">
        <f ca="1">RawData[[#This Row],[Z (smoothed demand size)]]/RawData[[#This Row],[X (smoothed interval)]]</f>
        <v>0.26279069767441859</v>
      </c>
    </row>
    <row r="3849" spans="1:22">
      <c r="A3849" t="s">
        <v>73</v>
      </c>
      <c r="B3849" t="s">
        <v>60</v>
      </c>
      <c r="C3849">
        <v>49</v>
      </c>
      <c r="D3849" t="s">
        <v>22</v>
      </c>
      <c r="E3849" t="s">
        <v>16</v>
      </c>
      <c r="F3849" s="1">
        <v>43838</v>
      </c>
      <c r="G3849">
        <v>0</v>
      </c>
      <c r="H3849">
        <v>0</v>
      </c>
      <c r="I3849">
        <v>14</v>
      </c>
      <c r="J3849">
        <v>14</v>
      </c>
      <c r="K3849">
        <v>0</v>
      </c>
      <c r="L3849">
        <v>699</v>
      </c>
      <c r="M3849">
        <v>45</v>
      </c>
      <c r="N3849" s="1">
        <f t="shared" si="480"/>
        <v>44938</v>
      </c>
      <c r="O3849" s="1">
        <f t="shared" si="481"/>
        <v>43101</v>
      </c>
      <c r="P3849" s="1">
        <f t="shared" si="482"/>
        <v>44044</v>
      </c>
      <c r="Q3849" s="8">
        <f t="shared" si="483"/>
        <v>0</v>
      </c>
      <c r="R3849" s="8">
        <f t="shared" si="484"/>
        <v>32</v>
      </c>
      <c r="S3849" s="8">
        <f t="shared" ca="1" si="485"/>
        <v>20</v>
      </c>
      <c r="T3849">
        <f t="shared" ca="1" si="486"/>
        <v>0.90400000000000014</v>
      </c>
      <c r="U3849" s="8">
        <f t="shared" ca="1" si="487"/>
        <v>3.4400000000000008</v>
      </c>
      <c r="V3849" s="9">
        <f ca="1">RawData[[#This Row],[Z (smoothed demand size)]]/RawData[[#This Row],[X (smoothed interval)]]</f>
        <v>0.26279069767441859</v>
      </c>
    </row>
    <row r="3850" spans="1:22">
      <c r="A3850" t="s">
        <v>73</v>
      </c>
      <c r="B3850" t="s">
        <v>60</v>
      </c>
      <c r="C3850">
        <v>49</v>
      </c>
      <c r="D3850" t="s">
        <v>22</v>
      </c>
      <c r="E3850" t="s">
        <v>16</v>
      </c>
      <c r="F3850" s="1">
        <v>43839</v>
      </c>
      <c r="G3850">
        <v>0</v>
      </c>
      <c r="H3850">
        <v>0</v>
      </c>
      <c r="I3850">
        <v>14</v>
      </c>
      <c r="J3850">
        <v>14</v>
      </c>
      <c r="K3850">
        <v>0</v>
      </c>
      <c r="L3850">
        <v>615</v>
      </c>
      <c r="M3850">
        <v>15</v>
      </c>
      <c r="N3850" s="1">
        <f t="shared" si="480"/>
        <v>44938</v>
      </c>
      <c r="O3850" s="1">
        <f t="shared" si="481"/>
        <v>43101</v>
      </c>
      <c r="P3850" s="1">
        <f t="shared" si="482"/>
        <v>44075</v>
      </c>
      <c r="Q3850" s="8">
        <f t="shared" si="483"/>
        <v>0</v>
      </c>
      <c r="R3850" s="8">
        <f t="shared" si="484"/>
        <v>33</v>
      </c>
      <c r="S3850" s="8">
        <f t="shared" ca="1" si="485"/>
        <v>20</v>
      </c>
      <c r="T3850">
        <f t="shared" ca="1" si="486"/>
        <v>0.90400000000000014</v>
      </c>
      <c r="U3850" s="8">
        <f t="shared" ca="1" si="487"/>
        <v>3.4400000000000008</v>
      </c>
      <c r="V3850" s="9">
        <f ca="1">RawData[[#This Row],[Z (smoothed demand size)]]/RawData[[#This Row],[X (smoothed interval)]]</f>
        <v>0.26279069767441859</v>
      </c>
    </row>
    <row r="3851" spans="1:22">
      <c r="A3851" t="s">
        <v>73</v>
      </c>
      <c r="B3851" t="s">
        <v>60</v>
      </c>
      <c r="C3851">
        <v>49</v>
      </c>
      <c r="D3851" t="s">
        <v>22</v>
      </c>
      <c r="E3851" t="s">
        <v>16</v>
      </c>
      <c r="F3851" s="1">
        <v>43840</v>
      </c>
      <c r="G3851">
        <v>0</v>
      </c>
      <c r="H3851">
        <v>0</v>
      </c>
      <c r="I3851">
        <v>14</v>
      </c>
      <c r="J3851">
        <v>14</v>
      </c>
      <c r="K3851">
        <v>0</v>
      </c>
      <c r="L3851">
        <v>599</v>
      </c>
      <c r="M3851">
        <v>45</v>
      </c>
      <c r="N3851" s="1">
        <f t="shared" si="480"/>
        <v>44938</v>
      </c>
      <c r="O3851" s="1">
        <f t="shared" si="481"/>
        <v>43101</v>
      </c>
      <c r="P3851" s="1">
        <f t="shared" si="482"/>
        <v>44105</v>
      </c>
      <c r="Q3851" s="8">
        <f t="shared" si="483"/>
        <v>0</v>
      </c>
      <c r="R3851" s="8">
        <f t="shared" si="484"/>
        <v>34</v>
      </c>
      <c r="S3851" s="8">
        <f t="shared" ca="1" si="485"/>
        <v>20</v>
      </c>
      <c r="T3851">
        <f t="shared" ca="1" si="486"/>
        <v>0.90400000000000014</v>
      </c>
      <c r="U3851" s="8">
        <f t="shared" ca="1" si="487"/>
        <v>3.4400000000000008</v>
      </c>
      <c r="V3851" s="9">
        <f ca="1">RawData[[#This Row],[Z (smoothed demand size)]]/RawData[[#This Row],[X (smoothed interval)]]</f>
        <v>0.26279069767441859</v>
      </c>
    </row>
    <row r="3852" spans="1:22">
      <c r="A3852" t="s">
        <v>73</v>
      </c>
      <c r="B3852" t="s">
        <v>60</v>
      </c>
      <c r="C3852">
        <v>49</v>
      </c>
      <c r="D3852" t="s">
        <v>22</v>
      </c>
      <c r="E3852" t="s">
        <v>16</v>
      </c>
      <c r="F3852" s="1">
        <v>43841</v>
      </c>
      <c r="G3852">
        <v>0</v>
      </c>
      <c r="H3852">
        <v>0</v>
      </c>
      <c r="I3852">
        <v>14</v>
      </c>
      <c r="J3852">
        <v>14</v>
      </c>
      <c r="K3852">
        <v>0</v>
      </c>
      <c r="L3852">
        <v>607</v>
      </c>
      <c r="M3852">
        <v>15</v>
      </c>
      <c r="N3852" s="1">
        <f t="shared" si="480"/>
        <v>44938</v>
      </c>
      <c r="O3852" s="1">
        <f t="shared" si="481"/>
        <v>43101</v>
      </c>
      <c r="P3852" s="1">
        <f t="shared" si="482"/>
        <v>44136</v>
      </c>
      <c r="Q3852" s="8">
        <f t="shared" si="483"/>
        <v>0</v>
      </c>
      <c r="R3852" s="8">
        <f t="shared" si="484"/>
        <v>35</v>
      </c>
      <c r="S3852" s="8">
        <f t="shared" ca="1" si="485"/>
        <v>20</v>
      </c>
      <c r="T3852">
        <f t="shared" ca="1" si="486"/>
        <v>0.90400000000000014</v>
      </c>
      <c r="U3852" s="8">
        <f t="shared" ca="1" si="487"/>
        <v>3.4400000000000008</v>
      </c>
      <c r="V3852" s="9">
        <f ca="1">RawData[[#This Row],[Z (smoothed demand size)]]/RawData[[#This Row],[X (smoothed interval)]]</f>
        <v>0.26279069767441859</v>
      </c>
    </row>
    <row r="3853" spans="1:22">
      <c r="A3853" t="s">
        <v>73</v>
      </c>
      <c r="B3853" t="s">
        <v>60</v>
      </c>
      <c r="C3853">
        <v>49</v>
      </c>
      <c r="D3853" t="s">
        <v>22</v>
      </c>
      <c r="E3853" t="s">
        <v>16</v>
      </c>
      <c r="F3853" s="1">
        <v>43842</v>
      </c>
      <c r="G3853">
        <v>3</v>
      </c>
      <c r="H3853">
        <v>3</v>
      </c>
      <c r="I3853">
        <v>14</v>
      </c>
      <c r="J3853">
        <v>11</v>
      </c>
      <c r="K3853">
        <v>0</v>
      </c>
      <c r="L3853">
        <v>684</v>
      </c>
      <c r="M3853">
        <v>60</v>
      </c>
      <c r="N3853" s="1">
        <f t="shared" si="480"/>
        <v>44938</v>
      </c>
      <c r="O3853" s="1">
        <f t="shared" si="481"/>
        <v>43101</v>
      </c>
      <c r="P3853" s="1">
        <f t="shared" si="482"/>
        <v>44166</v>
      </c>
      <c r="Q3853" s="8">
        <f t="shared" si="483"/>
        <v>0</v>
      </c>
      <c r="R3853" s="8">
        <f t="shared" si="484"/>
        <v>36</v>
      </c>
      <c r="S3853" s="8">
        <f t="shared" ca="1" si="485"/>
        <v>36</v>
      </c>
      <c r="T3853">
        <f t="shared" ca="1" si="486"/>
        <v>1.3232000000000004</v>
      </c>
      <c r="U3853" s="8">
        <f t="shared" ca="1" si="487"/>
        <v>5.9520000000000008</v>
      </c>
      <c r="V3853" s="9">
        <f ca="1">RawData[[#This Row],[Z (smoothed demand size)]]/RawData[[#This Row],[X (smoothed interval)]]</f>
        <v>0.22231182795698928</v>
      </c>
    </row>
    <row r="3854" spans="1:22">
      <c r="A3854" t="s">
        <v>73</v>
      </c>
      <c r="B3854" t="s">
        <v>60</v>
      </c>
      <c r="C3854">
        <v>49</v>
      </c>
      <c r="D3854" t="s">
        <v>22</v>
      </c>
      <c r="E3854" t="s">
        <v>16</v>
      </c>
      <c r="F3854" s="1">
        <v>44197</v>
      </c>
      <c r="G3854">
        <v>0</v>
      </c>
      <c r="H3854">
        <v>0</v>
      </c>
      <c r="I3854">
        <v>11</v>
      </c>
      <c r="J3854">
        <v>11</v>
      </c>
      <c r="K3854">
        <v>0</v>
      </c>
      <c r="L3854">
        <v>600</v>
      </c>
      <c r="M3854">
        <v>15</v>
      </c>
      <c r="N3854" s="1">
        <f t="shared" si="480"/>
        <v>44938</v>
      </c>
      <c r="O3854" s="1">
        <f t="shared" si="481"/>
        <v>43101</v>
      </c>
      <c r="P3854" s="1">
        <f t="shared" si="482"/>
        <v>44197</v>
      </c>
      <c r="Q3854" s="8">
        <f t="shared" si="483"/>
        <v>0</v>
      </c>
      <c r="R3854" s="8">
        <f t="shared" si="484"/>
        <v>37</v>
      </c>
      <c r="S3854" s="8">
        <f t="shared" ca="1" si="485"/>
        <v>36</v>
      </c>
      <c r="T3854">
        <f t="shared" ca="1" si="486"/>
        <v>1.3232000000000004</v>
      </c>
      <c r="U3854" s="8">
        <f t="shared" ca="1" si="487"/>
        <v>5.9520000000000008</v>
      </c>
      <c r="V3854" s="9">
        <f ca="1">RawData[[#This Row],[Z (smoothed demand size)]]/RawData[[#This Row],[X (smoothed interval)]]</f>
        <v>0.22231182795698928</v>
      </c>
    </row>
    <row r="3855" spans="1:22">
      <c r="A3855" t="s">
        <v>73</v>
      </c>
      <c r="B3855" t="s">
        <v>60</v>
      </c>
      <c r="C3855">
        <v>49</v>
      </c>
      <c r="D3855" t="s">
        <v>22</v>
      </c>
      <c r="E3855" t="s">
        <v>16</v>
      </c>
      <c r="F3855" s="1">
        <v>44198</v>
      </c>
      <c r="G3855">
        <v>0</v>
      </c>
      <c r="H3855">
        <v>0</v>
      </c>
      <c r="I3855">
        <v>11</v>
      </c>
      <c r="J3855">
        <v>11</v>
      </c>
      <c r="K3855">
        <v>0</v>
      </c>
      <c r="L3855">
        <v>603</v>
      </c>
      <c r="M3855">
        <v>60</v>
      </c>
      <c r="N3855" s="1">
        <f t="shared" si="480"/>
        <v>44938</v>
      </c>
      <c r="O3855" s="1">
        <f t="shared" si="481"/>
        <v>43101</v>
      </c>
      <c r="P3855" s="1">
        <f t="shared" si="482"/>
        <v>44228</v>
      </c>
      <c r="Q3855" s="8">
        <f t="shared" si="483"/>
        <v>0</v>
      </c>
      <c r="R3855" s="8">
        <f t="shared" si="484"/>
        <v>38</v>
      </c>
      <c r="S3855" s="8">
        <f t="shared" ca="1" si="485"/>
        <v>36</v>
      </c>
      <c r="T3855">
        <f t="shared" ca="1" si="486"/>
        <v>1.3232000000000004</v>
      </c>
      <c r="U3855" s="8">
        <f t="shared" ca="1" si="487"/>
        <v>5.9520000000000008</v>
      </c>
      <c r="V3855" s="9">
        <f ca="1">RawData[[#This Row],[Z (smoothed demand size)]]/RawData[[#This Row],[X (smoothed interval)]]</f>
        <v>0.22231182795698928</v>
      </c>
    </row>
    <row r="3856" spans="1:22">
      <c r="A3856" t="s">
        <v>73</v>
      </c>
      <c r="B3856" t="s">
        <v>60</v>
      </c>
      <c r="C3856">
        <v>49</v>
      </c>
      <c r="D3856" t="s">
        <v>22</v>
      </c>
      <c r="E3856" t="s">
        <v>16</v>
      </c>
      <c r="F3856" s="1">
        <v>44199</v>
      </c>
      <c r="G3856">
        <v>0</v>
      </c>
      <c r="H3856">
        <v>0</v>
      </c>
      <c r="I3856">
        <v>11</v>
      </c>
      <c r="J3856">
        <v>11</v>
      </c>
      <c r="K3856">
        <v>0</v>
      </c>
      <c r="L3856">
        <v>605</v>
      </c>
      <c r="M3856">
        <v>60</v>
      </c>
      <c r="N3856" s="1">
        <f t="shared" si="480"/>
        <v>44938</v>
      </c>
      <c r="O3856" s="1">
        <f t="shared" si="481"/>
        <v>43101</v>
      </c>
      <c r="P3856" s="1">
        <f t="shared" si="482"/>
        <v>44256</v>
      </c>
      <c r="Q3856" s="8">
        <f t="shared" si="483"/>
        <v>0</v>
      </c>
      <c r="R3856" s="8">
        <f t="shared" si="484"/>
        <v>39</v>
      </c>
      <c r="S3856" s="8">
        <f t="shared" ca="1" si="485"/>
        <v>36</v>
      </c>
      <c r="T3856">
        <f t="shared" ca="1" si="486"/>
        <v>1.3232000000000004</v>
      </c>
      <c r="U3856" s="8">
        <f t="shared" ca="1" si="487"/>
        <v>5.9520000000000008</v>
      </c>
      <c r="V3856" s="9">
        <f ca="1">RawData[[#This Row],[Z (smoothed demand size)]]/RawData[[#This Row],[X (smoothed interval)]]</f>
        <v>0.22231182795698928</v>
      </c>
    </row>
    <row r="3857" spans="1:22">
      <c r="A3857" t="s">
        <v>73</v>
      </c>
      <c r="B3857" t="s">
        <v>60</v>
      </c>
      <c r="C3857">
        <v>49</v>
      </c>
      <c r="D3857" t="s">
        <v>22</v>
      </c>
      <c r="E3857" t="s">
        <v>16</v>
      </c>
      <c r="F3857" s="1">
        <v>44200</v>
      </c>
      <c r="G3857">
        <v>0</v>
      </c>
      <c r="H3857">
        <v>0</v>
      </c>
      <c r="I3857">
        <v>11</v>
      </c>
      <c r="J3857">
        <v>11</v>
      </c>
      <c r="K3857">
        <v>0</v>
      </c>
      <c r="L3857">
        <v>607</v>
      </c>
      <c r="M3857">
        <v>60</v>
      </c>
      <c r="N3857" s="1">
        <f t="shared" si="480"/>
        <v>44938</v>
      </c>
      <c r="O3857" s="1">
        <f t="shared" si="481"/>
        <v>43101</v>
      </c>
      <c r="P3857" s="1">
        <f t="shared" si="482"/>
        <v>44287</v>
      </c>
      <c r="Q3857" s="8">
        <f t="shared" si="483"/>
        <v>0</v>
      </c>
      <c r="R3857" s="8">
        <f t="shared" si="484"/>
        <v>40</v>
      </c>
      <c r="S3857" s="8">
        <f t="shared" ca="1" si="485"/>
        <v>36</v>
      </c>
      <c r="T3857">
        <f t="shared" ca="1" si="486"/>
        <v>1.3232000000000004</v>
      </c>
      <c r="U3857" s="8">
        <f t="shared" ca="1" si="487"/>
        <v>5.9520000000000008</v>
      </c>
      <c r="V3857" s="9">
        <f ca="1">RawData[[#This Row],[Z (smoothed demand size)]]/RawData[[#This Row],[X (smoothed interval)]]</f>
        <v>0.22231182795698928</v>
      </c>
    </row>
    <row r="3858" spans="1:22">
      <c r="A3858" t="s">
        <v>73</v>
      </c>
      <c r="B3858" t="s">
        <v>60</v>
      </c>
      <c r="C3858">
        <v>49</v>
      </c>
      <c r="D3858" t="s">
        <v>22</v>
      </c>
      <c r="E3858" t="s">
        <v>16</v>
      </c>
      <c r="F3858" s="1">
        <v>44201</v>
      </c>
      <c r="G3858">
        <v>0</v>
      </c>
      <c r="H3858">
        <v>0</v>
      </c>
      <c r="I3858">
        <v>11</v>
      </c>
      <c r="J3858">
        <v>11</v>
      </c>
      <c r="K3858">
        <v>0</v>
      </c>
      <c r="L3858">
        <v>611</v>
      </c>
      <c r="M3858">
        <v>60</v>
      </c>
      <c r="N3858" s="1">
        <f t="shared" si="480"/>
        <v>44938</v>
      </c>
      <c r="O3858" s="1">
        <f t="shared" si="481"/>
        <v>43101</v>
      </c>
      <c r="P3858" s="1">
        <f t="shared" si="482"/>
        <v>44317</v>
      </c>
      <c r="Q3858" s="8">
        <f t="shared" si="483"/>
        <v>0</v>
      </c>
      <c r="R3858" s="8">
        <f t="shared" si="484"/>
        <v>41</v>
      </c>
      <c r="S3858" s="8">
        <f t="shared" ca="1" si="485"/>
        <v>36</v>
      </c>
      <c r="T3858">
        <f t="shared" ca="1" si="486"/>
        <v>1.3232000000000004</v>
      </c>
      <c r="U3858" s="8">
        <f t="shared" ca="1" si="487"/>
        <v>5.9520000000000008</v>
      </c>
      <c r="V3858" s="9">
        <f ca="1">RawData[[#This Row],[Z (smoothed demand size)]]/RawData[[#This Row],[X (smoothed interval)]]</f>
        <v>0.22231182795698928</v>
      </c>
    </row>
    <row r="3859" spans="1:22">
      <c r="A3859" t="s">
        <v>73</v>
      </c>
      <c r="B3859" t="s">
        <v>60</v>
      </c>
      <c r="C3859">
        <v>49</v>
      </c>
      <c r="D3859" t="s">
        <v>22</v>
      </c>
      <c r="E3859" t="s">
        <v>16</v>
      </c>
      <c r="F3859" s="1">
        <v>44202</v>
      </c>
      <c r="G3859">
        <v>0</v>
      </c>
      <c r="H3859">
        <v>0</v>
      </c>
      <c r="I3859">
        <v>11</v>
      </c>
      <c r="J3859">
        <v>11</v>
      </c>
      <c r="K3859">
        <v>0</v>
      </c>
      <c r="L3859">
        <v>684</v>
      </c>
      <c r="M3859">
        <v>60</v>
      </c>
      <c r="N3859" s="1">
        <f t="shared" si="480"/>
        <v>44938</v>
      </c>
      <c r="O3859" s="1">
        <f t="shared" si="481"/>
        <v>43101</v>
      </c>
      <c r="P3859" s="1">
        <f t="shared" si="482"/>
        <v>44348</v>
      </c>
      <c r="Q3859" s="8">
        <f t="shared" si="483"/>
        <v>0</v>
      </c>
      <c r="R3859" s="8">
        <f t="shared" si="484"/>
        <v>42</v>
      </c>
      <c r="S3859" s="8">
        <f t="shared" ca="1" si="485"/>
        <v>36</v>
      </c>
      <c r="T3859">
        <f t="shared" ca="1" si="486"/>
        <v>1.3232000000000004</v>
      </c>
      <c r="U3859" s="8">
        <f t="shared" ca="1" si="487"/>
        <v>5.9520000000000008</v>
      </c>
      <c r="V3859" s="9">
        <f ca="1">RawData[[#This Row],[Z (smoothed demand size)]]/RawData[[#This Row],[X (smoothed interval)]]</f>
        <v>0.22231182795698928</v>
      </c>
    </row>
    <row r="3860" spans="1:22">
      <c r="A3860" t="s">
        <v>73</v>
      </c>
      <c r="B3860" t="s">
        <v>60</v>
      </c>
      <c r="C3860">
        <v>49</v>
      </c>
      <c r="D3860" t="s">
        <v>22</v>
      </c>
      <c r="E3860" t="s">
        <v>16</v>
      </c>
      <c r="F3860" s="1">
        <v>44203</v>
      </c>
      <c r="G3860">
        <v>0</v>
      </c>
      <c r="H3860">
        <v>0</v>
      </c>
      <c r="I3860">
        <v>11</v>
      </c>
      <c r="J3860">
        <v>11</v>
      </c>
      <c r="K3860">
        <v>0</v>
      </c>
      <c r="L3860">
        <v>699</v>
      </c>
      <c r="M3860">
        <v>45</v>
      </c>
      <c r="N3860" s="1">
        <f t="shared" si="480"/>
        <v>44938</v>
      </c>
      <c r="O3860" s="1">
        <f t="shared" si="481"/>
        <v>43101</v>
      </c>
      <c r="P3860" s="1">
        <f t="shared" si="482"/>
        <v>44378</v>
      </c>
      <c r="Q3860" s="8">
        <f t="shared" si="483"/>
        <v>0</v>
      </c>
      <c r="R3860" s="8">
        <f t="shared" si="484"/>
        <v>43</v>
      </c>
      <c r="S3860" s="8">
        <f t="shared" ca="1" si="485"/>
        <v>36</v>
      </c>
      <c r="T3860">
        <f t="shared" ca="1" si="486"/>
        <v>1.3232000000000004</v>
      </c>
      <c r="U3860" s="8">
        <f t="shared" ca="1" si="487"/>
        <v>5.9520000000000008</v>
      </c>
      <c r="V3860" s="9">
        <f ca="1">RawData[[#This Row],[Z (smoothed demand size)]]/RawData[[#This Row],[X (smoothed interval)]]</f>
        <v>0.22231182795698928</v>
      </c>
    </row>
    <row r="3861" spans="1:22">
      <c r="A3861" t="s">
        <v>73</v>
      </c>
      <c r="B3861" t="s">
        <v>60</v>
      </c>
      <c r="C3861">
        <v>49</v>
      </c>
      <c r="D3861" t="s">
        <v>22</v>
      </c>
      <c r="E3861" t="s">
        <v>16</v>
      </c>
      <c r="F3861" s="1">
        <v>44204</v>
      </c>
      <c r="G3861">
        <v>0</v>
      </c>
      <c r="H3861">
        <v>0</v>
      </c>
      <c r="I3861">
        <v>11</v>
      </c>
      <c r="J3861">
        <v>11</v>
      </c>
      <c r="K3861">
        <v>0</v>
      </c>
      <c r="L3861">
        <v>706</v>
      </c>
      <c r="M3861">
        <v>15</v>
      </c>
      <c r="N3861" s="1">
        <f t="shared" si="480"/>
        <v>44938</v>
      </c>
      <c r="O3861" s="1">
        <f t="shared" si="481"/>
        <v>43101</v>
      </c>
      <c r="P3861" s="1">
        <f t="shared" si="482"/>
        <v>44409</v>
      </c>
      <c r="Q3861" s="8">
        <f t="shared" si="483"/>
        <v>0</v>
      </c>
      <c r="R3861" s="8">
        <f t="shared" si="484"/>
        <v>44</v>
      </c>
      <c r="S3861" s="8">
        <f t="shared" ca="1" si="485"/>
        <v>36</v>
      </c>
      <c r="T3861">
        <f t="shared" ca="1" si="486"/>
        <v>1.3232000000000004</v>
      </c>
      <c r="U3861" s="8">
        <f t="shared" ca="1" si="487"/>
        <v>5.9520000000000008</v>
      </c>
      <c r="V3861" s="9">
        <f ca="1">RawData[[#This Row],[Z (smoothed demand size)]]/RawData[[#This Row],[X (smoothed interval)]]</f>
        <v>0.22231182795698928</v>
      </c>
    </row>
    <row r="3862" spans="1:22">
      <c r="A3862" t="s">
        <v>73</v>
      </c>
      <c r="B3862" t="s">
        <v>60</v>
      </c>
      <c r="C3862">
        <v>49</v>
      </c>
      <c r="D3862" t="s">
        <v>22</v>
      </c>
      <c r="E3862" t="s">
        <v>16</v>
      </c>
      <c r="F3862" s="1">
        <v>44205</v>
      </c>
      <c r="G3862">
        <v>0</v>
      </c>
      <c r="H3862">
        <v>0</v>
      </c>
      <c r="I3862">
        <v>11</v>
      </c>
      <c r="J3862">
        <v>11</v>
      </c>
      <c r="K3862">
        <v>0</v>
      </c>
      <c r="L3862">
        <v>601</v>
      </c>
      <c r="M3862">
        <v>45</v>
      </c>
      <c r="N3862" s="1">
        <f t="shared" si="480"/>
        <v>44938</v>
      </c>
      <c r="O3862" s="1">
        <f t="shared" si="481"/>
        <v>43101</v>
      </c>
      <c r="P3862" s="1">
        <f t="shared" si="482"/>
        <v>44440</v>
      </c>
      <c r="Q3862" s="8">
        <f t="shared" si="483"/>
        <v>0</v>
      </c>
      <c r="R3862" s="8">
        <f t="shared" si="484"/>
        <v>45</v>
      </c>
      <c r="S3862" s="8">
        <f t="shared" ca="1" si="485"/>
        <v>36</v>
      </c>
      <c r="T3862">
        <f t="shared" ca="1" si="486"/>
        <v>1.3232000000000004</v>
      </c>
      <c r="U3862" s="8">
        <f t="shared" ca="1" si="487"/>
        <v>5.9520000000000008</v>
      </c>
      <c r="V3862" s="9">
        <f ca="1">RawData[[#This Row],[Z (smoothed demand size)]]/RawData[[#This Row],[X (smoothed interval)]]</f>
        <v>0.22231182795698928</v>
      </c>
    </row>
    <row r="3863" spans="1:22">
      <c r="A3863" t="s">
        <v>73</v>
      </c>
      <c r="B3863" t="s">
        <v>60</v>
      </c>
      <c r="C3863">
        <v>49</v>
      </c>
      <c r="D3863" t="s">
        <v>22</v>
      </c>
      <c r="E3863" t="s">
        <v>16</v>
      </c>
      <c r="F3863" s="1">
        <v>44206</v>
      </c>
      <c r="G3863">
        <v>0</v>
      </c>
      <c r="H3863">
        <v>0</v>
      </c>
      <c r="I3863">
        <v>11</v>
      </c>
      <c r="J3863">
        <v>11</v>
      </c>
      <c r="K3863">
        <v>0</v>
      </c>
      <c r="L3863">
        <v>600</v>
      </c>
      <c r="M3863">
        <v>45</v>
      </c>
      <c r="N3863" s="1">
        <f t="shared" si="480"/>
        <v>44938</v>
      </c>
      <c r="O3863" s="1">
        <f t="shared" si="481"/>
        <v>43101</v>
      </c>
      <c r="P3863" s="1">
        <f t="shared" si="482"/>
        <v>44470</v>
      </c>
      <c r="Q3863" s="8">
        <f t="shared" si="483"/>
        <v>0</v>
      </c>
      <c r="R3863" s="8">
        <f t="shared" si="484"/>
        <v>46</v>
      </c>
      <c r="S3863" s="8">
        <f t="shared" ca="1" si="485"/>
        <v>36</v>
      </c>
      <c r="T3863">
        <f t="shared" ca="1" si="486"/>
        <v>1.3232000000000004</v>
      </c>
      <c r="U3863" s="8">
        <f t="shared" ca="1" si="487"/>
        <v>5.9520000000000008</v>
      </c>
      <c r="V3863" s="9">
        <f ca="1">RawData[[#This Row],[Z (smoothed demand size)]]/RawData[[#This Row],[X (smoothed interval)]]</f>
        <v>0.22231182795698928</v>
      </c>
    </row>
    <row r="3864" spans="1:22">
      <c r="A3864" t="s">
        <v>73</v>
      </c>
      <c r="B3864" t="s">
        <v>60</v>
      </c>
      <c r="C3864">
        <v>49</v>
      </c>
      <c r="D3864" t="s">
        <v>22</v>
      </c>
      <c r="E3864" t="s">
        <v>16</v>
      </c>
      <c r="F3864" s="1">
        <v>44207</v>
      </c>
      <c r="G3864">
        <v>0</v>
      </c>
      <c r="H3864">
        <v>0</v>
      </c>
      <c r="I3864">
        <v>11</v>
      </c>
      <c r="J3864">
        <v>11</v>
      </c>
      <c r="K3864">
        <v>0</v>
      </c>
      <c r="L3864">
        <v>604</v>
      </c>
      <c r="M3864">
        <v>15</v>
      </c>
      <c r="N3864" s="1">
        <f t="shared" si="480"/>
        <v>44938</v>
      </c>
      <c r="O3864" s="1">
        <f t="shared" si="481"/>
        <v>43101</v>
      </c>
      <c r="P3864" s="1">
        <f t="shared" si="482"/>
        <v>44501</v>
      </c>
      <c r="Q3864" s="8">
        <f t="shared" si="483"/>
        <v>0</v>
      </c>
      <c r="R3864" s="8">
        <f t="shared" si="484"/>
        <v>47</v>
      </c>
      <c r="S3864" s="8">
        <f t="shared" ca="1" si="485"/>
        <v>36</v>
      </c>
      <c r="T3864">
        <f t="shared" ca="1" si="486"/>
        <v>1.3232000000000004</v>
      </c>
      <c r="U3864" s="8">
        <f t="shared" ca="1" si="487"/>
        <v>5.9520000000000008</v>
      </c>
      <c r="V3864" s="9">
        <f ca="1">RawData[[#This Row],[Z (smoothed demand size)]]/RawData[[#This Row],[X (smoothed interval)]]</f>
        <v>0.22231182795698928</v>
      </c>
    </row>
    <row r="3865" spans="1:22">
      <c r="A3865" t="s">
        <v>73</v>
      </c>
      <c r="B3865" t="s">
        <v>60</v>
      </c>
      <c r="C3865">
        <v>49</v>
      </c>
      <c r="D3865" t="s">
        <v>22</v>
      </c>
      <c r="E3865" t="s">
        <v>16</v>
      </c>
      <c r="F3865" s="1">
        <v>44208</v>
      </c>
      <c r="G3865">
        <v>0</v>
      </c>
      <c r="H3865">
        <v>0</v>
      </c>
      <c r="I3865">
        <v>11</v>
      </c>
      <c r="J3865">
        <v>11</v>
      </c>
      <c r="K3865">
        <v>0</v>
      </c>
      <c r="L3865">
        <v>693</v>
      </c>
      <c r="M3865">
        <v>60</v>
      </c>
      <c r="N3865" s="1">
        <f t="shared" si="480"/>
        <v>44938</v>
      </c>
      <c r="O3865" s="1">
        <f t="shared" si="481"/>
        <v>43101</v>
      </c>
      <c r="P3865" s="1">
        <f t="shared" si="482"/>
        <v>44531</v>
      </c>
      <c r="Q3865" s="8">
        <f t="shared" si="483"/>
        <v>0</v>
      </c>
      <c r="R3865" s="8">
        <f t="shared" si="484"/>
        <v>48</v>
      </c>
      <c r="S3865" s="8">
        <f t="shared" ca="1" si="485"/>
        <v>36</v>
      </c>
      <c r="T3865">
        <f t="shared" ca="1" si="486"/>
        <v>1.3232000000000004</v>
      </c>
      <c r="U3865" s="8">
        <f t="shared" ca="1" si="487"/>
        <v>5.9520000000000008</v>
      </c>
      <c r="V3865" s="9">
        <f ca="1">RawData[[#This Row],[Z (smoothed demand size)]]/RawData[[#This Row],[X (smoothed interval)]]</f>
        <v>0.22231182795698928</v>
      </c>
    </row>
    <row r="3866" spans="1:22">
      <c r="A3866" t="s">
        <v>73</v>
      </c>
      <c r="B3866" t="s">
        <v>60</v>
      </c>
      <c r="C3866">
        <v>49</v>
      </c>
      <c r="D3866" t="s">
        <v>22</v>
      </c>
      <c r="E3866" t="s">
        <v>16</v>
      </c>
      <c r="F3866" s="1">
        <v>44562</v>
      </c>
      <c r="G3866">
        <v>0</v>
      </c>
      <c r="H3866">
        <v>0</v>
      </c>
      <c r="I3866">
        <v>11</v>
      </c>
      <c r="J3866">
        <v>11</v>
      </c>
      <c r="K3866">
        <v>0</v>
      </c>
      <c r="L3866">
        <v>600</v>
      </c>
      <c r="M3866">
        <v>30</v>
      </c>
      <c r="N3866" s="1">
        <f t="shared" si="480"/>
        <v>44938</v>
      </c>
      <c r="O3866" s="1">
        <f t="shared" si="481"/>
        <v>43101</v>
      </c>
      <c r="P3866" s="1">
        <f t="shared" si="482"/>
        <v>44562</v>
      </c>
      <c r="Q3866" s="8">
        <f t="shared" si="483"/>
        <v>0</v>
      </c>
      <c r="R3866" s="8">
        <f t="shared" si="484"/>
        <v>49</v>
      </c>
      <c r="S3866" s="8">
        <f t="shared" ca="1" si="485"/>
        <v>36</v>
      </c>
      <c r="T3866">
        <f t="shared" ca="1" si="486"/>
        <v>1.3232000000000004</v>
      </c>
      <c r="U3866" s="8">
        <f t="shared" ca="1" si="487"/>
        <v>5.9520000000000008</v>
      </c>
      <c r="V3866" s="9">
        <f ca="1">RawData[[#This Row],[Z (smoothed demand size)]]/RawData[[#This Row],[X (smoothed interval)]]</f>
        <v>0.22231182795698928</v>
      </c>
    </row>
    <row r="3867" spans="1:22">
      <c r="A3867" t="s">
        <v>73</v>
      </c>
      <c r="B3867" t="s">
        <v>60</v>
      </c>
      <c r="C3867">
        <v>49</v>
      </c>
      <c r="D3867" t="s">
        <v>22</v>
      </c>
      <c r="E3867" t="s">
        <v>16</v>
      </c>
      <c r="F3867" s="1">
        <v>44563</v>
      </c>
      <c r="G3867">
        <v>0</v>
      </c>
      <c r="H3867">
        <v>0</v>
      </c>
      <c r="I3867">
        <v>11</v>
      </c>
      <c r="J3867">
        <v>11</v>
      </c>
      <c r="K3867">
        <v>0</v>
      </c>
      <c r="L3867">
        <v>610</v>
      </c>
      <c r="M3867">
        <v>60</v>
      </c>
      <c r="N3867" s="1">
        <f t="shared" si="480"/>
        <v>44938</v>
      </c>
      <c r="O3867" s="1">
        <f t="shared" si="481"/>
        <v>43101</v>
      </c>
      <c r="P3867" s="1">
        <f t="shared" si="482"/>
        <v>44593</v>
      </c>
      <c r="Q3867" s="8">
        <f t="shared" si="483"/>
        <v>0</v>
      </c>
      <c r="R3867" s="8">
        <f t="shared" si="484"/>
        <v>50</v>
      </c>
      <c r="S3867" s="8">
        <f t="shared" ca="1" si="485"/>
        <v>36</v>
      </c>
      <c r="T3867">
        <f t="shared" ca="1" si="486"/>
        <v>1.3232000000000004</v>
      </c>
      <c r="U3867" s="8">
        <f t="shared" ca="1" si="487"/>
        <v>5.9520000000000008</v>
      </c>
      <c r="V3867" s="9">
        <f ca="1">RawData[[#This Row],[Z (smoothed demand size)]]/RawData[[#This Row],[X (smoothed interval)]]</f>
        <v>0.22231182795698928</v>
      </c>
    </row>
    <row r="3868" spans="1:22">
      <c r="A3868" t="s">
        <v>73</v>
      </c>
      <c r="B3868" t="s">
        <v>60</v>
      </c>
      <c r="C3868">
        <v>49</v>
      </c>
      <c r="D3868" t="s">
        <v>22</v>
      </c>
      <c r="E3868" t="s">
        <v>16</v>
      </c>
      <c r="F3868" s="1">
        <v>44564</v>
      </c>
      <c r="G3868">
        <v>0</v>
      </c>
      <c r="H3868">
        <v>0</v>
      </c>
      <c r="I3868">
        <v>11</v>
      </c>
      <c r="J3868">
        <v>11</v>
      </c>
      <c r="K3868">
        <v>0</v>
      </c>
      <c r="L3868">
        <v>616</v>
      </c>
      <c r="M3868">
        <v>30</v>
      </c>
      <c r="N3868" s="1">
        <f t="shared" si="480"/>
        <v>44938</v>
      </c>
      <c r="O3868" s="1">
        <f t="shared" si="481"/>
        <v>43101</v>
      </c>
      <c r="P3868" s="1">
        <f t="shared" si="482"/>
        <v>44621</v>
      </c>
      <c r="Q3868" s="8">
        <f t="shared" si="483"/>
        <v>0</v>
      </c>
      <c r="R3868" s="8">
        <f t="shared" si="484"/>
        <v>51</v>
      </c>
      <c r="S3868" s="8">
        <f t="shared" ca="1" si="485"/>
        <v>36</v>
      </c>
      <c r="T3868">
        <f t="shared" ca="1" si="486"/>
        <v>1.3232000000000004</v>
      </c>
      <c r="U3868" s="8">
        <f t="shared" ca="1" si="487"/>
        <v>5.9520000000000008</v>
      </c>
      <c r="V3868" s="9">
        <f ca="1">RawData[[#This Row],[Z (smoothed demand size)]]/RawData[[#This Row],[X (smoothed interval)]]</f>
        <v>0.22231182795698928</v>
      </c>
    </row>
    <row r="3869" spans="1:22">
      <c r="A3869" t="s">
        <v>73</v>
      </c>
      <c r="B3869" t="s">
        <v>60</v>
      </c>
      <c r="C3869">
        <v>49</v>
      </c>
      <c r="D3869" t="s">
        <v>22</v>
      </c>
      <c r="E3869" t="s">
        <v>16</v>
      </c>
      <c r="F3869" s="1">
        <v>44565</v>
      </c>
      <c r="G3869">
        <v>2</v>
      </c>
      <c r="H3869">
        <v>2</v>
      </c>
      <c r="I3869">
        <v>11</v>
      </c>
      <c r="J3869">
        <v>9</v>
      </c>
      <c r="K3869">
        <v>0</v>
      </c>
      <c r="L3869">
        <v>600</v>
      </c>
      <c r="M3869">
        <v>60</v>
      </c>
      <c r="N3869" s="1">
        <f t="shared" si="480"/>
        <v>44938</v>
      </c>
      <c r="O3869" s="1">
        <f t="shared" si="481"/>
        <v>43101</v>
      </c>
      <c r="P3869" s="1">
        <f t="shared" si="482"/>
        <v>44652</v>
      </c>
      <c r="Q3869" s="8">
        <f t="shared" si="483"/>
        <v>0</v>
      </c>
      <c r="R3869" s="8">
        <f t="shared" si="484"/>
        <v>52</v>
      </c>
      <c r="S3869" s="8">
        <f t="shared" ca="1" si="485"/>
        <v>52</v>
      </c>
      <c r="T3869">
        <f t="shared" ca="1" si="486"/>
        <v>1.4585600000000003</v>
      </c>
      <c r="U3869" s="8">
        <f t="shared" ca="1" si="487"/>
        <v>7.9616000000000007</v>
      </c>
      <c r="V3869" s="9">
        <f ca="1">RawData[[#This Row],[Z (smoothed demand size)]]/RawData[[#This Row],[X (smoothed interval)]]</f>
        <v>0.18319935691318331</v>
      </c>
    </row>
    <row r="3870" spans="1:22">
      <c r="A3870" t="s">
        <v>73</v>
      </c>
      <c r="B3870" t="s">
        <v>60</v>
      </c>
      <c r="C3870">
        <v>49</v>
      </c>
      <c r="D3870" t="s">
        <v>22</v>
      </c>
      <c r="E3870" t="s">
        <v>16</v>
      </c>
      <c r="F3870" s="1">
        <v>44566</v>
      </c>
      <c r="G3870">
        <v>0</v>
      </c>
      <c r="H3870">
        <v>0</v>
      </c>
      <c r="I3870">
        <v>9</v>
      </c>
      <c r="J3870">
        <v>9</v>
      </c>
      <c r="K3870">
        <v>0</v>
      </c>
      <c r="L3870">
        <v>616</v>
      </c>
      <c r="M3870">
        <v>60</v>
      </c>
      <c r="N3870" s="1">
        <f t="shared" si="480"/>
        <v>44938</v>
      </c>
      <c r="O3870" s="1">
        <f t="shared" si="481"/>
        <v>43101</v>
      </c>
      <c r="P3870" s="1">
        <f t="shared" si="482"/>
        <v>44682</v>
      </c>
      <c r="Q3870" s="8">
        <f t="shared" si="483"/>
        <v>0</v>
      </c>
      <c r="R3870" s="8">
        <f t="shared" si="484"/>
        <v>53</v>
      </c>
      <c r="S3870" s="8">
        <f t="shared" ca="1" si="485"/>
        <v>52</v>
      </c>
      <c r="T3870">
        <f t="shared" ca="1" si="486"/>
        <v>1.4585600000000003</v>
      </c>
      <c r="U3870" s="8">
        <f t="shared" ca="1" si="487"/>
        <v>7.9616000000000007</v>
      </c>
      <c r="V3870" s="9">
        <f ca="1">RawData[[#This Row],[Z (smoothed demand size)]]/RawData[[#This Row],[X (smoothed interval)]]</f>
        <v>0.18319935691318331</v>
      </c>
    </row>
    <row r="3871" spans="1:22">
      <c r="A3871" t="s">
        <v>73</v>
      </c>
      <c r="B3871" t="s">
        <v>60</v>
      </c>
      <c r="C3871">
        <v>49</v>
      </c>
      <c r="D3871" t="s">
        <v>22</v>
      </c>
      <c r="E3871" t="s">
        <v>16</v>
      </c>
      <c r="F3871" s="1">
        <v>44567</v>
      </c>
      <c r="G3871">
        <v>0</v>
      </c>
      <c r="H3871">
        <v>0</v>
      </c>
      <c r="I3871">
        <v>9</v>
      </c>
      <c r="J3871">
        <v>9</v>
      </c>
      <c r="K3871">
        <v>0</v>
      </c>
      <c r="L3871">
        <v>689</v>
      </c>
      <c r="M3871">
        <v>15</v>
      </c>
      <c r="N3871" s="1">
        <f t="shared" si="480"/>
        <v>44938</v>
      </c>
      <c r="O3871" s="1">
        <f t="shared" si="481"/>
        <v>43101</v>
      </c>
      <c r="P3871" s="1">
        <f t="shared" si="482"/>
        <v>44713</v>
      </c>
      <c r="Q3871" s="8">
        <f t="shared" si="483"/>
        <v>0</v>
      </c>
      <c r="R3871" s="8">
        <f t="shared" si="484"/>
        <v>54</v>
      </c>
      <c r="S3871" s="8">
        <f t="shared" ca="1" si="485"/>
        <v>52</v>
      </c>
      <c r="T3871">
        <f t="shared" ca="1" si="486"/>
        <v>1.4585600000000003</v>
      </c>
      <c r="U3871" s="8">
        <f t="shared" ca="1" si="487"/>
        <v>7.9616000000000007</v>
      </c>
      <c r="V3871" s="9">
        <f ca="1">RawData[[#This Row],[Z (smoothed demand size)]]/RawData[[#This Row],[X (smoothed interval)]]</f>
        <v>0.18319935691318331</v>
      </c>
    </row>
    <row r="3872" spans="1:22">
      <c r="A3872" t="s">
        <v>73</v>
      </c>
      <c r="B3872" t="s">
        <v>60</v>
      </c>
      <c r="C3872">
        <v>49</v>
      </c>
      <c r="D3872" t="s">
        <v>22</v>
      </c>
      <c r="E3872" t="s">
        <v>16</v>
      </c>
      <c r="F3872" s="1">
        <v>44568</v>
      </c>
      <c r="G3872">
        <v>0</v>
      </c>
      <c r="H3872">
        <v>0</v>
      </c>
      <c r="I3872">
        <v>9</v>
      </c>
      <c r="J3872">
        <v>9</v>
      </c>
      <c r="K3872">
        <v>0</v>
      </c>
      <c r="L3872">
        <v>697</v>
      </c>
      <c r="M3872">
        <v>60</v>
      </c>
      <c r="N3872" s="1">
        <f t="shared" si="480"/>
        <v>44938</v>
      </c>
      <c r="O3872" s="1">
        <f t="shared" si="481"/>
        <v>43101</v>
      </c>
      <c r="P3872" s="1">
        <f t="shared" si="482"/>
        <v>44743</v>
      </c>
      <c r="Q3872" s="8">
        <f t="shared" si="483"/>
        <v>0</v>
      </c>
      <c r="R3872" s="8">
        <f t="shared" si="484"/>
        <v>55</v>
      </c>
      <c r="S3872" s="8">
        <f t="shared" ca="1" si="485"/>
        <v>52</v>
      </c>
      <c r="T3872">
        <f t="shared" ca="1" si="486"/>
        <v>1.4585600000000003</v>
      </c>
      <c r="U3872" s="8">
        <f t="shared" ca="1" si="487"/>
        <v>7.9616000000000007</v>
      </c>
      <c r="V3872" s="9">
        <f ca="1">RawData[[#This Row],[Z (smoothed demand size)]]/RawData[[#This Row],[X (smoothed interval)]]</f>
        <v>0.18319935691318331</v>
      </c>
    </row>
    <row r="3873" spans="1:22">
      <c r="A3873" t="s">
        <v>73</v>
      </c>
      <c r="B3873" t="s">
        <v>60</v>
      </c>
      <c r="C3873">
        <v>49</v>
      </c>
      <c r="D3873" t="s">
        <v>22</v>
      </c>
      <c r="E3873" t="s">
        <v>16</v>
      </c>
      <c r="F3873" s="1">
        <v>44569</v>
      </c>
      <c r="G3873">
        <v>0</v>
      </c>
      <c r="H3873">
        <v>0</v>
      </c>
      <c r="I3873">
        <v>9</v>
      </c>
      <c r="J3873">
        <v>9</v>
      </c>
      <c r="K3873">
        <v>0</v>
      </c>
      <c r="L3873">
        <v>685</v>
      </c>
      <c r="M3873">
        <v>30</v>
      </c>
      <c r="N3873" s="1">
        <f t="shared" si="480"/>
        <v>44938</v>
      </c>
      <c r="O3873" s="1">
        <f t="shared" si="481"/>
        <v>43101</v>
      </c>
      <c r="P3873" s="1">
        <f t="shared" si="482"/>
        <v>44774</v>
      </c>
      <c r="Q3873" s="8">
        <f t="shared" si="483"/>
        <v>0</v>
      </c>
      <c r="R3873" s="8">
        <f t="shared" si="484"/>
        <v>56</v>
      </c>
      <c r="S3873" s="8">
        <f t="shared" ca="1" si="485"/>
        <v>52</v>
      </c>
      <c r="T3873">
        <f t="shared" ca="1" si="486"/>
        <v>1.4585600000000003</v>
      </c>
      <c r="U3873" s="8">
        <f t="shared" ca="1" si="487"/>
        <v>7.9616000000000007</v>
      </c>
      <c r="V3873" s="9">
        <f ca="1">RawData[[#This Row],[Z (smoothed demand size)]]/RawData[[#This Row],[X (smoothed interval)]]</f>
        <v>0.18319935691318331</v>
      </c>
    </row>
    <row r="3874" spans="1:22">
      <c r="A3874" t="s">
        <v>73</v>
      </c>
      <c r="B3874" t="s">
        <v>60</v>
      </c>
      <c r="C3874">
        <v>49</v>
      </c>
      <c r="D3874" t="s">
        <v>22</v>
      </c>
      <c r="E3874" t="s">
        <v>16</v>
      </c>
      <c r="F3874" s="1">
        <v>44570</v>
      </c>
      <c r="G3874">
        <v>0</v>
      </c>
      <c r="H3874">
        <v>0</v>
      </c>
      <c r="I3874">
        <v>9</v>
      </c>
      <c r="J3874">
        <v>9</v>
      </c>
      <c r="K3874">
        <v>0</v>
      </c>
      <c r="L3874">
        <v>596</v>
      </c>
      <c r="M3874">
        <v>15</v>
      </c>
      <c r="N3874" s="1">
        <f t="shared" si="480"/>
        <v>44938</v>
      </c>
      <c r="O3874" s="1">
        <f t="shared" si="481"/>
        <v>43101</v>
      </c>
      <c r="P3874" s="1">
        <f t="shared" si="482"/>
        <v>44805</v>
      </c>
      <c r="Q3874" s="8">
        <f t="shared" si="483"/>
        <v>0</v>
      </c>
      <c r="R3874" s="8">
        <f t="shared" si="484"/>
        <v>57</v>
      </c>
      <c r="S3874" s="8">
        <f t="shared" ca="1" si="485"/>
        <v>52</v>
      </c>
      <c r="T3874">
        <f t="shared" ca="1" si="486"/>
        <v>1.4585600000000003</v>
      </c>
      <c r="U3874" s="8">
        <f t="shared" ca="1" si="487"/>
        <v>7.9616000000000007</v>
      </c>
      <c r="V3874" s="9">
        <f ca="1">RawData[[#This Row],[Z (smoothed demand size)]]/RawData[[#This Row],[X (smoothed interval)]]</f>
        <v>0.18319935691318331</v>
      </c>
    </row>
    <row r="3875" spans="1:22">
      <c r="A3875" t="s">
        <v>73</v>
      </c>
      <c r="B3875" t="s">
        <v>60</v>
      </c>
      <c r="C3875">
        <v>49</v>
      </c>
      <c r="D3875" t="s">
        <v>22</v>
      </c>
      <c r="E3875" t="s">
        <v>16</v>
      </c>
      <c r="F3875" s="1">
        <v>44571</v>
      </c>
      <c r="G3875">
        <v>0</v>
      </c>
      <c r="H3875">
        <v>0</v>
      </c>
      <c r="I3875">
        <v>9</v>
      </c>
      <c r="J3875">
        <v>9</v>
      </c>
      <c r="K3875">
        <v>0</v>
      </c>
      <c r="L3875">
        <v>600</v>
      </c>
      <c r="M3875">
        <v>15</v>
      </c>
      <c r="N3875" s="1">
        <f t="shared" si="480"/>
        <v>44938</v>
      </c>
      <c r="O3875" s="1">
        <f t="shared" si="481"/>
        <v>43101</v>
      </c>
      <c r="P3875" s="1">
        <f t="shared" si="482"/>
        <v>44835</v>
      </c>
      <c r="Q3875" s="8">
        <f t="shared" si="483"/>
        <v>0</v>
      </c>
      <c r="R3875" s="8">
        <f t="shared" si="484"/>
        <v>58</v>
      </c>
      <c r="S3875" s="8">
        <f t="shared" ca="1" si="485"/>
        <v>52</v>
      </c>
      <c r="T3875">
        <f t="shared" ca="1" si="486"/>
        <v>1.4585600000000003</v>
      </c>
      <c r="U3875" s="8">
        <f t="shared" ca="1" si="487"/>
        <v>7.9616000000000007</v>
      </c>
      <c r="V3875" s="9">
        <f ca="1">RawData[[#This Row],[Z (smoothed demand size)]]/RawData[[#This Row],[X (smoothed interval)]]</f>
        <v>0.18319935691318331</v>
      </c>
    </row>
    <row r="3876" spans="1:22">
      <c r="A3876" t="s">
        <v>73</v>
      </c>
      <c r="B3876" t="s">
        <v>60</v>
      </c>
      <c r="C3876">
        <v>49</v>
      </c>
      <c r="D3876" t="s">
        <v>22</v>
      </c>
      <c r="E3876" t="s">
        <v>16</v>
      </c>
      <c r="F3876" s="1">
        <v>44572</v>
      </c>
      <c r="G3876">
        <v>0</v>
      </c>
      <c r="H3876">
        <v>0</v>
      </c>
      <c r="I3876">
        <v>9</v>
      </c>
      <c r="J3876">
        <v>9</v>
      </c>
      <c r="K3876">
        <v>0</v>
      </c>
      <c r="L3876">
        <v>607</v>
      </c>
      <c r="M3876">
        <v>30</v>
      </c>
      <c r="N3876" s="1">
        <f t="shared" si="480"/>
        <v>44938</v>
      </c>
      <c r="O3876" s="1">
        <f t="shared" si="481"/>
        <v>43101</v>
      </c>
      <c r="P3876" s="1">
        <f t="shared" si="482"/>
        <v>44866</v>
      </c>
      <c r="Q3876" s="8">
        <f t="shared" si="483"/>
        <v>0</v>
      </c>
      <c r="R3876" s="8">
        <f t="shared" si="484"/>
        <v>59</v>
      </c>
      <c r="S3876" s="8">
        <f t="shared" ca="1" si="485"/>
        <v>52</v>
      </c>
      <c r="T3876">
        <f t="shared" ca="1" si="486"/>
        <v>1.4585600000000003</v>
      </c>
      <c r="U3876" s="8">
        <f t="shared" ca="1" si="487"/>
        <v>7.9616000000000007</v>
      </c>
      <c r="V3876" s="9">
        <f ca="1">RawData[[#This Row],[Z (smoothed demand size)]]/RawData[[#This Row],[X (smoothed interval)]]</f>
        <v>0.18319935691318331</v>
      </c>
    </row>
    <row r="3877" spans="1:22">
      <c r="A3877" t="s">
        <v>73</v>
      </c>
      <c r="B3877" t="s">
        <v>60</v>
      </c>
      <c r="C3877">
        <v>49</v>
      </c>
      <c r="D3877" t="s">
        <v>22</v>
      </c>
      <c r="E3877" t="s">
        <v>16</v>
      </c>
      <c r="F3877" s="1">
        <v>44573</v>
      </c>
      <c r="G3877">
        <v>1</v>
      </c>
      <c r="H3877">
        <v>1</v>
      </c>
      <c r="I3877">
        <v>9</v>
      </c>
      <c r="J3877">
        <v>8</v>
      </c>
      <c r="K3877">
        <v>0</v>
      </c>
      <c r="L3877">
        <v>693</v>
      </c>
      <c r="M3877">
        <v>15</v>
      </c>
      <c r="N3877" s="1">
        <f t="shared" si="480"/>
        <v>44938</v>
      </c>
      <c r="O3877" s="1">
        <f t="shared" si="481"/>
        <v>43101</v>
      </c>
      <c r="P3877" s="1">
        <f t="shared" si="482"/>
        <v>44896</v>
      </c>
      <c r="Q3877" s="8">
        <f t="shared" si="483"/>
        <v>0</v>
      </c>
      <c r="R3877" s="8">
        <f t="shared" si="484"/>
        <v>60</v>
      </c>
      <c r="S3877" s="8">
        <f t="shared" ca="1" si="485"/>
        <v>60</v>
      </c>
      <c r="T3877">
        <f t="shared" ca="1" si="486"/>
        <v>1.3668480000000003</v>
      </c>
      <c r="U3877" s="8">
        <f t="shared" ca="1" si="487"/>
        <v>7.9692800000000013</v>
      </c>
      <c r="V3877" s="9">
        <f ca="1">RawData[[#This Row],[Z (smoothed demand size)]]/RawData[[#This Row],[X (smoothed interval)]]</f>
        <v>0.17151461612592356</v>
      </c>
    </row>
    <row r="3878" spans="1:22">
      <c r="A3878" t="s">
        <v>73</v>
      </c>
      <c r="B3878" t="s">
        <v>60</v>
      </c>
      <c r="C3878">
        <v>49</v>
      </c>
      <c r="D3878" t="s">
        <v>22</v>
      </c>
      <c r="E3878" t="s">
        <v>16</v>
      </c>
      <c r="F3878" s="1">
        <v>44927</v>
      </c>
      <c r="G3878">
        <v>0</v>
      </c>
      <c r="H3878">
        <v>0</v>
      </c>
      <c r="I3878">
        <v>8</v>
      </c>
      <c r="J3878">
        <v>8</v>
      </c>
      <c r="K3878">
        <v>0</v>
      </c>
      <c r="L3878">
        <v>590</v>
      </c>
      <c r="M3878">
        <v>60</v>
      </c>
      <c r="N3878" s="1">
        <f t="shared" si="480"/>
        <v>44938</v>
      </c>
      <c r="O3878" s="1">
        <f t="shared" si="481"/>
        <v>43101</v>
      </c>
      <c r="P3878" s="1">
        <f t="shared" si="482"/>
        <v>44927</v>
      </c>
      <c r="Q3878" s="8">
        <f t="shared" si="483"/>
        <v>0</v>
      </c>
      <c r="R3878" s="8">
        <f t="shared" si="484"/>
        <v>61</v>
      </c>
      <c r="S3878" s="8">
        <f t="shared" ca="1" si="485"/>
        <v>60</v>
      </c>
      <c r="T3878">
        <f t="shared" ca="1" si="486"/>
        <v>1.3668480000000003</v>
      </c>
      <c r="U3878" s="8">
        <f t="shared" ca="1" si="487"/>
        <v>7.9692800000000013</v>
      </c>
      <c r="V3878" s="9">
        <f ca="1">RawData[[#This Row],[Z (smoothed demand size)]]/RawData[[#This Row],[X (smoothed interval)]]</f>
        <v>0.17151461612592356</v>
      </c>
    </row>
    <row r="3879" spans="1:22">
      <c r="A3879" t="s">
        <v>73</v>
      </c>
      <c r="B3879" t="s">
        <v>60</v>
      </c>
      <c r="C3879">
        <v>49</v>
      </c>
      <c r="D3879" t="s">
        <v>22</v>
      </c>
      <c r="E3879" t="s">
        <v>16</v>
      </c>
      <c r="F3879" s="1">
        <v>44928</v>
      </c>
      <c r="G3879">
        <v>0</v>
      </c>
      <c r="H3879">
        <v>0</v>
      </c>
      <c r="I3879">
        <v>8</v>
      </c>
      <c r="J3879">
        <v>8</v>
      </c>
      <c r="K3879">
        <v>0</v>
      </c>
      <c r="L3879">
        <v>592</v>
      </c>
      <c r="M3879">
        <v>45</v>
      </c>
      <c r="N3879" s="1">
        <f t="shared" si="480"/>
        <v>44938</v>
      </c>
      <c r="O3879" s="1">
        <f t="shared" si="481"/>
        <v>43101</v>
      </c>
      <c r="P3879" s="1">
        <f t="shared" si="482"/>
        <v>44958</v>
      </c>
      <c r="Q3879" s="8">
        <f t="shared" si="483"/>
        <v>0</v>
      </c>
      <c r="R3879" s="8">
        <f t="shared" si="484"/>
        <v>62</v>
      </c>
      <c r="S3879" s="8">
        <f t="shared" ca="1" si="485"/>
        <v>60</v>
      </c>
      <c r="T3879">
        <f t="shared" ca="1" si="486"/>
        <v>1.3668480000000003</v>
      </c>
      <c r="U3879" s="8">
        <f t="shared" ca="1" si="487"/>
        <v>7.9692800000000013</v>
      </c>
      <c r="V3879" s="9">
        <f ca="1">RawData[[#This Row],[Z (smoothed demand size)]]/RawData[[#This Row],[X (smoothed interval)]]</f>
        <v>0.17151461612592356</v>
      </c>
    </row>
    <row r="3880" spans="1:22">
      <c r="A3880" t="s">
        <v>73</v>
      </c>
      <c r="B3880" t="s">
        <v>60</v>
      </c>
      <c r="C3880">
        <v>49</v>
      </c>
      <c r="D3880" t="s">
        <v>22</v>
      </c>
      <c r="E3880" t="s">
        <v>16</v>
      </c>
      <c r="F3880" s="1">
        <v>44929</v>
      </c>
      <c r="G3880">
        <v>0</v>
      </c>
      <c r="H3880">
        <v>0</v>
      </c>
      <c r="I3880">
        <v>8</v>
      </c>
      <c r="J3880">
        <v>8</v>
      </c>
      <c r="K3880">
        <v>0</v>
      </c>
      <c r="L3880">
        <v>589</v>
      </c>
      <c r="M3880">
        <v>30</v>
      </c>
      <c r="N3880" s="1">
        <f t="shared" si="480"/>
        <v>44938</v>
      </c>
      <c r="O3880" s="1">
        <f t="shared" si="481"/>
        <v>43101</v>
      </c>
      <c r="P3880" s="1">
        <f t="shared" si="482"/>
        <v>44986</v>
      </c>
      <c r="Q3880" s="8">
        <f t="shared" si="483"/>
        <v>0</v>
      </c>
      <c r="R3880" s="8">
        <f t="shared" si="484"/>
        <v>63</v>
      </c>
      <c r="S3880" s="8">
        <f t="shared" ca="1" si="485"/>
        <v>60</v>
      </c>
      <c r="T3880">
        <f t="shared" ca="1" si="486"/>
        <v>1.3668480000000003</v>
      </c>
      <c r="U3880" s="8">
        <f t="shared" ca="1" si="487"/>
        <v>7.9692800000000013</v>
      </c>
      <c r="V3880" s="9">
        <f ca="1">RawData[[#This Row],[Z (smoothed demand size)]]/RawData[[#This Row],[X (smoothed interval)]]</f>
        <v>0.17151461612592356</v>
      </c>
    </row>
    <row r="3881" spans="1:22">
      <c r="A3881" t="s">
        <v>73</v>
      </c>
      <c r="B3881" t="s">
        <v>60</v>
      </c>
      <c r="C3881">
        <v>49</v>
      </c>
      <c r="D3881" t="s">
        <v>22</v>
      </c>
      <c r="E3881" t="s">
        <v>16</v>
      </c>
      <c r="F3881" s="1">
        <v>44930</v>
      </c>
      <c r="G3881">
        <v>0</v>
      </c>
      <c r="H3881">
        <v>0</v>
      </c>
      <c r="I3881">
        <v>8</v>
      </c>
      <c r="J3881">
        <v>8</v>
      </c>
      <c r="K3881">
        <v>0</v>
      </c>
      <c r="L3881">
        <v>602</v>
      </c>
      <c r="M3881">
        <v>60</v>
      </c>
      <c r="N3881" s="1">
        <f t="shared" si="480"/>
        <v>44938</v>
      </c>
      <c r="O3881" s="1">
        <f t="shared" si="481"/>
        <v>43101</v>
      </c>
      <c r="P3881" s="1">
        <f t="shared" si="482"/>
        <v>45017</v>
      </c>
      <c r="Q3881" s="8">
        <f t="shared" si="483"/>
        <v>0</v>
      </c>
      <c r="R3881" s="8">
        <f t="shared" si="484"/>
        <v>64</v>
      </c>
      <c r="S3881" s="8">
        <f t="shared" ca="1" si="485"/>
        <v>60</v>
      </c>
      <c r="T3881">
        <f t="shared" ca="1" si="486"/>
        <v>1.3668480000000003</v>
      </c>
      <c r="U3881" s="8">
        <f t="shared" ca="1" si="487"/>
        <v>7.9692800000000013</v>
      </c>
      <c r="V3881" s="9">
        <f ca="1">RawData[[#This Row],[Z (smoothed demand size)]]/RawData[[#This Row],[X (smoothed interval)]]</f>
        <v>0.17151461612592356</v>
      </c>
    </row>
    <row r="3882" spans="1:22">
      <c r="A3882" t="s">
        <v>73</v>
      </c>
      <c r="B3882" t="s">
        <v>60</v>
      </c>
      <c r="C3882">
        <v>49</v>
      </c>
      <c r="D3882" t="s">
        <v>22</v>
      </c>
      <c r="E3882" t="s">
        <v>16</v>
      </c>
      <c r="F3882" s="1">
        <v>44931</v>
      </c>
      <c r="G3882">
        <v>0</v>
      </c>
      <c r="H3882">
        <v>0</v>
      </c>
      <c r="I3882">
        <v>8</v>
      </c>
      <c r="J3882">
        <v>8</v>
      </c>
      <c r="K3882">
        <v>0</v>
      </c>
      <c r="L3882">
        <v>601</v>
      </c>
      <c r="M3882">
        <v>30</v>
      </c>
      <c r="N3882" s="1">
        <f t="shared" si="480"/>
        <v>44938</v>
      </c>
      <c r="O3882" s="1">
        <f t="shared" si="481"/>
        <v>43101</v>
      </c>
      <c r="P3882" s="1">
        <f t="shared" si="482"/>
        <v>45047</v>
      </c>
      <c r="Q3882" s="8">
        <f t="shared" si="483"/>
        <v>0</v>
      </c>
      <c r="R3882" s="8">
        <f t="shared" si="484"/>
        <v>65</v>
      </c>
      <c r="S3882" s="8">
        <f t="shared" ca="1" si="485"/>
        <v>60</v>
      </c>
      <c r="T3882">
        <f t="shared" ca="1" si="486"/>
        <v>1.3668480000000003</v>
      </c>
      <c r="U3882" s="8">
        <f t="shared" ca="1" si="487"/>
        <v>7.9692800000000013</v>
      </c>
      <c r="V3882" s="9">
        <f ca="1">RawData[[#This Row],[Z (smoothed demand size)]]/RawData[[#This Row],[X (smoothed interval)]]</f>
        <v>0.17151461612592356</v>
      </c>
    </row>
    <row r="3883" spans="1:22">
      <c r="A3883" t="s">
        <v>73</v>
      </c>
      <c r="B3883" t="s">
        <v>60</v>
      </c>
      <c r="C3883">
        <v>49</v>
      </c>
      <c r="D3883" t="s">
        <v>22</v>
      </c>
      <c r="E3883" t="s">
        <v>16</v>
      </c>
      <c r="F3883" s="1">
        <v>44932</v>
      </c>
      <c r="G3883">
        <v>0</v>
      </c>
      <c r="H3883">
        <v>0</v>
      </c>
      <c r="I3883">
        <v>8</v>
      </c>
      <c r="J3883">
        <v>8</v>
      </c>
      <c r="K3883">
        <v>0</v>
      </c>
      <c r="L3883">
        <v>691</v>
      </c>
      <c r="M3883">
        <v>60</v>
      </c>
      <c r="N3883" s="1">
        <f t="shared" si="480"/>
        <v>44938</v>
      </c>
      <c r="O3883" s="1">
        <f t="shared" si="481"/>
        <v>43101</v>
      </c>
      <c r="P3883" s="1">
        <f t="shared" si="482"/>
        <v>45078</v>
      </c>
      <c r="Q3883" s="8">
        <f t="shared" si="483"/>
        <v>0</v>
      </c>
      <c r="R3883" s="8">
        <f t="shared" si="484"/>
        <v>66</v>
      </c>
      <c r="S3883" s="8">
        <f t="shared" ca="1" si="485"/>
        <v>60</v>
      </c>
      <c r="T3883">
        <f t="shared" ca="1" si="486"/>
        <v>1.3668480000000003</v>
      </c>
      <c r="U3883" s="8">
        <f t="shared" ca="1" si="487"/>
        <v>7.9692800000000013</v>
      </c>
      <c r="V3883" s="9">
        <f ca="1">RawData[[#This Row],[Z (smoothed demand size)]]/RawData[[#This Row],[X (smoothed interval)]]</f>
        <v>0.17151461612592356</v>
      </c>
    </row>
    <row r="3884" spans="1:22">
      <c r="A3884" t="s">
        <v>73</v>
      </c>
      <c r="B3884" t="s">
        <v>60</v>
      </c>
      <c r="C3884">
        <v>49</v>
      </c>
      <c r="D3884" t="s">
        <v>22</v>
      </c>
      <c r="E3884" t="s">
        <v>16</v>
      </c>
      <c r="F3884" s="1">
        <v>44933</v>
      </c>
      <c r="G3884">
        <v>0</v>
      </c>
      <c r="H3884">
        <v>0</v>
      </c>
      <c r="I3884">
        <v>8</v>
      </c>
      <c r="J3884">
        <v>8</v>
      </c>
      <c r="K3884">
        <v>0</v>
      </c>
      <c r="L3884">
        <v>691</v>
      </c>
      <c r="M3884">
        <v>30</v>
      </c>
      <c r="N3884" s="1">
        <f t="shared" si="480"/>
        <v>44938</v>
      </c>
      <c r="O3884" s="1">
        <f t="shared" si="481"/>
        <v>43101</v>
      </c>
      <c r="P3884" s="1">
        <f t="shared" si="482"/>
        <v>45108</v>
      </c>
      <c r="Q3884" s="8">
        <f t="shared" si="483"/>
        <v>0</v>
      </c>
      <c r="R3884" s="8">
        <f t="shared" si="484"/>
        <v>67</v>
      </c>
      <c r="S3884" s="8">
        <f t="shared" ca="1" si="485"/>
        <v>60</v>
      </c>
      <c r="T3884">
        <f t="shared" ca="1" si="486"/>
        <v>1.3668480000000003</v>
      </c>
      <c r="U3884" s="8">
        <f t="shared" ca="1" si="487"/>
        <v>7.9692800000000013</v>
      </c>
      <c r="V3884" s="9">
        <f ca="1">RawData[[#This Row],[Z (smoothed demand size)]]/RawData[[#This Row],[X (smoothed interval)]]</f>
        <v>0.17151461612592356</v>
      </c>
    </row>
    <row r="3885" spans="1:22">
      <c r="A3885" t="s">
        <v>73</v>
      </c>
      <c r="B3885" t="s">
        <v>60</v>
      </c>
      <c r="C3885">
        <v>49</v>
      </c>
      <c r="D3885" t="s">
        <v>22</v>
      </c>
      <c r="E3885" t="s">
        <v>16</v>
      </c>
      <c r="F3885" s="1">
        <v>44934</v>
      </c>
      <c r="G3885">
        <v>0</v>
      </c>
      <c r="H3885">
        <v>0</v>
      </c>
      <c r="I3885">
        <v>8</v>
      </c>
      <c r="J3885">
        <v>8</v>
      </c>
      <c r="K3885">
        <v>0</v>
      </c>
      <c r="L3885">
        <v>685</v>
      </c>
      <c r="M3885">
        <v>45</v>
      </c>
      <c r="N3885" s="1">
        <f t="shared" si="480"/>
        <v>44938</v>
      </c>
      <c r="O3885" s="1">
        <f t="shared" si="481"/>
        <v>43101</v>
      </c>
      <c r="P3885" s="1">
        <f t="shared" si="482"/>
        <v>45139</v>
      </c>
      <c r="Q3885" s="8">
        <f t="shared" si="483"/>
        <v>0</v>
      </c>
      <c r="R3885" s="8">
        <f t="shared" si="484"/>
        <v>68</v>
      </c>
      <c r="S3885" s="8">
        <f t="shared" ca="1" si="485"/>
        <v>60</v>
      </c>
      <c r="T3885">
        <f t="shared" ca="1" si="486"/>
        <v>1.3668480000000003</v>
      </c>
      <c r="U3885" s="8">
        <f t="shared" ca="1" si="487"/>
        <v>7.9692800000000013</v>
      </c>
      <c r="V3885" s="9">
        <f ca="1">RawData[[#This Row],[Z (smoothed demand size)]]/RawData[[#This Row],[X (smoothed interval)]]</f>
        <v>0.17151461612592356</v>
      </c>
    </row>
    <row r="3886" spans="1:22">
      <c r="A3886" t="s">
        <v>73</v>
      </c>
      <c r="B3886" t="s">
        <v>60</v>
      </c>
      <c r="C3886">
        <v>49</v>
      </c>
      <c r="D3886" t="s">
        <v>22</v>
      </c>
      <c r="E3886" t="s">
        <v>16</v>
      </c>
      <c r="F3886" s="1">
        <v>44935</v>
      </c>
      <c r="G3886">
        <v>2</v>
      </c>
      <c r="H3886">
        <v>2</v>
      </c>
      <c r="I3886">
        <v>8</v>
      </c>
      <c r="J3886">
        <v>6</v>
      </c>
      <c r="K3886">
        <v>0</v>
      </c>
      <c r="L3886">
        <v>601</v>
      </c>
      <c r="M3886">
        <v>45</v>
      </c>
      <c r="N3886" s="1">
        <f t="shared" si="480"/>
        <v>44938</v>
      </c>
      <c r="O3886" s="1">
        <f t="shared" si="481"/>
        <v>43101</v>
      </c>
      <c r="P3886" s="1">
        <f t="shared" si="482"/>
        <v>45170</v>
      </c>
      <c r="Q3886" s="8">
        <f t="shared" si="483"/>
        <v>0</v>
      </c>
      <c r="R3886" s="8">
        <f t="shared" si="484"/>
        <v>69</v>
      </c>
      <c r="S3886" s="8">
        <f t="shared" ca="1" si="485"/>
        <v>69</v>
      </c>
      <c r="T3886">
        <f t="shared" ca="1" si="486"/>
        <v>1.4934784000000003</v>
      </c>
      <c r="U3886" s="8">
        <f t="shared" ca="1" si="487"/>
        <v>8.1754240000000014</v>
      </c>
      <c r="V3886" s="9">
        <f ca="1">RawData[[#This Row],[Z (smoothed demand size)]]/RawData[[#This Row],[X (smoothed interval)]]</f>
        <v>0.18267901456854105</v>
      </c>
    </row>
    <row r="3887" spans="1:22">
      <c r="A3887" t="s">
        <v>73</v>
      </c>
      <c r="B3887" t="s">
        <v>60</v>
      </c>
      <c r="C3887">
        <v>49</v>
      </c>
      <c r="D3887" t="s">
        <v>22</v>
      </c>
      <c r="E3887" t="s">
        <v>16</v>
      </c>
      <c r="F3887" s="1">
        <v>44936</v>
      </c>
      <c r="G3887">
        <v>0</v>
      </c>
      <c r="H3887">
        <v>0</v>
      </c>
      <c r="I3887">
        <v>6</v>
      </c>
      <c r="J3887">
        <v>6</v>
      </c>
      <c r="K3887">
        <v>0</v>
      </c>
      <c r="L3887">
        <v>608</v>
      </c>
      <c r="M3887">
        <v>60</v>
      </c>
      <c r="N3887" s="1">
        <f t="shared" si="480"/>
        <v>44938</v>
      </c>
      <c r="O3887" s="1">
        <f t="shared" si="481"/>
        <v>43101</v>
      </c>
      <c r="P3887" s="1">
        <f t="shared" si="482"/>
        <v>45200</v>
      </c>
      <c r="Q3887" s="8">
        <f t="shared" si="483"/>
        <v>0</v>
      </c>
      <c r="R3887" s="8">
        <f t="shared" si="484"/>
        <v>70</v>
      </c>
      <c r="S3887" s="8">
        <f t="shared" ca="1" si="485"/>
        <v>69</v>
      </c>
      <c r="T3887">
        <f t="shared" ca="1" si="486"/>
        <v>1.4934784000000003</v>
      </c>
      <c r="U3887" s="8">
        <f t="shared" ca="1" si="487"/>
        <v>8.1754240000000014</v>
      </c>
      <c r="V3887" s="9">
        <f ca="1">RawData[[#This Row],[Z (smoothed demand size)]]/RawData[[#This Row],[X (smoothed interval)]]</f>
        <v>0.18267901456854105</v>
      </c>
    </row>
    <row r="3888" spans="1:22">
      <c r="A3888" t="s">
        <v>73</v>
      </c>
      <c r="B3888" t="s">
        <v>60</v>
      </c>
      <c r="C3888">
        <v>49</v>
      </c>
      <c r="D3888" t="s">
        <v>22</v>
      </c>
      <c r="E3888" t="s">
        <v>16</v>
      </c>
      <c r="F3888" s="1">
        <v>44937</v>
      </c>
      <c r="G3888">
        <v>0</v>
      </c>
      <c r="H3888">
        <v>0</v>
      </c>
      <c r="I3888">
        <v>6</v>
      </c>
      <c r="J3888">
        <v>6</v>
      </c>
      <c r="K3888">
        <v>0</v>
      </c>
      <c r="L3888">
        <v>603</v>
      </c>
      <c r="M3888">
        <v>60</v>
      </c>
      <c r="N3888" s="1">
        <f t="shared" si="480"/>
        <v>44938</v>
      </c>
      <c r="O3888" s="1">
        <f t="shared" si="481"/>
        <v>43101</v>
      </c>
      <c r="P3888" s="1">
        <f t="shared" si="482"/>
        <v>45231</v>
      </c>
      <c r="Q3888" s="8">
        <f t="shared" si="483"/>
        <v>0</v>
      </c>
      <c r="R3888" s="8">
        <f t="shared" si="484"/>
        <v>71</v>
      </c>
      <c r="S3888" s="8">
        <f t="shared" ca="1" si="485"/>
        <v>69</v>
      </c>
      <c r="T3888">
        <f t="shared" ca="1" si="486"/>
        <v>1.4934784000000003</v>
      </c>
      <c r="U3888" s="8">
        <f t="shared" ca="1" si="487"/>
        <v>8.1754240000000014</v>
      </c>
      <c r="V3888" s="9">
        <f ca="1">RawData[[#This Row],[Z (smoothed demand size)]]/RawData[[#This Row],[X (smoothed interval)]]</f>
        <v>0.18267901456854105</v>
      </c>
    </row>
    <row r="3889" spans="1:22">
      <c r="A3889" t="s">
        <v>73</v>
      </c>
      <c r="B3889" t="s">
        <v>60</v>
      </c>
      <c r="C3889">
        <v>49</v>
      </c>
      <c r="D3889" t="s">
        <v>22</v>
      </c>
      <c r="E3889" t="s">
        <v>16</v>
      </c>
      <c r="F3889" s="1">
        <v>44938</v>
      </c>
      <c r="G3889">
        <v>3</v>
      </c>
      <c r="H3889">
        <v>3</v>
      </c>
      <c r="I3889">
        <v>6</v>
      </c>
      <c r="J3889">
        <v>3</v>
      </c>
      <c r="K3889">
        <v>0</v>
      </c>
      <c r="L3889">
        <v>682</v>
      </c>
      <c r="M3889">
        <v>45</v>
      </c>
      <c r="N3889" s="1">
        <f t="shared" si="480"/>
        <v>44938</v>
      </c>
      <c r="O3889" s="1">
        <f t="shared" si="481"/>
        <v>43101</v>
      </c>
      <c r="P3889" s="1">
        <f t="shared" si="482"/>
        <v>45261</v>
      </c>
      <c r="Q3889" s="8">
        <f t="shared" si="483"/>
        <v>0</v>
      </c>
      <c r="R3889" s="8">
        <f t="shared" si="484"/>
        <v>72</v>
      </c>
      <c r="S3889" s="8">
        <f t="shared" ca="1" si="485"/>
        <v>72</v>
      </c>
      <c r="T3889">
        <f t="shared" ca="1" si="486"/>
        <v>1.7947827200000004</v>
      </c>
      <c r="U3889" s="8">
        <f t="shared" ca="1" si="487"/>
        <v>7.1403392000000014</v>
      </c>
      <c r="V3889" s="9">
        <f ca="1">RawData[[#This Row],[Z (smoothed demand size)]]/RawData[[#This Row],[X (smoothed interval)]]</f>
        <v>0.25135818757741929</v>
      </c>
    </row>
    <row r="3890" spans="1:22">
      <c r="A3890" t="s">
        <v>74</v>
      </c>
      <c r="B3890" t="s">
        <v>60</v>
      </c>
      <c r="C3890">
        <v>27</v>
      </c>
      <c r="D3890" t="s">
        <v>18</v>
      </c>
      <c r="E3890" t="s">
        <v>16</v>
      </c>
      <c r="F3890" s="1">
        <v>43101</v>
      </c>
      <c r="G3890">
        <v>1</v>
      </c>
      <c r="H3890">
        <v>1</v>
      </c>
      <c r="I3890">
        <v>22</v>
      </c>
      <c r="J3890">
        <v>21</v>
      </c>
      <c r="K3890">
        <v>0</v>
      </c>
      <c r="L3890">
        <v>528</v>
      </c>
      <c r="M3890">
        <v>30</v>
      </c>
      <c r="N3890" s="1">
        <f t="shared" si="480"/>
        <v>44938</v>
      </c>
      <c r="O3890" s="1">
        <f t="shared" si="481"/>
        <v>43101</v>
      </c>
      <c r="P3890" s="1">
        <f t="shared" si="482"/>
        <v>43101</v>
      </c>
      <c r="Q3890" s="8">
        <f t="shared" si="483"/>
        <v>1</v>
      </c>
      <c r="R3890" s="8">
        <f t="shared" si="484"/>
        <v>1</v>
      </c>
      <c r="S3890" s="8">
        <f t="shared" ca="1" si="485"/>
        <v>1</v>
      </c>
      <c r="T3890">
        <f t="shared" ca="1" si="486"/>
        <v>1</v>
      </c>
      <c r="U3890" s="8">
        <f t="shared" ca="1" si="487"/>
        <v>1</v>
      </c>
      <c r="V3890" s="9">
        <f ca="1">RawData[[#This Row],[Z (smoothed demand size)]]/RawData[[#This Row],[X (smoothed interval)]]</f>
        <v>1</v>
      </c>
    </row>
    <row r="3891" spans="1:22">
      <c r="A3891" t="s">
        <v>74</v>
      </c>
      <c r="B3891" t="s">
        <v>60</v>
      </c>
      <c r="C3891">
        <v>27</v>
      </c>
      <c r="D3891" t="s">
        <v>18</v>
      </c>
      <c r="E3891" t="s">
        <v>16</v>
      </c>
      <c r="F3891" s="1">
        <v>43102</v>
      </c>
      <c r="G3891">
        <v>4</v>
      </c>
      <c r="H3891">
        <v>4</v>
      </c>
      <c r="I3891">
        <v>21</v>
      </c>
      <c r="J3891">
        <v>17</v>
      </c>
      <c r="K3891">
        <v>0</v>
      </c>
      <c r="L3891">
        <v>540</v>
      </c>
      <c r="M3891">
        <v>15</v>
      </c>
      <c r="N3891" s="1">
        <f t="shared" si="480"/>
        <v>44938</v>
      </c>
      <c r="O3891" s="1">
        <f t="shared" si="481"/>
        <v>43101</v>
      </c>
      <c r="P3891" s="1">
        <f t="shared" si="482"/>
        <v>43132</v>
      </c>
      <c r="Q3891" s="8">
        <f t="shared" si="483"/>
        <v>0</v>
      </c>
      <c r="R3891" s="8">
        <f t="shared" si="484"/>
        <v>2</v>
      </c>
      <c r="S3891" s="8">
        <f t="shared" ca="1" si="485"/>
        <v>2</v>
      </c>
      <c r="T3891">
        <f t="shared" ca="1" si="486"/>
        <v>1.6</v>
      </c>
      <c r="U3891" s="8">
        <f t="shared" ca="1" si="487"/>
        <v>1</v>
      </c>
      <c r="V3891" s="9">
        <f ca="1">RawData[[#This Row],[Z (smoothed demand size)]]/RawData[[#This Row],[X (smoothed interval)]]</f>
        <v>1.6</v>
      </c>
    </row>
    <row r="3892" spans="1:22">
      <c r="A3892" t="s">
        <v>74</v>
      </c>
      <c r="B3892" t="s">
        <v>60</v>
      </c>
      <c r="C3892">
        <v>27</v>
      </c>
      <c r="D3892" t="s">
        <v>18</v>
      </c>
      <c r="E3892" t="s">
        <v>16</v>
      </c>
      <c r="F3892" s="1">
        <v>43103</v>
      </c>
      <c r="G3892">
        <v>0</v>
      </c>
      <c r="H3892">
        <v>0</v>
      </c>
      <c r="I3892">
        <v>17</v>
      </c>
      <c r="J3892">
        <v>17</v>
      </c>
      <c r="K3892">
        <v>0</v>
      </c>
      <c r="L3892">
        <v>520</v>
      </c>
      <c r="M3892">
        <v>15</v>
      </c>
      <c r="N3892" s="1">
        <f t="shared" si="480"/>
        <v>44938</v>
      </c>
      <c r="O3892" s="1">
        <f t="shared" si="481"/>
        <v>43101</v>
      </c>
      <c r="P3892" s="1">
        <f t="shared" si="482"/>
        <v>43160</v>
      </c>
      <c r="Q3892" s="8">
        <f t="shared" si="483"/>
        <v>0</v>
      </c>
      <c r="R3892" s="8">
        <f t="shared" si="484"/>
        <v>3</v>
      </c>
      <c r="S3892" s="8">
        <f t="shared" ca="1" si="485"/>
        <v>2</v>
      </c>
      <c r="T3892">
        <f t="shared" ca="1" si="486"/>
        <v>1.6</v>
      </c>
      <c r="U3892" s="8">
        <f t="shared" ca="1" si="487"/>
        <v>1</v>
      </c>
      <c r="V3892" s="9">
        <f ca="1">RawData[[#This Row],[Z (smoothed demand size)]]/RawData[[#This Row],[X (smoothed interval)]]</f>
        <v>1.6</v>
      </c>
    </row>
    <row r="3893" spans="1:22">
      <c r="A3893" t="s">
        <v>74</v>
      </c>
      <c r="B3893" t="s">
        <v>60</v>
      </c>
      <c r="C3893">
        <v>27</v>
      </c>
      <c r="D3893" t="s">
        <v>18</v>
      </c>
      <c r="E3893" t="s">
        <v>16</v>
      </c>
      <c r="F3893" s="1">
        <v>43104</v>
      </c>
      <c r="G3893">
        <v>0</v>
      </c>
      <c r="H3893">
        <v>0</v>
      </c>
      <c r="I3893">
        <v>17</v>
      </c>
      <c r="J3893">
        <v>17</v>
      </c>
      <c r="K3893">
        <v>0</v>
      </c>
      <c r="L3893">
        <v>538</v>
      </c>
      <c r="M3893">
        <v>45</v>
      </c>
      <c r="N3893" s="1">
        <f t="shared" si="480"/>
        <v>44938</v>
      </c>
      <c r="O3893" s="1">
        <f t="shared" si="481"/>
        <v>43101</v>
      </c>
      <c r="P3893" s="1">
        <f t="shared" si="482"/>
        <v>43191</v>
      </c>
      <c r="Q3893" s="8">
        <f t="shared" si="483"/>
        <v>0</v>
      </c>
      <c r="R3893" s="8">
        <f t="shared" si="484"/>
        <v>4</v>
      </c>
      <c r="S3893" s="8">
        <f t="shared" ca="1" si="485"/>
        <v>2</v>
      </c>
      <c r="T3893">
        <f t="shared" ca="1" si="486"/>
        <v>1.6</v>
      </c>
      <c r="U3893" s="8">
        <f t="shared" ca="1" si="487"/>
        <v>1</v>
      </c>
      <c r="V3893" s="9">
        <f ca="1">RawData[[#This Row],[Z (smoothed demand size)]]/RawData[[#This Row],[X (smoothed interval)]]</f>
        <v>1.6</v>
      </c>
    </row>
    <row r="3894" spans="1:22">
      <c r="A3894" t="s">
        <v>74</v>
      </c>
      <c r="B3894" t="s">
        <v>60</v>
      </c>
      <c r="C3894">
        <v>27</v>
      </c>
      <c r="D3894" t="s">
        <v>18</v>
      </c>
      <c r="E3894" t="s">
        <v>16</v>
      </c>
      <c r="F3894" s="1">
        <v>43105</v>
      </c>
      <c r="G3894">
        <v>0</v>
      </c>
      <c r="H3894">
        <v>0</v>
      </c>
      <c r="I3894">
        <v>17</v>
      </c>
      <c r="J3894">
        <v>17</v>
      </c>
      <c r="K3894">
        <v>0</v>
      </c>
      <c r="L3894">
        <v>537</v>
      </c>
      <c r="M3894">
        <v>45</v>
      </c>
      <c r="N3894" s="1">
        <f t="shared" si="480"/>
        <v>44938</v>
      </c>
      <c r="O3894" s="1">
        <f t="shared" si="481"/>
        <v>43101</v>
      </c>
      <c r="P3894" s="1">
        <f t="shared" si="482"/>
        <v>43221</v>
      </c>
      <c r="Q3894" s="8">
        <f t="shared" si="483"/>
        <v>0</v>
      </c>
      <c r="R3894" s="8">
        <f t="shared" si="484"/>
        <v>5</v>
      </c>
      <c r="S3894" s="8">
        <f t="shared" ca="1" si="485"/>
        <v>2</v>
      </c>
      <c r="T3894">
        <f t="shared" ca="1" si="486"/>
        <v>1.6</v>
      </c>
      <c r="U3894" s="8">
        <f t="shared" ca="1" si="487"/>
        <v>1</v>
      </c>
      <c r="V3894" s="9">
        <f ca="1">RawData[[#This Row],[Z (smoothed demand size)]]/RawData[[#This Row],[X (smoothed interval)]]</f>
        <v>1.6</v>
      </c>
    </row>
    <row r="3895" spans="1:22">
      <c r="A3895" t="s">
        <v>74</v>
      </c>
      <c r="B3895" t="s">
        <v>60</v>
      </c>
      <c r="C3895">
        <v>27</v>
      </c>
      <c r="D3895" t="s">
        <v>18</v>
      </c>
      <c r="E3895" t="s">
        <v>16</v>
      </c>
      <c r="F3895" s="1">
        <v>43106</v>
      </c>
      <c r="G3895">
        <v>0</v>
      </c>
      <c r="H3895">
        <v>0</v>
      </c>
      <c r="I3895">
        <v>17</v>
      </c>
      <c r="J3895">
        <v>17</v>
      </c>
      <c r="K3895">
        <v>0</v>
      </c>
      <c r="L3895">
        <v>607</v>
      </c>
      <c r="M3895">
        <v>15</v>
      </c>
      <c r="N3895" s="1">
        <f t="shared" si="480"/>
        <v>44938</v>
      </c>
      <c r="O3895" s="1">
        <f t="shared" si="481"/>
        <v>43101</v>
      </c>
      <c r="P3895" s="1">
        <f t="shared" si="482"/>
        <v>43252</v>
      </c>
      <c r="Q3895" s="8">
        <f t="shared" si="483"/>
        <v>0</v>
      </c>
      <c r="R3895" s="8">
        <f t="shared" si="484"/>
        <v>6</v>
      </c>
      <c r="S3895" s="8">
        <f t="shared" ca="1" si="485"/>
        <v>2</v>
      </c>
      <c r="T3895">
        <f t="shared" ca="1" si="486"/>
        <v>1.6</v>
      </c>
      <c r="U3895" s="8">
        <f t="shared" ca="1" si="487"/>
        <v>1</v>
      </c>
      <c r="V3895" s="9">
        <f ca="1">RawData[[#This Row],[Z (smoothed demand size)]]/RawData[[#This Row],[X (smoothed interval)]]</f>
        <v>1.6</v>
      </c>
    </row>
    <row r="3896" spans="1:22">
      <c r="A3896" t="s">
        <v>74</v>
      </c>
      <c r="B3896" t="s">
        <v>60</v>
      </c>
      <c r="C3896">
        <v>27</v>
      </c>
      <c r="D3896" t="s">
        <v>18</v>
      </c>
      <c r="E3896" t="s">
        <v>16</v>
      </c>
      <c r="F3896" s="1">
        <v>43107</v>
      </c>
      <c r="G3896">
        <v>0</v>
      </c>
      <c r="H3896">
        <v>0</v>
      </c>
      <c r="I3896">
        <v>17</v>
      </c>
      <c r="J3896">
        <v>17</v>
      </c>
      <c r="K3896">
        <v>0</v>
      </c>
      <c r="L3896">
        <v>610</v>
      </c>
      <c r="M3896">
        <v>30</v>
      </c>
      <c r="N3896" s="1">
        <f t="shared" si="480"/>
        <v>44938</v>
      </c>
      <c r="O3896" s="1">
        <f t="shared" si="481"/>
        <v>43101</v>
      </c>
      <c r="P3896" s="1">
        <f t="shared" si="482"/>
        <v>43282</v>
      </c>
      <c r="Q3896" s="8">
        <f t="shared" si="483"/>
        <v>0</v>
      </c>
      <c r="R3896" s="8">
        <f t="shared" si="484"/>
        <v>7</v>
      </c>
      <c r="S3896" s="8">
        <f t="shared" ca="1" si="485"/>
        <v>2</v>
      </c>
      <c r="T3896">
        <f t="shared" ca="1" si="486"/>
        <v>1.6</v>
      </c>
      <c r="U3896" s="8">
        <f t="shared" ca="1" si="487"/>
        <v>1</v>
      </c>
      <c r="V3896" s="9">
        <f ca="1">RawData[[#This Row],[Z (smoothed demand size)]]/RawData[[#This Row],[X (smoothed interval)]]</f>
        <v>1.6</v>
      </c>
    </row>
    <row r="3897" spans="1:22">
      <c r="A3897" t="s">
        <v>74</v>
      </c>
      <c r="B3897" t="s">
        <v>60</v>
      </c>
      <c r="C3897">
        <v>27</v>
      </c>
      <c r="D3897" t="s">
        <v>18</v>
      </c>
      <c r="E3897" t="s">
        <v>16</v>
      </c>
      <c r="F3897" s="1">
        <v>43108</v>
      </c>
      <c r="G3897">
        <v>3</v>
      </c>
      <c r="H3897">
        <v>3</v>
      </c>
      <c r="I3897">
        <v>17</v>
      </c>
      <c r="J3897">
        <v>14</v>
      </c>
      <c r="K3897">
        <v>0</v>
      </c>
      <c r="L3897">
        <v>605</v>
      </c>
      <c r="M3897">
        <v>60</v>
      </c>
      <c r="N3897" s="1">
        <f t="shared" si="480"/>
        <v>44938</v>
      </c>
      <c r="O3897" s="1">
        <f t="shared" si="481"/>
        <v>43101</v>
      </c>
      <c r="P3897" s="1">
        <f t="shared" si="482"/>
        <v>43313</v>
      </c>
      <c r="Q3897" s="8">
        <f t="shared" si="483"/>
        <v>0</v>
      </c>
      <c r="R3897" s="8">
        <f t="shared" si="484"/>
        <v>8</v>
      </c>
      <c r="S3897" s="8">
        <f t="shared" ca="1" si="485"/>
        <v>8</v>
      </c>
      <c r="T3897">
        <f t="shared" ca="1" si="486"/>
        <v>1.8800000000000003</v>
      </c>
      <c r="U3897" s="8">
        <f t="shared" ca="1" si="487"/>
        <v>2</v>
      </c>
      <c r="V3897" s="9">
        <f ca="1">RawData[[#This Row],[Z (smoothed demand size)]]/RawData[[#This Row],[X (smoothed interval)]]</f>
        <v>0.94000000000000017</v>
      </c>
    </row>
    <row r="3898" spans="1:22">
      <c r="A3898" t="s">
        <v>74</v>
      </c>
      <c r="B3898" t="s">
        <v>60</v>
      </c>
      <c r="C3898">
        <v>27</v>
      </c>
      <c r="D3898" t="s">
        <v>18</v>
      </c>
      <c r="E3898" t="s">
        <v>16</v>
      </c>
      <c r="F3898" s="1">
        <v>43109</v>
      </c>
      <c r="G3898">
        <v>1</v>
      </c>
      <c r="H3898">
        <v>1</v>
      </c>
      <c r="I3898">
        <v>14</v>
      </c>
      <c r="J3898">
        <v>13</v>
      </c>
      <c r="K3898">
        <v>0</v>
      </c>
      <c r="L3898">
        <v>526</v>
      </c>
      <c r="M3898">
        <v>60</v>
      </c>
      <c r="N3898" s="1">
        <f t="shared" si="480"/>
        <v>44938</v>
      </c>
      <c r="O3898" s="1">
        <f t="shared" si="481"/>
        <v>43101</v>
      </c>
      <c r="P3898" s="1">
        <f t="shared" si="482"/>
        <v>43344</v>
      </c>
      <c r="Q3898" s="8">
        <f t="shared" si="483"/>
        <v>0</v>
      </c>
      <c r="R3898" s="8">
        <f t="shared" si="484"/>
        <v>9</v>
      </c>
      <c r="S3898" s="8">
        <f t="shared" ca="1" si="485"/>
        <v>9</v>
      </c>
      <c r="T3898">
        <f t="shared" ca="1" si="486"/>
        <v>1.7040000000000004</v>
      </c>
      <c r="U3898" s="8">
        <f t="shared" ca="1" si="487"/>
        <v>1.8</v>
      </c>
      <c r="V3898" s="9">
        <f ca="1">RawData[[#This Row],[Z (smoothed demand size)]]/RawData[[#This Row],[X (smoothed interval)]]</f>
        <v>0.94666666666666688</v>
      </c>
    </row>
    <row r="3899" spans="1:22">
      <c r="A3899" t="s">
        <v>74</v>
      </c>
      <c r="B3899" t="s">
        <v>60</v>
      </c>
      <c r="C3899">
        <v>27</v>
      </c>
      <c r="D3899" t="s">
        <v>18</v>
      </c>
      <c r="E3899" t="s">
        <v>16</v>
      </c>
      <c r="F3899" s="1">
        <v>43110</v>
      </c>
      <c r="G3899">
        <v>0</v>
      </c>
      <c r="H3899">
        <v>0</v>
      </c>
      <c r="I3899">
        <v>13</v>
      </c>
      <c r="J3899">
        <v>13</v>
      </c>
      <c r="K3899">
        <v>0</v>
      </c>
      <c r="L3899">
        <v>529</v>
      </c>
      <c r="M3899">
        <v>15</v>
      </c>
      <c r="N3899" s="1">
        <f t="shared" si="480"/>
        <v>44938</v>
      </c>
      <c r="O3899" s="1">
        <f t="shared" si="481"/>
        <v>43101</v>
      </c>
      <c r="P3899" s="1">
        <f t="shared" si="482"/>
        <v>43374</v>
      </c>
      <c r="Q3899" s="8">
        <f t="shared" si="483"/>
        <v>0</v>
      </c>
      <c r="R3899" s="8">
        <f t="shared" si="484"/>
        <v>10</v>
      </c>
      <c r="S3899" s="8">
        <f t="shared" ca="1" si="485"/>
        <v>9</v>
      </c>
      <c r="T3899">
        <f t="shared" ca="1" si="486"/>
        <v>1.7040000000000004</v>
      </c>
      <c r="U3899" s="8">
        <f t="shared" ca="1" si="487"/>
        <v>1.8</v>
      </c>
      <c r="V3899" s="9">
        <f ca="1">RawData[[#This Row],[Z (smoothed demand size)]]/RawData[[#This Row],[X (smoothed interval)]]</f>
        <v>0.94666666666666688</v>
      </c>
    </row>
    <row r="3900" spans="1:22">
      <c r="A3900" t="s">
        <v>74</v>
      </c>
      <c r="B3900" t="s">
        <v>60</v>
      </c>
      <c r="C3900">
        <v>27</v>
      </c>
      <c r="D3900" t="s">
        <v>18</v>
      </c>
      <c r="E3900" t="s">
        <v>16</v>
      </c>
      <c r="F3900" s="1">
        <v>43111</v>
      </c>
      <c r="G3900">
        <v>0</v>
      </c>
      <c r="H3900">
        <v>0</v>
      </c>
      <c r="I3900">
        <v>13</v>
      </c>
      <c r="J3900">
        <v>13</v>
      </c>
      <c r="K3900">
        <v>0</v>
      </c>
      <c r="L3900">
        <v>524</v>
      </c>
      <c r="M3900">
        <v>15</v>
      </c>
      <c r="N3900" s="1">
        <f t="shared" si="480"/>
        <v>44938</v>
      </c>
      <c r="O3900" s="1">
        <f t="shared" si="481"/>
        <v>43101</v>
      </c>
      <c r="P3900" s="1">
        <f t="shared" si="482"/>
        <v>43405</v>
      </c>
      <c r="Q3900" s="8">
        <f t="shared" si="483"/>
        <v>0</v>
      </c>
      <c r="R3900" s="8">
        <f t="shared" si="484"/>
        <v>11</v>
      </c>
      <c r="S3900" s="8">
        <f t="shared" ca="1" si="485"/>
        <v>9</v>
      </c>
      <c r="T3900">
        <f t="shared" ca="1" si="486"/>
        <v>1.7040000000000004</v>
      </c>
      <c r="U3900" s="8">
        <f t="shared" ca="1" si="487"/>
        <v>1.8</v>
      </c>
      <c r="V3900" s="9">
        <f ca="1">RawData[[#This Row],[Z (smoothed demand size)]]/RawData[[#This Row],[X (smoothed interval)]]</f>
        <v>0.94666666666666688</v>
      </c>
    </row>
    <row r="3901" spans="1:22">
      <c r="A3901" t="s">
        <v>74</v>
      </c>
      <c r="B3901" t="s">
        <v>60</v>
      </c>
      <c r="C3901">
        <v>27</v>
      </c>
      <c r="D3901" t="s">
        <v>18</v>
      </c>
      <c r="E3901" t="s">
        <v>16</v>
      </c>
      <c r="F3901" s="1">
        <v>43112</v>
      </c>
      <c r="G3901">
        <v>0</v>
      </c>
      <c r="H3901">
        <v>0</v>
      </c>
      <c r="I3901">
        <v>13</v>
      </c>
      <c r="J3901">
        <v>13</v>
      </c>
      <c r="K3901">
        <v>0</v>
      </c>
      <c r="L3901">
        <v>610</v>
      </c>
      <c r="M3901">
        <v>45</v>
      </c>
      <c r="N3901" s="1">
        <f t="shared" si="480"/>
        <v>44938</v>
      </c>
      <c r="O3901" s="1">
        <f t="shared" si="481"/>
        <v>43101</v>
      </c>
      <c r="P3901" s="1">
        <f t="shared" si="482"/>
        <v>43435</v>
      </c>
      <c r="Q3901" s="8">
        <f t="shared" si="483"/>
        <v>0</v>
      </c>
      <c r="R3901" s="8">
        <f t="shared" si="484"/>
        <v>12</v>
      </c>
      <c r="S3901" s="8">
        <f t="shared" ca="1" si="485"/>
        <v>9</v>
      </c>
      <c r="T3901">
        <f t="shared" ca="1" si="486"/>
        <v>1.7040000000000004</v>
      </c>
      <c r="U3901" s="8">
        <f t="shared" ca="1" si="487"/>
        <v>1.8</v>
      </c>
      <c r="V3901" s="9">
        <f ca="1">RawData[[#This Row],[Z (smoothed demand size)]]/RawData[[#This Row],[X (smoothed interval)]]</f>
        <v>0.94666666666666688</v>
      </c>
    </row>
    <row r="3902" spans="1:22">
      <c r="A3902" t="s">
        <v>74</v>
      </c>
      <c r="B3902" t="s">
        <v>60</v>
      </c>
      <c r="C3902">
        <v>27</v>
      </c>
      <c r="D3902" t="s">
        <v>18</v>
      </c>
      <c r="E3902" t="s">
        <v>16</v>
      </c>
      <c r="F3902" s="1">
        <v>43466</v>
      </c>
      <c r="G3902">
        <v>0</v>
      </c>
      <c r="H3902">
        <v>0</v>
      </c>
      <c r="I3902">
        <v>13</v>
      </c>
      <c r="J3902">
        <v>13</v>
      </c>
      <c r="K3902">
        <v>0</v>
      </c>
      <c r="L3902">
        <v>527</v>
      </c>
      <c r="M3902">
        <v>30</v>
      </c>
      <c r="N3902" s="1">
        <f t="shared" si="480"/>
        <v>44938</v>
      </c>
      <c r="O3902" s="1">
        <f t="shared" si="481"/>
        <v>43101</v>
      </c>
      <c r="P3902" s="1">
        <f t="shared" si="482"/>
        <v>43466</v>
      </c>
      <c r="Q3902" s="8">
        <f t="shared" si="483"/>
        <v>0</v>
      </c>
      <c r="R3902" s="8">
        <f t="shared" si="484"/>
        <v>13</v>
      </c>
      <c r="S3902" s="8">
        <f t="shared" ca="1" si="485"/>
        <v>9</v>
      </c>
      <c r="T3902">
        <f t="shared" ca="1" si="486"/>
        <v>1.7040000000000004</v>
      </c>
      <c r="U3902" s="8">
        <f t="shared" ca="1" si="487"/>
        <v>1.8</v>
      </c>
      <c r="V3902" s="9">
        <f ca="1">RawData[[#This Row],[Z (smoothed demand size)]]/RawData[[#This Row],[X (smoothed interval)]]</f>
        <v>0.94666666666666688</v>
      </c>
    </row>
    <row r="3903" spans="1:22">
      <c r="A3903" t="s">
        <v>74</v>
      </c>
      <c r="B3903" t="s">
        <v>60</v>
      </c>
      <c r="C3903">
        <v>27</v>
      </c>
      <c r="D3903" t="s">
        <v>18</v>
      </c>
      <c r="E3903" t="s">
        <v>16</v>
      </c>
      <c r="F3903" s="1">
        <v>43467</v>
      </c>
      <c r="G3903">
        <v>0</v>
      </c>
      <c r="H3903">
        <v>0</v>
      </c>
      <c r="I3903">
        <v>13</v>
      </c>
      <c r="J3903">
        <v>13</v>
      </c>
      <c r="K3903">
        <v>0</v>
      </c>
      <c r="L3903">
        <v>521</v>
      </c>
      <c r="M3903">
        <v>45</v>
      </c>
      <c r="N3903" s="1">
        <f t="shared" si="480"/>
        <v>44938</v>
      </c>
      <c r="O3903" s="1">
        <f t="shared" si="481"/>
        <v>43101</v>
      </c>
      <c r="P3903" s="1">
        <f t="shared" si="482"/>
        <v>43497</v>
      </c>
      <c r="Q3903" s="8">
        <f t="shared" si="483"/>
        <v>0</v>
      </c>
      <c r="R3903" s="8">
        <f t="shared" si="484"/>
        <v>14</v>
      </c>
      <c r="S3903" s="8">
        <f t="shared" ca="1" si="485"/>
        <v>9</v>
      </c>
      <c r="T3903">
        <f t="shared" ca="1" si="486"/>
        <v>1.7040000000000004</v>
      </c>
      <c r="U3903" s="8">
        <f t="shared" ca="1" si="487"/>
        <v>1.8</v>
      </c>
      <c r="V3903" s="9">
        <f ca="1">RawData[[#This Row],[Z (smoothed demand size)]]/RawData[[#This Row],[X (smoothed interval)]]</f>
        <v>0.94666666666666688</v>
      </c>
    </row>
    <row r="3904" spans="1:22">
      <c r="A3904" t="s">
        <v>74</v>
      </c>
      <c r="B3904" t="s">
        <v>60</v>
      </c>
      <c r="C3904">
        <v>27</v>
      </c>
      <c r="D3904" t="s">
        <v>18</v>
      </c>
      <c r="E3904" t="s">
        <v>16</v>
      </c>
      <c r="F3904" s="1">
        <v>43468</v>
      </c>
      <c r="G3904">
        <v>0</v>
      </c>
      <c r="H3904">
        <v>0</v>
      </c>
      <c r="I3904">
        <v>13</v>
      </c>
      <c r="J3904">
        <v>13</v>
      </c>
      <c r="K3904">
        <v>0</v>
      </c>
      <c r="L3904">
        <v>530</v>
      </c>
      <c r="M3904">
        <v>30</v>
      </c>
      <c r="N3904" s="1">
        <f t="shared" si="480"/>
        <v>44938</v>
      </c>
      <c r="O3904" s="1">
        <f t="shared" si="481"/>
        <v>43101</v>
      </c>
      <c r="P3904" s="1">
        <f t="shared" si="482"/>
        <v>43525</v>
      </c>
      <c r="Q3904" s="8">
        <f t="shared" si="483"/>
        <v>0</v>
      </c>
      <c r="R3904" s="8">
        <f t="shared" si="484"/>
        <v>15</v>
      </c>
      <c r="S3904" s="8">
        <f t="shared" ca="1" si="485"/>
        <v>9</v>
      </c>
      <c r="T3904">
        <f t="shared" ca="1" si="486"/>
        <v>1.7040000000000004</v>
      </c>
      <c r="U3904" s="8">
        <f t="shared" ca="1" si="487"/>
        <v>1.8</v>
      </c>
      <c r="V3904" s="9">
        <f ca="1">RawData[[#This Row],[Z (smoothed demand size)]]/RawData[[#This Row],[X (smoothed interval)]]</f>
        <v>0.94666666666666688</v>
      </c>
    </row>
    <row r="3905" spans="1:22">
      <c r="A3905" t="s">
        <v>74</v>
      </c>
      <c r="B3905" t="s">
        <v>60</v>
      </c>
      <c r="C3905">
        <v>27</v>
      </c>
      <c r="D3905" t="s">
        <v>18</v>
      </c>
      <c r="E3905" t="s">
        <v>16</v>
      </c>
      <c r="F3905" s="1">
        <v>43469</v>
      </c>
      <c r="G3905">
        <v>1</v>
      </c>
      <c r="H3905">
        <v>1</v>
      </c>
      <c r="I3905">
        <v>13</v>
      </c>
      <c r="J3905">
        <v>12</v>
      </c>
      <c r="K3905">
        <v>0</v>
      </c>
      <c r="L3905">
        <v>530</v>
      </c>
      <c r="M3905">
        <v>60</v>
      </c>
      <c r="N3905" s="1">
        <f t="shared" si="480"/>
        <v>44938</v>
      </c>
      <c r="O3905" s="1">
        <f t="shared" si="481"/>
        <v>43101</v>
      </c>
      <c r="P3905" s="1">
        <f t="shared" si="482"/>
        <v>43556</v>
      </c>
      <c r="Q3905" s="8">
        <f t="shared" si="483"/>
        <v>0</v>
      </c>
      <c r="R3905" s="8">
        <f t="shared" si="484"/>
        <v>16</v>
      </c>
      <c r="S3905" s="8">
        <f t="shared" ca="1" si="485"/>
        <v>16</v>
      </c>
      <c r="T3905">
        <f t="shared" ca="1" si="486"/>
        <v>1.5632000000000004</v>
      </c>
      <c r="U3905" s="8">
        <f t="shared" ca="1" si="487"/>
        <v>2.8400000000000003</v>
      </c>
      <c r="V3905" s="9">
        <f ca="1">RawData[[#This Row],[Z (smoothed demand size)]]/RawData[[#This Row],[X (smoothed interval)]]</f>
        <v>0.55042253521126772</v>
      </c>
    </row>
    <row r="3906" spans="1:22">
      <c r="A3906" t="s">
        <v>74</v>
      </c>
      <c r="B3906" t="s">
        <v>60</v>
      </c>
      <c r="C3906">
        <v>27</v>
      </c>
      <c r="D3906" t="s">
        <v>18</v>
      </c>
      <c r="E3906" t="s">
        <v>16</v>
      </c>
      <c r="F3906" s="1">
        <v>43470</v>
      </c>
      <c r="G3906">
        <v>0</v>
      </c>
      <c r="H3906">
        <v>0</v>
      </c>
      <c r="I3906">
        <v>12</v>
      </c>
      <c r="J3906">
        <v>12</v>
      </c>
      <c r="K3906">
        <v>0</v>
      </c>
      <c r="L3906">
        <v>532</v>
      </c>
      <c r="M3906">
        <v>15</v>
      </c>
      <c r="N3906" s="1">
        <f t="shared" ref="N3906:N3969" si="488">MAX(F:F)</f>
        <v>44938</v>
      </c>
      <c r="O3906" s="1">
        <f t="shared" ref="O3906:O3969" si="489">MIN(F:F)</f>
        <v>43101</v>
      </c>
      <c r="P3906" s="1">
        <f t="shared" ref="P3906:P3969" si="490">DATE(YEAR(F3906), DAY(F3906), 1)</f>
        <v>43586</v>
      </c>
      <c r="Q3906" s="8">
        <f t="shared" ref="Q3906:Q3969" si="491" xml:space="preserve"> IF(A3906&lt;&gt;A3905, 1, 0)</f>
        <v>0</v>
      </c>
      <c r="R3906" s="8">
        <f t="shared" ref="R3906:R3969" si="492">IF(Q3906=1,1,R3905+1)</f>
        <v>17</v>
      </c>
      <c r="S3906" s="8">
        <f t="shared" ref="S3906:S3969" ca="1" si="493" xml:space="preserve"> IF(Q3906=1, IF(G3906&gt;0, R3906, 0), IF(G3906&gt;0, R3906, OFFSET(S3906,-1,0)))</f>
        <v>16</v>
      </c>
      <c r="T3906">
        <f t="shared" ref="T3906:T3969" ca="1" si="494" xml:space="preserve"> IF(Q3906=1, IF(G3906&gt;0, G3906, 0), IF(G3906&gt;0, $X$1*G3906+(1-$X$1)*OFFSET(T3906,-1,0), OFFSET(T3906,-1,0)))</f>
        <v>1.5632000000000004</v>
      </c>
      <c r="U3906" s="8">
        <f t="shared" ref="U3906:U3969" ca="1" si="495" xml:space="preserve"> IF(Q3906=1, 1, IF(G3906&gt;0, $X$1*(R3906-OFFSET(S3906,-1,0))+(1-$X$1)*OFFSET(U3906,-1,0), OFFSET(U3906,-1,0)))</f>
        <v>2.8400000000000003</v>
      </c>
      <c r="V3906" s="9">
        <f ca="1">RawData[[#This Row],[Z (smoothed demand size)]]/RawData[[#This Row],[X (smoothed interval)]]</f>
        <v>0.55042253521126772</v>
      </c>
    </row>
    <row r="3907" spans="1:22">
      <c r="A3907" t="s">
        <v>74</v>
      </c>
      <c r="B3907" t="s">
        <v>60</v>
      </c>
      <c r="C3907">
        <v>27</v>
      </c>
      <c r="D3907" t="s">
        <v>18</v>
      </c>
      <c r="E3907" t="s">
        <v>16</v>
      </c>
      <c r="F3907" s="1">
        <v>43471</v>
      </c>
      <c r="G3907">
        <v>0</v>
      </c>
      <c r="H3907">
        <v>0</v>
      </c>
      <c r="I3907">
        <v>12</v>
      </c>
      <c r="J3907">
        <v>12</v>
      </c>
      <c r="K3907">
        <v>0</v>
      </c>
      <c r="L3907">
        <v>602</v>
      </c>
      <c r="M3907">
        <v>45</v>
      </c>
      <c r="N3907" s="1">
        <f t="shared" si="488"/>
        <v>44938</v>
      </c>
      <c r="O3907" s="1">
        <f t="shared" si="489"/>
        <v>43101</v>
      </c>
      <c r="P3907" s="1">
        <f t="shared" si="490"/>
        <v>43617</v>
      </c>
      <c r="Q3907" s="8">
        <f t="shared" si="491"/>
        <v>0</v>
      </c>
      <c r="R3907" s="8">
        <f t="shared" si="492"/>
        <v>18</v>
      </c>
      <c r="S3907" s="8">
        <f t="shared" ca="1" si="493"/>
        <v>16</v>
      </c>
      <c r="T3907">
        <f t="shared" ca="1" si="494"/>
        <v>1.5632000000000004</v>
      </c>
      <c r="U3907" s="8">
        <f t="shared" ca="1" si="495"/>
        <v>2.8400000000000003</v>
      </c>
      <c r="V3907" s="9">
        <f ca="1">RawData[[#This Row],[Z (smoothed demand size)]]/RawData[[#This Row],[X (smoothed interval)]]</f>
        <v>0.55042253521126772</v>
      </c>
    </row>
    <row r="3908" spans="1:22">
      <c r="A3908" t="s">
        <v>74</v>
      </c>
      <c r="B3908" t="s">
        <v>60</v>
      </c>
      <c r="C3908">
        <v>27</v>
      </c>
      <c r="D3908" t="s">
        <v>18</v>
      </c>
      <c r="E3908" t="s">
        <v>16</v>
      </c>
      <c r="F3908" s="1">
        <v>43472</v>
      </c>
      <c r="G3908">
        <v>0</v>
      </c>
      <c r="H3908">
        <v>0</v>
      </c>
      <c r="I3908">
        <v>12</v>
      </c>
      <c r="J3908">
        <v>12</v>
      </c>
      <c r="K3908">
        <v>0</v>
      </c>
      <c r="L3908">
        <v>612</v>
      </c>
      <c r="M3908">
        <v>60</v>
      </c>
      <c r="N3908" s="1">
        <f t="shared" si="488"/>
        <v>44938</v>
      </c>
      <c r="O3908" s="1">
        <f t="shared" si="489"/>
        <v>43101</v>
      </c>
      <c r="P3908" s="1">
        <f t="shared" si="490"/>
        <v>43647</v>
      </c>
      <c r="Q3908" s="8">
        <f t="shared" si="491"/>
        <v>0</v>
      </c>
      <c r="R3908" s="8">
        <f t="shared" si="492"/>
        <v>19</v>
      </c>
      <c r="S3908" s="8">
        <f t="shared" ca="1" si="493"/>
        <v>16</v>
      </c>
      <c r="T3908">
        <f t="shared" ca="1" si="494"/>
        <v>1.5632000000000004</v>
      </c>
      <c r="U3908" s="8">
        <f t="shared" ca="1" si="495"/>
        <v>2.8400000000000003</v>
      </c>
      <c r="V3908" s="9">
        <f ca="1">RawData[[#This Row],[Z (smoothed demand size)]]/RawData[[#This Row],[X (smoothed interval)]]</f>
        <v>0.55042253521126772</v>
      </c>
    </row>
    <row r="3909" spans="1:22">
      <c r="A3909" t="s">
        <v>74</v>
      </c>
      <c r="B3909" t="s">
        <v>60</v>
      </c>
      <c r="C3909">
        <v>27</v>
      </c>
      <c r="D3909" t="s">
        <v>18</v>
      </c>
      <c r="E3909" t="s">
        <v>16</v>
      </c>
      <c r="F3909" s="1">
        <v>43473</v>
      </c>
      <c r="G3909">
        <v>0</v>
      </c>
      <c r="H3909">
        <v>0</v>
      </c>
      <c r="I3909">
        <v>12</v>
      </c>
      <c r="J3909">
        <v>12</v>
      </c>
      <c r="K3909">
        <v>0</v>
      </c>
      <c r="L3909">
        <v>618</v>
      </c>
      <c r="M3909">
        <v>45</v>
      </c>
      <c r="N3909" s="1">
        <f t="shared" si="488"/>
        <v>44938</v>
      </c>
      <c r="O3909" s="1">
        <f t="shared" si="489"/>
        <v>43101</v>
      </c>
      <c r="P3909" s="1">
        <f t="shared" si="490"/>
        <v>43678</v>
      </c>
      <c r="Q3909" s="8">
        <f t="shared" si="491"/>
        <v>0</v>
      </c>
      <c r="R3909" s="8">
        <f t="shared" si="492"/>
        <v>20</v>
      </c>
      <c r="S3909" s="8">
        <f t="shared" ca="1" si="493"/>
        <v>16</v>
      </c>
      <c r="T3909">
        <f t="shared" ca="1" si="494"/>
        <v>1.5632000000000004</v>
      </c>
      <c r="U3909" s="8">
        <f t="shared" ca="1" si="495"/>
        <v>2.8400000000000003</v>
      </c>
      <c r="V3909" s="9">
        <f ca="1">RawData[[#This Row],[Z (smoothed demand size)]]/RawData[[#This Row],[X (smoothed interval)]]</f>
        <v>0.55042253521126772</v>
      </c>
    </row>
    <row r="3910" spans="1:22">
      <c r="A3910" t="s">
        <v>74</v>
      </c>
      <c r="B3910" t="s">
        <v>60</v>
      </c>
      <c r="C3910">
        <v>27</v>
      </c>
      <c r="D3910" t="s">
        <v>18</v>
      </c>
      <c r="E3910" t="s">
        <v>16</v>
      </c>
      <c r="F3910" s="1">
        <v>43474</v>
      </c>
      <c r="G3910">
        <v>0</v>
      </c>
      <c r="H3910">
        <v>0</v>
      </c>
      <c r="I3910">
        <v>12</v>
      </c>
      <c r="J3910">
        <v>12</v>
      </c>
      <c r="K3910">
        <v>0</v>
      </c>
      <c r="L3910">
        <v>527</v>
      </c>
      <c r="M3910">
        <v>15</v>
      </c>
      <c r="N3910" s="1">
        <f t="shared" si="488"/>
        <v>44938</v>
      </c>
      <c r="O3910" s="1">
        <f t="shared" si="489"/>
        <v>43101</v>
      </c>
      <c r="P3910" s="1">
        <f t="shared" si="490"/>
        <v>43709</v>
      </c>
      <c r="Q3910" s="8">
        <f t="shared" si="491"/>
        <v>0</v>
      </c>
      <c r="R3910" s="8">
        <f t="shared" si="492"/>
        <v>21</v>
      </c>
      <c r="S3910" s="8">
        <f t="shared" ca="1" si="493"/>
        <v>16</v>
      </c>
      <c r="T3910">
        <f t="shared" ca="1" si="494"/>
        <v>1.5632000000000004</v>
      </c>
      <c r="U3910" s="8">
        <f t="shared" ca="1" si="495"/>
        <v>2.8400000000000003</v>
      </c>
      <c r="V3910" s="9">
        <f ca="1">RawData[[#This Row],[Z (smoothed demand size)]]/RawData[[#This Row],[X (smoothed interval)]]</f>
        <v>0.55042253521126772</v>
      </c>
    </row>
    <row r="3911" spans="1:22">
      <c r="A3911" t="s">
        <v>74</v>
      </c>
      <c r="B3911" t="s">
        <v>60</v>
      </c>
      <c r="C3911">
        <v>27</v>
      </c>
      <c r="D3911" t="s">
        <v>18</v>
      </c>
      <c r="E3911" t="s">
        <v>16</v>
      </c>
      <c r="F3911" s="1">
        <v>43475</v>
      </c>
      <c r="G3911">
        <v>0</v>
      </c>
      <c r="H3911">
        <v>0</v>
      </c>
      <c r="I3911">
        <v>12</v>
      </c>
      <c r="J3911">
        <v>12</v>
      </c>
      <c r="K3911">
        <v>0</v>
      </c>
      <c r="L3911">
        <v>527</v>
      </c>
      <c r="M3911">
        <v>60</v>
      </c>
      <c r="N3911" s="1">
        <f t="shared" si="488"/>
        <v>44938</v>
      </c>
      <c r="O3911" s="1">
        <f t="shared" si="489"/>
        <v>43101</v>
      </c>
      <c r="P3911" s="1">
        <f t="shared" si="490"/>
        <v>43739</v>
      </c>
      <c r="Q3911" s="8">
        <f t="shared" si="491"/>
        <v>0</v>
      </c>
      <c r="R3911" s="8">
        <f t="shared" si="492"/>
        <v>22</v>
      </c>
      <c r="S3911" s="8">
        <f t="shared" ca="1" si="493"/>
        <v>16</v>
      </c>
      <c r="T3911">
        <f t="shared" ca="1" si="494"/>
        <v>1.5632000000000004</v>
      </c>
      <c r="U3911" s="8">
        <f t="shared" ca="1" si="495"/>
        <v>2.8400000000000003</v>
      </c>
      <c r="V3911" s="9">
        <f ca="1">RawData[[#This Row],[Z (smoothed demand size)]]/RawData[[#This Row],[X (smoothed interval)]]</f>
        <v>0.55042253521126772</v>
      </c>
    </row>
    <row r="3912" spans="1:22">
      <c r="A3912" t="s">
        <v>74</v>
      </c>
      <c r="B3912" t="s">
        <v>60</v>
      </c>
      <c r="C3912">
        <v>27</v>
      </c>
      <c r="D3912" t="s">
        <v>18</v>
      </c>
      <c r="E3912" t="s">
        <v>16</v>
      </c>
      <c r="F3912" s="1">
        <v>43476</v>
      </c>
      <c r="G3912">
        <v>2</v>
      </c>
      <c r="H3912">
        <v>2</v>
      </c>
      <c r="I3912">
        <v>12</v>
      </c>
      <c r="J3912">
        <v>10</v>
      </c>
      <c r="K3912">
        <v>0</v>
      </c>
      <c r="L3912">
        <v>530</v>
      </c>
      <c r="M3912">
        <v>15</v>
      </c>
      <c r="N3912" s="1">
        <f t="shared" si="488"/>
        <v>44938</v>
      </c>
      <c r="O3912" s="1">
        <f t="shared" si="489"/>
        <v>43101</v>
      </c>
      <c r="P3912" s="1">
        <f t="shared" si="490"/>
        <v>43770</v>
      </c>
      <c r="Q3912" s="8">
        <f t="shared" si="491"/>
        <v>0</v>
      </c>
      <c r="R3912" s="8">
        <f t="shared" si="492"/>
        <v>23</v>
      </c>
      <c r="S3912" s="8">
        <f t="shared" ca="1" si="493"/>
        <v>23</v>
      </c>
      <c r="T3912">
        <f t="shared" ca="1" si="494"/>
        <v>1.6505600000000005</v>
      </c>
      <c r="U3912" s="8">
        <f t="shared" ca="1" si="495"/>
        <v>3.6720000000000006</v>
      </c>
      <c r="V3912" s="9">
        <f ca="1">RawData[[#This Row],[Z (smoothed demand size)]]/RawData[[#This Row],[X (smoothed interval)]]</f>
        <v>0.44949891067538134</v>
      </c>
    </row>
    <row r="3913" spans="1:22">
      <c r="A3913" t="s">
        <v>74</v>
      </c>
      <c r="B3913" t="s">
        <v>60</v>
      </c>
      <c r="C3913">
        <v>27</v>
      </c>
      <c r="D3913" t="s">
        <v>18</v>
      </c>
      <c r="E3913" t="s">
        <v>16</v>
      </c>
      <c r="F3913" s="1">
        <v>43477</v>
      </c>
      <c r="G3913">
        <v>0</v>
      </c>
      <c r="H3913">
        <v>0</v>
      </c>
      <c r="I3913">
        <v>10</v>
      </c>
      <c r="J3913">
        <v>10</v>
      </c>
      <c r="K3913">
        <v>0</v>
      </c>
      <c r="L3913">
        <v>592</v>
      </c>
      <c r="M3913">
        <v>60</v>
      </c>
      <c r="N3913" s="1">
        <f t="shared" si="488"/>
        <v>44938</v>
      </c>
      <c r="O3913" s="1">
        <f t="shared" si="489"/>
        <v>43101</v>
      </c>
      <c r="P3913" s="1">
        <f t="shared" si="490"/>
        <v>43800</v>
      </c>
      <c r="Q3913" s="8">
        <f t="shared" si="491"/>
        <v>0</v>
      </c>
      <c r="R3913" s="8">
        <f t="shared" si="492"/>
        <v>24</v>
      </c>
      <c r="S3913" s="8">
        <f t="shared" ca="1" si="493"/>
        <v>23</v>
      </c>
      <c r="T3913">
        <f t="shared" ca="1" si="494"/>
        <v>1.6505600000000005</v>
      </c>
      <c r="U3913" s="8">
        <f t="shared" ca="1" si="495"/>
        <v>3.6720000000000006</v>
      </c>
      <c r="V3913" s="9">
        <f ca="1">RawData[[#This Row],[Z (smoothed demand size)]]/RawData[[#This Row],[X (smoothed interval)]]</f>
        <v>0.44949891067538134</v>
      </c>
    </row>
    <row r="3914" spans="1:22">
      <c r="A3914" t="s">
        <v>74</v>
      </c>
      <c r="B3914" t="s">
        <v>60</v>
      </c>
      <c r="C3914">
        <v>27</v>
      </c>
      <c r="D3914" t="s">
        <v>18</v>
      </c>
      <c r="E3914" t="s">
        <v>16</v>
      </c>
      <c r="F3914" s="1">
        <v>43831</v>
      </c>
      <c r="G3914">
        <v>0</v>
      </c>
      <c r="H3914">
        <v>0</v>
      </c>
      <c r="I3914">
        <v>10</v>
      </c>
      <c r="J3914">
        <v>10</v>
      </c>
      <c r="K3914">
        <v>0</v>
      </c>
      <c r="L3914">
        <v>518</v>
      </c>
      <c r="M3914">
        <v>45</v>
      </c>
      <c r="N3914" s="1">
        <f t="shared" si="488"/>
        <v>44938</v>
      </c>
      <c r="O3914" s="1">
        <f t="shared" si="489"/>
        <v>43101</v>
      </c>
      <c r="P3914" s="1">
        <f t="shared" si="490"/>
        <v>43831</v>
      </c>
      <c r="Q3914" s="8">
        <f t="shared" si="491"/>
        <v>0</v>
      </c>
      <c r="R3914" s="8">
        <f t="shared" si="492"/>
        <v>25</v>
      </c>
      <c r="S3914" s="8">
        <f t="shared" ca="1" si="493"/>
        <v>23</v>
      </c>
      <c r="T3914">
        <f t="shared" ca="1" si="494"/>
        <v>1.6505600000000005</v>
      </c>
      <c r="U3914" s="8">
        <f t="shared" ca="1" si="495"/>
        <v>3.6720000000000006</v>
      </c>
      <c r="V3914" s="9">
        <f ca="1">RawData[[#This Row],[Z (smoothed demand size)]]/RawData[[#This Row],[X (smoothed interval)]]</f>
        <v>0.44949891067538134</v>
      </c>
    </row>
    <row r="3915" spans="1:22">
      <c r="A3915" t="s">
        <v>74</v>
      </c>
      <c r="B3915" t="s">
        <v>60</v>
      </c>
      <c r="C3915">
        <v>27</v>
      </c>
      <c r="D3915" t="s">
        <v>18</v>
      </c>
      <c r="E3915" t="s">
        <v>16</v>
      </c>
      <c r="F3915" s="1">
        <v>43832</v>
      </c>
      <c r="G3915">
        <v>0</v>
      </c>
      <c r="H3915">
        <v>0</v>
      </c>
      <c r="I3915">
        <v>10</v>
      </c>
      <c r="J3915">
        <v>10</v>
      </c>
      <c r="K3915">
        <v>0</v>
      </c>
      <c r="L3915">
        <v>522</v>
      </c>
      <c r="M3915">
        <v>60</v>
      </c>
      <c r="N3915" s="1">
        <f t="shared" si="488"/>
        <v>44938</v>
      </c>
      <c r="O3915" s="1">
        <f t="shared" si="489"/>
        <v>43101</v>
      </c>
      <c r="P3915" s="1">
        <f t="shared" si="490"/>
        <v>43862</v>
      </c>
      <c r="Q3915" s="8">
        <f t="shared" si="491"/>
        <v>0</v>
      </c>
      <c r="R3915" s="8">
        <f t="shared" si="492"/>
        <v>26</v>
      </c>
      <c r="S3915" s="8">
        <f t="shared" ca="1" si="493"/>
        <v>23</v>
      </c>
      <c r="T3915">
        <f t="shared" ca="1" si="494"/>
        <v>1.6505600000000005</v>
      </c>
      <c r="U3915" s="8">
        <f t="shared" ca="1" si="495"/>
        <v>3.6720000000000006</v>
      </c>
      <c r="V3915" s="9">
        <f ca="1">RawData[[#This Row],[Z (smoothed demand size)]]/RawData[[#This Row],[X (smoothed interval)]]</f>
        <v>0.44949891067538134</v>
      </c>
    </row>
    <row r="3916" spans="1:22">
      <c r="A3916" t="s">
        <v>74</v>
      </c>
      <c r="B3916" t="s">
        <v>60</v>
      </c>
      <c r="C3916">
        <v>27</v>
      </c>
      <c r="D3916" t="s">
        <v>18</v>
      </c>
      <c r="E3916" t="s">
        <v>16</v>
      </c>
      <c r="F3916" s="1">
        <v>43833</v>
      </c>
      <c r="G3916">
        <v>0</v>
      </c>
      <c r="H3916">
        <v>0</v>
      </c>
      <c r="I3916">
        <v>10</v>
      </c>
      <c r="J3916">
        <v>10</v>
      </c>
      <c r="K3916">
        <v>0</v>
      </c>
      <c r="L3916">
        <v>523</v>
      </c>
      <c r="M3916">
        <v>15</v>
      </c>
      <c r="N3916" s="1">
        <f t="shared" si="488"/>
        <v>44938</v>
      </c>
      <c r="O3916" s="1">
        <f t="shared" si="489"/>
        <v>43101</v>
      </c>
      <c r="P3916" s="1">
        <f t="shared" si="490"/>
        <v>43891</v>
      </c>
      <c r="Q3916" s="8">
        <f t="shared" si="491"/>
        <v>0</v>
      </c>
      <c r="R3916" s="8">
        <f t="shared" si="492"/>
        <v>27</v>
      </c>
      <c r="S3916" s="8">
        <f t="shared" ca="1" si="493"/>
        <v>23</v>
      </c>
      <c r="T3916">
        <f t="shared" ca="1" si="494"/>
        <v>1.6505600000000005</v>
      </c>
      <c r="U3916" s="8">
        <f t="shared" ca="1" si="495"/>
        <v>3.6720000000000006</v>
      </c>
      <c r="V3916" s="9">
        <f ca="1">RawData[[#This Row],[Z (smoothed demand size)]]/RawData[[#This Row],[X (smoothed interval)]]</f>
        <v>0.44949891067538134</v>
      </c>
    </row>
    <row r="3917" spans="1:22">
      <c r="A3917" t="s">
        <v>74</v>
      </c>
      <c r="B3917" t="s">
        <v>60</v>
      </c>
      <c r="C3917">
        <v>27</v>
      </c>
      <c r="D3917" t="s">
        <v>18</v>
      </c>
      <c r="E3917" t="s">
        <v>16</v>
      </c>
      <c r="F3917" s="1">
        <v>43834</v>
      </c>
      <c r="G3917">
        <v>0</v>
      </c>
      <c r="H3917">
        <v>0</v>
      </c>
      <c r="I3917">
        <v>10</v>
      </c>
      <c r="J3917">
        <v>10</v>
      </c>
      <c r="K3917">
        <v>0</v>
      </c>
      <c r="L3917">
        <v>525</v>
      </c>
      <c r="M3917">
        <v>15</v>
      </c>
      <c r="N3917" s="1">
        <f t="shared" si="488"/>
        <v>44938</v>
      </c>
      <c r="O3917" s="1">
        <f t="shared" si="489"/>
        <v>43101</v>
      </c>
      <c r="P3917" s="1">
        <f t="shared" si="490"/>
        <v>43922</v>
      </c>
      <c r="Q3917" s="8">
        <f t="shared" si="491"/>
        <v>0</v>
      </c>
      <c r="R3917" s="8">
        <f t="shared" si="492"/>
        <v>28</v>
      </c>
      <c r="S3917" s="8">
        <f t="shared" ca="1" si="493"/>
        <v>23</v>
      </c>
      <c r="T3917">
        <f t="shared" ca="1" si="494"/>
        <v>1.6505600000000005</v>
      </c>
      <c r="U3917" s="8">
        <f t="shared" ca="1" si="495"/>
        <v>3.6720000000000006</v>
      </c>
      <c r="V3917" s="9">
        <f ca="1">RawData[[#This Row],[Z (smoothed demand size)]]/RawData[[#This Row],[X (smoothed interval)]]</f>
        <v>0.44949891067538134</v>
      </c>
    </row>
    <row r="3918" spans="1:22">
      <c r="A3918" t="s">
        <v>74</v>
      </c>
      <c r="B3918" t="s">
        <v>60</v>
      </c>
      <c r="C3918">
        <v>27</v>
      </c>
      <c r="D3918" t="s">
        <v>18</v>
      </c>
      <c r="E3918" t="s">
        <v>16</v>
      </c>
      <c r="F3918" s="1">
        <v>43835</v>
      </c>
      <c r="G3918">
        <v>0</v>
      </c>
      <c r="H3918">
        <v>0</v>
      </c>
      <c r="I3918">
        <v>10</v>
      </c>
      <c r="J3918">
        <v>10</v>
      </c>
      <c r="K3918">
        <v>0</v>
      </c>
      <c r="L3918">
        <v>526</v>
      </c>
      <c r="M3918">
        <v>60</v>
      </c>
      <c r="N3918" s="1">
        <f t="shared" si="488"/>
        <v>44938</v>
      </c>
      <c r="O3918" s="1">
        <f t="shared" si="489"/>
        <v>43101</v>
      </c>
      <c r="P3918" s="1">
        <f t="shared" si="490"/>
        <v>43952</v>
      </c>
      <c r="Q3918" s="8">
        <f t="shared" si="491"/>
        <v>0</v>
      </c>
      <c r="R3918" s="8">
        <f t="shared" si="492"/>
        <v>29</v>
      </c>
      <c r="S3918" s="8">
        <f t="shared" ca="1" si="493"/>
        <v>23</v>
      </c>
      <c r="T3918">
        <f t="shared" ca="1" si="494"/>
        <v>1.6505600000000005</v>
      </c>
      <c r="U3918" s="8">
        <f t="shared" ca="1" si="495"/>
        <v>3.6720000000000006</v>
      </c>
      <c r="V3918" s="9">
        <f ca="1">RawData[[#This Row],[Z (smoothed demand size)]]/RawData[[#This Row],[X (smoothed interval)]]</f>
        <v>0.44949891067538134</v>
      </c>
    </row>
    <row r="3919" spans="1:22">
      <c r="A3919" t="s">
        <v>74</v>
      </c>
      <c r="B3919" t="s">
        <v>60</v>
      </c>
      <c r="C3919">
        <v>27</v>
      </c>
      <c r="D3919" t="s">
        <v>18</v>
      </c>
      <c r="E3919" t="s">
        <v>16</v>
      </c>
      <c r="F3919" s="1">
        <v>43836</v>
      </c>
      <c r="G3919">
        <v>3</v>
      </c>
      <c r="H3919">
        <v>3</v>
      </c>
      <c r="I3919">
        <v>10</v>
      </c>
      <c r="J3919">
        <v>7</v>
      </c>
      <c r="K3919">
        <v>0</v>
      </c>
      <c r="L3919">
        <v>595</v>
      </c>
      <c r="M3919">
        <v>45</v>
      </c>
      <c r="N3919" s="1">
        <f t="shared" si="488"/>
        <v>44938</v>
      </c>
      <c r="O3919" s="1">
        <f t="shared" si="489"/>
        <v>43101</v>
      </c>
      <c r="P3919" s="1">
        <f t="shared" si="490"/>
        <v>43983</v>
      </c>
      <c r="Q3919" s="8">
        <f t="shared" si="491"/>
        <v>0</v>
      </c>
      <c r="R3919" s="8">
        <f t="shared" si="492"/>
        <v>30</v>
      </c>
      <c r="S3919" s="8">
        <f t="shared" ca="1" si="493"/>
        <v>30</v>
      </c>
      <c r="T3919">
        <f t="shared" ca="1" si="494"/>
        <v>1.9204480000000006</v>
      </c>
      <c r="U3919" s="8">
        <f t="shared" ca="1" si="495"/>
        <v>4.337600000000001</v>
      </c>
      <c r="V3919" s="9">
        <f ca="1">RawData[[#This Row],[Z (smoothed demand size)]]/RawData[[#This Row],[X (smoothed interval)]]</f>
        <v>0.44274437476945783</v>
      </c>
    </row>
    <row r="3920" spans="1:22">
      <c r="A3920" t="s">
        <v>74</v>
      </c>
      <c r="B3920" t="s">
        <v>60</v>
      </c>
      <c r="C3920">
        <v>27</v>
      </c>
      <c r="D3920" t="s">
        <v>18</v>
      </c>
      <c r="E3920" t="s">
        <v>16</v>
      </c>
      <c r="F3920" s="1">
        <v>43837</v>
      </c>
      <c r="G3920">
        <v>0</v>
      </c>
      <c r="H3920">
        <v>0</v>
      </c>
      <c r="I3920">
        <v>7</v>
      </c>
      <c r="J3920">
        <v>7</v>
      </c>
      <c r="K3920">
        <v>0</v>
      </c>
      <c r="L3920">
        <v>611</v>
      </c>
      <c r="M3920">
        <v>45</v>
      </c>
      <c r="N3920" s="1">
        <f t="shared" si="488"/>
        <v>44938</v>
      </c>
      <c r="O3920" s="1">
        <f t="shared" si="489"/>
        <v>43101</v>
      </c>
      <c r="P3920" s="1">
        <f t="shared" si="490"/>
        <v>44013</v>
      </c>
      <c r="Q3920" s="8">
        <f t="shared" si="491"/>
        <v>0</v>
      </c>
      <c r="R3920" s="8">
        <f t="shared" si="492"/>
        <v>31</v>
      </c>
      <c r="S3920" s="8">
        <f t="shared" ca="1" si="493"/>
        <v>30</v>
      </c>
      <c r="T3920">
        <f t="shared" ca="1" si="494"/>
        <v>1.9204480000000006</v>
      </c>
      <c r="U3920" s="8">
        <f t="shared" ca="1" si="495"/>
        <v>4.337600000000001</v>
      </c>
      <c r="V3920" s="9">
        <f ca="1">RawData[[#This Row],[Z (smoothed demand size)]]/RawData[[#This Row],[X (smoothed interval)]]</f>
        <v>0.44274437476945783</v>
      </c>
    </row>
    <row r="3921" spans="1:22">
      <c r="A3921" t="s">
        <v>74</v>
      </c>
      <c r="B3921" t="s">
        <v>60</v>
      </c>
      <c r="C3921">
        <v>27</v>
      </c>
      <c r="D3921" t="s">
        <v>18</v>
      </c>
      <c r="E3921" t="s">
        <v>16</v>
      </c>
      <c r="F3921" s="1">
        <v>43838</v>
      </c>
      <c r="G3921">
        <v>4</v>
      </c>
      <c r="H3921">
        <v>4</v>
      </c>
      <c r="I3921">
        <v>7</v>
      </c>
      <c r="J3921">
        <v>3</v>
      </c>
      <c r="K3921">
        <v>0</v>
      </c>
      <c r="L3921">
        <v>606</v>
      </c>
      <c r="M3921">
        <v>45</v>
      </c>
      <c r="N3921" s="1">
        <f t="shared" si="488"/>
        <v>44938</v>
      </c>
      <c r="O3921" s="1">
        <f t="shared" si="489"/>
        <v>43101</v>
      </c>
      <c r="P3921" s="1">
        <f t="shared" si="490"/>
        <v>44044</v>
      </c>
      <c r="Q3921" s="8">
        <f t="shared" si="491"/>
        <v>0</v>
      </c>
      <c r="R3921" s="8">
        <f t="shared" si="492"/>
        <v>32</v>
      </c>
      <c r="S3921" s="8">
        <f t="shared" ca="1" si="493"/>
        <v>32</v>
      </c>
      <c r="T3921">
        <f t="shared" ca="1" si="494"/>
        <v>2.3363584000000008</v>
      </c>
      <c r="U3921" s="8">
        <f t="shared" ca="1" si="495"/>
        <v>3.8700800000000011</v>
      </c>
      <c r="V3921" s="9">
        <f ca="1">RawData[[#This Row],[Z (smoothed demand size)]]/RawData[[#This Row],[X (smoothed interval)]]</f>
        <v>0.60369770133950729</v>
      </c>
    </row>
    <row r="3922" spans="1:22">
      <c r="A3922" t="s">
        <v>74</v>
      </c>
      <c r="B3922" t="s">
        <v>60</v>
      </c>
      <c r="C3922">
        <v>27</v>
      </c>
      <c r="D3922" t="s">
        <v>18</v>
      </c>
      <c r="E3922" t="s">
        <v>16</v>
      </c>
      <c r="F3922" s="1">
        <v>43839</v>
      </c>
      <c r="G3922">
        <v>0</v>
      </c>
      <c r="H3922">
        <v>0</v>
      </c>
      <c r="I3922">
        <v>3</v>
      </c>
      <c r="J3922">
        <v>3</v>
      </c>
      <c r="K3922">
        <v>0</v>
      </c>
      <c r="L3922">
        <v>525</v>
      </c>
      <c r="M3922">
        <v>60</v>
      </c>
      <c r="N3922" s="1">
        <f t="shared" si="488"/>
        <v>44938</v>
      </c>
      <c r="O3922" s="1">
        <f t="shared" si="489"/>
        <v>43101</v>
      </c>
      <c r="P3922" s="1">
        <f t="shared" si="490"/>
        <v>44075</v>
      </c>
      <c r="Q3922" s="8">
        <f t="shared" si="491"/>
        <v>0</v>
      </c>
      <c r="R3922" s="8">
        <f t="shared" si="492"/>
        <v>33</v>
      </c>
      <c r="S3922" s="8">
        <f t="shared" ca="1" si="493"/>
        <v>32</v>
      </c>
      <c r="T3922">
        <f t="shared" ca="1" si="494"/>
        <v>2.3363584000000008</v>
      </c>
      <c r="U3922" s="8">
        <f t="shared" ca="1" si="495"/>
        <v>3.8700800000000011</v>
      </c>
      <c r="V3922" s="9">
        <f ca="1">RawData[[#This Row],[Z (smoothed demand size)]]/RawData[[#This Row],[X (smoothed interval)]]</f>
        <v>0.60369770133950729</v>
      </c>
    </row>
    <row r="3923" spans="1:22">
      <c r="A3923" t="s">
        <v>74</v>
      </c>
      <c r="B3923" t="s">
        <v>60</v>
      </c>
      <c r="C3923">
        <v>27</v>
      </c>
      <c r="D3923" t="s">
        <v>18</v>
      </c>
      <c r="E3923" t="s">
        <v>16</v>
      </c>
      <c r="F3923" s="1">
        <v>43840</v>
      </c>
      <c r="G3923">
        <v>0</v>
      </c>
      <c r="H3923">
        <v>0</v>
      </c>
      <c r="I3923">
        <v>28</v>
      </c>
      <c r="J3923">
        <v>28</v>
      </c>
      <c r="K3923">
        <v>0</v>
      </c>
      <c r="L3923">
        <v>527</v>
      </c>
      <c r="M3923">
        <v>15</v>
      </c>
      <c r="N3923" s="1">
        <f t="shared" si="488"/>
        <v>44938</v>
      </c>
      <c r="O3923" s="1">
        <f t="shared" si="489"/>
        <v>43101</v>
      </c>
      <c r="P3923" s="1">
        <f t="shared" si="490"/>
        <v>44105</v>
      </c>
      <c r="Q3923" s="8">
        <f t="shared" si="491"/>
        <v>0</v>
      </c>
      <c r="R3923" s="8">
        <f t="shared" si="492"/>
        <v>34</v>
      </c>
      <c r="S3923" s="8">
        <f t="shared" ca="1" si="493"/>
        <v>32</v>
      </c>
      <c r="T3923">
        <f t="shared" ca="1" si="494"/>
        <v>2.3363584000000008</v>
      </c>
      <c r="U3923" s="8">
        <f t="shared" ca="1" si="495"/>
        <v>3.8700800000000011</v>
      </c>
      <c r="V3923" s="9">
        <f ca="1">RawData[[#This Row],[Z (smoothed demand size)]]/RawData[[#This Row],[X (smoothed interval)]]</f>
        <v>0.60369770133950729</v>
      </c>
    </row>
    <row r="3924" spans="1:22">
      <c r="A3924" t="s">
        <v>74</v>
      </c>
      <c r="B3924" t="s">
        <v>60</v>
      </c>
      <c r="C3924">
        <v>27</v>
      </c>
      <c r="D3924" t="s">
        <v>18</v>
      </c>
      <c r="E3924" t="s">
        <v>16</v>
      </c>
      <c r="F3924" s="1">
        <v>43841</v>
      </c>
      <c r="G3924">
        <v>0</v>
      </c>
      <c r="H3924">
        <v>0</v>
      </c>
      <c r="I3924">
        <v>28</v>
      </c>
      <c r="J3924">
        <v>28</v>
      </c>
      <c r="K3924">
        <v>0</v>
      </c>
      <c r="L3924">
        <v>522</v>
      </c>
      <c r="M3924">
        <v>45</v>
      </c>
      <c r="N3924" s="1">
        <f t="shared" si="488"/>
        <v>44938</v>
      </c>
      <c r="O3924" s="1">
        <f t="shared" si="489"/>
        <v>43101</v>
      </c>
      <c r="P3924" s="1">
        <f t="shared" si="490"/>
        <v>44136</v>
      </c>
      <c r="Q3924" s="8">
        <f t="shared" si="491"/>
        <v>0</v>
      </c>
      <c r="R3924" s="8">
        <f t="shared" si="492"/>
        <v>35</v>
      </c>
      <c r="S3924" s="8">
        <f t="shared" ca="1" si="493"/>
        <v>32</v>
      </c>
      <c r="T3924">
        <f t="shared" ca="1" si="494"/>
        <v>2.3363584000000008</v>
      </c>
      <c r="U3924" s="8">
        <f t="shared" ca="1" si="495"/>
        <v>3.8700800000000011</v>
      </c>
      <c r="V3924" s="9">
        <f ca="1">RawData[[#This Row],[Z (smoothed demand size)]]/RawData[[#This Row],[X (smoothed interval)]]</f>
        <v>0.60369770133950729</v>
      </c>
    </row>
    <row r="3925" spans="1:22">
      <c r="A3925" t="s">
        <v>74</v>
      </c>
      <c r="B3925" t="s">
        <v>60</v>
      </c>
      <c r="C3925">
        <v>27</v>
      </c>
      <c r="D3925" t="s">
        <v>18</v>
      </c>
      <c r="E3925" t="s">
        <v>16</v>
      </c>
      <c r="F3925" s="1">
        <v>43842</v>
      </c>
      <c r="G3925">
        <v>0</v>
      </c>
      <c r="H3925">
        <v>0</v>
      </c>
      <c r="I3925">
        <v>28</v>
      </c>
      <c r="J3925">
        <v>28</v>
      </c>
      <c r="K3925">
        <v>0</v>
      </c>
      <c r="L3925">
        <v>602</v>
      </c>
      <c r="M3925">
        <v>45</v>
      </c>
      <c r="N3925" s="1">
        <f t="shared" si="488"/>
        <v>44938</v>
      </c>
      <c r="O3925" s="1">
        <f t="shared" si="489"/>
        <v>43101</v>
      </c>
      <c r="P3925" s="1">
        <f t="shared" si="490"/>
        <v>44166</v>
      </c>
      <c r="Q3925" s="8">
        <f t="shared" si="491"/>
        <v>0</v>
      </c>
      <c r="R3925" s="8">
        <f t="shared" si="492"/>
        <v>36</v>
      </c>
      <c r="S3925" s="8">
        <f t="shared" ca="1" si="493"/>
        <v>32</v>
      </c>
      <c r="T3925">
        <f t="shared" ca="1" si="494"/>
        <v>2.3363584000000008</v>
      </c>
      <c r="U3925" s="8">
        <f t="shared" ca="1" si="495"/>
        <v>3.8700800000000011</v>
      </c>
      <c r="V3925" s="9">
        <f ca="1">RawData[[#This Row],[Z (smoothed demand size)]]/RawData[[#This Row],[X (smoothed interval)]]</f>
        <v>0.60369770133950729</v>
      </c>
    </row>
    <row r="3926" spans="1:22">
      <c r="A3926" t="s">
        <v>74</v>
      </c>
      <c r="B3926" t="s">
        <v>60</v>
      </c>
      <c r="C3926">
        <v>27</v>
      </c>
      <c r="D3926" t="s">
        <v>18</v>
      </c>
      <c r="E3926" t="s">
        <v>16</v>
      </c>
      <c r="F3926" s="1">
        <v>44197</v>
      </c>
      <c r="G3926">
        <v>0</v>
      </c>
      <c r="H3926">
        <v>0</v>
      </c>
      <c r="I3926">
        <v>28</v>
      </c>
      <c r="J3926">
        <v>28</v>
      </c>
      <c r="K3926">
        <v>0</v>
      </c>
      <c r="L3926">
        <v>518</v>
      </c>
      <c r="M3926">
        <v>15</v>
      </c>
      <c r="N3926" s="1">
        <f t="shared" si="488"/>
        <v>44938</v>
      </c>
      <c r="O3926" s="1">
        <f t="shared" si="489"/>
        <v>43101</v>
      </c>
      <c r="P3926" s="1">
        <f t="shared" si="490"/>
        <v>44197</v>
      </c>
      <c r="Q3926" s="8">
        <f t="shared" si="491"/>
        <v>0</v>
      </c>
      <c r="R3926" s="8">
        <f t="shared" si="492"/>
        <v>37</v>
      </c>
      <c r="S3926" s="8">
        <f t="shared" ca="1" si="493"/>
        <v>32</v>
      </c>
      <c r="T3926">
        <f t="shared" ca="1" si="494"/>
        <v>2.3363584000000008</v>
      </c>
      <c r="U3926" s="8">
        <f t="shared" ca="1" si="495"/>
        <v>3.8700800000000011</v>
      </c>
      <c r="V3926" s="9">
        <f ca="1">RawData[[#This Row],[Z (smoothed demand size)]]/RawData[[#This Row],[X (smoothed interval)]]</f>
        <v>0.60369770133950729</v>
      </c>
    </row>
    <row r="3927" spans="1:22">
      <c r="A3927" t="s">
        <v>74</v>
      </c>
      <c r="B3927" t="s">
        <v>60</v>
      </c>
      <c r="C3927">
        <v>27</v>
      </c>
      <c r="D3927" t="s">
        <v>18</v>
      </c>
      <c r="E3927" t="s">
        <v>16</v>
      </c>
      <c r="F3927" s="1">
        <v>44198</v>
      </c>
      <c r="G3927">
        <v>0</v>
      </c>
      <c r="H3927">
        <v>0</v>
      </c>
      <c r="I3927">
        <v>28</v>
      </c>
      <c r="J3927">
        <v>28</v>
      </c>
      <c r="K3927">
        <v>0</v>
      </c>
      <c r="L3927">
        <v>512</v>
      </c>
      <c r="M3927">
        <v>30</v>
      </c>
      <c r="N3927" s="1">
        <f t="shared" si="488"/>
        <v>44938</v>
      </c>
      <c r="O3927" s="1">
        <f t="shared" si="489"/>
        <v>43101</v>
      </c>
      <c r="P3927" s="1">
        <f t="shared" si="490"/>
        <v>44228</v>
      </c>
      <c r="Q3927" s="8">
        <f t="shared" si="491"/>
        <v>0</v>
      </c>
      <c r="R3927" s="8">
        <f t="shared" si="492"/>
        <v>38</v>
      </c>
      <c r="S3927" s="8">
        <f t="shared" ca="1" si="493"/>
        <v>32</v>
      </c>
      <c r="T3927">
        <f t="shared" ca="1" si="494"/>
        <v>2.3363584000000008</v>
      </c>
      <c r="U3927" s="8">
        <f t="shared" ca="1" si="495"/>
        <v>3.8700800000000011</v>
      </c>
      <c r="V3927" s="9">
        <f ca="1">RawData[[#This Row],[Z (smoothed demand size)]]/RawData[[#This Row],[X (smoothed interval)]]</f>
        <v>0.60369770133950729</v>
      </c>
    </row>
    <row r="3928" spans="1:22">
      <c r="A3928" t="s">
        <v>74</v>
      </c>
      <c r="B3928" t="s">
        <v>60</v>
      </c>
      <c r="C3928">
        <v>27</v>
      </c>
      <c r="D3928" t="s">
        <v>18</v>
      </c>
      <c r="E3928" t="s">
        <v>16</v>
      </c>
      <c r="F3928" s="1">
        <v>44199</v>
      </c>
      <c r="G3928">
        <v>0</v>
      </c>
      <c r="H3928">
        <v>0</v>
      </c>
      <c r="I3928">
        <v>28</v>
      </c>
      <c r="J3928">
        <v>28</v>
      </c>
      <c r="K3928">
        <v>0</v>
      </c>
      <c r="L3928">
        <v>522</v>
      </c>
      <c r="M3928">
        <v>30</v>
      </c>
      <c r="N3928" s="1">
        <f t="shared" si="488"/>
        <v>44938</v>
      </c>
      <c r="O3928" s="1">
        <f t="shared" si="489"/>
        <v>43101</v>
      </c>
      <c r="P3928" s="1">
        <f t="shared" si="490"/>
        <v>44256</v>
      </c>
      <c r="Q3928" s="8">
        <f t="shared" si="491"/>
        <v>0</v>
      </c>
      <c r="R3928" s="8">
        <f t="shared" si="492"/>
        <v>39</v>
      </c>
      <c r="S3928" s="8">
        <f t="shared" ca="1" si="493"/>
        <v>32</v>
      </c>
      <c r="T3928">
        <f t="shared" ca="1" si="494"/>
        <v>2.3363584000000008</v>
      </c>
      <c r="U3928" s="8">
        <f t="shared" ca="1" si="495"/>
        <v>3.8700800000000011</v>
      </c>
      <c r="V3928" s="9">
        <f ca="1">RawData[[#This Row],[Z (smoothed demand size)]]/RawData[[#This Row],[X (smoothed interval)]]</f>
        <v>0.60369770133950729</v>
      </c>
    </row>
    <row r="3929" spans="1:22">
      <c r="A3929" t="s">
        <v>74</v>
      </c>
      <c r="B3929" t="s">
        <v>60</v>
      </c>
      <c r="C3929">
        <v>27</v>
      </c>
      <c r="D3929" t="s">
        <v>18</v>
      </c>
      <c r="E3929" t="s">
        <v>16</v>
      </c>
      <c r="F3929" s="1">
        <v>44200</v>
      </c>
      <c r="G3929">
        <v>0</v>
      </c>
      <c r="H3929">
        <v>0</v>
      </c>
      <c r="I3929">
        <v>28</v>
      </c>
      <c r="J3929">
        <v>28</v>
      </c>
      <c r="K3929">
        <v>0</v>
      </c>
      <c r="L3929">
        <v>532</v>
      </c>
      <c r="M3929">
        <v>45</v>
      </c>
      <c r="N3929" s="1">
        <f t="shared" si="488"/>
        <v>44938</v>
      </c>
      <c r="O3929" s="1">
        <f t="shared" si="489"/>
        <v>43101</v>
      </c>
      <c r="P3929" s="1">
        <f t="shared" si="490"/>
        <v>44287</v>
      </c>
      <c r="Q3929" s="8">
        <f t="shared" si="491"/>
        <v>0</v>
      </c>
      <c r="R3929" s="8">
        <f t="shared" si="492"/>
        <v>40</v>
      </c>
      <c r="S3929" s="8">
        <f t="shared" ca="1" si="493"/>
        <v>32</v>
      </c>
      <c r="T3929">
        <f t="shared" ca="1" si="494"/>
        <v>2.3363584000000008</v>
      </c>
      <c r="U3929" s="8">
        <f t="shared" ca="1" si="495"/>
        <v>3.8700800000000011</v>
      </c>
      <c r="V3929" s="9">
        <f ca="1">RawData[[#This Row],[Z (smoothed demand size)]]/RawData[[#This Row],[X (smoothed interval)]]</f>
        <v>0.60369770133950729</v>
      </c>
    </row>
    <row r="3930" spans="1:22">
      <c r="A3930" t="s">
        <v>74</v>
      </c>
      <c r="B3930" t="s">
        <v>60</v>
      </c>
      <c r="C3930">
        <v>27</v>
      </c>
      <c r="D3930" t="s">
        <v>18</v>
      </c>
      <c r="E3930" t="s">
        <v>16</v>
      </c>
      <c r="F3930" s="1">
        <v>44201</v>
      </c>
      <c r="G3930">
        <v>0</v>
      </c>
      <c r="H3930">
        <v>0</v>
      </c>
      <c r="I3930">
        <v>28</v>
      </c>
      <c r="J3930">
        <v>28</v>
      </c>
      <c r="K3930">
        <v>0</v>
      </c>
      <c r="L3930">
        <v>520</v>
      </c>
      <c r="M3930">
        <v>30</v>
      </c>
      <c r="N3930" s="1">
        <f t="shared" si="488"/>
        <v>44938</v>
      </c>
      <c r="O3930" s="1">
        <f t="shared" si="489"/>
        <v>43101</v>
      </c>
      <c r="P3930" s="1">
        <f t="shared" si="490"/>
        <v>44317</v>
      </c>
      <c r="Q3930" s="8">
        <f t="shared" si="491"/>
        <v>0</v>
      </c>
      <c r="R3930" s="8">
        <f t="shared" si="492"/>
        <v>41</v>
      </c>
      <c r="S3930" s="8">
        <f t="shared" ca="1" si="493"/>
        <v>32</v>
      </c>
      <c r="T3930">
        <f t="shared" ca="1" si="494"/>
        <v>2.3363584000000008</v>
      </c>
      <c r="U3930" s="8">
        <f t="shared" ca="1" si="495"/>
        <v>3.8700800000000011</v>
      </c>
      <c r="V3930" s="9">
        <f ca="1">RawData[[#This Row],[Z (smoothed demand size)]]/RawData[[#This Row],[X (smoothed interval)]]</f>
        <v>0.60369770133950729</v>
      </c>
    </row>
    <row r="3931" spans="1:22">
      <c r="A3931" t="s">
        <v>74</v>
      </c>
      <c r="B3931" t="s">
        <v>60</v>
      </c>
      <c r="C3931">
        <v>27</v>
      </c>
      <c r="D3931" t="s">
        <v>18</v>
      </c>
      <c r="E3931" t="s">
        <v>16</v>
      </c>
      <c r="F3931" s="1">
        <v>44202</v>
      </c>
      <c r="G3931">
        <v>3</v>
      </c>
      <c r="H3931">
        <v>3</v>
      </c>
      <c r="I3931">
        <v>28</v>
      </c>
      <c r="J3931">
        <v>25</v>
      </c>
      <c r="K3931">
        <v>0</v>
      </c>
      <c r="L3931">
        <v>592</v>
      </c>
      <c r="M3931">
        <v>45</v>
      </c>
      <c r="N3931" s="1">
        <f t="shared" si="488"/>
        <v>44938</v>
      </c>
      <c r="O3931" s="1">
        <f t="shared" si="489"/>
        <v>43101</v>
      </c>
      <c r="P3931" s="1">
        <f t="shared" si="490"/>
        <v>44348</v>
      </c>
      <c r="Q3931" s="8">
        <f t="shared" si="491"/>
        <v>0</v>
      </c>
      <c r="R3931" s="8">
        <f t="shared" si="492"/>
        <v>42</v>
      </c>
      <c r="S3931" s="8">
        <f t="shared" ca="1" si="493"/>
        <v>42</v>
      </c>
      <c r="T3931">
        <f t="shared" ca="1" si="494"/>
        <v>2.4690867200000008</v>
      </c>
      <c r="U3931" s="8">
        <f t="shared" ca="1" si="495"/>
        <v>5.096064000000001</v>
      </c>
      <c r="V3931" s="9">
        <f ca="1">RawData[[#This Row],[Z (smoothed demand size)]]/RawData[[#This Row],[X (smoothed interval)]]</f>
        <v>0.48450857760028138</v>
      </c>
    </row>
    <row r="3932" spans="1:22">
      <c r="A3932" t="s">
        <v>74</v>
      </c>
      <c r="B3932" t="s">
        <v>60</v>
      </c>
      <c r="C3932">
        <v>27</v>
      </c>
      <c r="D3932" t="s">
        <v>18</v>
      </c>
      <c r="E3932" t="s">
        <v>16</v>
      </c>
      <c r="F3932" s="1">
        <v>44203</v>
      </c>
      <c r="G3932">
        <v>0</v>
      </c>
      <c r="H3932">
        <v>0</v>
      </c>
      <c r="I3932">
        <v>25</v>
      </c>
      <c r="J3932">
        <v>25</v>
      </c>
      <c r="K3932">
        <v>0</v>
      </c>
      <c r="L3932">
        <v>605</v>
      </c>
      <c r="M3932">
        <v>45</v>
      </c>
      <c r="N3932" s="1">
        <f t="shared" si="488"/>
        <v>44938</v>
      </c>
      <c r="O3932" s="1">
        <f t="shared" si="489"/>
        <v>43101</v>
      </c>
      <c r="P3932" s="1">
        <f t="shared" si="490"/>
        <v>44378</v>
      </c>
      <c r="Q3932" s="8">
        <f t="shared" si="491"/>
        <v>0</v>
      </c>
      <c r="R3932" s="8">
        <f t="shared" si="492"/>
        <v>43</v>
      </c>
      <c r="S3932" s="8">
        <f t="shared" ca="1" si="493"/>
        <v>42</v>
      </c>
      <c r="T3932">
        <f t="shared" ca="1" si="494"/>
        <v>2.4690867200000008</v>
      </c>
      <c r="U3932" s="8">
        <f t="shared" ca="1" si="495"/>
        <v>5.096064000000001</v>
      </c>
      <c r="V3932" s="9">
        <f ca="1">RawData[[#This Row],[Z (smoothed demand size)]]/RawData[[#This Row],[X (smoothed interval)]]</f>
        <v>0.48450857760028138</v>
      </c>
    </row>
    <row r="3933" spans="1:22">
      <c r="A3933" t="s">
        <v>74</v>
      </c>
      <c r="B3933" t="s">
        <v>60</v>
      </c>
      <c r="C3933">
        <v>27</v>
      </c>
      <c r="D3933" t="s">
        <v>18</v>
      </c>
      <c r="E3933" t="s">
        <v>16</v>
      </c>
      <c r="F3933" s="1">
        <v>44204</v>
      </c>
      <c r="G3933">
        <v>0</v>
      </c>
      <c r="H3933">
        <v>0</v>
      </c>
      <c r="I3933">
        <v>25</v>
      </c>
      <c r="J3933">
        <v>25</v>
      </c>
      <c r="K3933">
        <v>0</v>
      </c>
      <c r="L3933">
        <v>599</v>
      </c>
      <c r="M3933">
        <v>15</v>
      </c>
      <c r="N3933" s="1">
        <f t="shared" si="488"/>
        <v>44938</v>
      </c>
      <c r="O3933" s="1">
        <f t="shared" si="489"/>
        <v>43101</v>
      </c>
      <c r="P3933" s="1">
        <f t="shared" si="490"/>
        <v>44409</v>
      </c>
      <c r="Q3933" s="8">
        <f t="shared" si="491"/>
        <v>0</v>
      </c>
      <c r="R3933" s="8">
        <f t="shared" si="492"/>
        <v>44</v>
      </c>
      <c r="S3933" s="8">
        <f t="shared" ca="1" si="493"/>
        <v>42</v>
      </c>
      <c r="T3933">
        <f t="shared" ca="1" si="494"/>
        <v>2.4690867200000008</v>
      </c>
      <c r="U3933" s="8">
        <f t="shared" ca="1" si="495"/>
        <v>5.096064000000001</v>
      </c>
      <c r="V3933" s="9">
        <f ca="1">RawData[[#This Row],[Z (smoothed demand size)]]/RawData[[#This Row],[X (smoothed interval)]]</f>
        <v>0.48450857760028138</v>
      </c>
    </row>
    <row r="3934" spans="1:22">
      <c r="A3934" t="s">
        <v>74</v>
      </c>
      <c r="B3934" t="s">
        <v>60</v>
      </c>
      <c r="C3934">
        <v>27</v>
      </c>
      <c r="D3934" t="s">
        <v>18</v>
      </c>
      <c r="E3934" t="s">
        <v>16</v>
      </c>
      <c r="F3934" s="1">
        <v>44205</v>
      </c>
      <c r="G3934">
        <v>0</v>
      </c>
      <c r="H3934">
        <v>0</v>
      </c>
      <c r="I3934">
        <v>25</v>
      </c>
      <c r="J3934">
        <v>25</v>
      </c>
      <c r="K3934">
        <v>0</v>
      </c>
      <c r="L3934">
        <v>526</v>
      </c>
      <c r="M3934">
        <v>30</v>
      </c>
      <c r="N3934" s="1">
        <f t="shared" si="488"/>
        <v>44938</v>
      </c>
      <c r="O3934" s="1">
        <f t="shared" si="489"/>
        <v>43101</v>
      </c>
      <c r="P3934" s="1">
        <f t="shared" si="490"/>
        <v>44440</v>
      </c>
      <c r="Q3934" s="8">
        <f t="shared" si="491"/>
        <v>0</v>
      </c>
      <c r="R3934" s="8">
        <f t="shared" si="492"/>
        <v>45</v>
      </c>
      <c r="S3934" s="8">
        <f t="shared" ca="1" si="493"/>
        <v>42</v>
      </c>
      <c r="T3934">
        <f t="shared" ca="1" si="494"/>
        <v>2.4690867200000008</v>
      </c>
      <c r="U3934" s="8">
        <f t="shared" ca="1" si="495"/>
        <v>5.096064000000001</v>
      </c>
      <c r="V3934" s="9">
        <f ca="1">RawData[[#This Row],[Z (smoothed demand size)]]/RawData[[#This Row],[X (smoothed interval)]]</f>
        <v>0.48450857760028138</v>
      </c>
    </row>
    <row r="3935" spans="1:22">
      <c r="A3935" t="s">
        <v>74</v>
      </c>
      <c r="B3935" t="s">
        <v>60</v>
      </c>
      <c r="C3935">
        <v>27</v>
      </c>
      <c r="D3935" t="s">
        <v>18</v>
      </c>
      <c r="E3935" t="s">
        <v>16</v>
      </c>
      <c r="F3935" s="1">
        <v>44206</v>
      </c>
      <c r="G3935">
        <v>0</v>
      </c>
      <c r="H3935">
        <v>0</v>
      </c>
      <c r="I3935">
        <v>25</v>
      </c>
      <c r="J3935">
        <v>25</v>
      </c>
      <c r="K3935">
        <v>0</v>
      </c>
      <c r="L3935">
        <v>527</v>
      </c>
      <c r="M3935">
        <v>30</v>
      </c>
      <c r="N3935" s="1">
        <f t="shared" si="488"/>
        <v>44938</v>
      </c>
      <c r="O3935" s="1">
        <f t="shared" si="489"/>
        <v>43101</v>
      </c>
      <c r="P3935" s="1">
        <f t="shared" si="490"/>
        <v>44470</v>
      </c>
      <c r="Q3935" s="8">
        <f t="shared" si="491"/>
        <v>0</v>
      </c>
      <c r="R3935" s="8">
        <f t="shared" si="492"/>
        <v>46</v>
      </c>
      <c r="S3935" s="8">
        <f t="shared" ca="1" si="493"/>
        <v>42</v>
      </c>
      <c r="T3935">
        <f t="shared" ca="1" si="494"/>
        <v>2.4690867200000008</v>
      </c>
      <c r="U3935" s="8">
        <f t="shared" ca="1" si="495"/>
        <v>5.096064000000001</v>
      </c>
      <c r="V3935" s="9">
        <f ca="1">RawData[[#This Row],[Z (smoothed demand size)]]/RawData[[#This Row],[X (smoothed interval)]]</f>
        <v>0.48450857760028138</v>
      </c>
    </row>
    <row r="3936" spans="1:22">
      <c r="A3936" t="s">
        <v>74</v>
      </c>
      <c r="B3936" t="s">
        <v>60</v>
      </c>
      <c r="C3936">
        <v>27</v>
      </c>
      <c r="D3936" t="s">
        <v>18</v>
      </c>
      <c r="E3936" t="s">
        <v>16</v>
      </c>
      <c r="F3936" s="1">
        <v>44207</v>
      </c>
      <c r="G3936">
        <v>0</v>
      </c>
      <c r="H3936">
        <v>0</v>
      </c>
      <c r="I3936">
        <v>25</v>
      </c>
      <c r="J3936">
        <v>25</v>
      </c>
      <c r="K3936">
        <v>0</v>
      </c>
      <c r="L3936">
        <v>521</v>
      </c>
      <c r="M3936">
        <v>60</v>
      </c>
      <c r="N3936" s="1">
        <f t="shared" si="488"/>
        <v>44938</v>
      </c>
      <c r="O3936" s="1">
        <f t="shared" si="489"/>
        <v>43101</v>
      </c>
      <c r="P3936" s="1">
        <f t="shared" si="490"/>
        <v>44501</v>
      </c>
      <c r="Q3936" s="8">
        <f t="shared" si="491"/>
        <v>0</v>
      </c>
      <c r="R3936" s="8">
        <f t="shared" si="492"/>
        <v>47</v>
      </c>
      <c r="S3936" s="8">
        <f t="shared" ca="1" si="493"/>
        <v>42</v>
      </c>
      <c r="T3936">
        <f t="shared" ca="1" si="494"/>
        <v>2.4690867200000008</v>
      </c>
      <c r="U3936" s="8">
        <f t="shared" ca="1" si="495"/>
        <v>5.096064000000001</v>
      </c>
      <c r="V3936" s="9">
        <f ca="1">RawData[[#This Row],[Z (smoothed demand size)]]/RawData[[#This Row],[X (smoothed interval)]]</f>
        <v>0.48450857760028138</v>
      </c>
    </row>
    <row r="3937" spans="1:22">
      <c r="A3937" t="s">
        <v>74</v>
      </c>
      <c r="B3937" t="s">
        <v>60</v>
      </c>
      <c r="C3937">
        <v>27</v>
      </c>
      <c r="D3937" t="s">
        <v>18</v>
      </c>
      <c r="E3937" t="s">
        <v>16</v>
      </c>
      <c r="F3937" s="1">
        <v>44208</v>
      </c>
      <c r="G3937">
        <v>0</v>
      </c>
      <c r="H3937">
        <v>0</v>
      </c>
      <c r="I3937">
        <v>25</v>
      </c>
      <c r="J3937">
        <v>25</v>
      </c>
      <c r="K3937">
        <v>0</v>
      </c>
      <c r="L3937">
        <v>604</v>
      </c>
      <c r="M3937">
        <v>15</v>
      </c>
      <c r="N3937" s="1">
        <f t="shared" si="488"/>
        <v>44938</v>
      </c>
      <c r="O3937" s="1">
        <f t="shared" si="489"/>
        <v>43101</v>
      </c>
      <c r="P3937" s="1">
        <f t="shared" si="490"/>
        <v>44531</v>
      </c>
      <c r="Q3937" s="8">
        <f t="shared" si="491"/>
        <v>0</v>
      </c>
      <c r="R3937" s="8">
        <f t="shared" si="492"/>
        <v>48</v>
      </c>
      <c r="S3937" s="8">
        <f t="shared" ca="1" si="493"/>
        <v>42</v>
      </c>
      <c r="T3937">
        <f t="shared" ca="1" si="494"/>
        <v>2.4690867200000008</v>
      </c>
      <c r="U3937" s="8">
        <f t="shared" ca="1" si="495"/>
        <v>5.096064000000001</v>
      </c>
      <c r="V3937" s="9">
        <f ca="1">RawData[[#This Row],[Z (smoothed demand size)]]/RawData[[#This Row],[X (smoothed interval)]]</f>
        <v>0.48450857760028138</v>
      </c>
    </row>
    <row r="3938" spans="1:22">
      <c r="A3938" t="s">
        <v>74</v>
      </c>
      <c r="B3938" t="s">
        <v>60</v>
      </c>
      <c r="C3938">
        <v>27</v>
      </c>
      <c r="D3938" t="s">
        <v>18</v>
      </c>
      <c r="E3938" t="s">
        <v>16</v>
      </c>
      <c r="F3938" s="1">
        <v>44562</v>
      </c>
      <c r="G3938">
        <v>0</v>
      </c>
      <c r="H3938">
        <v>0</v>
      </c>
      <c r="I3938">
        <v>25</v>
      </c>
      <c r="J3938">
        <v>25</v>
      </c>
      <c r="K3938">
        <v>0</v>
      </c>
      <c r="L3938">
        <v>521</v>
      </c>
      <c r="M3938">
        <v>60</v>
      </c>
      <c r="N3938" s="1">
        <f t="shared" si="488"/>
        <v>44938</v>
      </c>
      <c r="O3938" s="1">
        <f t="shared" si="489"/>
        <v>43101</v>
      </c>
      <c r="P3938" s="1">
        <f t="shared" si="490"/>
        <v>44562</v>
      </c>
      <c r="Q3938" s="8">
        <f t="shared" si="491"/>
        <v>0</v>
      </c>
      <c r="R3938" s="8">
        <f t="shared" si="492"/>
        <v>49</v>
      </c>
      <c r="S3938" s="8">
        <f t="shared" ca="1" si="493"/>
        <v>42</v>
      </c>
      <c r="T3938">
        <f t="shared" ca="1" si="494"/>
        <v>2.4690867200000008</v>
      </c>
      <c r="U3938" s="8">
        <f t="shared" ca="1" si="495"/>
        <v>5.096064000000001</v>
      </c>
      <c r="V3938" s="9">
        <f ca="1">RawData[[#This Row],[Z (smoothed demand size)]]/RawData[[#This Row],[X (smoothed interval)]]</f>
        <v>0.48450857760028138</v>
      </c>
    </row>
    <row r="3939" spans="1:22">
      <c r="A3939" t="s">
        <v>74</v>
      </c>
      <c r="B3939" t="s">
        <v>60</v>
      </c>
      <c r="C3939">
        <v>27</v>
      </c>
      <c r="D3939" t="s">
        <v>18</v>
      </c>
      <c r="E3939" t="s">
        <v>16</v>
      </c>
      <c r="F3939" s="1">
        <v>44563</v>
      </c>
      <c r="G3939">
        <v>0</v>
      </c>
      <c r="H3939">
        <v>0</v>
      </c>
      <c r="I3939">
        <v>25</v>
      </c>
      <c r="J3939">
        <v>25</v>
      </c>
      <c r="K3939">
        <v>0</v>
      </c>
      <c r="L3939">
        <v>511</v>
      </c>
      <c r="M3939">
        <v>60</v>
      </c>
      <c r="N3939" s="1">
        <f t="shared" si="488"/>
        <v>44938</v>
      </c>
      <c r="O3939" s="1">
        <f t="shared" si="489"/>
        <v>43101</v>
      </c>
      <c r="P3939" s="1">
        <f t="shared" si="490"/>
        <v>44593</v>
      </c>
      <c r="Q3939" s="8">
        <f t="shared" si="491"/>
        <v>0</v>
      </c>
      <c r="R3939" s="8">
        <f t="shared" si="492"/>
        <v>50</v>
      </c>
      <c r="S3939" s="8">
        <f t="shared" ca="1" si="493"/>
        <v>42</v>
      </c>
      <c r="T3939">
        <f t="shared" ca="1" si="494"/>
        <v>2.4690867200000008</v>
      </c>
      <c r="U3939" s="8">
        <f t="shared" ca="1" si="495"/>
        <v>5.096064000000001</v>
      </c>
      <c r="V3939" s="9">
        <f ca="1">RawData[[#This Row],[Z (smoothed demand size)]]/RawData[[#This Row],[X (smoothed interval)]]</f>
        <v>0.48450857760028138</v>
      </c>
    </row>
    <row r="3940" spans="1:22">
      <c r="A3940" t="s">
        <v>74</v>
      </c>
      <c r="B3940" t="s">
        <v>60</v>
      </c>
      <c r="C3940">
        <v>27</v>
      </c>
      <c r="D3940" t="s">
        <v>18</v>
      </c>
      <c r="E3940" t="s">
        <v>16</v>
      </c>
      <c r="F3940" s="1">
        <v>44564</v>
      </c>
      <c r="G3940">
        <v>1</v>
      </c>
      <c r="H3940">
        <v>1</v>
      </c>
      <c r="I3940">
        <v>25</v>
      </c>
      <c r="J3940">
        <v>24</v>
      </c>
      <c r="K3940">
        <v>0</v>
      </c>
      <c r="L3940">
        <v>519</v>
      </c>
      <c r="M3940">
        <v>45</v>
      </c>
      <c r="N3940" s="1">
        <f t="shared" si="488"/>
        <v>44938</v>
      </c>
      <c r="O3940" s="1">
        <f t="shared" si="489"/>
        <v>43101</v>
      </c>
      <c r="P3940" s="1">
        <f t="shared" si="490"/>
        <v>44621</v>
      </c>
      <c r="Q3940" s="8">
        <f t="shared" si="491"/>
        <v>0</v>
      </c>
      <c r="R3940" s="8">
        <f t="shared" si="492"/>
        <v>51</v>
      </c>
      <c r="S3940" s="8">
        <f t="shared" ca="1" si="493"/>
        <v>51</v>
      </c>
      <c r="T3940">
        <f t="shared" ca="1" si="494"/>
        <v>2.175269376000001</v>
      </c>
      <c r="U3940" s="8">
        <f t="shared" ca="1" si="495"/>
        <v>5.8768512000000008</v>
      </c>
      <c r="V3940" s="9">
        <f ca="1">RawData[[#This Row],[Z (smoothed demand size)]]/RawData[[#This Row],[X (smoothed interval)]]</f>
        <v>0.37014198623916167</v>
      </c>
    </row>
    <row r="3941" spans="1:22">
      <c r="A3941" t="s">
        <v>74</v>
      </c>
      <c r="B3941" t="s">
        <v>60</v>
      </c>
      <c r="C3941">
        <v>27</v>
      </c>
      <c r="D3941" t="s">
        <v>18</v>
      </c>
      <c r="E3941" t="s">
        <v>16</v>
      </c>
      <c r="F3941" s="1">
        <v>44565</v>
      </c>
      <c r="G3941">
        <v>1</v>
      </c>
      <c r="H3941">
        <v>1</v>
      </c>
      <c r="I3941">
        <v>24</v>
      </c>
      <c r="J3941">
        <v>23</v>
      </c>
      <c r="K3941">
        <v>0</v>
      </c>
      <c r="L3941">
        <v>517</v>
      </c>
      <c r="M3941">
        <v>60</v>
      </c>
      <c r="N3941" s="1">
        <f t="shared" si="488"/>
        <v>44938</v>
      </c>
      <c r="O3941" s="1">
        <f t="shared" si="489"/>
        <v>43101</v>
      </c>
      <c r="P3941" s="1">
        <f t="shared" si="490"/>
        <v>44652</v>
      </c>
      <c r="Q3941" s="8">
        <f t="shared" si="491"/>
        <v>0</v>
      </c>
      <c r="R3941" s="8">
        <f t="shared" si="492"/>
        <v>52</v>
      </c>
      <c r="S3941" s="8">
        <f t="shared" ca="1" si="493"/>
        <v>52</v>
      </c>
      <c r="T3941">
        <f t="shared" ca="1" si="494"/>
        <v>1.9402155008000008</v>
      </c>
      <c r="U3941" s="8">
        <f t="shared" ca="1" si="495"/>
        <v>4.9014809600000007</v>
      </c>
      <c r="V3941" s="9">
        <f ca="1">RawData[[#This Row],[Z (smoothed demand size)]]/RawData[[#This Row],[X (smoothed interval)]]</f>
        <v>0.39584270889425233</v>
      </c>
    </row>
    <row r="3942" spans="1:22">
      <c r="A3942" t="s">
        <v>74</v>
      </c>
      <c r="B3942" t="s">
        <v>60</v>
      </c>
      <c r="C3942">
        <v>27</v>
      </c>
      <c r="D3942" t="s">
        <v>18</v>
      </c>
      <c r="E3942" t="s">
        <v>16</v>
      </c>
      <c r="F3942" s="1">
        <v>44566</v>
      </c>
      <c r="G3942">
        <v>0</v>
      </c>
      <c r="H3942">
        <v>0</v>
      </c>
      <c r="I3942">
        <v>23</v>
      </c>
      <c r="J3942">
        <v>23</v>
      </c>
      <c r="K3942">
        <v>0</v>
      </c>
      <c r="L3942">
        <v>514</v>
      </c>
      <c r="M3942">
        <v>30</v>
      </c>
      <c r="N3942" s="1">
        <f t="shared" si="488"/>
        <v>44938</v>
      </c>
      <c r="O3942" s="1">
        <f t="shared" si="489"/>
        <v>43101</v>
      </c>
      <c r="P3942" s="1">
        <f t="shared" si="490"/>
        <v>44682</v>
      </c>
      <c r="Q3942" s="8">
        <f t="shared" si="491"/>
        <v>0</v>
      </c>
      <c r="R3942" s="8">
        <f t="shared" si="492"/>
        <v>53</v>
      </c>
      <c r="S3942" s="8">
        <f t="shared" ca="1" si="493"/>
        <v>52</v>
      </c>
      <c r="T3942">
        <f t="shared" ca="1" si="494"/>
        <v>1.9402155008000008</v>
      </c>
      <c r="U3942" s="8">
        <f t="shared" ca="1" si="495"/>
        <v>4.9014809600000007</v>
      </c>
      <c r="V3942" s="9">
        <f ca="1">RawData[[#This Row],[Z (smoothed demand size)]]/RawData[[#This Row],[X (smoothed interval)]]</f>
        <v>0.39584270889425233</v>
      </c>
    </row>
    <row r="3943" spans="1:22">
      <c r="A3943" t="s">
        <v>74</v>
      </c>
      <c r="B3943" t="s">
        <v>60</v>
      </c>
      <c r="C3943">
        <v>27</v>
      </c>
      <c r="D3943" t="s">
        <v>18</v>
      </c>
      <c r="E3943" t="s">
        <v>16</v>
      </c>
      <c r="F3943" s="1">
        <v>44567</v>
      </c>
      <c r="G3943">
        <v>0</v>
      </c>
      <c r="H3943">
        <v>0</v>
      </c>
      <c r="I3943">
        <v>23</v>
      </c>
      <c r="J3943">
        <v>23</v>
      </c>
      <c r="K3943">
        <v>0</v>
      </c>
      <c r="L3943">
        <v>595</v>
      </c>
      <c r="M3943">
        <v>15</v>
      </c>
      <c r="N3943" s="1">
        <f t="shared" si="488"/>
        <v>44938</v>
      </c>
      <c r="O3943" s="1">
        <f t="shared" si="489"/>
        <v>43101</v>
      </c>
      <c r="P3943" s="1">
        <f t="shared" si="490"/>
        <v>44713</v>
      </c>
      <c r="Q3943" s="8">
        <f t="shared" si="491"/>
        <v>0</v>
      </c>
      <c r="R3943" s="8">
        <f t="shared" si="492"/>
        <v>54</v>
      </c>
      <c r="S3943" s="8">
        <f t="shared" ca="1" si="493"/>
        <v>52</v>
      </c>
      <c r="T3943">
        <f t="shared" ca="1" si="494"/>
        <v>1.9402155008000008</v>
      </c>
      <c r="U3943" s="8">
        <f t="shared" ca="1" si="495"/>
        <v>4.9014809600000007</v>
      </c>
      <c r="V3943" s="9">
        <f ca="1">RawData[[#This Row],[Z (smoothed demand size)]]/RawData[[#This Row],[X (smoothed interval)]]</f>
        <v>0.39584270889425233</v>
      </c>
    </row>
    <row r="3944" spans="1:22">
      <c r="A3944" t="s">
        <v>74</v>
      </c>
      <c r="B3944" t="s">
        <v>60</v>
      </c>
      <c r="C3944">
        <v>27</v>
      </c>
      <c r="D3944" t="s">
        <v>18</v>
      </c>
      <c r="E3944" t="s">
        <v>16</v>
      </c>
      <c r="F3944" s="1">
        <v>44568</v>
      </c>
      <c r="G3944">
        <v>0</v>
      </c>
      <c r="H3944">
        <v>0</v>
      </c>
      <c r="I3944">
        <v>23</v>
      </c>
      <c r="J3944">
        <v>23</v>
      </c>
      <c r="K3944">
        <v>0</v>
      </c>
      <c r="L3944">
        <v>604</v>
      </c>
      <c r="M3944">
        <v>60</v>
      </c>
      <c r="N3944" s="1">
        <f t="shared" si="488"/>
        <v>44938</v>
      </c>
      <c r="O3944" s="1">
        <f t="shared" si="489"/>
        <v>43101</v>
      </c>
      <c r="P3944" s="1">
        <f t="shared" si="490"/>
        <v>44743</v>
      </c>
      <c r="Q3944" s="8">
        <f t="shared" si="491"/>
        <v>0</v>
      </c>
      <c r="R3944" s="8">
        <f t="shared" si="492"/>
        <v>55</v>
      </c>
      <c r="S3944" s="8">
        <f t="shared" ca="1" si="493"/>
        <v>52</v>
      </c>
      <c r="T3944">
        <f t="shared" ca="1" si="494"/>
        <v>1.9402155008000008</v>
      </c>
      <c r="U3944" s="8">
        <f t="shared" ca="1" si="495"/>
        <v>4.9014809600000007</v>
      </c>
      <c r="V3944" s="9">
        <f ca="1">RawData[[#This Row],[Z (smoothed demand size)]]/RawData[[#This Row],[X (smoothed interval)]]</f>
        <v>0.39584270889425233</v>
      </c>
    </row>
    <row r="3945" spans="1:22">
      <c r="A3945" t="s">
        <v>74</v>
      </c>
      <c r="B3945" t="s">
        <v>60</v>
      </c>
      <c r="C3945">
        <v>27</v>
      </c>
      <c r="D3945" t="s">
        <v>18</v>
      </c>
      <c r="E3945" t="s">
        <v>16</v>
      </c>
      <c r="F3945" s="1">
        <v>44569</v>
      </c>
      <c r="G3945">
        <v>0</v>
      </c>
      <c r="H3945">
        <v>0</v>
      </c>
      <c r="I3945">
        <v>23</v>
      </c>
      <c r="J3945">
        <v>23</v>
      </c>
      <c r="K3945">
        <v>0</v>
      </c>
      <c r="L3945">
        <v>600</v>
      </c>
      <c r="M3945">
        <v>15</v>
      </c>
      <c r="N3945" s="1">
        <f t="shared" si="488"/>
        <v>44938</v>
      </c>
      <c r="O3945" s="1">
        <f t="shared" si="489"/>
        <v>43101</v>
      </c>
      <c r="P3945" s="1">
        <f t="shared" si="490"/>
        <v>44774</v>
      </c>
      <c r="Q3945" s="8">
        <f t="shared" si="491"/>
        <v>0</v>
      </c>
      <c r="R3945" s="8">
        <f t="shared" si="492"/>
        <v>56</v>
      </c>
      <c r="S3945" s="8">
        <f t="shared" ca="1" si="493"/>
        <v>52</v>
      </c>
      <c r="T3945">
        <f t="shared" ca="1" si="494"/>
        <v>1.9402155008000008</v>
      </c>
      <c r="U3945" s="8">
        <f t="shared" ca="1" si="495"/>
        <v>4.9014809600000007</v>
      </c>
      <c r="V3945" s="9">
        <f ca="1">RawData[[#This Row],[Z (smoothed demand size)]]/RawData[[#This Row],[X (smoothed interval)]]</f>
        <v>0.39584270889425233</v>
      </c>
    </row>
    <row r="3946" spans="1:22">
      <c r="A3946" t="s">
        <v>74</v>
      </c>
      <c r="B3946" t="s">
        <v>60</v>
      </c>
      <c r="C3946">
        <v>27</v>
      </c>
      <c r="D3946" t="s">
        <v>18</v>
      </c>
      <c r="E3946" t="s">
        <v>16</v>
      </c>
      <c r="F3946" s="1">
        <v>44570</v>
      </c>
      <c r="G3946">
        <v>0</v>
      </c>
      <c r="H3946">
        <v>0</v>
      </c>
      <c r="I3946">
        <v>23</v>
      </c>
      <c r="J3946">
        <v>23</v>
      </c>
      <c r="K3946">
        <v>0</v>
      </c>
      <c r="L3946">
        <v>512</v>
      </c>
      <c r="M3946">
        <v>60</v>
      </c>
      <c r="N3946" s="1">
        <f t="shared" si="488"/>
        <v>44938</v>
      </c>
      <c r="O3946" s="1">
        <f t="shared" si="489"/>
        <v>43101</v>
      </c>
      <c r="P3946" s="1">
        <f t="shared" si="490"/>
        <v>44805</v>
      </c>
      <c r="Q3946" s="8">
        <f t="shared" si="491"/>
        <v>0</v>
      </c>
      <c r="R3946" s="8">
        <f t="shared" si="492"/>
        <v>57</v>
      </c>
      <c r="S3946" s="8">
        <f t="shared" ca="1" si="493"/>
        <v>52</v>
      </c>
      <c r="T3946">
        <f t="shared" ca="1" si="494"/>
        <v>1.9402155008000008</v>
      </c>
      <c r="U3946" s="8">
        <f t="shared" ca="1" si="495"/>
        <v>4.9014809600000007</v>
      </c>
      <c r="V3946" s="9">
        <f ca="1">RawData[[#This Row],[Z (smoothed demand size)]]/RawData[[#This Row],[X (smoothed interval)]]</f>
        <v>0.39584270889425233</v>
      </c>
    </row>
    <row r="3947" spans="1:22">
      <c r="A3947" t="s">
        <v>74</v>
      </c>
      <c r="B3947" t="s">
        <v>60</v>
      </c>
      <c r="C3947">
        <v>27</v>
      </c>
      <c r="D3947" t="s">
        <v>18</v>
      </c>
      <c r="E3947" t="s">
        <v>16</v>
      </c>
      <c r="F3947" s="1">
        <v>44571</v>
      </c>
      <c r="G3947">
        <v>0</v>
      </c>
      <c r="H3947">
        <v>0</v>
      </c>
      <c r="I3947">
        <v>23</v>
      </c>
      <c r="J3947">
        <v>23</v>
      </c>
      <c r="K3947">
        <v>0</v>
      </c>
      <c r="L3947">
        <v>516</v>
      </c>
      <c r="M3947">
        <v>45</v>
      </c>
      <c r="N3947" s="1">
        <f t="shared" si="488"/>
        <v>44938</v>
      </c>
      <c r="O3947" s="1">
        <f t="shared" si="489"/>
        <v>43101</v>
      </c>
      <c r="P3947" s="1">
        <f t="shared" si="490"/>
        <v>44835</v>
      </c>
      <c r="Q3947" s="8">
        <f t="shared" si="491"/>
        <v>0</v>
      </c>
      <c r="R3947" s="8">
        <f t="shared" si="492"/>
        <v>58</v>
      </c>
      <c r="S3947" s="8">
        <f t="shared" ca="1" si="493"/>
        <v>52</v>
      </c>
      <c r="T3947">
        <f t="shared" ca="1" si="494"/>
        <v>1.9402155008000008</v>
      </c>
      <c r="U3947" s="8">
        <f t="shared" ca="1" si="495"/>
        <v>4.9014809600000007</v>
      </c>
      <c r="V3947" s="9">
        <f ca="1">RawData[[#This Row],[Z (smoothed demand size)]]/RawData[[#This Row],[X (smoothed interval)]]</f>
        <v>0.39584270889425233</v>
      </c>
    </row>
    <row r="3948" spans="1:22">
      <c r="A3948" t="s">
        <v>74</v>
      </c>
      <c r="B3948" t="s">
        <v>60</v>
      </c>
      <c r="C3948">
        <v>27</v>
      </c>
      <c r="D3948" t="s">
        <v>18</v>
      </c>
      <c r="E3948" t="s">
        <v>16</v>
      </c>
      <c r="F3948" s="1">
        <v>44572</v>
      </c>
      <c r="G3948">
        <v>0</v>
      </c>
      <c r="H3948">
        <v>0</v>
      </c>
      <c r="I3948">
        <v>23</v>
      </c>
      <c r="J3948">
        <v>23</v>
      </c>
      <c r="K3948">
        <v>0</v>
      </c>
      <c r="L3948">
        <v>522</v>
      </c>
      <c r="M3948">
        <v>45</v>
      </c>
      <c r="N3948" s="1">
        <f t="shared" si="488"/>
        <v>44938</v>
      </c>
      <c r="O3948" s="1">
        <f t="shared" si="489"/>
        <v>43101</v>
      </c>
      <c r="P3948" s="1">
        <f t="shared" si="490"/>
        <v>44866</v>
      </c>
      <c r="Q3948" s="8">
        <f t="shared" si="491"/>
        <v>0</v>
      </c>
      <c r="R3948" s="8">
        <f t="shared" si="492"/>
        <v>59</v>
      </c>
      <c r="S3948" s="8">
        <f t="shared" ca="1" si="493"/>
        <v>52</v>
      </c>
      <c r="T3948">
        <f t="shared" ca="1" si="494"/>
        <v>1.9402155008000008</v>
      </c>
      <c r="U3948" s="8">
        <f t="shared" ca="1" si="495"/>
        <v>4.9014809600000007</v>
      </c>
      <c r="V3948" s="9">
        <f ca="1">RawData[[#This Row],[Z (smoothed demand size)]]/RawData[[#This Row],[X (smoothed interval)]]</f>
        <v>0.39584270889425233</v>
      </c>
    </row>
    <row r="3949" spans="1:22">
      <c r="A3949" t="s">
        <v>74</v>
      </c>
      <c r="B3949" t="s">
        <v>60</v>
      </c>
      <c r="C3949">
        <v>27</v>
      </c>
      <c r="D3949" t="s">
        <v>18</v>
      </c>
      <c r="E3949" t="s">
        <v>16</v>
      </c>
      <c r="F3949" s="1">
        <v>44573</v>
      </c>
      <c r="G3949">
        <v>0</v>
      </c>
      <c r="H3949">
        <v>0</v>
      </c>
      <c r="I3949">
        <v>23</v>
      </c>
      <c r="J3949">
        <v>23</v>
      </c>
      <c r="K3949">
        <v>0</v>
      </c>
      <c r="L3949">
        <v>600</v>
      </c>
      <c r="M3949">
        <v>45</v>
      </c>
      <c r="N3949" s="1">
        <f t="shared" si="488"/>
        <v>44938</v>
      </c>
      <c r="O3949" s="1">
        <f t="shared" si="489"/>
        <v>43101</v>
      </c>
      <c r="P3949" s="1">
        <f t="shared" si="490"/>
        <v>44896</v>
      </c>
      <c r="Q3949" s="8">
        <f t="shared" si="491"/>
        <v>0</v>
      </c>
      <c r="R3949" s="8">
        <f t="shared" si="492"/>
        <v>60</v>
      </c>
      <c r="S3949" s="8">
        <f t="shared" ca="1" si="493"/>
        <v>52</v>
      </c>
      <c r="T3949">
        <f t="shared" ca="1" si="494"/>
        <v>1.9402155008000008</v>
      </c>
      <c r="U3949" s="8">
        <f t="shared" ca="1" si="495"/>
        <v>4.9014809600000007</v>
      </c>
      <c r="V3949" s="9">
        <f ca="1">RawData[[#This Row],[Z (smoothed demand size)]]/RawData[[#This Row],[X (smoothed interval)]]</f>
        <v>0.39584270889425233</v>
      </c>
    </row>
    <row r="3950" spans="1:22">
      <c r="A3950" t="s">
        <v>74</v>
      </c>
      <c r="B3950" t="s">
        <v>60</v>
      </c>
      <c r="C3950">
        <v>27</v>
      </c>
      <c r="D3950" t="s">
        <v>18</v>
      </c>
      <c r="E3950" t="s">
        <v>16</v>
      </c>
      <c r="F3950" s="1">
        <v>44927</v>
      </c>
      <c r="G3950">
        <v>0</v>
      </c>
      <c r="H3950">
        <v>0</v>
      </c>
      <c r="I3950">
        <v>23</v>
      </c>
      <c r="J3950">
        <v>23</v>
      </c>
      <c r="K3950">
        <v>0</v>
      </c>
      <c r="L3950">
        <v>518</v>
      </c>
      <c r="M3950">
        <v>45</v>
      </c>
      <c r="N3950" s="1">
        <f t="shared" si="488"/>
        <v>44938</v>
      </c>
      <c r="O3950" s="1">
        <f t="shared" si="489"/>
        <v>43101</v>
      </c>
      <c r="P3950" s="1">
        <f t="shared" si="490"/>
        <v>44927</v>
      </c>
      <c r="Q3950" s="8">
        <f t="shared" si="491"/>
        <v>0</v>
      </c>
      <c r="R3950" s="8">
        <f t="shared" si="492"/>
        <v>61</v>
      </c>
      <c r="S3950" s="8">
        <f t="shared" ca="1" si="493"/>
        <v>52</v>
      </c>
      <c r="T3950">
        <f t="shared" ca="1" si="494"/>
        <v>1.9402155008000008</v>
      </c>
      <c r="U3950" s="8">
        <f t="shared" ca="1" si="495"/>
        <v>4.9014809600000007</v>
      </c>
      <c r="V3950" s="9">
        <f ca="1">RawData[[#This Row],[Z (smoothed demand size)]]/RawData[[#This Row],[X (smoothed interval)]]</f>
        <v>0.39584270889425233</v>
      </c>
    </row>
    <row r="3951" spans="1:22">
      <c r="A3951" t="s">
        <v>74</v>
      </c>
      <c r="B3951" t="s">
        <v>60</v>
      </c>
      <c r="C3951">
        <v>27</v>
      </c>
      <c r="D3951" t="s">
        <v>18</v>
      </c>
      <c r="E3951" t="s">
        <v>16</v>
      </c>
      <c r="F3951" s="1">
        <v>44928</v>
      </c>
      <c r="G3951">
        <v>0</v>
      </c>
      <c r="H3951">
        <v>0</v>
      </c>
      <c r="I3951">
        <v>23</v>
      </c>
      <c r="J3951">
        <v>23</v>
      </c>
      <c r="K3951">
        <v>0</v>
      </c>
      <c r="L3951">
        <v>524</v>
      </c>
      <c r="M3951">
        <v>60</v>
      </c>
      <c r="N3951" s="1">
        <f t="shared" si="488"/>
        <v>44938</v>
      </c>
      <c r="O3951" s="1">
        <f t="shared" si="489"/>
        <v>43101</v>
      </c>
      <c r="P3951" s="1">
        <f t="shared" si="490"/>
        <v>44958</v>
      </c>
      <c r="Q3951" s="8">
        <f t="shared" si="491"/>
        <v>0</v>
      </c>
      <c r="R3951" s="8">
        <f t="shared" si="492"/>
        <v>62</v>
      </c>
      <c r="S3951" s="8">
        <f t="shared" ca="1" si="493"/>
        <v>52</v>
      </c>
      <c r="T3951">
        <f t="shared" ca="1" si="494"/>
        <v>1.9402155008000008</v>
      </c>
      <c r="U3951" s="8">
        <f t="shared" ca="1" si="495"/>
        <v>4.9014809600000007</v>
      </c>
      <c r="V3951" s="9">
        <f ca="1">RawData[[#This Row],[Z (smoothed demand size)]]/RawData[[#This Row],[X (smoothed interval)]]</f>
        <v>0.39584270889425233</v>
      </c>
    </row>
    <row r="3952" spans="1:22">
      <c r="A3952" t="s">
        <v>74</v>
      </c>
      <c r="B3952" t="s">
        <v>60</v>
      </c>
      <c r="C3952">
        <v>27</v>
      </c>
      <c r="D3952" t="s">
        <v>18</v>
      </c>
      <c r="E3952" t="s">
        <v>16</v>
      </c>
      <c r="F3952" s="1">
        <v>44929</v>
      </c>
      <c r="G3952">
        <v>0</v>
      </c>
      <c r="H3952">
        <v>0</v>
      </c>
      <c r="I3952">
        <v>23</v>
      </c>
      <c r="J3952">
        <v>23</v>
      </c>
      <c r="K3952">
        <v>0</v>
      </c>
      <c r="L3952">
        <v>522</v>
      </c>
      <c r="M3952">
        <v>15</v>
      </c>
      <c r="N3952" s="1">
        <f t="shared" si="488"/>
        <v>44938</v>
      </c>
      <c r="O3952" s="1">
        <f t="shared" si="489"/>
        <v>43101</v>
      </c>
      <c r="P3952" s="1">
        <f t="shared" si="490"/>
        <v>44986</v>
      </c>
      <c r="Q3952" s="8">
        <f t="shared" si="491"/>
        <v>0</v>
      </c>
      <c r="R3952" s="8">
        <f t="shared" si="492"/>
        <v>63</v>
      </c>
      <c r="S3952" s="8">
        <f t="shared" ca="1" si="493"/>
        <v>52</v>
      </c>
      <c r="T3952">
        <f t="shared" ca="1" si="494"/>
        <v>1.9402155008000008</v>
      </c>
      <c r="U3952" s="8">
        <f t="shared" ca="1" si="495"/>
        <v>4.9014809600000007</v>
      </c>
      <c r="V3952" s="9">
        <f ca="1">RawData[[#This Row],[Z (smoothed demand size)]]/RawData[[#This Row],[X (smoothed interval)]]</f>
        <v>0.39584270889425233</v>
      </c>
    </row>
    <row r="3953" spans="1:22">
      <c r="A3953" t="s">
        <v>74</v>
      </c>
      <c r="B3953" t="s">
        <v>60</v>
      </c>
      <c r="C3953">
        <v>27</v>
      </c>
      <c r="D3953" t="s">
        <v>18</v>
      </c>
      <c r="E3953" t="s">
        <v>16</v>
      </c>
      <c r="F3953" s="1">
        <v>44930</v>
      </c>
      <c r="G3953">
        <v>2</v>
      </c>
      <c r="H3953">
        <v>2</v>
      </c>
      <c r="I3953">
        <v>23</v>
      </c>
      <c r="J3953">
        <v>21</v>
      </c>
      <c r="K3953">
        <v>0</v>
      </c>
      <c r="L3953">
        <v>517</v>
      </c>
      <c r="M3953">
        <v>30</v>
      </c>
      <c r="N3953" s="1">
        <f t="shared" si="488"/>
        <v>44938</v>
      </c>
      <c r="O3953" s="1">
        <f t="shared" si="489"/>
        <v>43101</v>
      </c>
      <c r="P3953" s="1">
        <f t="shared" si="490"/>
        <v>45017</v>
      </c>
      <c r="Q3953" s="8">
        <f t="shared" si="491"/>
        <v>0</v>
      </c>
      <c r="R3953" s="8">
        <f t="shared" si="492"/>
        <v>64</v>
      </c>
      <c r="S3953" s="8">
        <f t="shared" ca="1" si="493"/>
        <v>64</v>
      </c>
      <c r="T3953">
        <f t="shared" ca="1" si="494"/>
        <v>1.9521724006400007</v>
      </c>
      <c r="U3953" s="8">
        <f t="shared" ca="1" si="495"/>
        <v>6.3211847680000011</v>
      </c>
      <c r="V3953" s="9">
        <f ca="1">RawData[[#This Row],[Z (smoothed demand size)]]/RawData[[#This Row],[X (smoothed interval)]]</f>
        <v>0.30883014376079704</v>
      </c>
    </row>
    <row r="3954" spans="1:22">
      <c r="A3954" t="s">
        <v>74</v>
      </c>
      <c r="B3954" t="s">
        <v>60</v>
      </c>
      <c r="C3954">
        <v>27</v>
      </c>
      <c r="D3954" t="s">
        <v>18</v>
      </c>
      <c r="E3954" t="s">
        <v>16</v>
      </c>
      <c r="F3954" s="1">
        <v>44931</v>
      </c>
      <c r="G3954">
        <v>0</v>
      </c>
      <c r="H3954">
        <v>0</v>
      </c>
      <c r="I3954">
        <v>21</v>
      </c>
      <c r="J3954">
        <v>21</v>
      </c>
      <c r="K3954">
        <v>0</v>
      </c>
      <c r="L3954">
        <v>517</v>
      </c>
      <c r="M3954">
        <v>30</v>
      </c>
      <c r="N3954" s="1">
        <f t="shared" si="488"/>
        <v>44938</v>
      </c>
      <c r="O3954" s="1">
        <f t="shared" si="489"/>
        <v>43101</v>
      </c>
      <c r="P3954" s="1">
        <f t="shared" si="490"/>
        <v>45047</v>
      </c>
      <c r="Q3954" s="8">
        <f t="shared" si="491"/>
        <v>0</v>
      </c>
      <c r="R3954" s="8">
        <f t="shared" si="492"/>
        <v>65</v>
      </c>
      <c r="S3954" s="8">
        <f t="shared" ca="1" si="493"/>
        <v>64</v>
      </c>
      <c r="T3954">
        <f t="shared" ca="1" si="494"/>
        <v>1.9521724006400007</v>
      </c>
      <c r="U3954" s="8">
        <f t="shared" ca="1" si="495"/>
        <v>6.3211847680000011</v>
      </c>
      <c r="V3954" s="9">
        <f ca="1">RawData[[#This Row],[Z (smoothed demand size)]]/RawData[[#This Row],[X (smoothed interval)]]</f>
        <v>0.30883014376079704</v>
      </c>
    </row>
    <row r="3955" spans="1:22">
      <c r="A3955" t="s">
        <v>74</v>
      </c>
      <c r="B3955" t="s">
        <v>60</v>
      </c>
      <c r="C3955">
        <v>27</v>
      </c>
      <c r="D3955" t="s">
        <v>18</v>
      </c>
      <c r="E3955" t="s">
        <v>16</v>
      </c>
      <c r="F3955" s="1">
        <v>44932</v>
      </c>
      <c r="G3955">
        <v>0</v>
      </c>
      <c r="H3955">
        <v>0</v>
      </c>
      <c r="I3955">
        <v>21</v>
      </c>
      <c r="J3955">
        <v>21</v>
      </c>
      <c r="K3955">
        <v>0</v>
      </c>
      <c r="L3955">
        <v>597</v>
      </c>
      <c r="M3955">
        <v>15</v>
      </c>
      <c r="N3955" s="1">
        <f t="shared" si="488"/>
        <v>44938</v>
      </c>
      <c r="O3955" s="1">
        <f t="shared" si="489"/>
        <v>43101</v>
      </c>
      <c r="P3955" s="1">
        <f t="shared" si="490"/>
        <v>45078</v>
      </c>
      <c r="Q3955" s="8">
        <f t="shared" si="491"/>
        <v>0</v>
      </c>
      <c r="R3955" s="8">
        <f t="shared" si="492"/>
        <v>66</v>
      </c>
      <c r="S3955" s="8">
        <f t="shared" ca="1" si="493"/>
        <v>64</v>
      </c>
      <c r="T3955">
        <f t="shared" ca="1" si="494"/>
        <v>1.9521724006400007</v>
      </c>
      <c r="U3955" s="8">
        <f t="shared" ca="1" si="495"/>
        <v>6.3211847680000011</v>
      </c>
      <c r="V3955" s="9">
        <f ca="1">RawData[[#This Row],[Z (smoothed demand size)]]/RawData[[#This Row],[X (smoothed interval)]]</f>
        <v>0.30883014376079704</v>
      </c>
    </row>
    <row r="3956" spans="1:22">
      <c r="A3956" t="s">
        <v>74</v>
      </c>
      <c r="B3956" t="s">
        <v>60</v>
      </c>
      <c r="C3956">
        <v>27</v>
      </c>
      <c r="D3956" t="s">
        <v>18</v>
      </c>
      <c r="E3956" t="s">
        <v>16</v>
      </c>
      <c r="F3956" s="1">
        <v>44933</v>
      </c>
      <c r="G3956">
        <v>0</v>
      </c>
      <c r="H3956">
        <v>0</v>
      </c>
      <c r="I3956">
        <v>21</v>
      </c>
      <c r="J3956">
        <v>21</v>
      </c>
      <c r="K3956">
        <v>0</v>
      </c>
      <c r="L3956">
        <v>586</v>
      </c>
      <c r="M3956">
        <v>45</v>
      </c>
      <c r="N3956" s="1">
        <f t="shared" si="488"/>
        <v>44938</v>
      </c>
      <c r="O3956" s="1">
        <f t="shared" si="489"/>
        <v>43101</v>
      </c>
      <c r="P3956" s="1">
        <f t="shared" si="490"/>
        <v>45108</v>
      </c>
      <c r="Q3956" s="8">
        <f t="shared" si="491"/>
        <v>0</v>
      </c>
      <c r="R3956" s="8">
        <f t="shared" si="492"/>
        <v>67</v>
      </c>
      <c r="S3956" s="8">
        <f t="shared" ca="1" si="493"/>
        <v>64</v>
      </c>
      <c r="T3956">
        <f t="shared" ca="1" si="494"/>
        <v>1.9521724006400007</v>
      </c>
      <c r="U3956" s="8">
        <f t="shared" ca="1" si="495"/>
        <v>6.3211847680000011</v>
      </c>
      <c r="V3956" s="9">
        <f ca="1">RawData[[#This Row],[Z (smoothed demand size)]]/RawData[[#This Row],[X (smoothed interval)]]</f>
        <v>0.30883014376079704</v>
      </c>
    </row>
    <row r="3957" spans="1:22">
      <c r="A3957" t="s">
        <v>74</v>
      </c>
      <c r="B3957" t="s">
        <v>60</v>
      </c>
      <c r="C3957">
        <v>27</v>
      </c>
      <c r="D3957" t="s">
        <v>18</v>
      </c>
      <c r="E3957" t="s">
        <v>16</v>
      </c>
      <c r="F3957" s="1">
        <v>44934</v>
      </c>
      <c r="G3957">
        <v>0</v>
      </c>
      <c r="H3957">
        <v>0</v>
      </c>
      <c r="I3957">
        <v>21</v>
      </c>
      <c r="J3957">
        <v>21</v>
      </c>
      <c r="K3957">
        <v>0</v>
      </c>
      <c r="L3957">
        <v>600</v>
      </c>
      <c r="M3957">
        <v>30</v>
      </c>
      <c r="N3957" s="1">
        <f t="shared" si="488"/>
        <v>44938</v>
      </c>
      <c r="O3957" s="1">
        <f t="shared" si="489"/>
        <v>43101</v>
      </c>
      <c r="P3957" s="1">
        <f t="shared" si="490"/>
        <v>45139</v>
      </c>
      <c r="Q3957" s="8">
        <f t="shared" si="491"/>
        <v>0</v>
      </c>
      <c r="R3957" s="8">
        <f t="shared" si="492"/>
        <v>68</v>
      </c>
      <c r="S3957" s="8">
        <f t="shared" ca="1" si="493"/>
        <v>64</v>
      </c>
      <c r="T3957">
        <f t="shared" ca="1" si="494"/>
        <v>1.9521724006400007</v>
      </c>
      <c r="U3957" s="8">
        <f t="shared" ca="1" si="495"/>
        <v>6.3211847680000011</v>
      </c>
      <c r="V3957" s="9">
        <f ca="1">RawData[[#This Row],[Z (smoothed demand size)]]/RawData[[#This Row],[X (smoothed interval)]]</f>
        <v>0.30883014376079704</v>
      </c>
    </row>
    <row r="3958" spans="1:22">
      <c r="A3958" t="s">
        <v>74</v>
      </c>
      <c r="B3958" t="s">
        <v>60</v>
      </c>
      <c r="C3958">
        <v>27</v>
      </c>
      <c r="D3958" t="s">
        <v>18</v>
      </c>
      <c r="E3958" t="s">
        <v>16</v>
      </c>
      <c r="F3958" s="1">
        <v>44935</v>
      </c>
      <c r="G3958">
        <v>0</v>
      </c>
      <c r="H3958">
        <v>0</v>
      </c>
      <c r="I3958">
        <v>21</v>
      </c>
      <c r="J3958">
        <v>21</v>
      </c>
      <c r="K3958">
        <v>0</v>
      </c>
      <c r="L3958">
        <v>514</v>
      </c>
      <c r="M3958">
        <v>60</v>
      </c>
      <c r="N3958" s="1">
        <f t="shared" si="488"/>
        <v>44938</v>
      </c>
      <c r="O3958" s="1">
        <f t="shared" si="489"/>
        <v>43101</v>
      </c>
      <c r="P3958" s="1">
        <f t="shared" si="490"/>
        <v>45170</v>
      </c>
      <c r="Q3958" s="8">
        <f t="shared" si="491"/>
        <v>0</v>
      </c>
      <c r="R3958" s="8">
        <f t="shared" si="492"/>
        <v>69</v>
      </c>
      <c r="S3958" s="8">
        <f t="shared" ca="1" si="493"/>
        <v>64</v>
      </c>
      <c r="T3958">
        <f t="shared" ca="1" si="494"/>
        <v>1.9521724006400007</v>
      </c>
      <c r="U3958" s="8">
        <f t="shared" ca="1" si="495"/>
        <v>6.3211847680000011</v>
      </c>
      <c r="V3958" s="9">
        <f ca="1">RawData[[#This Row],[Z (smoothed demand size)]]/RawData[[#This Row],[X (smoothed interval)]]</f>
        <v>0.30883014376079704</v>
      </c>
    </row>
    <row r="3959" spans="1:22">
      <c r="A3959" t="s">
        <v>74</v>
      </c>
      <c r="B3959" t="s">
        <v>60</v>
      </c>
      <c r="C3959">
        <v>27</v>
      </c>
      <c r="D3959" t="s">
        <v>18</v>
      </c>
      <c r="E3959" t="s">
        <v>16</v>
      </c>
      <c r="F3959" s="1">
        <v>44936</v>
      </c>
      <c r="G3959">
        <v>1</v>
      </c>
      <c r="H3959">
        <v>1</v>
      </c>
      <c r="I3959">
        <v>21</v>
      </c>
      <c r="J3959">
        <v>20</v>
      </c>
      <c r="K3959">
        <v>0</v>
      </c>
      <c r="L3959">
        <v>526</v>
      </c>
      <c r="M3959">
        <v>15</v>
      </c>
      <c r="N3959" s="1">
        <f t="shared" si="488"/>
        <v>44938</v>
      </c>
      <c r="O3959" s="1">
        <f t="shared" si="489"/>
        <v>43101</v>
      </c>
      <c r="P3959" s="1">
        <f t="shared" si="490"/>
        <v>45200</v>
      </c>
      <c r="Q3959" s="8">
        <f t="shared" si="491"/>
        <v>0</v>
      </c>
      <c r="R3959" s="8">
        <f t="shared" si="492"/>
        <v>70</v>
      </c>
      <c r="S3959" s="8">
        <f t="shared" ca="1" si="493"/>
        <v>70</v>
      </c>
      <c r="T3959">
        <f t="shared" ca="1" si="494"/>
        <v>1.7617379205120007</v>
      </c>
      <c r="U3959" s="8">
        <f t="shared" ca="1" si="495"/>
        <v>6.256947814400001</v>
      </c>
      <c r="V3959" s="9">
        <f ca="1">RawData[[#This Row],[Z (smoothed demand size)]]/RawData[[#This Row],[X (smoothed interval)]]</f>
        <v>0.28156506539138199</v>
      </c>
    </row>
    <row r="3960" spans="1:22">
      <c r="A3960" t="s">
        <v>74</v>
      </c>
      <c r="B3960" t="s">
        <v>60</v>
      </c>
      <c r="C3960">
        <v>27</v>
      </c>
      <c r="D3960" t="s">
        <v>18</v>
      </c>
      <c r="E3960" t="s">
        <v>16</v>
      </c>
      <c r="F3960" s="1">
        <v>44937</v>
      </c>
      <c r="G3960">
        <v>0</v>
      </c>
      <c r="H3960">
        <v>0</v>
      </c>
      <c r="I3960">
        <v>20</v>
      </c>
      <c r="J3960">
        <v>20</v>
      </c>
      <c r="K3960">
        <v>0</v>
      </c>
      <c r="L3960">
        <v>511</v>
      </c>
      <c r="M3960">
        <v>45</v>
      </c>
      <c r="N3960" s="1">
        <f t="shared" si="488"/>
        <v>44938</v>
      </c>
      <c r="O3960" s="1">
        <f t="shared" si="489"/>
        <v>43101</v>
      </c>
      <c r="P3960" s="1">
        <f t="shared" si="490"/>
        <v>45231</v>
      </c>
      <c r="Q3960" s="8">
        <f t="shared" si="491"/>
        <v>0</v>
      </c>
      <c r="R3960" s="8">
        <f t="shared" si="492"/>
        <v>71</v>
      </c>
      <c r="S3960" s="8">
        <f t="shared" ca="1" si="493"/>
        <v>70</v>
      </c>
      <c r="T3960">
        <f t="shared" ca="1" si="494"/>
        <v>1.7617379205120007</v>
      </c>
      <c r="U3960" s="8">
        <f t="shared" ca="1" si="495"/>
        <v>6.256947814400001</v>
      </c>
      <c r="V3960" s="9">
        <f ca="1">RawData[[#This Row],[Z (smoothed demand size)]]/RawData[[#This Row],[X (smoothed interval)]]</f>
        <v>0.28156506539138199</v>
      </c>
    </row>
    <row r="3961" spans="1:22">
      <c r="A3961" t="s">
        <v>74</v>
      </c>
      <c r="B3961" t="s">
        <v>60</v>
      </c>
      <c r="C3961">
        <v>27</v>
      </c>
      <c r="D3961" t="s">
        <v>18</v>
      </c>
      <c r="E3961" t="s">
        <v>16</v>
      </c>
      <c r="F3961" s="1">
        <v>44938</v>
      </c>
      <c r="G3961">
        <v>0</v>
      </c>
      <c r="H3961">
        <v>0</v>
      </c>
      <c r="I3961">
        <v>20</v>
      </c>
      <c r="J3961">
        <v>20</v>
      </c>
      <c r="K3961">
        <v>0</v>
      </c>
      <c r="L3961">
        <v>600</v>
      </c>
      <c r="M3961">
        <v>60</v>
      </c>
      <c r="N3961" s="1">
        <f t="shared" si="488"/>
        <v>44938</v>
      </c>
      <c r="O3961" s="1">
        <f t="shared" si="489"/>
        <v>43101</v>
      </c>
      <c r="P3961" s="1">
        <f t="shared" si="490"/>
        <v>45261</v>
      </c>
      <c r="Q3961" s="8">
        <f t="shared" si="491"/>
        <v>0</v>
      </c>
      <c r="R3961" s="8">
        <f t="shared" si="492"/>
        <v>72</v>
      </c>
      <c r="S3961" s="8">
        <f t="shared" ca="1" si="493"/>
        <v>70</v>
      </c>
      <c r="T3961">
        <f t="shared" ca="1" si="494"/>
        <v>1.7617379205120007</v>
      </c>
      <c r="U3961" s="8">
        <f t="shared" ca="1" si="495"/>
        <v>6.256947814400001</v>
      </c>
      <c r="V3961" s="9">
        <f ca="1">RawData[[#This Row],[Z (smoothed demand size)]]/RawData[[#This Row],[X (smoothed interval)]]</f>
        <v>0.28156506539138199</v>
      </c>
    </row>
    <row r="3962" spans="1:22">
      <c r="A3962" t="s">
        <v>75</v>
      </c>
      <c r="B3962" t="s">
        <v>60</v>
      </c>
      <c r="C3962">
        <v>24</v>
      </c>
      <c r="D3962" t="s">
        <v>22</v>
      </c>
      <c r="E3962" t="s">
        <v>16</v>
      </c>
      <c r="F3962" s="1">
        <v>43101</v>
      </c>
      <c r="G3962">
        <v>0</v>
      </c>
      <c r="H3962">
        <v>0</v>
      </c>
      <c r="I3962">
        <v>17</v>
      </c>
      <c r="J3962">
        <v>17</v>
      </c>
      <c r="K3962">
        <v>0</v>
      </c>
      <c r="L3962">
        <v>444</v>
      </c>
      <c r="M3962">
        <v>45</v>
      </c>
      <c r="N3962" s="1">
        <f t="shared" si="488"/>
        <v>44938</v>
      </c>
      <c r="O3962" s="1">
        <f t="shared" si="489"/>
        <v>43101</v>
      </c>
      <c r="P3962" s="1">
        <f t="shared" si="490"/>
        <v>43101</v>
      </c>
      <c r="Q3962" s="8">
        <f t="shared" si="491"/>
        <v>1</v>
      </c>
      <c r="R3962" s="8">
        <f t="shared" si="492"/>
        <v>1</v>
      </c>
      <c r="S3962" s="8">
        <f t="shared" ca="1" si="493"/>
        <v>0</v>
      </c>
      <c r="T3962">
        <f t="shared" ca="1" si="494"/>
        <v>0</v>
      </c>
      <c r="U3962" s="8">
        <f t="shared" ca="1" si="495"/>
        <v>1</v>
      </c>
      <c r="V3962" s="9">
        <f ca="1">RawData[[#This Row],[Z (smoothed demand size)]]/RawData[[#This Row],[X (smoothed interval)]]</f>
        <v>0</v>
      </c>
    </row>
    <row r="3963" spans="1:22">
      <c r="A3963" t="s">
        <v>75</v>
      </c>
      <c r="B3963" t="s">
        <v>60</v>
      </c>
      <c r="C3963">
        <v>24</v>
      </c>
      <c r="D3963" t="s">
        <v>22</v>
      </c>
      <c r="E3963" t="s">
        <v>16</v>
      </c>
      <c r="F3963" s="1">
        <v>43102</v>
      </c>
      <c r="G3963">
        <v>0</v>
      </c>
      <c r="H3963">
        <v>0</v>
      </c>
      <c r="I3963">
        <v>17</v>
      </c>
      <c r="J3963">
        <v>17</v>
      </c>
      <c r="K3963">
        <v>0</v>
      </c>
      <c r="L3963">
        <v>451</v>
      </c>
      <c r="M3963">
        <v>60</v>
      </c>
      <c r="N3963" s="1">
        <f t="shared" si="488"/>
        <v>44938</v>
      </c>
      <c r="O3963" s="1">
        <f t="shared" si="489"/>
        <v>43101</v>
      </c>
      <c r="P3963" s="1">
        <f t="shared" si="490"/>
        <v>43132</v>
      </c>
      <c r="Q3963" s="8">
        <f t="shared" si="491"/>
        <v>0</v>
      </c>
      <c r="R3963" s="8">
        <f t="shared" si="492"/>
        <v>2</v>
      </c>
      <c r="S3963" s="8">
        <f t="shared" ca="1" si="493"/>
        <v>0</v>
      </c>
      <c r="T3963">
        <f t="shared" ca="1" si="494"/>
        <v>0</v>
      </c>
      <c r="U3963" s="8">
        <f t="shared" ca="1" si="495"/>
        <v>1</v>
      </c>
      <c r="V3963" s="9">
        <f ca="1">RawData[[#This Row],[Z (smoothed demand size)]]/RawData[[#This Row],[X (smoothed interval)]]</f>
        <v>0</v>
      </c>
    </row>
    <row r="3964" spans="1:22">
      <c r="A3964" t="s">
        <v>75</v>
      </c>
      <c r="B3964" t="s">
        <v>60</v>
      </c>
      <c r="C3964">
        <v>24</v>
      </c>
      <c r="D3964" t="s">
        <v>22</v>
      </c>
      <c r="E3964" t="s">
        <v>16</v>
      </c>
      <c r="F3964" s="1">
        <v>43103</v>
      </c>
      <c r="G3964">
        <v>0</v>
      </c>
      <c r="H3964">
        <v>0</v>
      </c>
      <c r="I3964">
        <v>17</v>
      </c>
      <c r="J3964">
        <v>17</v>
      </c>
      <c r="K3964">
        <v>0</v>
      </c>
      <c r="L3964">
        <v>442</v>
      </c>
      <c r="M3964">
        <v>15</v>
      </c>
      <c r="N3964" s="1">
        <f t="shared" si="488"/>
        <v>44938</v>
      </c>
      <c r="O3964" s="1">
        <f t="shared" si="489"/>
        <v>43101</v>
      </c>
      <c r="P3964" s="1">
        <f t="shared" si="490"/>
        <v>43160</v>
      </c>
      <c r="Q3964" s="8">
        <f t="shared" si="491"/>
        <v>0</v>
      </c>
      <c r="R3964" s="8">
        <f t="shared" si="492"/>
        <v>3</v>
      </c>
      <c r="S3964" s="8">
        <f t="shared" ca="1" si="493"/>
        <v>0</v>
      </c>
      <c r="T3964">
        <f t="shared" ca="1" si="494"/>
        <v>0</v>
      </c>
      <c r="U3964" s="8">
        <f t="shared" ca="1" si="495"/>
        <v>1</v>
      </c>
      <c r="V3964" s="9">
        <f ca="1">RawData[[#This Row],[Z (smoothed demand size)]]/RawData[[#This Row],[X (smoothed interval)]]</f>
        <v>0</v>
      </c>
    </row>
    <row r="3965" spans="1:22">
      <c r="A3965" t="s">
        <v>75</v>
      </c>
      <c r="B3965" t="s">
        <v>60</v>
      </c>
      <c r="C3965">
        <v>24</v>
      </c>
      <c r="D3965" t="s">
        <v>22</v>
      </c>
      <c r="E3965" t="s">
        <v>16</v>
      </c>
      <c r="F3965" s="1">
        <v>43104</v>
      </c>
      <c r="G3965">
        <v>0</v>
      </c>
      <c r="H3965">
        <v>0</v>
      </c>
      <c r="I3965">
        <v>17</v>
      </c>
      <c r="J3965">
        <v>17</v>
      </c>
      <c r="K3965">
        <v>0</v>
      </c>
      <c r="L3965">
        <v>440</v>
      </c>
      <c r="M3965">
        <v>15</v>
      </c>
      <c r="N3965" s="1">
        <f t="shared" si="488"/>
        <v>44938</v>
      </c>
      <c r="O3965" s="1">
        <f t="shared" si="489"/>
        <v>43101</v>
      </c>
      <c r="P3965" s="1">
        <f t="shared" si="490"/>
        <v>43191</v>
      </c>
      <c r="Q3965" s="8">
        <f t="shared" si="491"/>
        <v>0</v>
      </c>
      <c r="R3965" s="8">
        <f t="shared" si="492"/>
        <v>4</v>
      </c>
      <c r="S3965" s="8">
        <f t="shared" ca="1" si="493"/>
        <v>0</v>
      </c>
      <c r="T3965">
        <f t="shared" ca="1" si="494"/>
        <v>0</v>
      </c>
      <c r="U3965" s="8">
        <f t="shared" ca="1" si="495"/>
        <v>1</v>
      </c>
      <c r="V3965" s="9">
        <f ca="1">RawData[[#This Row],[Z (smoothed demand size)]]/RawData[[#This Row],[X (smoothed interval)]]</f>
        <v>0</v>
      </c>
    </row>
    <row r="3966" spans="1:22">
      <c r="A3966" t="s">
        <v>75</v>
      </c>
      <c r="B3966" t="s">
        <v>60</v>
      </c>
      <c r="C3966">
        <v>24</v>
      </c>
      <c r="D3966" t="s">
        <v>22</v>
      </c>
      <c r="E3966" t="s">
        <v>16</v>
      </c>
      <c r="F3966" s="1">
        <v>43105</v>
      </c>
      <c r="G3966">
        <v>0</v>
      </c>
      <c r="H3966">
        <v>0</v>
      </c>
      <c r="I3966">
        <v>17</v>
      </c>
      <c r="J3966">
        <v>17</v>
      </c>
      <c r="K3966">
        <v>0</v>
      </c>
      <c r="L3966">
        <v>443</v>
      </c>
      <c r="M3966">
        <v>15</v>
      </c>
      <c r="N3966" s="1">
        <f t="shared" si="488"/>
        <v>44938</v>
      </c>
      <c r="O3966" s="1">
        <f t="shared" si="489"/>
        <v>43101</v>
      </c>
      <c r="P3966" s="1">
        <f t="shared" si="490"/>
        <v>43221</v>
      </c>
      <c r="Q3966" s="8">
        <f t="shared" si="491"/>
        <v>0</v>
      </c>
      <c r="R3966" s="8">
        <f t="shared" si="492"/>
        <v>5</v>
      </c>
      <c r="S3966" s="8">
        <f t="shared" ca="1" si="493"/>
        <v>0</v>
      </c>
      <c r="T3966">
        <f t="shared" ca="1" si="494"/>
        <v>0</v>
      </c>
      <c r="U3966" s="8">
        <f t="shared" ca="1" si="495"/>
        <v>1</v>
      </c>
      <c r="V3966" s="9">
        <f ca="1">RawData[[#This Row],[Z (smoothed demand size)]]/RawData[[#This Row],[X (smoothed interval)]]</f>
        <v>0</v>
      </c>
    </row>
    <row r="3967" spans="1:22">
      <c r="A3967" t="s">
        <v>75</v>
      </c>
      <c r="B3967" t="s">
        <v>60</v>
      </c>
      <c r="C3967">
        <v>24</v>
      </c>
      <c r="D3967" t="s">
        <v>22</v>
      </c>
      <c r="E3967" t="s">
        <v>16</v>
      </c>
      <c r="F3967" s="1">
        <v>43106</v>
      </c>
      <c r="G3967">
        <v>2</v>
      </c>
      <c r="H3967">
        <v>2</v>
      </c>
      <c r="I3967">
        <v>17</v>
      </c>
      <c r="J3967">
        <v>15</v>
      </c>
      <c r="K3967">
        <v>0</v>
      </c>
      <c r="L3967">
        <v>520</v>
      </c>
      <c r="M3967">
        <v>15</v>
      </c>
      <c r="N3967" s="1">
        <f t="shared" si="488"/>
        <v>44938</v>
      </c>
      <c r="O3967" s="1">
        <f t="shared" si="489"/>
        <v>43101</v>
      </c>
      <c r="P3967" s="1">
        <f t="shared" si="490"/>
        <v>43252</v>
      </c>
      <c r="Q3967" s="8">
        <f t="shared" si="491"/>
        <v>0</v>
      </c>
      <c r="R3967" s="8">
        <f t="shared" si="492"/>
        <v>6</v>
      </c>
      <c r="S3967" s="8">
        <f t="shared" ca="1" si="493"/>
        <v>6</v>
      </c>
      <c r="T3967">
        <f t="shared" ca="1" si="494"/>
        <v>0.4</v>
      </c>
      <c r="U3967" s="8">
        <f t="shared" ca="1" si="495"/>
        <v>2</v>
      </c>
      <c r="V3967" s="9">
        <f ca="1">RawData[[#This Row],[Z (smoothed demand size)]]/RawData[[#This Row],[X (smoothed interval)]]</f>
        <v>0.2</v>
      </c>
    </row>
    <row r="3968" spans="1:22">
      <c r="A3968" t="s">
        <v>75</v>
      </c>
      <c r="B3968" t="s">
        <v>60</v>
      </c>
      <c r="C3968">
        <v>24</v>
      </c>
      <c r="D3968" t="s">
        <v>22</v>
      </c>
      <c r="E3968" t="s">
        <v>16</v>
      </c>
      <c r="F3968" s="1">
        <v>43107</v>
      </c>
      <c r="G3968">
        <v>0</v>
      </c>
      <c r="H3968">
        <v>0</v>
      </c>
      <c r="I3968">
        <v>15</v>
      </c>
      <c r="J3968">
        <v>15</v>
      </c>
      <c r="K3968">
        <v>0</v>
      </c>
      <c r="L3968">
        <v>517</v>
      </c>
      <c r="M3968">
        <v>15</v>
      </c>
      <c r="N3968" s="1">
        <f t="shared" si="488"/>
        <v>44938</v>
      </c>
      <c r="O3968" s="1">
        <f t="shared" si="489"/>
        <v>43101</v>
      </c>
      <c r="P3968" s="1">
        <f t="shared" si="490"/>
        <v>43282</v>
      </c>
      <c r="Q3968" s="8">
        <f t="shared" si="491"/>
        <v>0</v>
      </c>
      <c r="R3968" s="8">
        <f t="shared" si="492"/>
        <v>7</v>
      </c>
      <c r="S3968" s="8">
        <f t="shared" ca="1" si="493"/>
        <v>6</v>
      </c>
      <c r="T3968">
        <f t="shared" ca="1" si="494"/>
        <v>0.4</v>
      </c>
      <c r="U3968" s="8">
        <f t="shared" ca="1" si="495"/>
        <v>2</v>
      </c>
      <c r="V3968" s="9">
        <f ca="1">RawData[[#This Row],[Z (smoothed demand size)]]/RawData[[#This Row],[X (smoothed interval)]]</f>
        <v>0.2</v>
      </c>
    </row>
    <row r="3969" spans="1:22">
      <c r="A3969" t="s">
        <v>75</v>
      </c>
      <c r="B3969" t="s">
        <v>60</v>
      </c>
      <c r="C3969">
        <v>24</v>
      </c>
      <c r="D3969" t="s">
        <v>22</v>
      </c>
      <c r="E3969" t="s">
        <v>16</v>
      </c>
      <c r="F3969" s="1">
        <v>43108</v>
      </c>
      <c r="G3969">
        <v>0</v>
      </c>
      <c r="H3969">
        <v>0</v>
      </c>
      <c r="I3969">
        <v>15</v>
      </c>
      <c r="J3969">
        <v>15</v>
      </c>
      <c r="K3969">
        <v>0</v>
      </c>
      <c r="L3969">
        <v>518</v>
      </c>
      <c r="M3969">
        <v>15</v>
      </c>
      <c r="N3969" s="1">
        <f t="shared" si="488"/>
        <v>44938</v>
      </c>
      <c r="O3969" s="1">
        <f t="shared" si="489"/>
        <v>43101</v>
      </c>
      <c r="P3969" s="1">
        <f t="shared" si="490"/>
        <v>43313</v>
      </c>
      <c r="Q3969" s="8">
        <f t="shared" si="491"/>
        <v>0</v>
      </c>
      <c r="R3969" s="8">
        <f t="shared" si="492"/>
        <v>8</v>
      </c>
      <c r="S3969" s="8">
        <f t="shared" ca="1" si="493"/>
        <v>6</v>
      </c>
      <c r="T3969">
        <f t="shared" ca="1" si="494"/>
        <v>0.4</v>
      </c>
      <c r="U3969" s="8">
        <f t="shared" ca="1" si="495"/>
        <v>2</v>
      </c>
      <c r="V3969" s="9">
        <f ca="1">RawData[[#This Row],[Z (smoothed demand size)]]/RawData[[#This Row],[X (smoothed interval)]]</f>
        <v>0.2</v>
      </c>
    </row>
    <row r="3970" spans="1:22">
      <c r="A3970" t="s">
        <v>75</v>
      </c>
      <c r="B3970" t="s">
        <v>60</v>
      </c>
      <c r="C3970">
        <v>24</v>
      </c>
      <c r="D3970" t="s">
        <v>22</v>
      </c>
      <c r="E3970" t="s">
        <v>16</v>
      </c>
      <c r="F3970" s="1">
        <v>43109</v>
      </c>
      <c r="G3970">
        <v>0</v>
      </c>
      <c r="H3970">
        <v>0</v>
      </c>
      <c r="I3970">
        <v>15</v>
      </c>
      <c r="J3970">
        <v>15</v>
      </c>
      <c r="K3970">
        <v>0</v>
      </c>
      <c r="L3970">
        <v>443</v>
      </c>
      <c r="M3970">
        <v>45</v>
      </c>
      <c r="N3970" s="1">
        <f t="shared" ref="N3970:N4033" si="496">MAX(F:F)</f>
        <v>44938</v>
      </c>
      <c r="O3970" s="1">
        <f t="shared" ref="O3970:O4033" si="497">MIN(F:F)</f>
        <v>43101</v>
      </c>
      <c r="P3970" s="1">
        <f t="shared" ref="P3970:P4033" si="498">DATE(YEAR(F3970), DAY(F3970), 1)</f>
        <v>43344</v>
      </c>
      <c r="Q3970" s="8">
        <f t="shared" ref="Q3970:Q4033" si="499" xml:space="preserve"> IF(A3970&lt;&gt;A3969, 1, 0)</f>
        <v>0</v>
      </c>
      <c r="R3970" s="8">
        <f t="shared" ref="R3970:R4033" si="500">IF(Q3970=1,1,R3969+1)</f>
        <v>9</v>
      </c>
      <c r="S3970" s="8">
        <f t="shared" ref="S3970:S4033" ca="1" si="501" xml:space="preserve"> IF(Q3970=1, IF(G3970&gt;0, R3970, 0), IF(G3970&gt;0, R3970, OFFSET(S3970,-1,0)))</f>
        <v>6</v>
      </c>
      <c r="T3970">
        <f t="shared" ref="T3970:T4033" ca="1" si="502" xml:space="preserve"> IF(Q3970=1, IF(G3970&gt;0, G3970, 0), IF(G3970&gt;0, $X$1*G3970+(1-$X$1)*OFFSET(T3970,-1,0), OFFSET(T3970,-1,0)))</f>
        <v>0.4</v>
      </c>
      <c r="U3970" s="8">
        <f t="shared" ref="U3970:U4033" ca="1" si="503" xml:space="preserve"> IF(Q3970=1, 1, IF(G3970&gt;0, $X$1*(R3970-OFFSET(S3970,-1,0))+(1-$X$1)*OFFSET(U3970,-1,0), OFFSET(U3970,-1,0)))</f>
        <v>2</v>
      </c>
      <c r="V3970" s="9">
        <f ca="1">RawData[[#This Row],[Z (smoothed demand size)]]/RawData[[#This Row],[X (smoothed interval)]]</f>
        <v>0.2</v>
      </c>
    </row>
    <row r="3971" spans="1:22">
      <c r="A3971" t="s">
        <v>75</v>
      </c>
      <c r="B3971" t="s">
        <v>60</v>
      </c>
      <c r="C3971">
        <v>24</v>
      </c>
      <c r="D3971" t="s">
        <v>22</v>
      </c>
      <c r="E3971" t="s">
        <v>16</v>
      </c>
      <c r="F3971" s="1">
        <v>43110</v>
      </c>
      <c r="G3971">
        <v>0</v>
      </c>
      <c r="H3971">
        <v>0</v>
      </c>
      <c r="I3971">
        <v>15</v>
      </c>
      <c r="J3971">
        <v>15</v>
      </c>
      <c r="K3971">
        <v>0</v>
      </c>
      <c r="L3971">
        <v>439</v>
      </c>
      <c r="M3971">
        <v>60</v>
      </c>
      <c r="N3971" s="1">
        <f t="shared" si="496"/>
        <v>44938</v>
      </c>
      <c r="O3971" s="1">
        <f t="shared" si="497"/>
        <v>43101</v>
      </c>
      <c r="P3971" s="1">
        <f t="shared" si="498"/>
        <v>43374</v>
      </c>
      <c r="Q3971" s="8">
        <f t="shared" si="499"/>
        <v>0</v>
      </c>
      <c r="R3971" s="8">
        <f t="shared" si="500"/>
        <v>10</v>
      </c>
      <c r="S3971" s="8">
        <f t="shared" ca="1" si="501"/>
        <v>6</v>
      </c>
      <c r="T3971">
        <f t="shared" ca="1" si="502"/>
        <v>0.4</v>
      </c>
      <c r="U3971" s="8">
        <f t="shared" ca="1" si="503"/>
        <v>2</v>
      </c>
      <c r="V3971" s="9">
        <f ca="1">RawData[[#This Row],[Z (smoothed demand size)]]/RawData[[#This Row],[X (smoothed interval)]]</f>
        <v>0.2</v>
      </c>
    </row>
    <row r="3972" spans="1:22">
      <c r="A3972" t="s">
        <v>75</v>
      </c>
      <c r="B3972" t="s">
        <v>60</v>
      </c>
      <c r="C3972">
        <v>24</v>
      </c>
      <c r="D3972" t="s">
        <v>22</v>
      </c>
      <c r="E3972" t="s">
        <v>16</v>
      </c>
      <c r="F3972" s="1">
        <v>43111</v>
      </c>
      <c r="G3972">
        <v>0</v>
      </c>
      <c r="H3972">
        <v>0</v>
      </c>
      <c r="I3972">
        <v>15</v>
      </c>
      <c r="J3972">
        <v>15</v>
      </c>
      <c r="K3972">
        <v>0</v>
      </c>
      <c r="L3972">
        <v>451</v>
      </c>
      <c r="M3972">
        <v>15</v>
      </c>
      <c r="N3972" s="1">
        <f t="shared" si="496"/>
        <v>44938</v>
      </c>
      <c r="O3972" s="1">
        <f t="shared" si="497"/>
        <v>43101</v>
      </c>
      <c r="P3972" s="1">
        <f t="shared" si="498"/>
        <v>43405</v>
      </c>
      <c r="Q3972" s="8">
        <f t="shared" si="499"/>
        <v>0</v>
      </c>
      <c r="R3972" s="8">
        <f t="shared" si="500"/>
        <v>11</v>
      </c>
      <c r="S3972" s="8">
        <f t="shared" ca="1" si="501"/>
        <v>6</v>
      </c>
      <c r="T3972">
        <f t="shared" ca="1" si="502"/>
        <v>0.4</v>
      </c>
      <c r="U3972" s="8">
        <f t="shared" ca="1" si="503"/>
        <v>2</v>
      </c>
      <c r="V3972" s="9">
        <f ca="1">RawData[[#This Row],[Z (smoothed demand size)]]/RawData[[#This Row],[X (smoothed interval)]]</f>
        <v>0.2</v>
      </c>
    </row>
    <row r="3973" spans="1:22">
      <c r="A3973" t="s">
        <v>75</v>
      </c>
      <c r="B3973" t="s">
        <v>60</v>
      </c>
      <c r="C3973">
        <v>24</v>
      </c>
      <c r="D3973" t="s">
        <v>22</v>
      </c>
      <c r="E3973" t="s">
        <v>16</v>
      </c>
      <c r="F3973" s="1">
        <v>43112</v>
      </c>
      <c r="G3973">
        <v>0</v>
      </c>
      <c r="H3973">
        <v>0</v>
      </c>
      <c r="I3973">
        <v>15</v>
      </c>
      <c r="J3973">
        <v>15</v>
      </c>
      <c r="K3973">
        <v>0</v>
      </c>
      <c r="L3973">
        <v>505</v>
      </c>
      <c r="M3973">
        <v>60</v>
      </c>
      <c r="N3973" s="1">
        <f t="shared" si="496"/>
        <v>44938</v>
      </c>
      <c r="O3973" s="1">
        <f t="shared" si="497"/>
        <v>43101</v>
      </c>
      <c r="P3973" s="1">
        <f t="shared" si="498"/>
        <v>43435</v>
      </c>
      <c r="Q3973" s="8">
        <f t="shared" si="499"/>
        <v>0</v>
      </c>
      <c r="R3973" s="8">
        <f t="shared" si="500"/>
        <v>12</v>
      </c>
      <c r="S3973" s="8">
        <f t="shared" ca="1" si="501"/>
        <v>6</v>
      </c>
      <c r="T3973">
        <f t="shared" ca="1" si="502"/>
        <v>0.4</v>
      </c>
      <c r="U3973" s="8">
        <f t="shared" ca="1" si="503"/>
        <v>2</v>
      </c>
      <c r="V3973" s="9">
        <f ca="1">RawData[[#This Row],[Z (smoothed demand size)]]/RawData[[#This Row],[X (smoothed interval)]]</f>
        <v>0.2</v>
      </c>
    </row>
    <row r="3974" spans="1:22">
      <c r="A3974" t="s">
        <v>75</v>
      </c>
      <c r="B3974" t="s">
        <v>60</v>
      </c>
      <c r="C3974">
        <v>24</v>
      </c>
      <c r="D3974" t="s">
        <v>22</v>
      </c>
      <c r="E3974" t="s">
        <v>16</v>
      </c>
      <c r="F3974" s="1">
        <v>43466</v>
      </c>
      <c r="G3974">
        <v>0</v>
      </c>
      <c r="H3974">
        <v>0</v>
      </c>
      <c r="I3974">
        <v>15</v>
      </c>
      <c r="J3974">
        <v>15</v>
      </c>
      <c r="K3974">
        <v>0</v>
      </c>
      <c r="L3974">
        <v>444</v>
      </c>
      <c r="M3974">
        <v>15</v>
      </c>
      <c r="N3974" s="1">
        <f t="shared" si="496"/>
        <v>44938</v>
      </c>
      <c r="O3974" s="1">
        <f t="shared" si="497"/>
        <v>43101</v>
      </c>
      <c r="P3974" s="1">
        <f t="shared" si="498"/>
        <v>43466</v>
      </c>
      <c r="Q3974" s="8">
        <f t="shared" si="499"/>
        <v>0</v>
      </c>
      <c r="R3974" s="8">
        <f t="shared" si="500"/>
        <v>13</v>
      </c>
      <c r="S3974" s="8">
        <f t="shared" ca="1" si="501"/>
        <v>6</v>
      </c>
      <c r="T3974">
        <f t="shared" ca="1" si="502"/>
        <v>0.4</v>
      </c>
      <c r="U3974" s="8">
        <f t="shared" ca="1" si="503"/>
        <v>2</v>
      </c>
      <c r="V3974" s="9">
        <f ca="1">RawData[[#This Row],[Z (smoothed demand size)]]/RawData[[#This Row],[X (smoothed interval)]]</f>
        <v>0.2</v>
      </c>
    </row>
    <row r="3975" spans="1:22">
      <c r="A3975" t="s">
        <v>75</v>
      </c>
      <c r="B3975" t="s">
        <v>60</v>
      </c>
      <c r="C3975">
        <v>24</v>
      </c>
      <c r="D3975" t="s">
        <v>22</v>
      </c>
      <c r="E3975" t="s">
        <v>16</v>
      </c>
      <c r="F3975" s="1">
        <v>43467</v>
      </c>
      <c r="G3975">
        <v>0</v>
      </c>
      <c r="H3975">
        <v>0</v>
      </c>
      <c r="I3975">
        <v>15</v>
      </c>
      <c r="J3975">
        <v>15</v>
      </c>
      <c r="K3975">
        <v>0</v>
      </c>
      <c r="L3975">
        <v>441</v>
      </c>
      <c r="M3975">
        <v>45</v>
      </c>
      <c r="N3975" s="1">
        <f t="shared" si="496"/>
        <v>44938</v>
      </c>
      <c r="O3975" s="1">
        <f t="shared" si="497"/>
        <v>43101</v>
      </c>
      <c r="P3975" s="1">
        <f t="shared" si="498"/>
        <v>43497</v>
      </c>
      <c r="Q3975" s="8">
        <f t="shared" si="499"/>
        <v>0</v>
      </c>
      <c r="R3975" s="8">
        <f t="shared" si="500"/>
        <v>14</v>
      </c>
      <c r="S3975" s="8">
        <f t="shared" ca="1" si="501"/>
        <v>6</v>
      </c>
      <c r="T3975">
        <f t="shared" ca="1" si="502"/>
        <v>0.4</v>
      </c>
      <c r="U3975" s="8">
        <f t="shared" ca="1" si="503"/>
        <v>2</v>
      </c>
      <c r="V3975" s="9">
        <f ca="1">RawData[[#This Row],[Z (smoothed demand size)]]/RawData[[#This Row],[X (smoothed interval)]]</f>
        <v>0.2</v>
      </c>
    </row>
    <row r="3976" spans="1:22">
      <c r="A3976" t="s">
        <v>75</v>
      </c>
      <c r="B3976" t="s">
        <v>60</v>
      </c>
      <c r="C3976">
        <v>24</v>
      </c>
      <c r="D3976" t="s">
        <v>22</v>
      </c>
      <c r="E3976" t="s">
        <v>16</v>
      </c>
      <c r="F3976" s="1">
        <v>43468</v>
      </c>
      <c r="G3976">
        <v>0</v>
      </c>
      <c r="H3976">
        <v>0</v>
      </c>
      <c r="I3976">
        <v>15</v>
      </c>
      <c r="J3976">
        <v>15</v>
      </c>
      <c r="K3976">
        <v>0</v>
      </c>
      <c r="L3976">
        <v>444</v>
      </c>
      <c r="M3976">
        <v>30</v>
      </c>
      <c r="N3976" s="1">
        <f t="shared" si="496"/>
        <v>44938</v>
      </c>
      <c r="O3976" s="1">
        <f t="shared" si="497"/>
        <v>43101</v>
      </c>
      <c r="P3976" s="1">
        <f t="shared" si="498"/>
        <v>43525</v>
      </c>
      <c r="Q3976" s="8">
        <f t="shared" si="499"/>
        <v>0</v>
      </c>
      <c r="R3976" s="8">
        <f t="shared" si="500"/>
        <v>15</v>
      </c>
      <c r="S3976" s="8">
        <f t="shared" ca="1" si="501"/>
        <v>6</v>
      </c>
      <c r="T3976">
        <f t="shared" ca="1" si="502"/>
        <v>0.4</v>
      </c>
      <c r="U3976" s="8">
        <f t="shared" ca="1" si="503"/>
        <v>2</v>
      </c>
      <c r="V3976" s="9">
        <f ca="1">RawData[[#This Row],[Z (smoothed demand size)]]/RawData[[#This Row],[X (smoothed interval)]]</f>
        <v>0.2</v>
      </c>
    </row>
    <row r="3977" spans="1:22">
      <c r="A3977" t="s">
        <v>75</v>
      </c>
      <c r="B3977" t="s">
        <v>60</v>
      </c>
      <c r="C3977">
        <v>24</v>
      </c>
      <c r="D3977" t="s">
        <v>22</v>
      </c>
      <c r="E3977" t="s">
        <v>16</v>
      </c>
      <c r="F3977" s="1">
        <v>43469</v>
      </c>
      <c r="G3977">
        <v>0</v>
      </c>
      <c r="H3977">
        <v>0</v>
      </c>
      <c r="I3977">
        <v>15</v>
      </c>
      <c r="J3977">
        <v>15</v>
      </c>
      <c r="K3977">
        <v>0</v>
      </c>
      <c r="L3977">
        <v>436</v>
      </c>
      <c r="M3977">
        <v>30</v>
      </c>
      <c r="N3977" s="1">
        <f t="shared" si="496"/>
        <v>44938</v>
      </c>
      <c r="O3977" s="1">
        <f t="shared" si="497"/>
        <v>43101</v>
      </c>
      <c r="P3977" s="1">
        <f t="shared" si="498"/>
        <v>43556</v>
      </c>
      <c r="Q3977" s="8">
        <f t="shared" si="499"/>
        <v>0</v>
      </c>
      <c r="R3977" s="8">
        <f t="shared" si="500"/>
        <v>16</v>
      </c>
      <c r="S3977" s="8">
        <f t="shared" ca="1" si="501"/>
        <v>6</v>
      </c>
      <c r="T3977">
        <f t="shared" ca="1" si="502"/>
        <v>0.4</v>
      </c>
      <c r="U3977" s="8">
        <f t="shared" ca="1" si="503"/>
        <v>2</v>
      </c>
      <c r="V3977" s="9">
        <f ca="1">RawData[[#This Row],[Z (smoothed demand size)]]/RawData[[#This Row],[X (smoothed interval)]]</f>
        <v>0.2</v>
      </c>
    </row>
    <row r="3978" spans="1:22">
      <c r="A3978" t="s">
        <v>75</v>
      </c>
      <c r="B3978" t="s">
        <v>60</v>
      </c>
      <c r="C3978">
        <v>24</v>
      </c>
      <c r="D3978" t="s">
        <v>22</v>
      </c>
      <c r="E3978" t="s">
        <v>16</v>
      </c>
      <c r="F3978" s="1">
        <v>43470</v>
      </c>
      <c r="G3978">
        <v>0</v>
      </c>
      <c r="H3978">
        <v>0</v>
      </c>
      <c r="I3978">
        <v>15</v>
      </c>
      <c r="J3978">
        <v>15</v>
      </c>
      <c r="K3978">
        <v>0</v>
      </c>
      <c r="L3978">
        <v>447</v>
      </c>
      <c r="M3978">
        <v>30</v>
      </c>
      <c r="N3978" s="1">
        <f t="shared" si="496"/>
        <v>44938</v>
      </c>
      <c r="O3978" s="1">
        <f t="shared" si="497"/>
        <v>43101</v>
      </c>
      <c r="P3978" s="1">
        <f t="shared" si="498"/>
        <v>43586</v>
      </c>
      <c r="Q3978" s="8">
        <f t="shared" si="499"/>
        <v>0</v>
      </c>
      <c r="R3978" s="8">
        <f t="shared" si="500"/>
        <v>17</v>
      </c>
      <c r="S3978" s="8">
        <f t="shared" ca="1" si="501"/>
        <v>6</v>
      </c>
      <c r="T3978">
        <f t="shared" ca="1" si="502"/>
        <v>0.4</v>
      </c>
      <c r="U3978" s="8">
        <f t="shared" ca="1" si="503"/>
        <v>2</v>
      </c>
      <c r="V3978" s="9">
        <f ca="1">RawData[[#This Row],[Z (smoothed demand size)]]/RawData[[#This Row],[X (smoothed interval)]]</f>
        <v>0.2</v>
      </c>
    </row>
    <row r="3979" spans="1:22">
      <c r="A3979" t="s">
        <v>75</v>
      </c>
      <c r="B3979" t="s">
        <v>60</v>
      </c>
      <c r="C3979">
        <v>24</v>
      </c>
      <c r="D3979" t="s">
        <v>22</v>
      </c>
      <c r="E3979" t="s">
        <v>16</v>
      </c>
      <c r="F3979" s="1">
        <v>43471</v>
      </c>
      <c r="G3979">
        <v>0</v>
      </c>
      <c r="H3979">
        <v>0</v>
      </c>
      <c r="I3979">
        <v>15</v>
      </c>
      <c r="J3979">
        <v>15</v>
      </c>
      <c r="K3979">
        <v>0</v>
      </c>
      <c r="L3979">
        <v>517</v>
      </c>
      <c r="M3979">
        <v>45</v>
      </c>
      <c r="N3979" s="1">
        <f t="shared" si="496"/>
        <v>44938</v>
      </c>
      <c r="O3979" s="1">
        <f t="shared" si="497"/>
        <v>43101</v>
      </c>
      <c r="P3979" s="1">
        <f t="shared" si="498"/>
        <v>43617</v>
      </c>
      <c r="Q3979" s="8">
        <f t="shared" si="499"/>
        <v>0</v>
      </c>
      <c r="R3979" s="8">
        <f t="shared" si="500"/>
        <v>18</v>
      </c>
      <c r="S3979" s="8">
        <f t="shared" ca="1" si="501"/>
        <v>6</v>
      </c>
      <c r="T3979">
        <f t="shared" ca="1" si="502"/>
        <v>0.4</v>
      </c>
      <c r="U3979" s="8">
        <f t="shared" ca="1" si="503"/>
        <v>2</v>
      </c>
      <c r="V3979" s="9">
        <f ca="1">RawData[[#This Row],[Z (smoothed demand size)]]/RawData[[#This Row],[X (smoothed interval)]]</f>
        <v>0.2</v>
      </c>
    </row>
    <row r="3980" spans="1:22">
      <c r="A3980" t="s">
        <v>75</v>
      </c>
      <c r="B3980" t="s">
        <v>60</v>
      </c>
      <c r="C3980">
        <v>24</v>
      </c>
      <c r="D3980" t="s">
        <v>22</v>
      </c>
      <c r="E3980" t="s">
        <v>16</v>
      </c>
      <c r="F3980" s="1">
        <v>43472</v>
      </c>
      <c r="G3980">
        <v>0</v>
      </c>
      <c r="H3980">
        <v>0</v>
      </c>
      <c r="I3980">
        <v>15</v>
      </c>
      <c r="J3980">
        <v>15</v>
      </c>
      <c r="K3980">
        <v>0</v>
      </c>
      <c r="L3980">
        <v>516</v>
      </c>
      <c r="M3980">
        <v>30</v>
      </c>
      <c r="N3980" s="1">
        <f t="shared" si="496"/>
        <v>44938</v>
      </c>
      <c r="O3980" s="1">
        <f t="shared" si="497"/>
        <v>43101</v>
      </c>
      <c r="P3980" s="1">
        <f t="shared" si="498"/>
        <v>43647</v>
      </c>
      <c r="Q3980" s="8">
        <f t="shared" si="499"/>
        <v>0</v>
      </c>
      <c r="R3980" s="8">
        <f t="shared" si="500"/>
        <v>19</v>
      </c>
      <c r="S3980" s="8">
        <f t="shared" ca="1" si="501"/>
        <v>6</v>
      </c>
      <c r="T3980">
        <f t="shared" ca="1" si="502"/>
        <v>0.4</v>
      </c>
      <c r="U3980" s="8">
        <f t="shared" ca="1" si="503"/>
        <v>2</v>
      </c>
      <c r="V3980" s="9">
        <f ca="1">RawData[[#This Row],[Z (smoothed demand size)]]/RawData[[#This Row],[X (smoothed interval)]]</f>
        <v>0.2</v>
      </c>
    </row>
    <row r="3981" spans="1:22">
      <c r="A3981" t="s">
        <v>75</v>
      </c>
      <c r="B3981" t="s">
        <v>60</v>
      </c>
      <c r="C3981">
        <v>24</v>
      </c>
      <c r="D3981" t="s">
        <v>22</v>
      </c>
      <c r="E3981" t="s">
        <v>16</v>
      </c>
      <c r="F3981" s="1">
        <v>43473</v>
      </c>
      <c r="G3981">
        <v>0</v>
      </c>
      <c r="H3981">
        <v>0</v>
      </c>
      <c r="I3981">
        <v>15</v>
      </c>
      <c r="J3981">
        <v>15</v>
      </c>
      <c r="K3981">
        <v>0</v>
      </c>
      <c r="L3981">
        <v>505</v>
      </c>
      <c r="M3981">
        <v>45</v>
      </c>
      <c r="N3981" s="1">
        <f t="shared" si="496"/>
        <v>44938</v>
      </c>
      <c r="O3981" s="1">
        <f t="shared" si="497"/>
        <v>43101</v>
      </c>
      <c r="P3981" s="1">
        <f t="shared" si="498"/>
        <v>43678</v>
      </c>
      <c r="Q3981" s="8">
        <f t="shared" si="499"/>
        <v>0</v>
      </c>
      <c r="R3981" s="8">
        <f t="shared" si="500"/>
        <v>20</v>
      </c>
      <c r="S3981" s="8">
        <f t="shared" ca="1" si="501"/>
        <v>6</v>
      </c>
      <c r="T3981">
        <f t="shared" ca="1" si="502"/>
        <v>0.4</v>
      </c>
      <c r="U3981" s="8">
        <f t="shared" ca="1" si="503"/>
        <v>2</v>
      </c>
      <c r="V3981" s="9">
        <f ca="1">RawData[[#This Row],[Z (smoothed demand size)]]/RawData[[#This Row],[X (smoothed interval)]]</f>
        <v>0.2</v>
      </c>
    </row>
    <row r="3982" spans="1:22">
      <c r="A3982" t="s">
        <v>75</v>
      </c>
      <c r="B3982" t="s">
        <v>60</v>
      </c>
      <c r="C3982">
        <v>24</v>
      </c>
      <c r="D3982" t="s">
        <v>22</v>
      </c>
      <c r="E3982" t="s">
        <v>16</v>
      </c>
      <c r="F3982" s="1">
        <v>43474</v>
      </c>
      <c r="G3982">
        <v>0</v>
      </c>
      <c r="H3982">
        <v>0</v>
      </c>
      <c r="I3982">
        <v>15</v>
      </c>
      <c r="J3982">
        <v>15</v>
      </c>
      <c r="K3982">
        <v>0</v>
      </c>
      <c r="L3982">
        <v>446</v>
      </c>
      <c r="M3982">
        <v>45</v>
      </c>
      <c r="N3982" s="1">
        <f t="shared" si="496"/>
        <v>44938</v>
      </c>
      <c r="O3982" s="1">
        <f t="shared" si="497"/>
        <v>43101</v>
      </c>
      <c r="P3982" s="1">
        <f t="shared" si="498"/>
        <v>43709</v>
      </c>
      <c r="Q3982" s="8">
        <f t="shared" si="499"/>
        <v>0</v>
      </c>
      <c r="R3982" s="8">
        <f t="shared" si="500"/>
        <v>21</v>
      </c>
      <c r="S3982" s="8">
        <f t="shared" ca="1" si="501"/>
        <v>6</v>
      </c>
      <c r="T3982">
        <f t="shared" ca="1" si="502"/>
        <v>0.4</v>
      </c>
      <c r="U3982" s="8">
        <f t="shared" ca="1" si="503"/>
        <v>2</v>
      </c>
      <c r="V3982" s="9">
        <f ca="1">RawData[[#This Row],[Z (smoothed demand size)]]/RawData[[#This Row],[X (smoothed interval)]]</f>
        <v>0.2</v>
      </c>
    </row>
    <row r="3983" spans="1:22">
      <c r="A3983" t="s">
        <v>75</v>
      </c>
      <c r="B3983" t="s">
        <v>60</v>
      </c>
      <c r="C3983">
        <v>24</v>
      </c>
      <c r="D3983" t="s">
        <v>22</v>
      </c>
      <c r="E3983" t="s">
        <v>16</v>
      </c>
      <c r="F3983" s="1">
        <v>43475</v>
      </c>
      <c r="G3983">
        <v>0</v>
      </c>
      <c r="H3983">
        <v>0</v>
      </c>
      <c r="I3983">
        <v>15</v>
      </c>
      <c r="J3983">
        <v>15</v>
      </c>
      <c r="K3983">
        <v>0</v>
      </c>
      <c r="L3983">
        <v>443</v>
      </c>
      <c r="M3983">
        <v>60</v>
      </c>
      <c r="N3983" s="1">
        <f t="shared" si="496"/>
        <v>44938</v>
      </c>
      <c r="O3983" s="1">
        <f t="shared" si="497"/>
        <v>43101</v>
      </c>
      <c r="P3983" s="1">
        <f t="shared" si="498"/>
        <v>43739</v>
      </c>
      <c r="Q3983" s="8">
        <f t="shared" si="499"/>
        <v>0</v>
      </c>
      <c r="R3983" s="8">
        <f t="shared" si="500"/>
        <v>22</v>
      </c>
      <c r="S3983" s="8">
        <f t="shared" ca="1" si="501"/>
        <v>6</v>
      </c>
      <c r="T3983">
        <f t="shared" ca="1" si="502"/>
        <v>0.4</v>
      </c>
      <c r="U3983" s="8">
        <f t="shared" ca="1" si="503"/>
        <v>2</v>
      </c>
      <c r="V3983" s="9">
        <f ca="1">RawData[[#This Row],[Z (smoothed demand size)]]/RawData[[#This Row],[X (smoothed interval)]]</f>
        <v>0.2</v>
      </c>
    </row>
    <row r="3984" spans="1:22">
      <c r="A3984" t="s">
        <v>75</v>
      </c>
      <c r="B3984" t="s">
        <v>60</v>
      </c>
      <c r="C3984">
        <v>24</v>
      </c>
      <c r="D3984" t="s">
        <v>22</v>
      </c>
      <c r="E3984" t="s">
        <v>16</v>
      </c>
      <c r="F3984" s="1">
        <v>43476</v>
      </c>
      <c r="G3984">
        <v>0</v>
      </c>
      <c r="H3984">
        <v>0</v>
      </c>
      <c r="I3984">
        <v>15</v>
      </c>
      <c r="J3984">
        <v>15</v>
      </c>
      <c r="K3984">
        <v>0</v>
      </c>
      <c r="L3984">
        <v>444</v>
      </c>
      <c r="M3984">
        <v>45</v>
      </c>
      <c r="N3984" s="1">
        <f t="shared" si="496"/>
        <v>44938</v>
      </c>
      <c r="O3984" s="1">
        <f t="shared" si="497"/>
        <v>43101</v>
      </c>
      <c r="P3984" s="1">
        <f t="shared" si="498"/>
        <v>43770</v>
      </c>
      <c r="Q3984" s="8">
        <f t="shared" si="499"/>
        <v>0</v>
      </c>
      <c r="R3984" s="8">
        <f t="shared" si="500"/>
        <v>23</v>
      </c>
      <c r="S3984" s="8">
        <f t="shared" ca="1" si="501"/>
        <v>6</v>
      </c>
      <c r="T3984">
        <f t="shared" ca="1" si="502"/>
        <v>0.4</v>
      </c>
      <c r="U3984" s="8">
        <f t="shared" ca="1" si="503"/>
        <v>2</v>
      </c>
      <c r="V3984" s="9">
        <f ca="1">RawData[[#This Row],[Z (smoothed demand size)]]/RawData[[#This Row],[X (smoothed interval)]]</f>
        <v>0.2</v>
      </c>
    </row>
    <row r="3985" spans="1:22">
      <c r="A3985" t="s">
        <v>75</v>
      </c>
      <c r="B3985" t="s">
        <v>60</v>
      </c>
      <c r="C3985">
        <v>24</v>
      </c>
      <c r="D3985" t="s">
        <v>22</v>
      </c>
      <c r="E3985" t="s">
        <v>16</v>
      </c>
      <c r="F3985" s="1">
        <v>43477</v>
      </c>
      <c r="G3985">
        <v>0</v>
      </c>
      <c r="H3985">
        <v>0</v>
      </c>
      <c r="I3985">
        <v>15</v>
      </c>
      <c r="J3985">
        <v>15</v>
      </c>
      <c r="K3985">
        <v>0</v>
      </c>
      <c r="L3985">
        <v>519</v>
      </c>
      <c r="M3985">
        <v>45</v>
      </c>
      <c r="N3985" s="1">
        <f t="shared" si="496"/>
        <v>44938</v>
      </c>
      <c r="O3985" s="1">
        <f t="shared" si="497"/>
        <v>43101</v>
      </c>
      <c r="P3985" s="1">
        <f t="shared" si="498"/>
        <v>43800</v>
      </c>
      <c r="Q3985" s="8">
        <f t="shared" si="499"/>
        <v>0</v>
      </c>
      <c r="R3985" s="8">
        <f t="shared" si="500"/>
        <v>24</v>
      </c>
      <c r="S3985" s="8">
        <f t="shared" ca="1" si="501"/>
        <v>6</v>
      </c>
      <c r="T3985">
        <f t="shared" ca="1" si="502"/>
        <v>0.4</v>
      </c>
      <c r="U3985" s="8">
        <f t="shared" ca="1" si="503"/>
        <v>2</v>
      </c>
      <c r="V3985" s="9">
        <f ca="1">RawData[[#This Row],[Z (smoothed demand size)]]/RawData[[#This Row],[X (smoothed interval)]]</f>
        <v>0.2</v>
      </c>
    </row>
    <row r="3986" spans="1:22">
      <c r="A3986" t="s">
        <v>75</v>
      </c>
      <c r="B3986" t="s">
        <v>60</v>
      </c>
      <c r="C3986">
        <v>24</v>
      </c>
      <c r="D3986" t="s">
        <v>22</v>
      </c>
      <c r="E3986" t="s">
        <v>16</v>
      </c>
      <c r="F3986" s="1">
        <v>43831</v>
      </c>
      <c r="G3986">
        <v>0</v>
      </c>
      <c r="H3986">
        <v>0</v>
      </c>
      <c r="I3986">
        <v>15</v>
      </c>
      <c r="J3986">
        <v>15</v>
      </c>
      <c r="K3986">
        <v>0</v>
      </c>
      <c r="L3986">
        <v>440</v>
      </c>
      <c r="M3986">
        <v>15</v>
      </c>
      <c r="N3986" s="1">
        <f t="shared" si="496"/>
        <v>44938</v>
      </c>
      <c r="O3986" s="1">
        <f t="shared" si="497"/>
        <v>43101</v>
      </c>
      <c r="P3986" s="1">
        <f t="shared" si="498"/>
        <v>43831</v>
      </c>
      <c r="Q3986" s="8">
        <f t="shared" si="499"/>
        <v>0</v>
      </c>
      <c r="R3986" s="8">
        <f t="shared" si="500"/>
        <v>25</v>
      </c>
      <c r="S3986" s="8">
        <f t="shared" ca="1" si="501"/>
        <v>6</v>
      </c>
      <c r="T3986">
        <f t="shared" ca="1" si="502"/>
        <v>0.4</v>
      </c>
      <c r="U3986" s="8">
        <f t="shared" ca="1" si="503"/>
        <v>2</v>
      </c>
      <c r="V3986" s="9">
        <f ca="1">RawData[[#This Row],[Z (smoothed demand size)]]/RawData[[#This Row],[X (smoothed interval)]]</f>
        <v>0.2</v>
      </c>
    </row>
    <row r="3987" spans="1:22">
      <c r="A3987" t="s">
        <v>75</v>
      </c>
      <c r="B3987" t="s">
        <v>60</v>
      </c>
      <c r="C3987">
        <v>24</v>
      </c>
      <c r="D3987" t="s">
        <v>22</v>
      </c>
      <c r="E3987" t="s">
        <v>16</v>
      </c>
      <c r="F3987" s="1">
        <v>43832</v>
      </c>
      <c r="G3987">
        <v>0</v>
      </c>
      <c r="H3987">
        <v>0</v>
      </c>
      <c r="I3987">
        <v>15</v>
      </c>
      <c r="J3987">
        <v>15</v>
      </c>
      <c r="K3987">
        <v>0</v>
      </c>
      <c r="L3987">
        <v>445</v>
      </c>
      <c r="M3987">
        <v>45</v>
      </c>
      <c r="N3987" s="1">
        <f t="shared" si="496"/>
        <v>44938</v>
      </c>
      <c r="O3987" s="1">
        <f t="shared" si="497"/>
        <v>43101</v>
      </c>
      <c r="P3987" s="1">
        <f t="shared" si="498"/>
        <v>43862</v>
      </c>
      <c r="Q3987" s="8">
        <f t="shared" si="499"/>
        <v>0</v>
      </c>
      <c r="R3987" s="8">
        <f t="shared" si="500"/>
        <v>26</v>
      </c>
      <c r="S3987" s="8">
        <f t="shared" ca="1" si="501"/>
        <v>6</v>
      </c>
      <c r="T3987">
        <f t="shared" ca="1" si="502"/>
        <v>0.4</v>
      </c>
      <c r="U3987" s="8">
        <f t="shared" ca="1" si="503"/>
        <v>2</v>
      </c>
      <c r="V3987" s="9">
        <f ca="1">RawData[[#This Row],[Z (smoothed demand size)]]/RawData[[#This Row],[X (smoothed interval)]]</f>
        <v>0.2</v>
      </c>
    </row>
    <row r="3988" spans="1:22">
      <c r="A3988" t="s">
        <v>75</v>
      </c>
      <c r="B3988" t="s">
        <v>60</v>
      </c>
      <c r="C3988">
        <v>24</v>
      </c>
      <c r="D3988" t="s">
        <v>22</v>
      </c>
      <c r="E3988" t="s">
        <v>16</v>
      </c>
      <c r="F3988" s="1">
        <v>43833</v>
      </c>
      <c r="G3988">
        <v>0</v>
      </c>
      <c r="H3988">
        <v>0</v>
      </c>
      <c r="I3988">
        <v>15</v>
      </c>
      <c r="J3988">
        <v>15</v>
      </c>
      <c r="K3988">
        <v>0</v>
      </c>
      <c r="L3988">
        <v>435</v>
      </c>
      <c r="M3988">
        <v>45</v>
      </c>
      <c r="N3988" s="1">
        <f t="shared" si="496"/>
        <v>44938</v>
      </c>
      <c r="O3988" s="1">
        <f t="shared" si="497"/>
        <v>43101</v>
      </c>
      <c r="P3988" s="1">
        <f t="shared" si="498"/>
        <v>43891</v>
      </c>
      <c r="Q3988" s="8">
        <f t="shared" si="499"/>
        <v>0</v>
      </c>
      <c r="R3988" s="8">
        <f t="shared" si="500"/>
        <v>27</v>
      </c>
      <c r="S3988" s="8">
        <f t="shared" ca="1" si="501"/>
        <v>6</v>
      </c>
      <c r="T3988">
        <f t="shared" ca="1" si="502"/>
        <v>0.4</v>
      </c>
      <c r="U3988" s="8">
        <f t="shared" ca="1" si="503"/>
        <v>2</v>
      </c>
      <c r="V3988" s="9">
        <f ca="1">RawData[[#This Row],[Z (smoothed demand size)]]/RawData[[#This Row],[X (smoothed interval)]]</f>
        <v>0.2</v>
      </c>
    </row>
    <row r="3989" spans="1:22">
      <c r="A3989" t="s">
        <v>75</v>
      </c>
      <c r="B3989" t="s">
        <v>60</v>
      </c>
      <c r="C3989">
        <v>24</v>
      </c>
      <c r="D3989" t="s">
        <v>22</v>
      </c>
      <c r="E3989" t="s">
        <v>16</v>
      </c>
      <c r="F3989" s="1">
        <v>43834</v>
      </c>
      <c r="G3989">
        <v>0</v>
      </c>
      <c r="H3989">
        <v>0</v>
      </c>
      <c r="I3989">
        <v>15</v>
      </c>
      <c r="J3989">
        <v>15</v>
      </c>
      <c r="K3989">
        <v>0</v>
      </c>
      <c r="L3989">
        <v>443</v>
      </c>
      <c r="M3989">
        <v>60</v>
      </c>
      <c r="N3989" s="1">
        <f t="shared" si="496"/>
        <v>44938</v>
      </c>
      <c r="O3989" s="1">
        <f t="shared" si="497"/>
        <v>43101</v>
      </c>
      <c r="P3989" s="1">
        <f t="shared" si="498"/>
        <v>43922</v>
      </c>
      <c r="Q3989" s="8">
        <f t="shared" si="499"/>
        <v>0</v>
      </c>
      <c r="R3989" s="8">
        <f t="shared" si="500"/>
        <v>28</v>
      </c>
      <c r="S3989" s="8">
        <f t="shared" ca="1" si="501"/>
        <v>6</v>
      </c>
      <c r="T3989">
        <f t="shared" ca="1" si="502"/>
        <v>0.4</v>
      </c>
      <c r="U3989" s="8">
        <f t="shared" ca="1" si="503"/>
        <v>2</v>
      </c>
      <c r="V3989" s="9">
        <f ca="1">RawData[[#This Row],[Z (smoothed demand size)]]/RawData[[#This Row],[X (smoothed interval)]]</f>
        <v>0.2</v>
      </c>
    </row>
    <row r="3990" spans="1:22">
      <c r="A3990" t="s">
        <v>75</v>
      </c>
      <c r="B3990" t="s">
        <v>60</v>
      </c>
      <c r="C3990">
        <v>24</v>
      </c>
      <c r="D3990" t="s">
        <v>22</v>
      </c>
      <c r="E3990" t="s">
        <v>16</v>
      </c>
      <c r="F3990" s="1">
        <v>43835</v>
      </c>
      <c r="G3990">
        <v>0</v>
      </c>
      <c r="H3990">
        <v>0</v>
      </c>
      <c r="I3990">
        <v>15</v>
      </c>
      <c r="J3990">
        <v>15</v>
      </c>
      <c r="K3990">
        <v>0</v>
      </c>
      <c r="L3990">
        <v>446</v>
      </c>
      <c r="M3990">
        <v>45</v>
      </c>
      <c r="N3990" s="1">
        <f t="shared" si="496"/>
        <v>44938</v>
      </c>
      <c r="O3990" s="1">
        <f t="shared" si="497"/>
        <v>43101</v>
      </c>
      <c r="P3990" s="1">
        <f t="shared" si="498"/>
        <v>43952</v>
      </c>
      <c r="Q3990" s="8">
        <f t="shared" si="499"/>
        <v>0</v>
      </c>
      <c r="R3990" s="8">
        <f t="shared" si="500"/>
        <v>29</v>
      </c>
      <c r="S3990" s="8">
        <f t="shared" ca="1" si="501"/>
        <v>6</v>
      </c>
      <c r="T3990">
        <f t="shared" ca="1" si="502"/>
        <v>0.4</v>
      </c>
      <c r="U3990" s="8">
        <f t="shared" ca="1" si="503"/>
        <v>2</v>
      </c>
      <c r="V3990" s="9">
        <f ca="1">RawData[[#This Row],[Z (smoothed demand size)]]/RawData[[#This Row],[X (smoothed interval)]]</f>
        <v>0.2</v>
      </c>
    </row>
    <row r="3991" spans="1:22">
      <c r="A3991" t="s">
        <v>75</v>
      </c>
      <c r="B3991" t="s">
        <v>60</v>
      </c>
      <c r="C3991">
        <v>24</v>
      </c>
      <c r="D3991" t="s">
        <v>22</v>
      </c>
      <c r="E3991" t="s">
        <v>16</v>
      </c>
      <c r="F3991" s="1">
        <v>43836</v>
      </c>
      <c r="G3991">
        <v>0</v>
      </c>
      <c r="H3991">
        <v>0</v>
      </c>
      <c r="I3991">
        <v>15</v>
      </c>
      <c r="J3991">
        <v>15</v>
      </c>
      <c r="K3991">
        <v>0</v>
      </c>
      <c r="L3991">
        <v>508</v>
      </c>
      <c r="M3991">
        <v>15</v>
      </c>
      <c r="N3991" s="1">
        <f t="shared" si="496"/>
        <v>44938</v>
      </c>
      <c r="O3991" s="1">
        <f t="shared" si="497"/>
        <v>43101</v>
      </c>
      <c r="P3991" s="1">
        <f t="shared" si="498"/>
        <v>43983</v>
      </c>
      <c r="Q3991" s="8">
        <f t="shared" si="499"/>
        <v>0</v>
      </c>
      <c r="R3991" s="8">
        <f t="shared" si="500"/>
        <v>30</v>
      </c>
      <c r="S3991" s="8">
        <f t="shared" ca="1" si="501"/>
        <v>6</v>
      </c>
      <c r="T3991">
        <f t="shared" ca="1" si="502"/>
        <v>0.4</v>
      </c>
      <c r="U3991" s="8">
        <f t="shared" ca="1" si="503"/>
        <v>2</v>
      </c>
      <c r="V3991" s="9">
        <f ca="1">RawData[[#This Row],[Z (smoothed demand size)]]/RawData[[#This Row],[X (smoothed interval)]]</f>
        <v>0.2</v>
      </c>
    </row>
    <row r="3992" spans="1:22">
      <c r="A3992" t="s">
        <v>75</v>
      </c>
      <c r="B3992" t="s">
        <v>60</v>
      </c>
      <c r="C3992">
        <v>24</v>
      </c>
      <c r="D3992" t="s">
        <v>22</v>
      </c>
      <c r="E3992" t="s">
        <v>16</v>
      </c>
      <c r="F3992" s="1">
        <v>43837</v>
      </c>
      <c r="G3992">
        <v>3</v>
      </c>
      <c r="H3992">
        <v>3</v>
      </c>
      <c r="I3992">
        <v>15</v>
      </c>
      <c r="J3992">
        <v>12</v>
      </c>
      <c r="K3992">
        <v>0</v>
      </c>
      <c r="L3992">
        <v>512</v>
      </c>
      <c r="M3992">
        <v>45</v>
      </c>
      <c r="N3992" s="1">
        <f t="shared" si="496"/>
        <v>44938</v>
      </c>
      <c r="O3992" s="1">
        <f t="shared" si="497"/>
        <v>43101</v>
      </c>
      <c r="P3992" s="1">
        <f t="shared" si="498"/>
        <v>44013</v>
      </c>
      <c r="Q3992" s="8">
        <f t="shared" si="499"/>
        <v>0</v>
      </c>
      <c r="R3992" s="8">
        <f t="shared" si="500"/>
        <v>31</v>
      </c>
      <c r="S3992" s="8">
        <f t="shared" ca="1" si="501"/>
        <v>31</v>
      </c>
      <c r="T3992">
        <f t="shared" ca="1" si="502"/>
        <v>0.92000000000000015</v>
      </c>
      <c r="U3992" s="8">
        <f t="shared" ca="1" si="503"/>
        <v>6.6</v>
      </c>
      <c r="V3992" s="9">
        <f ca="1">RawData[[#This Row],[Z (smoothed demand size)]]/RawData[[#This Row],[X (smoothed interval)]]</f>
        <v>0.13939393939393943</v>
      </c>
    </row>
    <row r="3993" spans="1:22">
      <c r="A3993" t="s">
        <v>75</v>
      </c>
      <c r="B3993" t="s">
        <v>60</v>
      </c>
      <c r="C3993">
        <v>24</v>
      </c>
      <c r="D3993" t="s">
        <v>22</v>
      </c>
      <c r="E3993" t="s">
        <v>16</v>
      </c>
      <c r="F3993" s="1">
        <v>43838</v>
      </c>
      <c r="G3993">
        <v>0</v>
      </c>
      <c r="H3993">
        <v>0</v>
      </c>
      <c r="I3993">
        <v>12</v>
      </c>
      <c r="J3993">
        <v>12</v>
      </c>
      <c r="K3993">
        <v>0</v>
      </c>
      <c r="L3993">
        <v>505</v>
      </c>
      <c r="M3993">
        <v>60</v>
      </c>
      <c r="N3993" s="1">
        <f t="shared" si="496"/>
        <v>44938</v>
      </c>
      <c r="O3993" s="1">
        <f t="shared" si="497"/>
        <v>43101</v>
      </c>
      <c r="P3993" s="1">
        <f t="shared" si="498"/>
        <v>44044</v>
      </c>
      <c r="Q3993" s="8">
        <f t="shared" si="499"/>
        <v>0</v>
      </c>
      <c r="R3993" s="8">
        <f t="shared" si="500"/>
        <v>32</v>
      </c>
      <c r="S3993" s="8">
        <f t="shared" ca="1" si="501"/>
        <v>31</v>
      </c>
      <c r="T3993">
        <f t="shared" ca="1" si="502"/>
        <v>0.92000000000000015</v>
      </c>
      <c r="U3993" s="8">
        <f t="shared" ca="1" si="503"/>
        <v>6.6</v>
      </c>
      <c r="V3993" s="9">
        <f ca="1">RawData[[#This Row],[Z (smoothed demand size)]]/RawData[[#This Row],[X (smoothed interval)]]</f>
        <v>0.13939393939393943</v>
      </c>
    </row>
    <row r="3994" spans="1:22">
      <c r="A3994" t="s">
        <v>75</v>
      </c>
      <c r="B3994" t="s">
        <v>60</v>
      </c>
      <c r="C3994">
        <v>24</v>
      </c>
      <c r="D3994" t="s">
        <v>22</v>
      </c>
      <c r="E3994" t="s">
        <v>16</v>
      </c>
      <c r="F3994" s="1">
        <v>43839</v>
      </c>
      <c r="G3994">
        <v>0</v>
      </c>
      <c r="H3994">
        <v>0</v>
      </c>
      <c r="I3994">
        <v>12</v>
      </c>
      <c r="J3994">
        <v>12</v>
      </c>
      <c r="K3994">
        <v>0</v>
      </c>
      <c r="L3994">
        <v>440</v>
      </c>
      <c r="M3994">
        <v>45</v>
      </c>
      <c r="N3994" s="1">
        <f t="shared" si="496"/>
        <v>44938</v>
      </c>
      <c r="O3994" s="1">
        <f t="shared" si="497"/>
        <v>43101</v>
      </c>
      <c r="P3994" s="1">
        <f t="shared" si="498"/>
        <v>44075</v>
      </c>
      <c r="Q3994" s="8">
        <f t="shared" si="499"/>
        <v>0</v>
      </c>
      <c r="R3994" s="8">
        <f t="shared" si="500"/>
        <v>33</v>
      </c>
      <c r="S3994" s="8">
        <f t="shared" ca="1" si="501"/>
        <v>31</v>
      </c>
      <c r="T3994">
        <f t="shared" ca="1" si="502"/>
        <v>0.92000000000000015</v>
      </c>
      <c r="U3994" s="8">
        <f t="shared" ca="1" si="503"/>
        <v>6.6</v>
      </c>
      <c r="V3994" s="9">
        <f ca="1">RawData[[#This Row],[Z (smoothed demand size)]]/RawData[[#This Row],[X (smoothed interval)]]</f>
        <v>0.13939393939393943</v>
      </c>
    </row>
    <row r="3995" spans="1:22">
      <c r="A3995" t="s">
        <v>75</v>
      </c>
      <c r="B3995" t="s">
        <v>60</v>
      </c>
      <c r="C3995">
        <v>24</v>
      </c>
      <c r="D3995" t="s">
        <v>22</v>
      </c>
      <c r="E3995" t="s">
        <v>16</v>
      </c>
      <c r="F3995" s="1">
        <v>43840</v>
      </c>
      <c r="G3995">
        <v>0</v>
      </c>
      <c r="H3995">
        <v>0</v>
      </c>
      <c r="I3995">
        <v>12</v>
      </c>
      <c r="J3995">
        <v>12</v>
      </c>
      <c r="K3995">
        <v>0</v>
      </c>
      <c r="L3995">
        <v>442</v>
      </c>
      <c r="M3995">
        <v>60</v>
      </c>
      <c r="N3995" s="1">
        <f t="shared" si="496"/>
        <v>44938</v>
      </c>
      <c r="O3995" s="1">
        <f t="shared" si="497"/>
        <v>43101</v>
      </c>
      <c r="P3995" s="1">
        <f t="shared" si="498"/>
        <v>44105</v>
      </c>
      <c r="Q3995" s="8">
        <f t="shared" si="499"/>
        <v>0</v>
      </c>
      <c r="R3995" s="8">
        <f t="shared" si="500"/>
        <v>34</v>
      </c>
      <c r="S3995" s="8">
        <f t="shared" ca="1" si="501"/>
        <v>31</v>
      </c>
      <c r="T3995">
        <f t="shared" ca="1" si="502"/>
        <v>0.92000000000000015</v>
      </c>
      <c r="U3995" s="8">
        <f t="shared" ca="1" si="503"/>
        <v>6.6</v>
      </c>
      <c r="V3995" s="9">
        <f ca="1">RawData[[#This Row],[Z (smoothed demand size)]]/RawData[[#This Row],[X (smoothed interval)]]</f>
        <v>0.13939393939393943</v>
      </c>
    </row>
    <row r="3996" spans="1:22">
      <c r="A3996" t="s">
        <v>75</v>
      </c>
      <c r="B3996" t="s">
        <v>60</v>
      </c>
      <c r="C3996">
        <v>24</v>
      </c>
      <c r="D3996" t="s">
        <v>22</v>
      </c>
      <c r="E3996" t="s">
        <v>16</v>
      </c>
      <c r="F3996" s="1">
        <v>43841</v>
      </c>
      <c r="G3996">
        <v>0</v>
      </c>
      <c r="H3996">
        <v>0</v>
      </c>
      <c r="I3996">
        <v>12</v>
      </c>
      <c r="J3996">
        <v>12</v>
      </c>
      <c r="K3996">
        <v>0</v>
      </c>
      <c r="L3996">
        <v>440</v>
      </c>
      <c r="M3996">
        <v>45</v>
      </c>
      <c r="N3996" s="1">
        <f t="shared" si="496"/>
        <v>44938</v>
      </c>
      <c r="O3996" s="1">
        <f t="shared" si="497"/>
        <v>43101</v>
      </c>
      <c r="P3996" s="1">
        <f t="shared" si="498"/>
        <v>44136</v>
      </c>
      <c r="Q3996" s="8">
        <f t="shared" si="499"/>
        <v>0</v>
      </c>
      <c r="R3996" s="8">
        <f t="shared" si="500"/>
        <v>35</v>
      </c>
      <c r="S3996" s="8">
        <f t="shared" ca="1" si="501"/>
        <v>31</v>
      </c>
      <c r="T3996">
        <f t="shared" ca="1" si="502"/>
        <v>0.92000000000000015</v>
      </c>
      <c r="U3996" s="8">
        <f t="shared" ca="1" si="503"/>
        <v>6.6</v>
      </c>
      <c r="V3996" s="9">
        <f ca="1">RawData[[#This Row],[Z (smoothed demand size)]]/RawData[[#This Row],[X (smoothed interval)]]</f>
        <v>0.13939393939393943</v>
      </c>
    </row>
    <row r="3997" spans="1:22">
      <c r="A3997" t="s">
        <v>75</v>
      </c>
      <c r="B3997" t="s">
        <v>60</v>
      </c>
      <c r="C3997">
        <v>24</v>
      </c>
      <c r="D3997" t="s">
        <v>22</v>
      </c>
      <c r="E3997" t="s">
        <v>16</v>
      </c>
      <c r="F3997" s="1">
        <v>43842</v>
      </c>
      <c r="G3997">
        <v>0</v>
      </c>
      <c r="H3997">
        <v>0</v>
      </c>
      <c r="I3997">
        <v>12</v>
      </c>
      <c r="J3997">
        <v>12</v>
      </c>
      <c r="K3997">
        <v>0</v>
      </c>
      <c r="L3997">
        <v>513</v>
      </c>
      <c r="M3997">
        <v>15</v>
      </c>
      <c r="N3997" s="1">
        <f t="shared" si="496"/>
        <v>44938</v>
      </c>
      <c r="O3997" s="1">
        <f t="shared" si="497"/>
        <v>43101</v>
      </c>
      <c r="P3997" s="1">
        <f t="shared" si="498"/>
        <v>44166</v>
      </c>
      <c r="Q3997" s="8">
        <f t="shared" si="499"/>
        <v>0</v>
      </c>
      <c r="R3997" s="8">
        <f t="shared" si="500"/>
        <v>36</v>
      </c>
      <c r="S3997" s="8">
        <f t="shared" ca="1" si="501"/>
        <v>31</v>
      </c>
      <c r="T3997">
        <f t="shared" ca="1" si="502"/>
        <v>0.92000000000000015</v>
      </c>
      <c r="U3997" s="8">
        <f t="shared" ca="1" si="503"/>
        <v>6.6</v>
      </c>
      <c r="V3997" s="9">
        <f ca="1">RawData[[#This Row],[Z (smoothed demand size)]]/RawData[[#This Row],[X (smoothed interval)]]</f>
        <v>0.13939393939393943</v>
      </c>
    </row>
    <row r="3998" spans="1:22">
      <c r="A3998" t="s">
        <v>75</v>
      </c>
      <c r="B3998" t="s">
        <v>60</v>
      </c>
      <c r="C3998">
        <v>24</v>
      </c>
      <c r="D3998" t="s">
        <v>22</v>
      </c>
      <c r="E3998" t="s">
        <v>16</v>
      </c>
      <c r="F3998" s="1">
        <v>44197</v>
      </c>
      <c r="G3998">
        <v>0</v>
      </c>
      <c r="H3998">
        <v>0</v>
      </c>
      <c r="I3998">
        <v>12</v>
      </c>
      <c r="J3998">
        <v>12</v>
      </c>
      <c r="K3998">
        <v>0</v>
      </c>
      <c r="L3998">
        <v>446</v>
      </c>
      <c r="M3998">
        <v>15</v>
      </c>
      <c r="N3998" s="1">
        <f t="shared" si="496"/>
        <v>44938</v>
      </c>
      <c r="O3998" s="1">
        <f t="shared" si="497"/>
        <v>43101</v>
      </c>
      <c r="P3998" s="1">
        <f t="shared" si="498"/>
        <v>44197</v>
      </c>
      <c r="Q3998" s="8">
        <f t="shared" si="499"/>
        <v>0</v>
      </c>
      <c r="R3998" s="8">
        <f t="shared" si="500"/>
        <v>37</v>
      </c>
      <c r="S3998" s="8">
        <f t="shared" ca="1" si="501"/>
        <v>31</v>
      </c>
      <c r="T3998">
        <f t="shared" ca="1" si="502"/>
        <v>0.92000000000000015</v>
      </c>
      <c r="U3998" s="8">
        <f t="shared" ca="1" si="503"/>
        <v>6.6</v>
      </c>
      <c r="V3998" s="9">
        <f ca="1">RawData[[#This Row],[Z (smoothed demand size)]]/RawData[[#This Row],[X (smoothed interval)]]</f>
        <v>0.13939393939393943</v>
      </c>
    </row>
    <row r="3999" spans="1:22">
      <c r="A3999" t="s">
        <v>75</v>
      </c>
      <c r="B3999" t="s">
        <v>60</v>
      </c>
      <c r="C3999">
        <v>24</v>
      </c>
      <c r="D3999" t="s">
        <v>22</v>
      </c>
      <c r="E3999" t="s">
        <v>16</v>
      </c>
      <c r="F3999" s="1">
        <v>44198</v>
      </c>
      <c r="G3999">
        <v>0</v>
      </c>
      <c r="H3999">
        <v>0</v>
      </c>
      <c r="I3999">
        <v>12</v>
      </c>
      <c r="J3999">
        <v>12</v>
      </c>
      <c r="K3999">
        <v>0</v>
      </c>
      <c r="L3999">
        <v>444</v>
      </c>
      <c r="M3999">
        <v>30</v>
      </c>
      <c r="N3999" s="1">
        <f t="shared" si="496"/>
        <v>44938</v>
      </c>
      <c r="O3999" s="1">
        <f t="shared" si="497"/>
        <v>43101</v>
      </c>
      <c r="P3999" s="1">
        <f t="shared" si="498"/>
        <v>44228</v>
      </c>
      <c r="Q3999" s="8">
        <f t="shared" si="499"/>
        <v>0</v>
      </c>
      <c r="R3999" s="8">
        <f t="shared" si="500"/>
        <v>38</v>
      </c>
      <c r="S3999" s="8">
        <f t="shared" ca="1" si="501"/>
        <v>31</v>
      </c>
      <c r="T3999">
        <f t="shared" ca="1" si="502"/>
        <v>0.92000000000000015</v>
      </c>
      <c r="U3999" s="8">
        <f t="shared" ca="1" si="503"/>
        <v>6.6</v>
      </c>
      <c r="V3999" s="9">
        <f ca="1">RawData[[#This Row],[Z (smoothed demand size)]]/RawData[[#This Row],[X (smoothed interval)]]</f>
        <v>0.13939393939393943</v>
      </c>
    </row>
    <row r="4000" spans="1:22">
      <c r="A4000" t="s">
        <v>75</v>
      </c>
      <c r="B4000" t="s">
        <v>60</v>
      </c>
      <c r="C4000">
        <v>24</v>
      </c>
      <c r="D4000" t="s">
        <v>22</v>
      </c>
      <c r="E4000" t="s">
        <v>16</v>
      </c>
      <c r="F4000" s="1">
        <v>44199</v>
      </c>
      <c r="G4000">
        <v>0</v>
      </c>
      <c r="H4000">
        <v>0</v>
      </c>
      <c r="I4000">
        <v>12</v>
      </c>
      <c r="J4000">
        <v>12</v>
      </c>
      <c r="K4000">
        <v>0</v>
      </c>
      <c r="L4000">
        <v>430</v>
      </c>
      <c r="M4000">
        <v>15</v>
      </c>
      <c r="N4000" s="1">
        <f t="shared" si="496"/>
        <v>44938</v>
      </c>
      <c r="O4000" s="1">
        <f t="shared" si="497"/>
        <v>43101</v>
      </c>
      <c r="P4000" s="1">
        <f t="shared" si="498"/>
        <v>44256</v>
      </c>
      <c r="Q4000" s="8">
        <f t="shared" si="499"/>
        <v>0</v>
      </c>
      <c r="R4000" s="8">
        <f t="shared" si="500"/>
        <v>39</v>
      </c>
      <c r="S4000" s="8">
        <f t="shared" ca="1" si="501"/>
        <v>31</v>
      </c>
      <c r="T4000">
        <f t="shared" ca="1" si="502"/>
        <v>0.92000000000000015</v>
      </c>
      <c r="U4000" s="8">
        <f t="shared" ca="1" si="503"/>
        <v>6.6</v>
      </c>
      <c r="V4000" s="9">
        <f ca="1">RawData[[#This Row],[Z (smoothed demand size)]]/RawData[[#This Row],[X (smoothed interval)]]</f>
        <v>0.13939393939393943</v>
      </c>
    </row>
    <row r="4001" spans="1:22">
      <c r="A4001" t="s">
        <v>75</v>
      </c>
      <c r="B4001" t="s">
        <v>60</v>
      </c>
      <c r="C4001">
        <v>24</v>
      </c>
      <c r="D4001" t="s">
        <v>22</v>
      </c>
      <c r="E4001" t="s">
        <v>16</v>
      </c>
      <c r="F4001" s="1">
        <v>44200</v>
      </c>
      <c r="G4001">
        <v>0</v>
      </c>
      <c r="H4001">
        <v>0</v>
      </c>
      <c r="I4001">
        <v>12</v>
      </c>
      <c r="J4001">
        <v>12</v>
      </c>
      <c r="K4001">
        <v>0</v>
      </c>
      <c r="L4001">
        <v>440</v>
      </c>
      <c r="M4001">
        <v>30</v>
      </c>
      <c r="N4001" s="1">
        <f t="shared" si="496"/>
        <v>44938</v>
      </c>
      <c r="O4001" s="1">
        <f t="shared" si="497"/>
        <v>43101</v>
      </c>
      <c r="P4001" s="1">
        <f t="shared" si="498"/>
        <v>44287</v>
      </c>
      <c r="Q4001" s="8">
        <f t="shared" si="499"/>
        <v>0</v>
      </c>
      <c r="R4001" s="8">
        <f t="shared" si="500"/>
        <v>40</v>
      </c>
      <c r="S4001" s="8">
        <f t="shared" ca="1" si="501"/>
        <v>31</v>
      </c>
      <c r="T4001">
        <f t="shared" ca="1" si="502"/>
        <v>0.92000000000000015</v>
      </c>
      <c r="U4001" s="8">
        <f t="shared" ca="1" si="503"/>
        <v>6.6</v>
      </c>
      <c r="V4001" s="9">
        <f ca="1">RawData[[#This Row],[Z (smoothed demand size)]]/RawData[[#This Row],[X (smoothed interval)]]</f>
        <v>0.13939393939393943</v>
      </c>
    </row>
    <row r="4002" spans="1:22">
      <c r="A4002" t="s">
        <v>75</v>
      </c>
      <c r="B4002" t="s">
        <v>60</v>
      </c>
      <c r="C4002">
        <v>24</v>
      </c>
      <c r="D4002" t="s">
        <v>22</v>
      </c>
      <c r="E4002" t="s">
        <v>16</v>
      </c>
      <c r="F4002" s="1">
        <v>44201</v>
      </c>
      <c r="G4002">
        <v>0</v>
      </c>
      <c r="H4002">
        <v>0</v>
      </c>
      <c r="I4002">
        <v>12</v>
      </c>
      <c r="J4002">
        <v>12</v>
      </c>
      <c r="K4002">
        <v>0</v>
      </c>
      <c r="L4002">
        <v>445</v>
      </c>
      <c r="M4002">
        <v>30</v>
      </c>
      <c r="N4002" s="1">
        <f t="shared" si="496"/>
        <v>44938</v>
      </c>
      <c r="O4002" s="1">
        <f t="shared" si="497"/>
        <v>43101</v>
      </c>
      <c r="P4002" s="1">
        <f t="shared" si="498"/>
        <v>44317</v>
      </c>
      <c r="Q4002" s="8">
        <f t="shared" si="499"/>
        <v>0</v>
      </c>
      <c r="R4002" s="8">
        <f t="shared" si="500"/>
        <v>41</v>
      </c>
      <c r="S4002" s="8">
        <f t="shared" ca="1" si="501"/>
        <v>31</v>
      </c>
      <c r="T4002">
        <f t="shared" ca="1" si="502"/>
        <v>0.92000000000000015</v>
      </c>
      <c r="U4002" s="8">
        <f t="shared" ca="1" si="503"/>
        <v>6.6</v>
      </c>
      <c r="V4002" s="9">
        <f ca="1">RawData[[#This Row],[Z (smoothed demand size)]]/RawData[[#This Row],[X (smoothed interval)]]</f>
        <v>0.13939393939393943</v>
      </c>
    </row>
    <row r="4003" spans="1:22">
      <c r="A4003" t="s">
        <v>75</v>
      </c>
      <c r="B4003" t="s">
        <v>60</v>
      </c>
      <c r="C4003">
        <v>24</v>
      </c>
      <c r="D4003" t="s">
        <v>22</v>
      </c>
      <c r="E4003" t="s">
        <v>16</v>
      </c>
      <c r="F4003" s="1">
        <v>44202</v>
      </c>
      <c r="G4003">
        <v>0</v>
      </c>
      <c r="H4003">
        <v>0</v>
      </c>
      <c r="I4003">
        <v>12</v>
      </c>
      <c r="J4003">
        <v>12</v>
      </c>
      <c r="K4003">
        <v>0</v>
      </c>
      <c r="L4003">
        <v>506</v>
      </c>
      <c r="M4003">
        <v>60</v>
      </c>
      <c r="N4003" s="1">
        <f t="shared" si="496"/>
        <v>44938</v>
      </c>
      <c r="O4003" s="1">
        <f t="shared" si="497"/>
        <v>43101</v>
      </c>
      <c r="P4003" s="1">
        <f t="shared" si="498"/>
        <v>44348</v>
      </c>
      <c r="Q4003" s="8">
        <f t="shared" si="499"/>
        <v>0</v>
      </c>
      <c r="R4003" s="8">
        <f t="shared" si="500"/>
        <v>42</v>
      </c>
      <c r="S4003" s="8">
        <f t="shared" ca="1" si="501"/>
        <v>31</v>
      </c>
      <c r="T4003">
        <f t="shared" ca="1" si="502"/>
        <v>0.92000000000000015</v>
      </c>
      <c r="U4003" s="8">
        <f t="shared" ca="1" si="503"/>
        <v>6.6</v>
      </c>
      <c r="V4003" s="9">
        <f ca="1">RawData[[#This Row],[Z (smoothed demand size)]]/RawData[[#This Row],[X (smoothed interval)]]</f>
        <v>0.13939393939393943</v>
      </c>
    </row>
    <row r="4004" spans="1:22">
      <c r="A4004" t="s">
        <v>75</v>
      </c>
      <c r="B4004" t="s">
        <v>60</v>
      </c>
      <c r="C4004">
        <v>24</v>
      </c>
      <c r="D4004" t="s">
        <v>22</v>
      </c>
      <c r="E4004" t="s">
        <v>16</v>
      </c>
      <c r="F4004" s="1">
        <v>44203</v>
      </c>
      <c r="G4004">
        <v>0</v>
      </c>
      <c r="H4004">
        <v>0</v>
      </c>
      <c r="I4004">
        <v>12</v>
      </c>
      <c r="J4004">
        <v>12</v>
      </c>
      <c r="K4004">
        <v>0</v>
      </c>
      <c r="L4004">
        <v>506</v>
      </c>
      <c r="M4004">
        <v>30</v>
      </c>
      <c r="N4004" s="1">
        <f t="shared" si="496"/>
        <v>44938</v>
      </c>
      <c r="O4004" s="1">
        <f t="shared" si="497"/>
        <v>43101</v>
      </c>
      <c r="P4004" s="1">
        <f t="shared" si="498"/>
        <v>44378</v>
      </c>
      <c r="Q4004" s="8">
        <f t="shared" si="499"/>
        <v>0</v>
      </c>
      <c r="R4004" s="8">
        <f t="shared" si="500"/>
        <v>43</v>
      </c>
      <c r="S4004" s="8">
        <f t="shared" ca="1" si="501"/>
        <v>31</v>
      </c>
      <c r="T4004">
        <f t="shared" ca="1" si="502"/>
        <v>0.92000000000000015</v>
      </c>
      <c r="U4004" s="8">
        <f t="shared" ca="1" si="503"/>
        <v>6.6</v>
      </c>
      <c r="V4004" s="9">
        <f ca="1">RawData[[#This Row],[Z (smoothed demand size)]]/RawData[[#This Row],[X (smoothed interval)]]</f>
        <v>0.13939393939393943</v>
      </c>
    </row>
    <row r="4005" spans="1:22">
      <c r="A4005" t="s">
        <v>75</v>
      </c>
      <c r="B4005" t="s">
        <v>60</v>
      </c>
      <c r="C4005">
        <v>24</v>
      </c>
      <c r="D4005" t="s">
        <v>22</v>
      </c>
      <c r="E4005" t="s">
        <v>16</v>
      </c>
      <c r="F4005" s="1">
        <v>44204</v>
      </c>
      <c r="G4005">
        <v>0</v>
      </c>
      <c r="H4005">
        <v>0</v>
      </c>
      <c r="I4005">
        <v>12</v>
      </c>
      <c r="J4005">
        <v>12</v>
      </c>
      <c r="K4005">
        <v>0</v>
      </c>
      <c r="L4005">
        <v>512</v>
      </c>
      <c r="M4005">
        <v>45</v>
      </c>
      <c r="N4005" s="1">
        <f t="shared" si="496"/>
        <v>44938</v>
      </c>
      <c r="O4005" s="1">
        <f t="shared" si="497"/>
        <v>43101</v>
      </c>
      <c r="P4005" s="1">
        <f t="shared" si="498"/>
        <v>44409</v>
      </c>
      <c r="Q4005" s="8">
        <f t="shared" si="499"/>
        <v>0</v>
      </c>
      <c r="R4005" s="8">
        <f t="shared" si="500"/>
        <v>44</v>
      </c>
      <c r="S4005" s="8">
        <f t="shared" ca="1" si="501"/>
        <v>31</v>
      </c>
      <c r="T4005">
        <f t="shared" ca="1" si="502"/>
        <v>0.92000000000000015</v>
      </c>
      <c r="U4005" s="8">
        <f t="shared" ca="1" si="503"/>
        <v>6.6</v>
      </c>
      <c r="V4005" s="9">
        <f ca="1">RawData[[#This Row],[Z (smoothed demand size)]]/RawData[[#This Row],[X (smoothed interval)]]</f>
        <v>0.13939393939393943</v>
      </c>
    </row>
    <row r="4006" spans="1:22">
      <c r="A4006" t="s">
        <v>75</v>
      </c>
      <c r="B4006" t="s">
        <v>60</v>
      </c>
      <c r="C4006">
        <v>24</v>
      </c>
      <c r="D4006" t="s">
        <v>22</v>
      </c>
      <c r="E4006" t="s">
        <v>16</v>
      </c>
      <c r="F4006" s="1">
        <v>44205</v>
      </c>
      <c r="G4006">
        <v>3</v>
      </c>
      <c r="H4006">
        <v>3</v>
      </c>
      <c r="I4006">
        <v>12</v>
      </c>
      <c r="J4006">
        <v>9</v>
      </c>
      <c r="K4006">
        <v>0</v>
      </c>
      <c r="L4006">
        <v>445</v>
      </c>
      <c r="M4006">
        <v>45</v>
      </c>
      <c r="N4006" s="1">
        <f t="shared" si="496"/>
        <v>44938</v>
      </c>
      <c r="O4006" s="1">
        <f t="shared" si="497"/>
        <v>43101</v>
      </c>
      <c r="P4006" s="1">
        <f t="shared" si="498"/>
        <v>44440</v>
      </c>
      <c r="Q4006" s="8">
        <f t="shared" si="499"/>
        <v>0</v>
      </c>
      <c r="R4006" s="8">
        <f t="shared" si="500"/>
        <v>45</v>
      </c>
      <c r="S4006" s="8">
        <f t="shared" ca="1" si="501"/>
        <v>45</v>
      </c>
      <c r="T4006">
        <f t="shared" ca="1" si="502"/>
        <v>1.3360000000000003</v>
      </c>
      <c r="U4006" s="8">
        <f t="shared" ca="1" si="503"/>
        <v>8.08</v>
      </c>
      <c r="V4006" s="9">
        <f ca="1">RawData[[#This Row],[Z (smoothed demand size)]]/RawData[[#This Row],[X (smoothed interval)]]</f>
        <v>0.16534653465346538</v>
      </c>
    </row>
    <row r="4007" spans="1:22">
      <c r="A4007" t="s">
        <v>75</v>
      </c>
      <c r="B4007" t="s">
        <v>60</v>
      </c>
      <c r="C4007">
        <v>24</v>
      </c>
      <c r="D4007" t="s">
        <v>22</v>
      </c>
      <c r="E4007" t="s">
        <v>16</v>
      </c>
      <c r="F4007" s="1">
        <v>44206</v>
      </c>
      <c r="G4007">
        <v>0</v>
      </c>
      <c r="H4007">
        <v>0</v>
      </c>
      <c r="I4007">
        <v>9</v>
      </c>
      <c r="J4007">
        <v>9</v>
      </c>
      <c r="K4007">
        <v>0</v>
      </c>
      <c r="L4007">
        <v>444</v>
      </c>
      <c r="M4007">
        <v>45</v>
      </c>
      <c r="N4007" s="1">
        <f t="shared" si="496"/>
        <v>44938</v>
      </c>
      <c r="O4007" s="1">
        <f t="shared" si="497"/>
        <v>43101</v>
      </c>
      <c r="P4007" s="1">
        <f t="shared" si="498"/>
        <v>44470</v>
      </c>
      <c r="Q4007" s="8">
        <f t="shared" si="499"/>
        <v>0</v>
      </c>
      <c r="R4007" s="8">
        <f t="shared" si="500"/>
        <v>46</v>
      </c>
      <c r="S4007" s="8">
        <f t="shared" ca="1" si="501"/>
        <v>45</v>
      </c>
      <c r="T4007">
        <f t="shared" ca="1" si="502"/>
        <v>1.3360000000000003</v>
      </c>
      <c r="U4007" s="8">
        <f t="shared" ca="1" si="503"/>
        <v>8.08</v>
      </c>
      <c r="V4007" s="9">
        <f ca="1">RawData[[#This Row],[Z (smoothed demand size)]]/RawData[[#This Row],[X (smoothed interval)]]</f>
        <v>0.16534653465346538</v>
      </c>
    </row>
    <row r="4008" spans="1:22">
      <c r="A4008" t="s">
        <v>75</v>
      </c>
      <c r="B4008" t="s">
        <v>60</v>
      </c>
      <c r="C4008">
        <v>24</v>
      </c>
      <c r="D4008" t="s">
        <v>22</v>
      </c>
      <c r="E4008" t="s">
        <v>16</v>
      </c>
      <c r="F4008" s="1">
        <v>44207</v>
      </c>
      <c r="G4008">
        <v>0</v>
      </c>
      <c r="H4008">
        <v>0</v>
      </c>
      <c r="I4008">
        <v>9</v>
      </c>
      <c r="J4008">
        <v>9</v>
      </c>
      <c r="K4008">
        <v>0</v>
      </c>
      <c r="L4008">
        <v>434</v>
      </c>
      <c r="M4008">
        <v>45</v>
      </c>
      <c r="N4008" s="1">
        <f t="shared" si="496"/>
        <v>44938</v>
      </c>
      <c r="O4008" s="1">
        <f t="shared" si="497"/>
        <v>43101</v>
      </c>
      <c r="P4008" s="1">
        <f t="shared" si="498"/>
        <v>44501</v>
      </c>
      <c r="Q4008" s="8">
        <f t="shared" si="499"/>
        <v>0</v>
      </c>
      <c r="R4008" s="8">
        <f t="shared" si="500"/>
        <v>47</v>
      </c>
      <c r="S4008" s="8">
        <f t="shared" ca="1" si="501"/>
        <v>45</v>
      </c>
      <c r="T4008">
        <f t="shared" ca="1" si="502"/>
        <v>1.3360000000000003</v>
      </c>
      <c r="U4008" s="8">
        <f t="shared" ca="1" si="503"/>
        <v>8.08</v>
      </c>
      <c r="V4008" s="9">
        <f ca="1">RawData[[#This Row],[Z (smoothed demand size)]]/RawData[[#This Row],[X (smoothed interval)]]</f>
        <v>0.16534653465346538</v>
      </c>
    </row>
    <row r="4009" spans="1:22">
      <c r="A4009" t="s">
        <v>75</v>
      </c>
      <c r="B4009" t="s">
        <v>60</v>
      </c>
      <c r="C4009">
        <v>24</v>
      </c>
      <c r="D4009" t="s">
        <v>22</v>
      </c>
      <c r="E4009" t="s">
        <v>16</v>
      </c>
      <c r="F4009" s="1">
        <v>44208</v>
      </c>
      <c r="G4009">
        <v>0</v>
      </c>
      <c r="H4009">
        <v>0</v>
      </c>
      <c r="I4009">
        <v>9</v>
      </c>
      <c r="J4009">
        <v>9</v>
      </c>
      <c r="K4009">
        <v>0</v>
      </c>
      <c r="L4009">
        <v>501</v>
      </c>
      <c r="M4009">
        <v>45</v>
      </c>
      <c r="N4009" s="1">
        <f t="shared" si="496"/>
        <v>44938</v>
      </c>
      <c r="O4009" s="1">
        <f t="shared" si="497"/>
        <v>43101</v>
      </c>
      <c r="P4009" s="1">
        <f t="shared" si="498"/>
        <v>44531</v>
      </c>
      <c r="Q4009" s="8">
        <f t="shared" si="499"/>
        <v>0</v>
      </c>
      <c r="R4009" s="8">
        <f t="shared" si="500"/>
        <v>48</v>
      </c>
      <c r="S4009" s="8">
        <f t="shared" ca="1" si="501"/>
        <v>45</v>
      </c>
      <c r="T4009">
        <f t="shared" ca="1" si="502"/>
        <v>1.3360000000000003</v>
      </c>
      <c r="U4009" s="8">
        <f t="shared" ca="1" si="503"/>
        <v>8.08</v>
      </c>
      <c r="V4009" s="9">
        <f ca="1">RawData[[#This Row],[Z (smoothed demand size)]]/RawData[[#This Row],[X (smoothed interval)]]</f>
        <v>0.16534653465346538</v>
      </c>
    </row>
    <row r="4010" spans="1:22">
      <c r="A4010" t="s">
        <v>75</v>
      </c>
      <c r="B4010" t="s">
        <v>60</v>
      </c>
      <c r="C4010">
        <v>24</v>
      </c>
      <c r="D4010" t="s">
        <v>22</v>
      </c>
      <c r="E4010" t="s">
        <v>16</v>
      </c>
      <c r="F4010" s="1">
        <v>44562</v>
      </c>
      <c r="G4010">
        <v>3</v>
      </c>
      <c r="H4010">
        <v>3</v>
      </c>
      <c r="I4010">
        <v>9</v>
      </c>
      <c r="J4010">
        <v>6</v>
      </c>
      <c r="K4010">
        <v>0</v>
      </c>
      <c r="L4010">
        <v>441</v>
      </c>
      <c r="M4010">
        <v>60</v>
      </c>
      <c r="N4010" s="1">
        <f t="shared" si="496"/>
        <v>44938</v>
      </c>
      <c r="O4010" s="1">
        <f t="shared" si="497"/>
        <v>43101</v>
      </c>
      <c r="P4010" s="1">
        <f t="shared" si="498"/>
        <v>44562</v>
      </c>
      <c r="Q4010" s="8">
        <f t="shared" si="499"/>
        <v>0</v>
      </c>
      <c r="R4010" s="8">
        <f t="shared" si="500"/>
        <v>49</v>
      </c>
      <c r="S4010" s="8">
        <f t="shared" ca="1" si="501"/>
        <v>49</v>
      </c>
      <c r="T4010">
        <f t="shared" ca="1" si="502"/>
        <v>1.6688000000000003</v>
      </c>
      <c r="U4010" s="8">
        <f t="shared" ca="1" si="503"/>
        <v>7.2640000000000002</v>
      </c>
      <c r="V4010" s="9">
        <f ca="1">RawData[[#This Row],[Z (smoothed demand size)]]/RawData[[#This Row],[X (smoothed interval)]]</f>
        <v>0.22973568281938328</v>
      </c>
    </row>
    <row r="4011" spans="1:22">
      <c r="A4011" t="s">
        <v>75</v>
      </c>
      <c r="B4011" t="s">
        <v>60</v>
      </c>
      <c r="C4011">
        <v>24</v>
      </c>
      <c r="D4011" t="s">
        <v>22</v>
      </c>
      <c r="E4011" t="s">
        <v>16</v>
      </c>
      <c r="F4011" s="1">
        <v>44563</v>
      </c>
      <c r="G4011">
        <v>1</v>
      </c>
      <c r="H4011">
        <v>1</v>
      </c>
      <c r="I4011">
        <v>6</v>
      </c>
      <c r="J4011">
        <v>5</v>
      </c>
      <c r="K4011">
        <v>0</v>
      </c>
      <c r="L4011">
        <v>431</v>
      </c>
      <c r="M4011">
        <v>30</v>
      </c>
      <c r="N4011" s="1">
        <f t="shared" si="496"/>
        <v>44938</v>
      </c>
      <c r="O4011" s="1">
        <f t="shared" si="497"/>
        <v>43101</v>
      </c>
      <c r="P4011" s="1">
        <f t="shared" si="498"/>
        <v>44593</v>
      </c>
      <c r="Q4011" s="8">
        <f t="shared" si="499"/>
        <v>0</v>
      </c>
      <c r="R4011" s="8">
        <f t="shared" si="500"/>
        <v>50</v>
      </c>
      <c r="S4011" s="8">
        <f t="shared" ca="1" si="501"/>
        <v>50</v>
      </c>
      <c r="T4011">
        <f t="shared" ca="1" si="502"/>
        <v>1.5350400000000002</v>
      </c>
      <c r="U4011" s="8">
        <f t="shared" ca="1" si="503"/>
        <v>6.0112000000000005</v>
      </c>
      <c r="V4011" s="9">
        <f ca="1">RawData[[#This Row],[Z (smoothed demand size)]]/RawData[[#This Row],[X (smoothed interval)]]</f>
        <v>0.25536332179930799</v>
      </c>
    </row>
    <row r="4012" spans="1:22">
      <c r="A4012" t="s">
        <v>75</v>
      </c>
      <c r="B4012" t="s">
        <v>60</v>
      </c>
      <c r="C4012">
        <v>24</v>
      </c>
      <c r="D4012" t="s">
        <v>22</v>
      </c>
      <c r="E4012" t="s">
        <v>16</v>
      </c>
      <c r="F4012" s="1">
        <v>44564</v>
      </c>
      <c r="G4012">
        <v>0</v>
      </c>
      <c r="H4012">
        <v>0</v>
      </c>
      <c r="I4012">
        <v>5</v>
      </c>
      <c r="J4012">
        <v>5</v>
      </c>
      <c r="K4012">
        <v>0</v>
      </c>
      <c r="L4012">
        <v>447</v>
      </c>
      <c r="M4012">
        <v>30</v>
      </c>
      <c r="N4012" s="1">
        <f t="shared" si="496"/>
        <v>44938</v>
      </c>
      <c r="O4012" s="1">
        <f t="shared" si="497"/>
        <v>43101</v>
      </c>
      <c r="P4012" s="1">
        <f t="shared" si="498"/>
        <v>44621</v>
      </c>
      <c r="Q4012" s="8">
        <f t="shared" si="499"/>
        <v>0</v>
      </c>
      <c r="R4012" s="8">
        <f t="shared" si="500"/>
        <v>51</v>
      </c>
      <c r="S4012" s="8">
        <f t="shared" ca="1" si="501"/>
        <v>50</v>
      </c>
      <c r="T4012">
        <f t="shared" ca="1" si="502"/>
        <v>1.5350400000000002</v>
      </c>
      <c r="U4012" s="8">
        <f t="shared" ca="1" si="503"/>
        <v>6.0112000000000005</v>
      </c>
      <c r="V4012" s="9">
        <f ca="1">RawData[[#This Row],[Z (smoothed demand size)]]/RawData[[#This Row],[X (smoothed interval)]]</f>
        <v>0.25536332179930799</v>
      </c>
    </row>
    <row r="4013" spans="1:22">
      <c r="A4013" t="s">
        <v>75</v>
      </c>
      <c r="B4013" t="s">
        <v>60</v>
      </c>
      <c r="C4013">
        <v>24</v>
      </c>
      <c r="D4013" t="s">
        <v>22</v>
      </c>
      <c r="E4013" t="s">
        <v>16</v>
      </c>
      <c r="F4013" s="1">
        <v>44565</v>
      </c>
      <c r="G4013">
        <v>0</v>
      </c>
      <c r="H4013">
        <v>0</v>
      </c>
      <c r="I4013">
        <v>5</v>
      </c>
      <c r="J4013">
        <v>5</v>
      </c>
      <c r="K4013">
        <v>0</v>
      </c>
      <c r="L4013">
        <v>440</v>
      </c>
      <c r="M4013">
        <v>15</v>
      </c>
      <c r="N4013" s="1">
        <f t="shared" si="496"/>
        <v>44938</v>
      </c>
      <c r="O4013" s="1">
        <f t="shared" si="497"/>
        <v>43101</v>
      </c>
      <c r="P4013" s="1">
        <f t="shared" si="498"/>
        <v>44652</v>
      </c>
      <c r="Q4013" s="8">
        <f t="shared" si="499"/>
        <v>0</v>
      </c>
      <c r="R4013" s="8">
        <f t="shared" si="500"/>
        <v>52</v>
      </c>
      <c r="S4013" s="8">
        <f t="shared" ca="1" si="501"/>
        <v>50</v>
      </c>
      <c r="T4013">
        <f t="shared" ca="1" si="502"/>
        <v>1.5350400000000002</v>
      </c>
      <c r="U4013" s="8">
        <f t="shared" ca="1" si="503"/>
        <v>6.0112000000000005</v>
      </c>
      <c r="V4013" s="9">
        <f ca="1">RawData[[#This Row],[Z (smoothed demand size)]]/RawData[[#This Row],[X (smoothed interval)]]</f>
        <v>0.25536332179930799</v>
      </c>
    </row>
    <row r="4014" spans="1:22">
      <c r="A4014" t="s">
        <v>75</v>
      </c>
      <c r="B4014" t="s">
        <v>60</v>
      </c>
      <c r="C4014">
        <v>24</v>
      </c>
      <c r="D4014" t="s">
        <v>22</v>
      </c>
      <c r="E4014" t="s">
        <v>16</v>
      </c>
      <c r="F4014" s="1">
        <v>44566</v>
      </c>
      <c r="G4014">
        <v>0</v>
      </c>
      <c r="H4014">
        <v>0</v>
      </c>
      <c r="I4014">
        <v>5</v>
      </c>
      <c r="J4014">
        <v>5</v>
      </c>
      <c r="K4014">
        <v>0</v>
      </c>
      <c r="L4014">
        <v>437</v>
      </c>
      <c r="M4014">
        <v>15</v>
      </c>
      <c r="N4014" s="1">
        <f t="shared" si="496"/>
        <v>44938</v>
      </c>
      <c r="O4014" s="1">
        <f t="shared" si="497"/>
        <v>43101</v>
      </c>
      <c r="P4014" s="1">
        <f t="shared" si="498"/>
        <v>44682</v>
      </c>
      <c r="Q4014" s="8">
        <f t="shared" si="499"/>
        <v>0</v>
      </c>
      <c r="R4014" s="8">
        <f t="shared" si="500"/>
        <v>53</v>
      </c>
      <c r="S4014" s="8">
        <f t="shared" ca="1" si="501"/>
        <v>50</v>
      </c>
      <c r="T4014">
        <f t="shared" ca="1" si="502"/>
        <v>1.5350400000000002</v>
      </c>
      <c r="U4014" s="8">
        <f t="shared" ca="1" si="503"/>
        <v>6.0112000000000005</v>
      </c>
      <c r="V4014" s="9">
        <f ca="1">RawData[[#This Row],[Z (smoothed demand size)]]/RawData[[#This Row],[X (smoothed interval)]]</f>
        <v>0.25536332179930799</v>
      </c>
    </row>
    <row r="4015" spans="1:22">
      <c r="A4015" t="s">
        <v>75</v>
      </c>
      <c r="B4015" t="s">
        <v>60</v>
      </c>
      <c r="C4015">
        <v>24</v>
      </c>
      <c r="D4015" t="s">
        <v>22</v>
      </c>
      <c r="E4015" t="s">
        <v>16</v>
      </c>
      <c r="F4015" s="1">
        <v>44567</v>
      </c>
      <c r="G4015">
        <v>0</v>
      </c>
      <c r="H4015">
        <v>0</v>
      </c>
      <c r="I4015">
        <v>5</v>
      </c>
      <c r="J4015">
        <v>5</v>
      </c>
      <c r="K4015">
        <v>0</v>
      </c>
      <c r="L4015">
        <v>503</v>
      </c>
      <c r="M4015">
        <v>15</v>
      </c>
      <c r="N4015" s="1">
        <f t="shared" si="496"/>
        <v>44938</v>
      </c>
      <c r="O4015" s="1">
        <f t="shared" si="497"/>
        <v>43101</v>
      </c>
      <c r="P4015" s="1">
        <f t="shared" si="498"/>
        <v>44713</v>
      </c>
      <c r="Q4015" s="8">
        <f t="shared" si="499"/>
        <v>0</v>
      </c>
      <c r="R4015" s="8">
        <f t="shared" si="500"/>
        <v>54</v>
      </c>
      <c r="S4015" s="8">
        <f t="shared" ca="1" si="501"/>
        <v>50</v>
      </c>
      <c r="T4015">
        <f t="shared" ca="1" si="502"/>
        <v>1.5350400000000002</v>
      </c>
      <c r="U4015" s="8">
        <f t="shared" ca="1" si="503"/>
        <v>6.0112000000000005</v>
      </c>
      <c r="V4015" s="9">
        <f ca="1">RawData[[#This Row],[Z (smoothed demand size)]]/RawData[[#This Row],[X (smoothed interval)]]</f>
        <v>0.25536332179930799</v>
      </c>
    </row>
    <row r="4016" spans="1:22">
      <c r="A4016" t="s">
        <v>75</v>
      </c>
      <c r="B4016" t="s">
        <v>60</v>
      </c>
      <c r="C4016">
        <v>24</v>
      </c>
      <c r="D4016" t="s">
        <v>22</v>
      </c>
      <c r="E4016" t="s">
        <v>16</v>
      </c>
      <c r="F4016" s="1">
        <v>44568</v>
      </c>
      <c r="G4016">
        <v>0</v>
      </c>
      <c r="H4016">
        <v>0</v>
      </c>
      <c r="I4016">
        <v>5</v>
      </c>
      <c r="J4016">
        <v>5</v>
      </c>
      <c r="K4016">
        <v>0</v>
      </c>
      <c r="L4016">
        <v>512</v>
      </c>
      <c r="M4016">
        <v>15</v>
      </c>
      <c r="N4016" s="1">
        <f t="shared" si="496"/>
        <v>44938</v>
      </c>
      <c r="O4016" s="1">
        <f t="shared" si="497"/>
        <v>43101</v>
      </c>
      <c r="P4016" s="1">
        <f t="shared" si="498"/>
        <v>44743</v>
      </c>
      <c r="Q4016" s="8">
        <f t="shared" si="499"/>
        <v>0</v>
      </c>
      <c r="R4016" s="8">
        <f t="shared" si="500"/>
        <v>55</v>
      </c>
      <c r="S4016" s="8">
        <f t="shared" ca="1" si="501"/>
        <v>50</v>
      </c>
      <c r="T4016">
        <f t="shared" ca="1" si="502"/>
        <v>1.5350400000000002</v>
      </c>
      <c r="U4016" s="8">
        <f t="shared" ca="1" si="503"/>
        <v>6.0112000000000005</v>
      </c>
      <c r="V4016" s="9">
        <f ca="1">RawData[[#This Row],[Z (smoothed demand size)]]/RawData[[#This Row],[X (smoothed interval)]]</f>
        <v>0.25536332179930799</v>
      </c>
    </row>
    <row r="4017" spans="1:22">
      <c r="A4017" t="s">
        <v>75</v>
      </c>
      <c r="B4017" t="s">
        <v>60</v>
      </c>
      <c r="C4017">
        <v>24</v>
      </c>
      <c r="D4017" t="s">
        <v>22</v>
      </c>
      <c r="E4017" t="s">
        <v>16</v>
      </c>
      <c r="F4017" s="1">
        <v>44569</v>
      </c>
      <c r="G4017">
        <v>0</v>
      </c>
      <c r="H4017">
        <v>0</v>
      </c>
      <c r="I4017">
        <v>5</v>
      </c>
      <c r="J4017">
        <v>5</v>
      </c>
      <c r="K4017">
        <v>0</v>
      </c>
      <c r="L4017">
        <v>499</v>
      </c>
      <c r="M4017">
        <v>30</v>
      </c>
      <c r="N4017" s="1">
        <f t="shared" si="496"/>
        <v>44938</v>
      </c>
      <c r="O4017" s="1">
        <f t="shared" si="497"/>
        <v>43101</v>
      </c>
      <c r="P4017" s="1">
        <f t="shared" si="498"/>
        <v>44774</v>
      </c>
      <c r="Q4017" s="8">
        <f t="shared" si="499"/>
        <v>0</v>
      </c>
      <c r="R4017" s="8">
        <f t="shared" si="500"/>
        <v>56</v>
      </c>
      <c r="S4017" s="8">
        <f t="shared" ca="1" si="501"/>
        <v>50</v>
      </c>
      <c r="T4017">
        <f t="shared" ca="1" si="502"/>
        <v>1.5350400000000002</v>
      </c>
      <c r="U4017" s="8">
        <f t="shared" ca="1" si="503"/>
        <v>6.0112000000000005</v>
      </c>
      <c r="V4017" s="9">
        <f ca="1">RawData[[#This Row],[Z (smoothed demand size)]]/RawData[[#This Row],[X (smoothed interval)]]</f>
        <v>0.25536332179930799</v>
      </c>
    </row>
    <row r="4018" spans="1:22">
      <c r="A4018" t="s">
        <v>75</v>
      </c>
      <c r="B4018" t="s">
        <v>60</v>
      </c>
      <c r="C4018">
        <v>24</v>
      </c>
      <c r="D4018" t="s">
        <v>22</v>
      </c>
      <c r="E4018" t="s">
        <v>16</v>
      </c>
      <c r="F4018" s="1">
        <v>44570</v>
      </c>
      <c r="G4018">
        <v>0</v>
      </c>
      <c r="H4018">
        <v>0</v>
      </c>
      <c r="I4018">
        <v>5</v>
      </c>
      <c r="J4018">
        <v>5</v>
      </c>
      <c r="K4018">
        <v>0</v>
      </c>
      <c r="L4018">
        <v>431</v>
      </c>
      <c r="M4018">
        <v>30</v>
      </c>
      <c r="N4018" s="1">
        <f t="shared" si="496"/>
        <v>44938</v>
      </c>
      <c r="O4018" s="1">
        <f t="shared" si="497"/>
        <v>43101</v>
      </c>
      <c r="P4018" s="1">
        <f t="shared" si="498"/>
        <v>44805</v>
      </c>
      <c r="Q4018" s="8">
        <f t="shared" si="499"/>
        <v>0</v>
      </c>
      <c r="R4018" s="8">
        <f t="shared" si="500"/>
        <v>57</v>
      </c>
      <c r="S4018" s="8">
        <f t="shared" ca="1" si="501"/>
        <v>50</v>
      </c>
      <c r="T4018">
        <f t="shared" ca="1" si="502"/>
        <v>1.5350400000000002</v>
      </c>
      <c r="U4018" s="8">
        <f t="shared" ca="1" si="503"/>
        <v>6.0112000000000005</v>
      </c>
      <c r="V4018" s="9">
        <f ca="1">RawData[[#This Row],[Z (smoothed demand size)]]/RawData[[#This Row],[X (smoothed interval)]]</f>
        <v>0.25536332179930799</v>
      </c>
    </row>
    <row r="4019" spans="1:22">
      <c r="A4019" t="s">
        <v>75</v>
      </c>
      <c r="B4019" t="s">
        <v>60</v>
      </c>
      <c r="C4019">
        <v>24</v>
      </c>
      <c r="D4019" t="s">
        <v>22</v>
      </c>
      <c r="E4019" t="s">
        <v>16</v>
      </c>
      <c r="F4019" s="1">
        <v>44571</v>
      </c>
      <c r="G4019">
        <v>0</v>
      </c>
      <c r="H4019">
        <v>0</v>
      </c>
      <c r="I4019">
        <v>5</v>
      </c>
      <c r="J4019">
        <v>5</v>
      </c>
      <c r="K4019">
        <v>0</v>
      </c>
      <c r="L4019">
        <v>435</v>
      </c>
      <c r="M4019">
        <v>60</v>
      </c>
      <c r="N4019" s="1">
        <f t="shared" si="496"/>
        <v>44938</v>
      </c>
      <c r="O4019" s="1">
        <f t="shared" si="497"/>
        <v>43101</v>
      </c>
      <c r="P4019" s="1">
        <f t="shared" si="498"/>
        <v>44835</v>
      </c>
      <c r="Q4019" s="8">
        <f t="shared" si="499"/>
        <v>0</v>
      </c>
      <c r="R4019" s="8">
        <f t="shared" si="500"/>
        <v>58</v>
      </c>
      <c r="S4019" s="8">
        <f t="shared" ca="1" si="501"/>
        <v>50</v>
      </c>
      <c r="T4019">
        <f t="shared" ca="1" si="502"/>
        <v>1.5350400000000002</v>
      </c>
      <c r="U4019" s="8">
        <f t="shared" ca="1" si="503"/>
        <v>6.0112000000000005</v>
      </c>
      <c r="V4019" s="9">
        <f ca="1">RawData[[#This Row],[Z (smoothed demand size)]]/RawData[[#This Row],[X (smoothed interval)]]</f>
        <v>0.25536332179930799</v>
      </c>
    </row>
    <row r="4020" spans="1:22">
      <c r="A4020" t="s">
        <v>75</v>
      </c>
      <c r="B4020" t="s">
        <v>60</v>
      </c>
      <c r="C4020">
        <v>24</v>
      </c>
      <c r="D4020" t="s">
        <v>22</v>
      </c>
      <c r="E4020" t="s">
        <v>16</v>
      </c>
      <c r="F4020" s="1">
        <v>44572</v>
      </c>
      <c r="G4020">
        <v>0</v>
      </c>
      <c r="H4020">
        <v>0</v>
      </c>
      <c r="I4020">
        <v>5</v>
      </c>
      <c r="J4020">
        <v>5</v>
      </c>
      <c r="K4020">
        <v>0</v>
      </c>
      <c r="L4020">
        <v>441</v>
      </c>
      <c r="M4020">
        <v>30</v>
      </c>
      <c r="N4020" s="1">
        <f t="shared" si="496"/>
        <v>44938</v>
      </c>
      <c r="O4020" s="1">
        <f t="shared" si="497"/>
        <v>43101</v>
      </c>
      <c r="P4020" s="1">
        <f t="shared" si="498"/>
        <v>44866</v>
      </c>
      <c r="Q4020" s="8">
        <f t="shared" si="499"/>
        <v>0</v>
      </c>
      <c r="R4020" s="8">
        <f t="shared" si="500"/>
        <v>59</v>
      </c>
      <c r="S4020" s="8">
        <f t="shared" ca="1" si="501"/>
        <v>50</v>
      </c>
      <c r="T4020">
        <f t="shared" ca="1" si="502"/>
        <v>1.5350400000000002</v>
      </c>
      <c r="U4020" s="8">
        <f t="shared" ca="1" si="503"/>
        <v>6.0112000000000005</v>
      </c>
      <c r="V4020" s="9">
        <f ca="1">RawData[[#This Row],[Z (smoothed demand size)]]/RawData[[#This Row],[X (smoothed interval)]]</f>
        <v>0.25536332179930799</v>
      </c>
    </row>
    <row r="4021" spans="1:22">
      <c r="A4021" t="s">
        <v>75</v>
      </c>
      <c r="B4021" t="s">
        <v>60</v>
      </c>
      <c r="C4021">
        <v>24</v>
      </c>
      <c r="D4021" t="s">
        <v>22</v>
      </c>
      <c r="E4021" t="s">
        <v>16</v>
      </c>
      <c r="F4021" s="1">
        <v>44573</v>
      </c>
      <c r="G4021">
        <v>0</v>
      </c>
      <c r="H4021">
        <v>0</v>
      </c>
      <c r="I4021">
        <v>5</v>
      </c>
      <c r="J4021">
        <v>5</v>
      </c>
      <c r="K4021">
        <v>0</v>
      </c>
      <c r="L4021">
        <v>514</v>
      </c>
      <c r="M4021">
        <v>60</v>
      </c>
      <c r="N4021" s="1">
        <f t="shared" si="496"/>
        <v>44938</v>
      </c>
      <c r="O4021" s="1">
        <f t="shared" si="497"/>
        <v>43101</v>
      </c>
      <c r="P4021" s="1">
        <f t="shared" si="498"/>
        <v>44896</v>
      </c>
      <c r="Q4021" s="8">
        <f t="shared" si="499"/>
        <v>0</v>
      </c>
      <c r="R4021" s="8">
        <f t="shared" si="500"/>
        <v>60</v>
      </c>
      <c r="S4021" s="8">
        <f t="shared" ca="1" si="501"/>
        <v>50</v>
      </c>
      <c r="T4021">
        <f t="shared" ca="1" si="502"/>
        <v>1.5350400000000002</v>
      </c>
      <c r="U4021" s="8">
        <f t="shared" ca="1" si="503"/>
        <v>6.0112000000000005</v>
      </c>
      <c r="V4021" s="9">
        <f ca="1">RawData[[#This Row],[Z (smoothed demand size)]]/RawData[[#This Row],[X (smoothed interval)]]</f>
        <v>0.25536332179930799</v>
      </c>
    </row>
    <row r="4022" spans="1:22">
      <c r="A4022" t="s">
        <v>75</v>
      </c>
      <c r="B4022" t="s">
        <v>60</v>
      </c>
      <c r="C4022">
        <v>24</v>
      </c>
      <c r="D4022" t="s">
        <v>22</v>
      </c>
      <c r="E4022" t="s">
        <v>16</v>
      </c>
      <c r="F4022" s="1">
        <v>44927</v>
      </c>
      <c r="G4022">
        <v>0</v>
      </c>
      <c r="H4022">
        <v>0</v>
      </c>
      <c r="I4022">
        <v>5</v>
      </c>
      <c r="J4022">
        <v>5</v>
      </c>
      <c r="K4022">
        <v>0</v>
      </c>
      <c r="L4022">
        <v>444</v>
      </c>
      <c r="M4022">
        <v>45</v>
      </c>
      <c r="N4022" s="1">
        <f t="shared" si="496"/>
        <v>44938</v>
      </c>
      <c r="O4022" s="1">
        <f t="shared" si="497"/>
        <v>43101</v>
      </c>
      <c r="P4022" s="1">
        <f t="shared" si="498"/>
        <v>44927</v>
      </c>
      <c r="Q4022" s="8">
        <f t="shared" si="499"/>
        <v>0</v>
      </c>
      <c r="R4022" s="8">
        <f t="shared" si="500"/>
        <v>61</v>
      </c>
      <c r="S4022" s="8">
        <f t="shared" ca="1" si="501"/>
        <v>50</v>
      </c>
      <c r="T4022">
        <f t="shared" ca="1" si="502"/>
        <v>1.5350400000000002</v>
      </c>
      <c r="U4022" s="8">
        <f t="shared" ca="1" si="503"/>
        <v>6.0112000000000005</v>
      </c>
      <c r="V4022" s="9">
        <f ca="1">RawData[[#This Row],[Z (smoothed demand size)]]/RawData[[#This Row],[X (smoothed interval)]]</f>
        <v>0.25536332179930799</v>
      </c>
    </row>
    <row r="4023" spans="1:22">
      <c r="A4023" t="s">
        <v>75</v>
      </c>
      <c r="B4023" t="s">
        <v>60</v>
      </c>
      <c r="C4023">
        <v>24</v>
      </c>
      <c r="D4023" t="s">
        <v>22</v>
      </c>
      <c r="E4023" t="s">
        <v>16</v>
      </c>
      <c r="F4023" s="1">
        <v>44928</v>
      </c>
      <c r="G4023">
        <v>0</v>
      </c>
      <c r="H4023">
        <v>0</v>
      </c>
      <c r="I4023">
        <v>5</v>
      </c>
      <c r="J4023">
        <v>5</v>
      </c>
      <c r="K4023">
        <v>0</v>
      </c>
      <c r="L4023">
        <v>436</v>
      </c>
      <c r="M4023">
        <v>15</v>
      </c>
      <c r="N4023" s="1">
        <f t="shared" si="496"/>
        <v>44938</v>
      </c>
      <c r="O4023" s="1">
        <f t="shared" si="497"/>
        <v>43101</v>
      </c>
      <c r="P4023" s="1">
        <f t="shared" si="498"/>
        <v>44958</v>
      </c>
      <c r="Q4023" s="8">
        <f t="shared" si="499"/>
        <v>0</v>
      </c>
      <c r="R4023" s="8">
        <f t="shared" si="500"/>
        <v>62</v>
      </c>
      <c r="S4023" s="8">
        <f t="shared" ca="1" si="501"/>
        <v>50</v>
      </c>
      <c r="T4023">
        <f t="shared" ca="1" si="502"/>
        <v>1.5350400000000002</v>
      </c>
      <c r="U4023" s="8">
        <f t="shared" ca="1" si="503"/>
        <v>6.0112000000000005</v>
      </c>
      <c r="V4023" s="9">
        <f ca="1">RawData[[#This Row],[Z (smoothed demand size)]]/RawData[[#This Row],[X (smoothed interval)]]</f>
        <v>0.25536332179930799</v>
      </c>
    </row>
    <row r="4024" spans="1:22">
      <c r="A4024" t="s">
        <v>75</v>
      </c>
      <c r="B4024" t="s">
        <v>60</v>
      </c>
      <c r="C4024">
        <v>24</v>
      </c>
      <c r="D4024" t="s">
        <v>22</v>
      </c>
      <c r="E4024" t="s">
        <v>16</v>
      </c>
      <c r="F4024" s="1">
        <v>44929</v>
      </c>
      <c r="G4024">
        <v>0</v>
      </c>
      <c r="H4024">
        <v>0</v>
      </c>
      <c r="I4024">
        <v>5</v>
      </c>
      <c r="J4024">
        <v>5</v>
      </c>
      <c r="K4024">
        <v>0</v>
      </c>
      <c r="L4024">
        <v>440</v>
      </c>
      <c r="M4024">
        <v>30</v>
      </c>
      <c r="N4024" s="1">
        <f t="shared" si="496"/>
        <v>44938</v>
      </c>
      <c r="O4024" s="1">
        <f t="shared" si="497"/>
        <v>43101</v>
      </c>
      <c r="P4024" s="1">
        <f t="shared" si="498"/>
        <v>44986</v>
      </c>
      <c r="Q4024" s="8">
        <f t="shared" si="499"/>
        <v>0</v>
      </c>
      <c r="R4024" s="8">
        <f t="shared" si="500"/>
        <v>63</v>
      </c>
      <c r="S4024" s="8">
        <f t="shared" ca="1" si="501"/>
        <v>50</v>
      </c>
      <c r="T4024">
        <f t="shared" ca="1" si="502"/>
        <v>1.5350400000000002</v>
      </c>
      <c r="U4024" s="8">
        <f t="shared" ca="1" si="503"/>
        <v>6.0112000000000005</v>
      </c>
      <c r="V4024" s="9">
        <f ca="1">RawData[[#This Row],[Z (smoothed demand size)]]/RawData[[#This Row],[X (smoothed interval)]]</f>
        <v>0.25536332179930799</v>
      </c>
    </row>
    <row r="4025" spans="1:22">
      <c r="A4025" t="s">
        <v>75</v>
      </c>
      <c r="B4025" t="s">
        <v>60</v>
      </c>
      <c r="C4025">
        <v>24</v>
      </c>
      <c r="D4025" t="s">
        <v>22</v>
      </c>
      <c r="E4025" t="s">
        <v>16</v>
      </c>
      <c r="F4025" s="1">
        <v>44930</v>
      </c>
      <c r="G4025">
        <v>0</v>
      </c>
      <c r="H4025">
        <v>0</v>
      </c>
      <c r="I4025">
        <v>5</v>
      </c>
      <c r="J4025">
        <v>5</v>
      </c>
      <c r="K4025">
        <v>0</v>
      </c>
      <c r="L4025">
        <v>440</v>
      </c>
      <c r="M4025">
        <v>30</v>
      </c>
      <c r="N4025" s="1">
        <f t="shared" si="496"/>
        <v>44938</v>
      </c>
      <c r="O4025" s="1">
        <f t="shared" si="497"/>
        <v>43101</v>
      </c>
      <c r="P4025" s="1">
        <f t="shared" si="498"/>
        <v>45017</v>
      </c>
      <c r="Q4025" s="8">
        <f t="shared" si="499"/>
        <v>0</v>
      </c>
      <c r="R4025" s="8">
        <f t="shared" si="500"/>
        <v>64</v>
      </c>
      <c r="S4025" s="8">
        <f t="shared" ca="1" si="501"/>
        <v>50</v>
      </c>
      <c r="T4025">
        <f t="shared" ca="1" si="502"/>
        <v>1.5350400000000002</v>
      </c>
      <c r="U4025" s="8">
        <f t="shared" ca="1" si="503"/>
        <v>6.0112000000000005</v>
      </c>
      <c r="V4025" s="9">
        <f ca="1">RawData[[#This Row],[Z (smoothed demand size)]]/RawData[[#This Row],[X (smoothed interval)]]</f>
        <v>0.25536332179930799</v>
      </c>
    </row>
    <row r="4026" spans="1:22">
      <c r="A4026" t="s">
        <v>75</v>
      </c>
      <c r="B4026" t="s">
        <v>60</v>
      </c>
      <c r="C4026">
        <v>24</v>
      </c>
      <c r="D4026" t="s">
        <v>22</v>
      </c>
      <c r="E4026" t="s">
        <v>16</v>
      </c>
      <c r="F4026" s="1">
        <v>44931</v>
      </c>
      <c r="G4026">
        <v>2</v>
      </c>
      <c r="H4026">
        <v>2</v>
      </c>
      <c r="I4026">
        <v>5</v>
      </c>
      <c r="J4026">
        <v>3</v>
      </c>
      <c r="K4026">
        <v>0</v>
      </c>
      <c r="L4026">
        <v>439</v>
      </c>
      <c r="M4026">
        <v>45</v>
      </c>
      <c r="N4026" s="1">
        <f t="shared" si="496"/>
        <v>44938</v>
      </c>
      <c r="O4026" s="1">
        <f t="shared" si="497"/>
        <v>43101</v>
      </c>
      <c r="P4026" s="1">
        <f t="shared" si="498"/>
        <v>45047</v>
      </c>
      <c r="Q4026" s="8">
        <f t="shared" si="499"/>
        <v>0</v>
      </c>
      <c r="R4026" s="8">
        <f t="shared" si="500"/>
        <v>65</v>
      </c>
      <c r="S4026" s="8">
        <f t="shared" ca="1" si="501"/>
        <v>65</v>
      </c>
      <c r="T4026">
        <f t="shared" ca="1" si="502"/>
        <v>1.6280320000000001</v>
      </c>
      <c r="U4026" s="8">
        <f t="shared" ca="1" si="503"/>
        <v>7.8089600000000008</v>
      </c>
      <c r="V4026" s="9">
        <f ca="1">RawData[[#This Row],[Z (smoothed demand size)]]/RawData[[#This Row],[X (smoothed interval)]]</f>
        <v>0.20848256361922715</v>
      </c>
    </row>
    <row r="4027" spans="1:22">
      <c r="A4027" t="s">
        <v>75</v>
      </c>
      <c r="B4027" t="s">
        <v>60</v>
      </c>
      <c r="C4027">
        <v>24</v>
      </c>
      <c r="D4027" t="s">
        <v>22</v>
      </c>
      <c r="E4027" t="s">
        <v>16</v>
      </c>
      <c r="F4027" s="1">
        <v>44932</v>
      </c>
      <c r="G4027">
        <v>0</v>
      </c>
      <c r="H4027">
        <v>0</v>
      </c>
      <c r="I4027">
        <v>3</v>
      </c>
      <c r="J4027">
        <v>3</v>
      </c>
      <c r="K4027">
        <v>0</v>
      </c>
      <c r="L4027">
        <v>494</v>
      </c>
      <c r="M4027">
        <v>15</v>
      </c>
      <c r="N4027" s="1">
        <f t="shared" si="496"/>
        <v>44938</v>
      </c>
      <c r="O4027" s="1">
        <f t="shared" si="497"/>
        <v>43101</v>
      </c>
      <c r="P4027" s="1">
        <f t="shared" si="498"/>
        <v>45078</v>
      </c>
      <c r="Q4027" s="8">
        <f t="shared" si="499"/>
        <v>0</v>
      </c>
      <c r="R4027" s="8">
        <f t="shared" si="500"/>
        <v>66</v>
      </c>
      <c r="S4027" s="8">
        <f t="shared" ca="1" si="501"/>
        <v>65</v>
      </c>
      <c r="T4027">
        <f t="shared" ca="1" si="502"/>
        <v>1.6280320000000001</v>
      </c>
      <c r="U4027" s="8">
        <f t="shared" ca="1" si="503"/>
        <v>7.8089600000000008</v>
      </c>
      <c r="V4027" s="9">
        <f ca="1">RawData[[#This Row],[Z (smoothed demand size)]]/RawData[[#This Row],[X (smoothed interval)]]</f>
        <v>0.20848256361922715</v>
      </c>
    </row>
    <row r="4028" spans="1:22">
      <c r="A4028" t="s">
        <v>75</v>
      </c>
      <c r="B4028" t="s">
        <v>60</v>
      </c>
      <c r="C4028">
        <v>24</v>
      </c>
      <c r="D4028" t="s">
        <v>22</v>
      </c>
      <c r="E4028" t="s">
        <v>16</v>
      </c>
      <c r="F4028" s="1">
        <v>44933</v>
      </c>
      <c r="G4028">
        <v>0</v>
      </c>
      <c r="H4028">
        <v>0</v>
      </c>
      <c r="I4028">
        <v>23</v>
      </c>
      <c r="J4028">
        <v>23</v>
      </c>
      <c r="K4028">
        <v>0</v>
      </c>
      <c r="L4028">
        <v>502</v>
      </c>
      <c r="M4028">
        <v>45</v>
      </c>
      <c r="N4028" s="1">
        <f t="shared" si="496"/>
        <v>44938</v>
      </c>
      <c r="O4028" s="1">
        <f t="shared" si="497"/>
        <v>43101</v>
      </c>
      <c r="P4028" s="1">
        <f t="shared" si="498"/>
        <v>45108</v>
      </c>
      <c r="Q4028" s="8">
        <f t="shared" si="499"/>
        <v>0</v>
      </c>
      <c r="R4028" s="8">
        <f t="shared" si="500"/>
        <v>67</v>
      </c>
      <c r="S4028" s="8">
        <f t="shared" ca="1" si="501"/>
        <v>65</v>
      </c>
      <c r="T4028">
        <f t="shared" ca="1" si="502"/>
        <v>1.6280320000000001</v>
      </c>
      <c r="U4028" s="8">
        <f t="shared" ca="1" si="503"/>
        <v>7.8089600000000008</v>
      </c>
      <c r="V4028" s="9">
        <f ca="1">RawData[[#This Row],[Z (smoothed demand size)]]/RawData[[#This Row],[X (smoothed interval)]]</f>
        <v>0.20848256361922715</v>
      </c>
    </row>
    <row r="4029" spans="1:22">
      <c r="A4029" t="s">
        <v>75</v>
      </c>
      <c r="B4029" t="s">
        <v>60</v>
      </c>
      <c r="C4029">
        <v>24</v>
      </c>
      <c r="D4029" t="s">
        <v>22</v>
      </c>
      <c r="E4029" t="s">
        <v>16</v>
      </c>
      <c r="F4029" s="1">
        <v>44934</v>
      </c>
      <c r="G4029">
        <v>2</v>
      </c>
      <c r="H4029">
        <v>2</v>
      </c>
      <c r="I4029">
        <v>23</v>
      </c>
      <c r="J4029">
        <v>21</v>
      </c>
      <c r="K4029">
        <v>0</v>
      </c>
      <c r="L4029">
        <v>508</v>
      </c>
      <c r="M4029">
        <v>45</v>
      </c>
      <c r="N4029" s="1">
        <f t="shared" si="496"/>
        <v>44938</v>
      </c>
      <c r="O4029" s="1">
        <f t="shared" si="497"/>
        <v>43101</v>
      </c>
      <c r="P4029" s="1">
        <f t="shared" si="498"/>
        <v>45139</v>
      </c>
      <c r="Q4029" s="8">
        <f t="shared" si="499"/>
        <v>0</v>
      </c>
      <c r="R4029" s="8">
        <f t="shared" si="500"/>
        <v>68</v>
      </c>
      <c r="S4029" s="8">
        <f t="shared" ca="1" si="501"/>
        <v>68</v>
      </c>
      <c r="T4029">
        <f t="shared" ca="1" si="502"/>
        <v>1.7024256000000002</v>
      </c>
      <c r="U4029" s="8">
        <f t="shared" ca="1" si="503"/>
        <v>6.8471680000000017</v>
      </c>
      <c r="V4029" s="9">
        <f ca="1">RawData[[#This Row],[Z (smoothed demand size)]]/RawData[[#This Row],[X (smoothed interval)]]</f>
        <v>0.24863207679437685</v>
      </c>
    </row>
    <row r="4030" spans="1:22">
      <c r="A4030" t="s">
        <v>75</v>
      </c>
      <c r="B4030" t="s">
        <v>60</v>
      </c>
      <c r="C4030">
        <v>24</v>
      </c>
      <c r="D4030" t="s">
        <v>22</v>
      </c>
      <c r="E4030" t="s">
        <v>16</v>
      </c>
      <c r="F4030" s="1">
        <v>44935</v>
      </c>
      <c r="G4030">
        <v>2</v>
      </c>
      <c r="H4030">
        <v>2</v>
      </c>
      <c r="I4030">
        <v>21</v>
      </c>
      <c r="J4030">
        <v>19</v>
      </c>
      <c r="K4030">
        <v>0</v>
      </c>
      <c r="L4030">
        <v>447</v>
      </c>
      <c r="M4030">
        <v>15</v>
      </c>
      <c r="N4030" s="1">
        <f t="shared" si="496"/>
        <v>44938</v>
      </c>
      <c r="O4030" s="1">
        <f t="shared" si="497"/>
        <v>43101</v>
      </c>
      <c r="P4030" s="1">
        <f t="shared" si="498"/>
        <v>45170</v>
      </c>
      <c r="Q4030" s="8">
        <f t="shared" si="499"/>
        <v>0</v>
      </c>
      <c r="R4030" s="8">
        <f t="shared" si="500"/>
        <v>69</v>
      </c>
      <c r="S4030" s="8">
        <f t="shared" ca="1" si="501"/>
        <v>69</v>
      </c>
      <c r="T4030">
        <f t="shared" ca="1" si="502"/>
        <v>1.7619404800000003</v>
      </c>
      <c r="U4030" s="8">
        <f t="shared" ca="1" si="503"/>
        <v>5.6777344000000021</v>
      </c>
      <c r="V4030" s="9">
        <f ca="1">RawData[[#This Row],[Z (smoothed demand size)]]/RawData[[#This Row],[X (smoothed interval)]]</f>
        <v>0.3103245688984676</v>
      </c>
    </row>
    <row r="4031" spans="1:22">
      <c r="A4031" t="s">
        <v>75</v>
      </c>
      <c r="B4031" t="s">
        <v>60</v>
      </c>
      <c r="C4031">
        <v>24</v>
      </c>
      <c r="D4031" t="s">
        <v>22</v>
      </c>
      <c r="E4031" t="s">
        <v>16</v>
      </c>
      <c r="F4031" s="1">
        <v>44936</v>
      </c>
      <c r="G4031">
        <v>1</v>
      </c>
      <c r="H4031">
        <v>1</v>
      </c>
      <c r="I4031">
        <v>19</v>
      </c>
      <c r="J4031">
        <v>18</v>
      </c>
      <c r="K4031">
        <v>0</v>
      </c>
      <c r="L4031">
        <v>440</v>
      </c>
      <c r="M4031">
        <v>45</v>
      </c>
      <c r="N4031" s="1">
        <f t="shared" si="496"/>
        <v>44938</v>
      </c>
      <c r="O4031" s="1">
        <f t="shared" si="497"/>
        <v>43101</v>
      </c>
      <c r="P4031" s="1">
        <f t="shared" si="498"/>
        <v>45200</v>
      </c>
      <c r="Q4031" s="8">
        <f t="shared" si="499"/>
        <v>0</v>
      </c>
      <c r="R4031" s="8">
        <f t="shared" si="500"/>
        <v>70</v>
      </c>
      <c r="S4031" s="8">
        <f t="shared" ca="1" si="501"/>
        <v>70</v>
      </c>
      <c r="T4031">
        <f t="shared" ca="1" si="502"/>
        <v>1.6095523840000003</v>
      </c>
      <c r="U4031" s="8">
        <f t="shared" ca="1" si="503"/>
        <v>4.7421875200000017</v>
      </c>
      <c r="V4031" s="9">
        <f ca="1">RawData[[#This Row],[Z (smoothed demand size)]]/RawData[[#This Row],[X (smoothed interval)]]</f>
        <v>0.33941137443674935</v>
      </c>
    </row>
    <row r="4032" spans="1:22">
      <c r="A4032" t="s">
        <v>75</v>
      </c>
      <c r="B4032" t="s">
        <v>60</v>
      </c>
      <c r="C4032">
        <v>24</v>
      </c>
      <c r="D4032" t="s">
        <v>22</v>
      </c>
      <c r="E4032" t="s">
        <v>16</v>
      </c>
      <c r="F4032" s="1">
        <v>44937</v>
      </c>
      <c r="G4032">
        <v>0</v>
      </c>
      <c r="H4032">
        <v>0</v>
      </c>
      <c r="I4032">
        <v>18</v>
      </c>
      <c r="J4032">
        <v>18</v>
      </c>
      <c r="K4032">
        <v>0</v>
      </c>
      <c r="L4032">
        <v>443</v>
      </c>
      <c r="M4032">
        <v>15</v>
      </c>
      <c r="N4032" s="1">
        <f t="shared" si="496"/>
        <v>44938</v>
      </c>
      <c r="O4032" s="1">
        <f t="shared" si="497"/>
        <v>43101</v>
      </c>
      <c r="P4032" s="1">
        <f t="shared" si="498"/>
        <v>45231</v>
      </c>
      <c r="Q4032" s="8">
        <f t="shared" si="499"/>
        <v>0</v>
      </c>
      <c r="R4032" s="8">
        <f t="shared" si="500"/>
        <v>71</v>
      </c>
      <c r="S4032" s="8">
        <f t="shared" ca="1" si="501"/>
        <v>70</v>
      </c>
      <c r="T4032">
        <f t="shared" ca="1" si="502"/>
        <v>1.6095523840000003</v>
      </c>
      <c r="U4032" s="8">
        <f t="shared" ca="1" si="503"/>
        <v>4.7421875200000017</v>
      </c>
      <c r="V4032" s="9">
        <f ca="1">RawData[[#This Row],[Z (smoothed demand size)]]/RawData[[#This Row],[X (smoothed interval)]]</f>
        <v>0.33941137443674935</v>
      </c>
    </row>
    <row r="4033" spans="1:22">
      <c r="A4033" t="s">
        <v>75</v>
      </c>
      <c r="B4033" t="s">
        <v>60</v>
      </c>
      <c r="C4033">
        <v>24</v>
      </c>
      <c r="D4033" t="s">
        <v>22</v>
      </c>
      <c r="E4033" t="s">
        <v>16</v>
      </c>
      <c r="F4033" s="1">
        <v>44938</v>
      </c>
      <c r="G4033">
        <v>0</v>
      </c>
      <c r="H4033">
        <v>0</v>
      </c>
      <c r="I4033">
        <v>18</v>
      </c>
      <c r="J4033">
        <v>18</v>
      </c>
      <c r="K4033">
        <v>0</v>
      </c>
      <c r="L4033">
        <v>509</v>
      </c>
      <c r="M4033">
        <v>30</v>
      </c>
      <c r="N4033" s="1">
        <f t="shared" si="496"/>
        <v>44938</v>
      </c>
      <c r="O4033" s="1">
        <f t="shared" si="497"/>
        <v>43101</v>
      </c>
      <c r="P4033" s="1">
        <f t="shared" si="498"/>
        <v>45261</v>
      </c>
      <c r="Q4033" s="8">
        <f t="shared" si="499"/>
        <v>0</v>
      </c>
      <c r="R4033" s="8">
        <f t="shared" si="500"/>
        <v>72</v>
      </c>
      <c r="S4033" s="8">
        <f t="shared" ca="1" si="501"/>
        <v>70</v>
      </c>
      <c r="T4033">
        <f t="shared" ca="1" si="502"/>
        <v>1.6095523840000003</v>
      </c>
      <c r="U4033" s="8">
        <f t="shared" ca="1" si="503"/>
        <v>4.7421875200000017</v>
      </c>
      <c r="V4033" s="9">
        <f ca="1">RawData[[#This Row],[Z (smoothed demand size)]]/RawData[[#This Row],[X (smoothed interval)]]</f>
        <v>0.33941137443674935</v>
      </c>
    </row>
    <row r="4034" spans="1:22">
      <c r="A4034" t="s">
        <v>76</v>
      </c>
      <c r="B4034" t="s">
        <v>60</v>
      </c>
      <c r="C4034">
        <v>21</v>
      </c>
      <c r="D4034" t="s">
        <v>18</v>
      </c>
      <c r="E4034" t="s">
        <v>16</v>
      </c>
      <c r="F4034" s="1">
        <v>43101</v>
      </c>
      <c r="G4034">
        <v>0</v>
      </c>
      <c r="H4034">
        <v>0</v>
      </c>
      <c r="I4034">
        <v>21</v>
      </c>
      <c r="J4034">
        <v>21</v>
      </c>
      <c r="K4034">
        <v>0</v>
      </c>
      <c r="L4034">
        <v>433</v>
      </c>
      <c r="M4034">
        <v>45</v>
      </c>
      <c r="N4034" s="1">
        <f t="shared" ref="N4034:N4097" si="504">MAX(F:F)</f>
        <v>44938</v>
      </c>
      <c r="O4034" s="1">
        <f t="shared" ref="O4034:O4097" si="505">MIN(F:F)</f>
        <v>43101</v>
      </c>
      <c r="P4034" s="1">
        <f t="shared" ref="P4034:P4097" si="506">DATE(YEAR(F4034), DAY(F4034), 1)</f>
        <v>43101</v>
      </c>
      <c r="Q4034" s="8">
        <f t="shared" ref="Q4034:Q4097" si="507" xml:space="preserve"> IF(A4034&lt;&gt;A4033, 1, 0)</f>
        <v>1</v>
      </c>
      <c r="R4034" s="8">
        <f t="shared" ref="R4034:R4097" si="508">IF(Q4034=1,1,R4033+1)</f>
        <v>1</v>
      </c>
      <c r="S4034" s="8">
        <f t="shared" ref="S4034:S4097" ca="1" si="509" xml:space="preserve"> IF(Q4034=1, IF(G4034&gt;0, R4034, 0), IF(G4034&gt;0, R4034, OFFSET(S4034,-1,0)))</f>
        <v>0</v>
      </c>
      <c r="T4034">
        <f t="shared" ref="T4034:T4097" ca="1" si="510" xml:space="preserve"> IF(Q4034=1, IF(G4034&gt;0, G4034, 0), IF(G4034&gt;0, $X$1*G4034+(1-$X$1)*OFFSET(T4034,-1,0), OFFSET(T4034,-1,0)))</f>
        <v>0</v>
      </c>
      <c r="U4034" s="8">
        <f t="shared" ref="U4034:U4097" ca="1" si="511" xml:space="preserve"> IF(Q4034=1, 1, IF(G4034&gt;0, $X$1*(R4034-OFFSET(S4034,-1,0))+(1-$X$1)*OFFSET(U4034,-1,0), OFFSET(U4034,-1,0)))</f>
        <v>1</v>
      </c>
      <c r="V4034" s="9">
        <f ca="1">RawData[[#This Row],[Z (smoothed demand size)]]/RawData[[#This Row],[X (smoothed interval)]]</f>
        <v>0</v>
      </c>
    </row>
    <row r="4035" spans="1:22">
      <c r="A4035" t="s">
        <v>76</v>
      </c>
      <c r="B4035" t="s">
        <v>60</v>
      </c>
      <c r="C4035">
        <v>21</v>
      </c>
      <c r="D4035" t="s">
        <v>18</v>
      </c>
      <c r="E4035" t="s">
        <v>16</v>
      </c>
      <c r="F4035" s="1">
        <v>43102</v>
      </c>
      <c r="G4035">
        <v>0</v>
      </c>
      <c r="H4035">
        <v>0</v>
      </c>
      <c r="I4035">
        <v>21</v>
      </c>
      <c r="J4035">
        <v>21</v>
      </c>
      <c r="K4035">
        <v>0</v>
      </c>
      <c r="L4035">
        <v>429</v>
      </c>
      <c r="M4035">
        <v>45</v>
      </c>
      <c r="N4035" s="1">
        <f t="shared" si="504"/>
        <v>44938</v>
      </c>
      <c r="O4035" s="1">
        <f t="shared" si="505"/>
        <v>43101</v>
      </c>
      <c r="P4035" s="1">
        <f t="shared" si="506"/>
        <v>43132</v>
      </c>
      <c r="Q4035" s="8">
        <f t="shared" si="507"/>
        <v>0</v>
      </c>
      <c r="R4035" s="8">
        <f t="shared" si="508"/>
        <v>2</v>
      </c>
      <c r="S4035" s="8">
        <f t="shared" ca="1" si="509"/>
        <v>0</v>
      </c>
      <c r="T4035">
        <f t="shared" ca="1" si="510"/>
        <v>0</v>
      </c>
      <c r="U4035" s="8">
        <f t="shared" ca="1" si="511"/>
        <v>1</v>
      </c>
      <c r="V4035" s="9">
        <f ca="1">RawData[[#This Row],[Z (smoothed demand size)]]/RawData[[#This Row],[X (smoothed interval)]]</f>
        <v>0</v>
      </c>
    </row>
    <row r="4036" spans="1:22">
      <c r="A4036" t="s">
        <v>76</v>
      </c>
      <c r="B4036" t="s">
        <v>60</v>
      </c>
      <c r="C4036">
        <v>21</v>
      </c>
      <c r="D4036" t="s">
        <v>18</v>
      </c>
      <c r="E4036" t="s">
        <v>16</v>
      </c>
      <c r="F4036" s="1">
        <v>43103</v>
      </c>
      <c r="G4036">
        <v>0</v>
      </c>
      <c r="H4036">
        <v>0</v>
      </c>
      <c r="I4036">
        <v>21</v>
      </c>
      <c r="J4036">
        <v>21</v>
      </c>
      <c r="K4036">
        <v>0</v>
      </c>
      <c r="L4036">
        <v>433</v>
      </c>
      <c r="M4036">
        <v>30</v>
      </c>
      <c r="N4036" s="1">
        <f t="shared" si="504"/>
        <v>44938</v>
      </c>
      <c r="O4036" s="1">
        <f t="shared" si="505"/>
        <v>43101</v>
      </c>
      <c r="P4036" s="1">
        <f t="shared" si="506"/>
        <v>43160</v>
      </c>
      <c r="Q4036" s="8">
        <f t="shared" si="507"/>
        <v>0</v>
      </c>
      <c r="R4036" s="8">
        <f t="shared" si="508"/>
        <v>3</v>
      </c>
      <c r="S4036" s="8">
        <f t="shared" ca="1" si="509"/>
        <v>0</v>
      </c>
      <c r="T4036">
        <f t="shared" ca="1" si="510"/>
        <v>0</v>
      </c>
      <c r="U4036" s="8">
        <f t="shared" ca="1" si="511"/>
        <v>1</v>
      </c>
      <c r="V4036" s="9">
        <f ca="1">RawData[[#This Row],[Z (smoothed demand size)]]/RawData[[#This Row],[X (smoothed interval)]]</f>
        <v>0</v>
      </c>
    </row>
    <row r="4037" spans="1:22">
      <c r="A4037" t="s">
        <v>76</v>
      </c>
      <c r="B4037" t="s">
        <v>60</v>
      </c>
      <c r="C4037">
        <v>21</v>
      </c>
      <c r="D4037" t="s">
        <v>18</v>
      </c>
      <c r="E4037" t="s">
        <v>16</v>
      </c>
      <c r="F4037" s="1">
        <v>43104</v>
      </c>
      <c r="G4037">
        <v>0</v>
      </c>
      <c r="H4037">
        <v>0</v>
      </c>
      <c r="I4037">
        <v>21</v>
      </c>
      <c r="J4037">
        <v>21</v>
      </c>
      <c r="K4037">
        <v>0</v>
      </c>
      <c r="L4037">
        <v>419</v>
      </c>
      <c r="M4037">
        <v>30</v>
      </c>
      <c r="N4037" s="1">
        <f t="shared" si="504"/>
        <v>44938</v>
      </c>
      <c r="O4037" s="1">
        <f t="shared" si="505"/>
        <v>43101</v>
      </c>
      <c r="P4037" s="1">
        <f t="shared" si="506"/>
        <v>43191</v>
      </c>
      <c r="Q4037" s="8">
        <f t="shared" si="507"/>
        <v>0</v>
      </c>
      <c r="R4037" s="8">
        <f t="shared" si="508"/>
        <v>4</v>
      </c>
      <c r="S4037" s="8">
        <f t="shared" ca="1" si="509"/>
        <v>0</v>
      </c>
      <c r="T4037">
        <f t="shared" ca="1" si="510"/>
        <v>0</v>
      </c>
      <c r="U4037" s="8">
        <f t="shared" ca="1" si="511"/>
        <v>1</v>
      </c>
      <c r="V4037" s="9">
        <f ca="1">RawData[[#This Row],[Z (smoothed demand size)]]/RawData[[#This Row],[X (smoothed interval)]]</f>
        <v>0</v>
      </c>
    </row>
    <row r="4038" spans="1:22">
      <c r="A4038" t="s">
        <v>76</v>
      </c>
      <c r="B4038" t="s">
        <v>60</v>
      </c>
      <c r="C4038">
        <v>21</v>
      </c>
      <c r="D4038" t="s">
        <v>18</v>
      </c>
      <c r="E4038" t="s">
        <v>16</v>
      </c>
      <c r="F4038" s="1">
        <v>43105</v>
      </c>
      <c r="G4038">
        <v>0</v>
      </c>
      <c r="H4038">
        <v>0</v>
      </c>
      <c r="I4038">
        <v>21</v>
      </c>
      <c r="J4038">
        <v>21</v>
      </c>
      <c r="K4038">
        <v>0</v>
      </c>
      <c r="L4038">
        <v>427</v>
      </c>
      <c r="M4038">
        <v>30</v>
      </c>
      <c r="N4038" s="1">
        <f t="shared" si="504"/>
        <v>44938</v>
      </c>
      <c r="O4038" s="1">
        <f t="shared" si="505"/>
        <v>43101</v>
      </c>
      <c r="P4038" s="1">
        <f t="shared" si="506"/>
        <v>43221</v>
      </c>
      <c r="Q4038" s="8">
        <f t="shared" si="507"/>
        <v>0</v>
      </c>
      <c r="R4038" s="8">
        <f t="shared" si="508"/>
        <v>5</v>
      </c>
      <c r="S4038" s="8">
        <f t="shared" ca="1" si="509"/>
        <v>0</v>
      </c>
      <c r="T4038">
        <f t="shared" ca="1" si="510"/>
        <v>0</v>
      </c>
      <c r="U4038" s="8">
        <f t="shared" ca="1" si="511"/>
        <v>1</v>
      </c>
      <c r="V4038" s="9">
        <f ca="1">RawData[[#This Row],[Z (smoothed demand size)]]/RawData[[#This Row],[X (smoothed interval)]]</f>
        <v>0</v>
      </c>
    </row>
    <row r="4039" spans="1:22">
      <c r="A4039" t="s">
        <v>76</v>
      </c>
      <c r="B4039" t="s">
        <v>60</v>
      </c>
      <c r="C4039">
        <v>21</v>
      </c>
      <c r="D4039" t="s">
        <v>18</v>
      </c>
      <c r="E4039" t="s">
        <v>16</v>
      </c>
      <c r="F4039" s="1">
        <v>43106</v>
      </c>
      <c r="G4039">
        <v>0</v>
      </c>
      <c r="H4039">
        <v>0</v>
      </c>
      <c r="I4039">
        <v>21</v>
      </c>
      <c r="J4039">
        <v>21</v>
      </c>
      <c r="K4039">
        <v>0</v>
      </c>
      <c r="L4039">
        <v>487</v>
      </c>
      <c r="M4039">
        <v>45</v>
      </c>
      <c r="N4039" s="1">
        <f t="shared" si="504"/>
        <v>44938</v>
      </c>
      <c r="O4039" s="1">
        <f t="shared" si="505"/>
        <v>43101</v>
      </c>
      <c r="P4039" s="1">
        <f t="shared" si="506"/>
        <v>43252</v>
      </c>
      <c r="Q4039" s="8">
        <f t="shared" si="507"/>
        <v>0</v>
      </c>
      <c r="R4039" s="8">
        <f t="shared" si="508"/>
        <v>6</v>
      </c>
      <c r="S4039" s="8">
        <f t="shared" ca="1" si="509"/>
        <v>0</v>
      </c>
      <c r="T4039">
        <f t="shared" ca="1" si="510"/>
        <v>0</v>
      </c>
      <c r="U4039" s="8">
        <f t="shared" ca="1" si="511"/>
        <v>1</v>
      </c>
      <c r="V4039" s="9">
        <f ca="1">RawData[[#This Row],[Z (smoothed demand size)]]/RawData[[#This Row],[X (smoothed interval)]]</f>
        <v>0</v>
      </c>
    </row>
    <row r="4040" spans="1:22">
      <c r="A4040" t="s">
        <v>76</v>
      </c>
      <c r="B4040" t="s">
        <v>60</v>
      </c>
      <c r="C4040">
        <v>21</v>
      </c>
      <c r="D4040" t="s">
        <v>18</v>
      </c>
      <c r="E4040" t="s">
        <v>16</v>
      </c>
      <c r="F4040" s="1">
        <v>43107</v>
      </c>
      <c r="G4040">
        <v>4</v>
      </c>
      <c r="H4040">
        <v>4</v>
      </c>
      <c r="I4040">
        <v>21</v>
      </c>
      <c r="J4040">
        <v>17</v>
      </c>
      <c r="K4040">
        <v>0</v>
      </c>
      <c r="L4040">
        <v>487</v>
      </c>
      <c r="M4040">
        <v>45</v>
      </c>
      <c r="N4040" s="1">
        <f t="shared" si="504"/>
        <v>44938</v>
      </c>
      <c r="O4040" s="1">
        <f t="shared" si="505"/>
        <v>43101</v>
      </c>
      <c r="P4040" s="1">
        <f t="shared" si="506"/>
        <v>43282</v>
      </c>
      <c r="Q4040" s="8">
        <f t="shared" si="507"/>
        <v>0</v>
      </c>
      <c r="R4040" s="8">
        <f t="shared" si="508"/>
        <v>7</v>
      </c>
      <c r="S4040" s="8">
        <f t="shared" ca="1" si="509"/>
        <v>7</v>
      </c>
      <c r="T4040">
        <f t="shared" ca="1" si="510"/>
        <v>0.8</v>
      </c>
      <c r="U4040" s="8">
        <f t="shared" ca="1" si="511"/>
        <v>2.2000000000000002</v>
      </c>
      <c r="V4040" s="9">
        <f ca="1">RawData[[#This Row],[Z (smoothed demand size)]]/RawData[[#This Row],[X (smoothed interval)]]</f>
        <v>0.36363636363636365</v>
      </c>
    </row>
    <row r="4041" spans="1:22">
      <c r="A4041" t="s">
        <v>76</v>
      </c>
      <c r="B4041" t="s">
        <v>60</v>
      </c>
      <c r="C4041">
        <v>21</v>
      </c>
      <c r="D4041" t="s">
        <v>18</v>
      </c>
      <c r="E4041" t="s">
        <v>16</v>
      </c>
      <c r="F4041" s="1">
        <v>43108</v>
      </c>
      <c r="G4041">
        <v>3</v>
      </c>
      <c r="H4041">
        <v>3</v>
      </c>
      <c r="I4041">
        <v>17</v>
      </c>
      <c r="J4041">
        <v>14</v>
      </c>
      <c r="K4041">
        <v>0</v>
      </c>
      <c r="L4041">
        <v>481</v>
      </c>
      <c r="M4041">
        <v>45</v>
      </c>
      <c r="N4041" s="1">
        <f t="shared" si="504"/>
        <v>44938</v>
      </c>
      <c r="O4041" s="1">
        <f t="shared" si="505"/>
        <v>43101</v>
      </c>
      <c r="P4041" s="1">
        <f t="shared" si="506"/>
        <v>43313</v>
      </c>
      <c r="Q4041" s="8">
        <f t="shared" si="507"/>
        <v>0</v>
      </c>
      <c r="R4041" s="8">
        <f t="shared" si="508"/>
        <v>8</v>
      </c>
      <c r="S4041" s="8">
        <f t="shared" ca="1" si="509"/>
        <v>8</v>
      </c>
      <c r="T4041">
        <f t="shared" ca="1" si="510"/>
        <v>1.2400000000000002</v>
      </c>
      <c r="U4041" s="8">
        <f t="shared" ca="1" si="511"/>
        <v>1.9600000000000002</v>
      </c>
      <c r="V4041" s="9">
        <f ca="1">RawData[[#This Row],[Z (smoothed demand size)]]/RawData[[#This Row],[X (smoothed interval)]]</f>
        <v>0.63265306122448983</v>
      </c>
    </row>
    <row r="4042" spans="1:22">
      <c r="A4042" t="s">
        <v>76</v>
      </c>
      <c r="B4042" t="s">
        <v>60</v>
      </c>
      <c r="C4042">
        <v>21</v>
      </c>
      <c r="D4042" t="s">
        <v>18</v>
      </c>
      <c r="E4042" t="s">
        <v>16</v>
      </c>
      <c r="F4042" s="1">
        <v>43109</v>
      </c>
      <c r="G4042">
        <v>0</v>
      </c>
      <c r="H4042">
        <v>0</v>
      </c>
      <c r="I4042">
        <v>14</v>
      </c>
      <c r="J4042">
        <v>14</v>
      </c>
      <c r="K4042">
        <v>0</v>
      </c>
      <c r="L4042">
        <v>431</v>
      </c>
      <c r="M4042">
        <v>30</v>
      </c>
      <c r="N4042" s="1">
        <f t="shared" si="504"/>
        <v>44938</v>
      </c>
      <c r="O4042" s="1">
        <f t="shared" si="505"/>
        <v>43101</v>
      </c>
      <c r="P4042" s="1">
        <f t="shared" si="506"/>
        <v>43344</v>
      </c>
      <c r="Q4042" s="8">
        <f t="shared" si="507"/>
        <v>0</v>
      </c>
      <c r="R4042" s="8">
        <f t="shared" si="508"/>
        <v>9</v>
      </c>
      <c r="S4042" s="8">
        <f t="shared" ca="1" si="509"/>
        <v>8</v>
      </c>
      <c r="T4042">
        <f t="shared" ca="1" si="510"/>
        <v>1.2400000000000002</v>
      </c>
      <c r="U4042" s="8">
        <f t="shared" ca="1" si="511"/>
        <v>1.9600000000000002</v>
      </c>
      <c r="V4042" s="9">
        <f ca="1">RawData[[#This Row],[Z (smoothed demand size)]]/RawData[[#This Row],[X (smoothed interval)]]</f>
        <v>0.63265306122448983</v>
      </c>
    </row>
    <row r="4043" spans="1:22">
      <c r="A4043" t="s">
        <v>76</v>
      </c>
      <c r="B4043" t="s">
        <v>60</v>
      </c>
      <c r="C4043">
        <v>21</v>
      </c>
      <c r="D4043" t="s">
        <v>18</v>
      </c>
      <c r="E4043" t="s">
        <v>16</v>
      </c>
      <c r="F4043" s="1">
        <v>43110</v>
      </c>
      <c r="G4043">
        <v>0</v>
      </c>
      <c r="H4043">
        <v>0</v>
      </c>
      <c r="I4043">
        <v>14</v>
      </c>
      <c r="J4043">
        <v>14</v>
      </c>
      <c r="K4043">
        <v>0</v>
      </c>
      <c r="L4043">
        <v>418</v>
      </c>
      <c r="M4043">
        <v>45</v>
      </c>
      <c r="N4043" s="1">
        <f t="shared" si="504"/>
        <v>44938</v>
      </c>
      <c r="O4043" s="1">
        <f t="shared" si="505"/>
        <v>43101</v>
      </c>
      <c r="P4043" s="1">
        <f t="shared" si="506"/>
        <v>43374</v>
      </c>
      <c r="Q4043" s="8">
        <f t="shared" si="507"/>
        <v>0</v>
      </c>
      <c r="R4043" s="8">
        <f t="shared" si="508"/>
        <v>10</v>
      </c>
      <c r="S4043" s="8">
        <f t="shared" ca="1" si="509"/>
        <v>8</v>
      </c>
      <c r="T4043">
        <f t="shared" ca="1" si="510"/>
        <v>1.2400000000000002</v>
      </c>
      <c r="U4043" s="8">
        <f t="shared" ca="1" si="511"/>
        <v>1.9600000000000002</v>
      </c>
      <c r="V4043" s="9">
        <f ca="1">RawData[[#This Row],[Z (smoothed demand size)]]/RawData[[#This Row],[X (smoothed interval)]]</f>
        <v>0.63265306122448983</v>
      </c>
    </row>
    <row r="4044" spans="1:22">
      <c r="A4044" t="s">
        <v>76</v>
      </c>
      <c r="B4044" t="s">
        <v>60</v>
      </c>
      <c r="C4044">
        <v>21</v>
      </c>
      <c r="D4044" t="s">
        <v>18</v>
      </c>
      <c r="E4044" t="s">
        <v>16</v>
      </c>
      <c r="F4044" s="1">
        <v>43111</v>
      </c>
      <c r="G4044">
        <v>0</v>
      </c>
      <c r="H4044">
        <v>0</v>
      </c>
      <c r="I4044">
        <v>14</v>
      </c>
      <c r="J4044">
        <v>14</v>
      </c>
      <c r="K4044">
        <v>0</v>
      </c>
      <c r="L4044">
        <v>429</v>
      </c>
      <c r="M4044">
        <v>30</v>
      </c>
      <c r="N4044" s="1">
        <f t="shared" si="504"/>
        <v>44938</v>
      </c>
      <c r="O4044" s="1">
        <f t="shared" si="505"/>
        <v>43101</v>
      </c>
      <c r="P4044" s="1">
        <f t="shared" si="506"/>
        <v>43405</v>
      </c>
      <c r="Q4044" s="8">
        <f t="shared" si="507"/>
        <v>0</v>
      </c>
      <c r="R4044" s="8">
        <f t="shared" si="508"/>
        <v>11</v>
      </c>
      <c r="S4044" s="8">
        <f t="shared" ca="1" si="509"/>
        <v>8</v>
      </c>
      <c r="T4044">
        <f t="shared" ca="1" si="510"/>
        <v>1.2400000000000002</v>
      </c>
      <c r="U4044" s="8">
        <f t="shared" ca="1" si="511"/>
        <v>1.9600000000000002</v>
      </c>
      <c r="V4044" s="9">
        <f ca="1">RawData[[#This Row],[Z (smoothed demand size)]]/RawData[[#This Row],[X (smoothed interval)]]</f>
        <v>0.63265306122448983</v>
      </c>
    </row>
    <row r="4045" spans="1:22">
      <c r="A4045" t="s">
        <v>76</v>
      </c>
      <c r="B4045" t="s">
        <v>60</v>
      </c>
      <c r="C4045">
        <v>21</v>
      </c>
      <c r="D4045" t="s">
        <v>18</v>
      </c>
      <c r="E4045" t="s">
        <v>16</v>
      </c>
      <c r="F4045" s="1">
        <v>43112</v>
      </c>
      <c r="G4045">
        <v>0</v>
      </c>
      <c r="H4045">
        <v>0</v>
      </c>
      <c r="I4045">
        <v>14</v>
      </c>
      <c r="J4045">
        <v>14</v>
      </c>
      <c r="K4045">
        <v>0</v>
      </c>
      <c r="L4045">
        <v>487</v>
      </c>
      <c r="M4045">
        <v>45</v>
      </c>
      <c r="N4045" s="1">
        <f t="shared" si="504"/>
        <v>44938</v>
      </c>
      <c r="O4045" s="1">
        <f t="shared" si="505"/>
        <v>43101</v>
      </c>
      <c r="P4045" s="1">
        <f t="shared" si="506"/>
        <v>43435</v>
      </c>
      <c r="Q4045" s="8">
        <f t="shared" si="507"/>
        <v>0</v>
      </c>
      <c r="R4045" s="8">
        <f t="shared" si="508"/>
        <v>12</v>
      </c>
      <c r="S4045" s="8">
        <f t="shared" ca="1" si="509"/>
        <v>8</v>
      </c>
      <c r="T4045">
        <f t="shared" ca="1" si="510"/>
        <v>1.2400000000000002</v>
      </c>
      <c r="U4045" s="8">
        <f t="shared" ca="1" si="511"/>
        <v>1.9600000000000002</v>
      </c>
      <c r="V4045" s="9">
        <f ca="1">RawData[[#This Row],[Z (smoothed demand size)]]/RawData[[#This Row],[X (smoothed interval)]]</f>
        <v>0.63265306122448983</v>
      </c>
    </row>
    <row r="4046" spans="1:22">
      <c r="A4046" t="s">
        <v>76</v>
      </c>
      <c r="B4046" t="s">
        <v>60</v>
      </c>
      <c r="C4046">
        <v>21</v>
      </c>
      <c r="D4046" t="s">
        <v>18</v>
      </c>
      <c r="E4046" t="s">
        <v>16</v>
      </c>
      <c r="F4046" s="1">
        <v>43466</v>
      </c>
      <c r="G4046">
        <v>0</v>
      </c>
      <c r="H4046">
        <v>0</v>
      </c>
      <c r="I4046">
        <v>14</v>
      </c>
      <c r="J4046">
        <v>14</v>
      </c>
      <c r="K4046">
        <v>0</v>
      </c>
      <c r="L4046">
        <v>420</v>
      </c>
      <c r="M4046">
        <v>45</v>
      </c>
      <c r="N4046" s="1">
        <f t="shared" si="504"/>
        <v>44938</v>
      </c>
      <c r="O4046" s="1">
        <f t="shared" si="505"/>
        <v>43101</v>
      </c>
      <c r="P4046" s="1">
        <f t="shared" si="506"/>
        <v>43466</v>
      </c>
      <c r="Q4046" s="8">
        <f t="shared" si="507"/>
        <v>0</v>
      </c>
      <c r="R4046" s="8">
        <f t="shared" si="508"/>
        <v>13</v>
      </c>
      <c r="S4046" s="8">
        <f t="shared" ca="1" si="509"/>
        <v>8</v>
      </c>
      <c r="T4046">
        <f t="shared" ca="1" si="510"/>
        <v>1.2400000000000002</v>
      </c>
      <c r="U4046" s="8">
        <f t="shared" ca="1" si="511"/>
        <v>1.9600000000000002</v>
      </c>
      <c r="V4046" s="9">
        <f ca="1">RawData[[#This Row],[Z (smoothed demand size)]]/RawData[[#This Row],[X (smoothed interval)]]</f>
        <v>0.63265306122448983</v>
      </c>
    </row>
    <row r="4047" spans="1:22">
      <c r="A4047" t="s">
        <v>76</v>
      </c>
      <c r="B4047" t="s">
        <v>60</v>
      </c>
      <c r="C4047">
        <v>21</v>
      </c>
      <c r="D4047" t="s">
        <v>18</v>
      </c>
      <c r="E4047" t="s">
        <v>16</v>
      </c>
      <c r="F4047" s="1">
        <v>43467</v>
      </c>
      <c r="G4047">
        <v>0</v>
      </c>
      <c r="H4047">
        <v>0</v>
      </c>
      <c r="I4047">
        <v>14</v>
      </c>
      <c r="J4047">
        <v>14</v>
      </c>
      <c r="K4047">
        <v>0</v>
      </c>
      <c r="L4047">
        <v>420</v>
      </c>
      <c r="M4047">
        <v>30</v>
      </c>
      <c r="N4047" s="1">
        <f t="shared" si="504"/>
        <v>44938</v>
      </c>
      <c r="O4047" s="1">
        <f t="shared" si="505"/>
        <v>43101</v>
      </c>
      <c r="P4047" s="1">
        <f t="shared" si="506"/>
        <v>43497</v>
      </c>
      <c r="Q4047" s="8">
        <f t="shared" si="507"/>
        <v>0</v>
      </c>
      <c r="R4047" s="8">
        <f t="shared" si="508"/>
        <v>14</v>
      </c>
      <c r="S4047" s="8">
        <f t="shared" ca="1" si="509"/>
        <v>8</v>
      </c>
      <c r="T4047">
        <f t="shared" ca="1" si="510"/>
        <v>1.2400000000000002</v>
      </c>
      <c r="U4047" s="8">
        <f t="shared" ca="1" si="511"/>
        <v>1.9600000000000002</v>
      </c>
      <c r="V4047" s="9">
        <f ca="1">RawData[[#This Row],[Z (smoothed demand size)]]/RawData[[#This Row],[X (smoothed interval)]]</f>
        <v>0.63265306122448983</v>
      </c>
    </row>
    <row r="4048" spans="1:22">
      <c r="A4048" t="s">
        <v>76</v>
      </c>
      <c r="B4048" t="s">
        <v>60</v>
      </c>
      <c r="C4048">
        <v>21</v>
      </c>
      <c r="D4048" t="s">
        <v>18</v>
      </c>
      <c r="E4048" t="s">
        <v>16</v>
      </c>
      <c r="F4048" s="1">
        <v>43468</v>
      </c>
      <c r="G4048">
        <v>0</v>
      </c>
      <c r="H4048">
        <v>0</v>
      </c>
      <c r="I4048">
        <v>14</v>
      </c>
      <c r="J4048">
        <v>14</v>
      </c>
      <c r="K4048">
        <v>0</v>
      </c>
      <c r="L4048">
        <v>424</v>
      </c>
      <c r="M4048">
        <v>30</v>
      </c>
      <c r="N4048" s="1">
        <f t="shared" si="504"/>
        <v>44938</v>
      </c>
      <c r="O4048" s="1">
        <f t="shared" si="505"/>
        <v>43101</v>
      </c>
      <c r="P4048" s="1">
        <f t="shared" si="506"/>
        <v>43525</v>
      </c>
      <c r="Q4048" s="8">
        <f t="shared" si="507"/>
        <v>0</v>
      </c>
      <c r="R4048" s="8">
        <f t="shared" si="508"/>
        <v>15</v>
      </c>
      <c r="S4048" s="8">
        <f t="shared" ca="1" si="509"/>
        <v>8</v>
      </c>
      <c r="T4048">
        <f t="shared" ca="1" si="510"/>
        <v>1.2400000000000002</v>
      </c>
      <c r="U4048" s="8">
        <f t="shared" ca="1" si="511"/>
        <v>1.9600000000000002</v>
      </c>
      <c r="V4048" s="9">
        <f ca="1">RawData[[#This Row],[Z (smoothed demand size)]]/RawData[[#This Row],[X (smoothed interval)]]</f>
        <v>0.63265306122448983</v>
      </c>
    </row>
    <row r="4049" spans="1:22">
      <c r="A4049" t="s">
        <v>76</v>
      </c>
      <c r="B4049" t="s">
        <v>60</v>
      </c>
      <c r="C4049">
        <v>21</v>
      </c>
      <c r="D4049" t="s">
        <v>18</v>
      </c>
      <c r="E4049" t="s">
        <v>16</v>
      </c>
      <c r="F4049" s="1">
        <v>43469</v>
      </c>
      <c r="G4049">
        <v>0</v>
      </c>
      <c r="H4049">
        <v>0</v>
      </c>
      <c r="I4049">
        <v>14</v>
      </c>
      <c r="J4049">
        <v>14</v>
      </c>
      <c r="K4049">
        <v>0</v>
      </c>
      <c r="L4049">
        <v>422</v>
      </c>
      <c r="M4049">
        <v>30</v>
      </c>
      <c r="N4049" s="1">
        <f t="shared" si="504"/>
        <v>44938</v>
      </c>
      <c r="O4049" s="1">
        <f t="shared" si="505"/>
        <v>43101</v>
      </c>
      <c r="P4049" s="1">
        <f t="shared" si="506"/>
        <v>43556</v>
      </c>
      <c r="Q4049" s="8">
        <f t="shared" si="507"/>
        <v>0</v>
      </c>
      <c r="R4049" s="8">
        <f t="shared" si="508"/>
        <v>16</v>
      </c>
      <c r="S4049" s="8">
        <f t="shared" ca="1" si="509"/>
        <v>8</v>
      </c>
      <c r="T4049">
        <f t="shared" ca="1" si="510"/>
        <v>1.2400000000000002</v>
      </c>
      <c r="U4049" s="8">
        <f t="shared" ca="1" si="511"/>
        <v>1.9600000000000002</v>
      </c>
      <c r="V4049" s="9">
        <f ca="1">RawData[[#This Row],[Z (smoothed demand size)]]/RawData[[#This Row],[X (smoothed interval)]]</f>
        <v>0.63265306122448983</v>
      </c>
    </row>
    <row r="4050" spans="1:22">
      <c r="A4050" t="s">
        <v>76</v>
      </c>
      <c r="B4050" t="s">
        <v>60</v>
      </c>
      <c r="C4050">
        <v>21</v>
      </c>
      <c r="D4050" t="s">
        <v>18</v>
      </c>
      <c r="E4050" t="s">
        <v>16</v>
      </c>
      <c r="F4050" s="1">
        <v>43470</v>
      </c>
      <c r="G4050">
        <v>0</v>
      </c>
      <c r="H4050">
        <v>0</v>
      </c>
      <c r="I4050">
        <v>14</v>
      </c>
      <c r="J4050">
        <v>14</v>
      </c>
      <c r="K4050">
        <v>0</v>
      </c>
      <c r="L4050">
        <v>424</v>
      </c>
      <c r="M4050">
        <v>60</v>
      </c>
      <c r="N4050" s="1">
        <f t="shared" si="504"/>
        <v>44938</v>
      </c>
      <c r="O4050" s="1">
        <f t="shared" si="505"/>
        <v>43101</v>
      </c>
      <c r="P4050" s="1">
        <f t="shared" si="506"/>
        <v>43586</v>
      </c>
      <c r="Q4050" s="8">
        <f t="shared" si="507"/>
        <v>0</v>
      </c>
      <c r="R4050" s="8">
        <f t="shared" si="508"/>
        <v>17</v>
      </c>
      <c r="S4050" s="8">
        <f t="shared" ca="1" si="509"/>
        <v>8</v>
      </c>
      <c r="T4050">
        <f t="shared" ca="1" si="510"/>
        <v>1.2400000000000002</v>
      </c>
      <c r="U4050" s="8">
        <f t="shared" ca="1" si="511"/>
        <v>1.9600000000000002</v>
      </c>
      <c r="V4050" s="9">
        <f ca="1">RawData[[#This Row],[Z (smoothed demand size)]]/RawData[[#This Row],[X (smoothed interval)]]</f>
        <v>0.63265306122448983</v>
      </c>
    </row>
    <row r="4051" spans="1:22">
      <c r="A4051" t="s">
        <v>76</v>
      </c>
      <c r="B4051" t="s">
        <v>60</v>
      </c>
      <c r="C4051">
        <v>21</v>
      </c>
      <c r="D4051" t="s">
        <v>18</v>
      </c>
      <c r="E4051" t="s">
        <v>16</v>
      </c>
      <c r="F4051" s="1">
        <v>43471</v>
      </c>
      <c r="G4051">
        <v>0</v>
      </c>
      <c r="H4051">
        <v>0</v>
      </c>
      <c r="I4051">
        <v>14</v>
      </c>
      <c r="J4051">
        <v>14</v>
      </c>
      <c r="K4051">
        <v>0</v>
      </c>
      <c r="L4051">
        <v>478</v>
      </c>
      <c r="M4051">
        <v>15</v>
      </c>
      <c r="N4051" s="1">
        <f t="shared" si="504"/>
        <v>44938</v>
      </c>
      <c r="O4051" s="1">
        <f t="shared" si="505"/>
        <v>43101</v>
      </c>
      <c r="P4051" s="1">
        <f t="shared" si="506"/>
        <v>43617</v>
      </c>
      <c r="Q4051" s="8">
        <f t="shared" si="507"/>
        <v>0</v>
      </c>
      <c r="R4051" s="8">
        <f t="shared" si="508"/>
        <v>18</v>
      </c>
      <c r="S4051" s="8">
        <f t="shared" ca="1" si="509"/>
        <v>8</v>
      </c>
      <c r="T4051">
        <f t="shared" ca="1" si="510"/>
        <v>1.2400000000000002</v>
      </c>
      <c r="U4051" s="8">
        <f t="shared" ca="1" si="511"/>
        <v>1.9600000000000002</v>
      </c>
      <c r="V4051" s="9">
        <f ca="1">RawData[[#This Row],[Z (smoothed demand size)]]/RawData[[#This Row],[X (smoothed interval)]]</f>
        <v>0.63265306122448983</v>
      </c>
    </row>
    <row r="4052" spans="1:22">
      <c r="A4052" t="s">
        <v>76</v>
      </c>
      <c r="B4052" t="s">
        <v>60</v>
      </c>
      <c r="C4052">
        <v>21</v>
      </c>
      <c r="D4052" t="s">
        <v>18</v>
      </c>
      <c r="E4052" t="s">
        <v>16</v>
      </c>
      <c r="F4052" s="1">
        <v>43472</v>
      </c>
      <c r="G4052">
        <v>0</v>
      </c>
      <c r="H4052">
        <v>0</v>
      </c>
      <c r="I4052">
        <v>14</v>
      </c>
      <c r="J4052">
        <v>14</v>
      </c>
      <c r="K4052">
        <v>0</v>
      </c>
      <c r="L4052">
        <v>477</v>
      </c>
      <c r="M4052">
        <v>60</v>
      </c>
      <c r="N4052" s="1">
        <f t="shared" si="504"/>
        <v>44938</v>
      </c>
      <c r="O4052" s="1">
        <f t="shared" si="505"/>
        <v>43101</v>
      </c>
      <c r="P4052" s="1">
        <f t="shared" si="506"/>
        <v>43647</v>
      </c>
      <c r="Q4052" s="8">
        <f t="shared" si="507"/>
        <v>0</v>
      </c>
      <c r="R4052" s="8">
        <f t="shared" si="508"/>
        <v>19</v>
      </c>
      <c r="S4052" s="8">
        <f t="shared" ca="1" si="509"/>
        <v>8</v>
      </c>
      <c r="T4052">
        <f t="shared" ca="1" si="510"/>
        <v>1.2400000000000002</v>
      </c>
      <c r="U4052" s="8">
        <f t="shared" ca="1" si="511"/>
        <v>1.9600000000000002</v>
      </c>
      <c r="V4052" s="9">
        <f ca="1">RawData[[#This Row],[Z (smoothed demand size)]]/RawData[[#This Row],[X (smoothed interval)]]</f>
        <v>0.63265306122448983</v>
      </c>
    </row>
    <row r="4053" spans="1:22">
      <c r="A4053" t="s">
        <v>76</v>
      </c>
      <c r="B4053" t="s">
        <v>60</v>
      </c>
      <c r="C4053">
        <v>21</v>
      </c>
      <c r="D4053" t="s">
        <v>18</v>
      </c>
      <c r="E4053" t="s">
        <v>16</v>
      </c>
      <c r="F4053" s="1">
        <v>43473</v>
      </c>
      <c r="G4053">
        <v>0</v>
      </c>
      <c r="H4053">
        <v>0</v>
      </c>
      <c r="I4053">
        <v>14</v>
      </c>
      <c r="J4053">
        <v>14</v>
      </c>
      <c r="K4053">
        <v>0</v>
      </c>
      <c r="L4053">
        <v>478</v>
      </c>
      <c r="M4053">
        <v>15</v>
      </c>
      <c r="N4053" s="1">
        <f t="shared" si="504"/>
        <v>44938</v>
      </c>
      <c r="O4053" s="1">
        <f t="shared" si="505"/>
        <v>43101</v>
      </c>
      <c r="P4053" s="1">
        <f t="shared" si="506"/>
        <v>43678</v>
      </c>
      <c r="Q4053" s="8">
        <f t="shared" si="507"/>
        <v>0</v>
      </c>
      <c r="R4053" s="8">
        <f t="shared" si="508"/>
        <v>20</v>
      </c>
      <c r="S4053" s="8">
        <f t="shared" ca="1" si="509"/>
        <v>8</v>
      </c>
      <c r="T4053">
        <f t="shared" ca="1" si="510"/>
        <v>1.2400000000000002</v>
      </c>
      <c r="U4053" s="8">
        <f t="shared" ca="1" si="511"/>
        <v>1.9600000000000002</v>
      </c>
      <c r="V4053" s="9">
        <f ca="1">RawData[[#This Row],[Z (smoothed demand size)]]/RawData[[#This Row],[X (smoothed interval)]]</f>
        <v>0.63265306122448983</v>
      </c>
    </row>
    <row r="4054" spans="1:22">
      <c r="A4054" t="s">
        <v>76</v>
      </c>
      <c r="B4054" t="s">
        <v>60</v>
      </c>
      <c r="C4054">
        <v>21</v>
      </c>
      <c r="D4054" t="s">
        <v>18</v>
      </c>
      <c r="E4054" t="s">
        <v>16</v>
      </c>
      <c r="F4054" s="1">
        <v>43474</v>
      </c>
      <c r="G4054">
        <v>0</v>
      </c>
      <c r="H4054">
        <v>0</v>
      </c>
      <c r="I4054">
        <v>14</v>
      </c>
      <c r="J4054">
        <v>14</v>
      </c>
      <c r="K4054">
        <v>0</v>
      </c>
      <c r="L4054">
        <v>427</v>
      </c>
      <c r="M4054">
        <v>45</v>
      </c>
      <c r="N4054" s="1">
        <f t="shared" si="504"/>
        <v>44938</v>
      </c>
      <c r="O4054" s="1">
        <f t="shared" si="505"/>
        <v>43101</v>
      </c>
      <c r="P4054" s="1">
        <f t="shared" si="506"/>
        <v>43709</v>
      </c>
      <c r="Q4054" s="8">
        <f t="shared" si="507"/>
        <v>0</v>
      </c>
      <c r="R4054" s="8">
        <f t="shared" si="508"/>
        <v>21</v>
      </c>
      <c r="S4054" s="8">
        <f t="shared" ca="1" si="509"/>
        <v>8</v>
      </c>
      <c r="T4054">
        <f t="shared" ca="1" si="510"/>
        <v>1.2400000000000002</v>
      </c>
      <c r="U4054" s="8">
        <f t="shared" ca="1" si="511"/>
        <v>1.9600000000000002</v>
      </c>
      <c r="V4054" s="9">
        <f ca="1">RawData[[#This Row],[Z (smoothed demand size)]]/RawData[[#This Row],[X (smoothed interval)]]</f>
        <v>0.63265306122448983</v>
      </c>
    </row>
    <row r="4055" spans="1:22">
      <c r="A4055" t="s">
        <v>76</v>
      </c>
      <c r="B4055" t="s">
        <v>60</v>
      </c>
      <c r="C4055">
        <v>21</v>
      </c>
      <c r="D4055" t="s">
        <v>18</v>
      </c>
      <c r="E4055" t="s">
        <v>16</v>
      </c>
      <c r="F4055" s="1">
        <v>43475</v>
      </c>
      <c r="G4055">
        <v>2</v>
      </c>
      <c r="H4055">
        <v>2</v>
      </c>
      <c r="I4055">
        <v>14</v>
      </c>
      <c r="J4055">
        <v>12</v>
      </c>
      <c r="K4055">
        <v>0</v>
      </c>
      <c r="L4055">
        <v>430</v>
      </c>
      <c r="M4055">
        <v>45</v>
      </c>
      <c r="N4055" s="1">
        <f t="shared" si="504"/>
        <v>44938</v>
      </c>
      <c r="O4055" s="1">
        <f t="shared" si="505"/>
        <v>43101</v>
      </c>
      <c r="P4055" s="1">
        <f t="shared" si="506"/>
        <v>43739</v>
      </c>
      <c r="Q4055" s="8">
        <f t="shared" si="507"/>
        <v>0</v>
      </c>
      <c r="R4055" s="8">
        <f t="shared" si="508"/>
        <v>22</v>
      </c>
      <c r="S4055" s="8">
        <f t="shared" ca="1" si="509"/>
        <v>22</v>
      </c>
      <c r="T4055">
        <f t="shared" ca="1" si="510"/>
        <v>1.3920000000000003</v>
      </c>
      <c r="U4055" s="8">
        <f t="shared" ca="1" si="511"/>
        <v>4.3680000000000003</v>
      </c>
      <c r="V4055" s="9">
        <f ca="1">RawData[[#This Row],[Z (smoothed demand size)]]/RawData[[#This Row],[X (smoothed interval)]]</f>
        <v>0.31868131868131871</v>
      </c>
    </row>
    <row r="4056" spans="1:22">
      <c r="A4056" t="s">
        <v>76</v>
      </c>
      <c r="B4056" t="s">
        <v>60</v>
      </c>
      <c r="C4056">
        <v>21</v>
      </c>
      <c r="D4056" t="s">
        <v>18</v>
      </c>
      <c r="E4056" t="s">
        <v>16</v>
      </c>
      <c r="F4056" s="1">
        <v>43476</v>
      </c>
      <c r="G4056">
        <v>3</v>
      </c>
      <c r="H4056">
        <v>3</v>
      </c>
      <c r="I4056">
        <v>12</v>
      </c>
      <c r="J4056">
        <v>9</v>
      </c>
      <c r="K4056">
        <v>0</v>
      </c>
      <c r="L4056">
        <v>423</v>
      </c>
      <c r="M4056">
        <v>45</v>
      </c>
      <c r="N4056" s="1">
        <f t="shared" si="504"/>
        <v>44938</v>
      </c>
      <c r="O4056" s="1">
        <f t="shared" si="505"/>
        <v>43101</v>
      </c>
      <c r="P4056" s="1">
        <f t="shared" si="506"/>
        <v>43770</v>
      </c>
      <c r="Q4056" s="8">
        <f t="shared" si="507"/>
        <v>0</v>
      </c>
      <c r="R4056" s="8">
        <f t="shared" si="508"/>
        <v>23</v>
      </c>
      <c r="S4056" s="8">
        <f t="shared" ca="1" si="509"/>
        <v>23</v>
      </c>
      <c r="T4056">
        <f t="shared" ca="1" si="510"/>
        <v>1.7136000000000005</v>
      </c>
      <c r="U4056" s="8">
        <f t="shared" ca="1" si="511"/>
        <v>3.6944000000000008</v>
      </c>
      <c r="V4056" s="9">
        <f ca="1">RawData[[#This Row],[Z (smoothed demand size)]]/RawData[[#This Row],[X (smoothed interval)]]</f>
        <v>0.46383715894326549</v>
      </c>
    </row>
    <row r="4057" spans="1:22">
      <c r="A4057" t="s">
        <v>76</v>
      </c>
      <c r="B4057" t="s">
        <v>60</v>
      </c>
      <c r="C4057">
        <v>21</v>
      </c>
      <c r="D4057" t="s">
        <v>18</v>
      </c>
      <c r="E4057" t="s">
        <v>16</v>
      </c>
      <c r="F4057" s="1">
        <v>43477</v>
      </c>
      <c r="G4057">
        <v>0</v>
      </c>
      <c r="H4057">
        <v>0</v>
      </c>
      <c r="I4057">
        <v>9</v>
      </c>
      <c r="J4057">
        <v>9</v>
      </c>
      <c r="K4057">
        <v>0</v>
      </c>
      <c r="L4057">
        <v>491</v>
      </c>
      <c r="M4057">
        <v>60</v>
      </c>
      <c r="N4057" s="1">
        <f t="shared" si="504"/>
        <v>44938</v>
      </c>
      <c r="O4057" s="1">
        <f t="shared" si="505"/>
        <v>43101</v>
      </c>
      <c r="P4057" s="1">
        <f t="shared" si="506"/>
        <v>43800</v>
      </c>
      <c r="Q4057" s="8">
        <f t="shared" si="507"/>
        <v>0</v>
      </c>
      <c r="R4057" s="8">
        <f t="shared" si="508"/>
        <v>24</v>
      </c>
      <c r="S4057" s="8">
        <f t="shared" ca="1" si="509"/>
        <v>23</v>
      </c>
      <c r="T4057">
        <f t="shared" ca="1" si="510"/>
        <v>1.7136000000000005</v>
      </c>
      <c r="U4057" s="8">
        <f t="shared" ca="1" si="511"/>
        <v>3.6944000000000008</v>
      </c>
      <c r="V4057" s="9">
        <f ca="1">RawData[[#This Row],[Z (smoothed demand size)]]/RawData[[#This Row],[X (smoothed interval)]]</f>
        <v>0.46383715894326549</v>
      </c>
    </row>
    <row r="4058" spans="1:22">
      <c r="A4058" t="s">
        <v>76</v>
      </c>
      <c r="B4058" t="s">
        <v>60</v>
      </c>
      <c r="C4058">
        <v>21</v>
      </c>
      <c r="D4058" t="s">
        <v>18</v>
      </c>
      <c r="E4058" t="s">
        <v>16</v>
      </c>
      <c r="F4058" s="1">
        <v>43831</v>
      </c>
      <c r="G4058">
        <v>0</v>
      </c>
      <c r="H4058">
        <v>0</v>
      </c>
      <c r="I4058">
        <v>9</v>
      </c>
      <c r="J4058">
        <v>9</v>
      </c>
      <c r="K4058">
        <v>0</v>
      </c>
      <c r="L4058">
        <v>424</v>
      </c>
      <c r="M4058">
        <v>60</v>
      </c>
      <c r="N4058" s="1">
        <f t="shared" si="504"/>
        <v>44938</v>
      </c>
      <c r="O4058" s="1">
        <f t="shared" si="505"/>
        <v>43101</v>
      </c>
      <c r="P4058" s="1">
        <f t="shared" si="506"/>
        <v>43831</v>
      </c>
      <c r="Q4058" s="8">
        <f t="shared" si="507"/>
        <v>0</v>
      </c>
      <c r="R4058" s="8">
        <f t="shared" si="508"/>
        <v>25</v>
      </c>
      <c r="S4058" s="8">
        <f t="shared" ca="1" si="509"/>
        <v>23</v>
      </c>
      <c r="T4058">
        <f t="shared" ca="1" si="510"/>
        <v>1.7136000000000005</v>
      </c>
      <c r="U4058" s="8">
        <f t="shared" ca="1" si="511"/>
        <v>3.6944000000000008</v>
      </c>
      <c r="V4058" s="9">
        <f ca="1">RawData[[#This Row],[Z (smoothed demand size)]]/RawData[[#This Row],[X (smoothed interval)]]</f>
        <v>0.46383715894326549</v>
      </c>
    </row>
    <row r="4059" spans="1:22">
      <c r="A4059" t="s">
        <v>76</v>
      </c>
      <c r="B4059" t="s">
        <v>60</v>
      </c>
      <c r="C4059">
        <v>21</v>
      </c>
      <c r="D4059" t="s">
        <v>18</v>
      </c>
      <c r="E4059" t="s">
        <v>16</v>
      </c>
      <c r="F4059" s="1">
        <v>43832</v>
      </c>
      <c r="G4059">
        <v>0</v>
      </c>
      <c r="H4059">
        <v>0</v>
      </c>
      <c r="I4059">
        <v>9</v>
      </c>
      <c r="J4059">
        <v>9</v>
      </c>
      <c r="K4059">
        <v>0</v>
      </c>
      <c r="L4059">
        <v>427</v>
      </c>
      <c r="M4059">
        <v>60</v>
      </c>
      <c r="N4059" s="1">
        <f t="shared" si="504"/>
        <v>44938</v>
      </c>
      <c r="O4059" s="1">
        <f t="shared" si="505"/>
        <v>43101</v>
      </c>
      <c r="P4059" s="1">
        <f t="shared" si="506"/>
        <v>43862</v>
      </c>
      <c r="Q4059" s="8">
        <f t="shared" si="507"/>
        <v>0</v>
      </c>
      <c r="R4059" s="8">
        <f t="shared" si="508"/>
        <v>26</v>
      </c>
      <c r="S4059" s="8">
        <f t="shared" ca="1" si="509"/>
        <v>23</v>
      </c>
      <c r="T4059">
        <f t="shared" ca="1" si="510"/>
        <v>1.7136000000000005</v>
      </c>
      <c r="U4059" s="8">
        <f t="shared" ca="1" si="511"/>
        <v>3.6944000000000008</v>
      </c>
      <c r="V4059" s="9">
        <f ca="1">RawData[[#This Row],[Z (smoothed demand size)]]/RawData[[#This Row],[X (smoothed interval)]]</f>
        <v>0.46383715894326549</v>
      </c>
    </row>
    <row r="4060" spans="1:22">
      <c r="A4060" t="s">
        <v>76</v>
      </c>
      <c r="B4060" t="s">
        <v>60</v>
      </c>
      <c r="C4060">
        <v>21</v>
      </c>
      <c r="D4060" t="s">
        <v>18</v>
      </c>
      <c r="E4060" t="s">
        <v>16</v>
      </c>
      <c r="F4060" s="1">
        <v>43833</v>
      </c>
      <c r="G4060">
        <v>0</v>
      </c>
      <c r="H4060">
        <v>0</v>
      </c>
      <c r="I4060">
        <v>9</v>
      </c>
      <c r="J4060">
        <v>9</v>
      </c>
      <c r="K4060">
        <v>0</v>
      </c>
      <c r="L4060">
        <v>428</v>
      </c>
      <c r="M4060">
        <v>45</v>
      </c>
      <c r="N4060" s="1">
        <f t="shared" si="504"/>
        <v>44938</v>
      </c>
      <c r="O4060" s="1">
        <f t="shared" si="505"/>
        <v>43101</v>
      </c>
      <c r="P4060" s="1">
        <f t="shared" si="506"/>
        <v>43891</v>
      </c>
      <c r="Q4060" s="8">
        <f t="shared" si="507"/>
        <v>0</v>
      </c>
      <c r="R4060" s="8">
        <f t="shared" si="508"/>
        <v>27</v>
      </c>
      <c r="S4060" s="8">
        <f t="shared" ca="1" si="509"/>
        <v>23</v>
      </c>
      <c r="T4060">
        <f t="shared" ca="1" si="510"/>
        <v>1.7136000000000005</v>
      </c>
      <c r="U4060" s="8">
        <f t="shared" ca="1" si="511"/>
        <v>3.6944000000000008</v>
      </c>
      <c r="V4060" s="9">
        <f ca="1">RawData[[#This Row],[Z (smoothed demand size)]]/RawData[[#This Row],[X (smoothed interval)]]</f>
        <v>0.46383715894326549</v>
      </c>
    </row>
    <row r="4061" spans="1:22">
      <c r="A4061" t="s">
        <v>76</v>
      </c>
      <c r="B4061" t="s">
        <v>60</v>
      </c>
      <c r="C4061">
        <v>21</v>
      </c>
      <c r="D4061" t="s">
        <v>18</v>
      </c>
      <c r="E4061" t="s">
        <v>16</v>
      </c>
      <c r="F4061" s="1">
        <v>43834</v>
      </c>
      <c r="G4061">
        <v>1</v>
      </c>
      <c r="H4061">
        <v>1</v>
      </c>
      <c r="I4061">
        <v>9</v>
      </c>
      <c r="J4061">
        <v>8</v>
      </c>
      <c r="K4061">
        <v>0</v>
      </c>
      <c r="L4061">
        <v>417</v>
      </c>
      <c r="M4061">
        <v>45</v>
      </c>
      <c r="N4061" s="1">
        <f t="shared" si="504"/>
        <v>44938</v>
      </c>
      <c r="O4061" s="1">
        <f t="shared" si="505"/>
        <v>43101</v>
      </c>
      <c r="P4061" s="1">
        <f t="shared" si="506"/>
        <v>43922</v>
      </c>
      <c r="Q4061" s="8">
        <f t="shared" si="507"/>
        <v>0</v>
      </c>
      <c r="R4061" s="8">
        <f t="shared" si="508"/>
        <v>28</v>
      </c>
      <c r="S4061" s="8">
        <f t="shared" ca="1" si="509"/>
        <v>28</v>
      </c>
      <c r="T4061">
        <f t="shared" ca="1" si="510"/>
        <v>1.5708800000000005</v>
      </c>
      <c r="U4061" s="8">
        <f t="shared" ca="1" si="511"/>
        <v>3.9555200000000008</v>
      </c>
      <c r="V4061" s="9">
        <f ca="1">RawData[[#This Row],[Z (smoothed demand size)]]/RawData[[#This Row],[X (smoothed interval)]]</f>
        <v>0.3971361540328453</v>
      </c>
    </row>
    <row r="4062" spans="1:22">
      <c r="A4062" t="s">
        <v>76</v>
      </c>
      <c r="B4062" t="s">
        <v>60</v>
      </c>
      <c r="C4062">
        <v>21</v>
      </c>
      <c r="D4062" t="s">
        <v>18</v>
      </c>
      <c r="E4062" t="s">
        <v>16</v>
      </c>
      <c r="F4062" s="1">
        <v>43835</v>
      </c>
      <c r="G4062">
        <v>0</v>
      </c>
      <c r="H4062">
        <v>0</v>
      </c>
      <c r="I4062">
        <v>8</v>
      </c>
      <c r="J4062">
        <v>8</v>
      </c>
      <c r="K4062">
        <v>0</v>
      </c>
      <c r="L4062">
        <v>423</v>
      </c>
      <c r="M4062">
        <v>45</v>
      </c>
      <c r="N4062" s="1">
        <f t="shared" si="504"/>
        <v>44938</v>
      </c>
      <c r="O4062" s="1">
        <f t="shared" si="505"/>
        <v>43101</v>
      </c>
      <c r="P4062" s="1">
        <f t="shared" si="506"/>
        <v>43952</v>
      </c>
      <c r="Q4062" s="8">
        <f t="shared" si="507"/>
        <v>0</v>
      </c>
      <c r="R4062" s="8">
        <f t="shared" si="508"/>
        <v>29</v>
      </c>
      <c r="S4062" s="8">
        <f t="shared" ca="1" si="509"/>
        <v>28</v>
      </c>
      <c r="T4062">
        <f t="shared" ca="1" si="510"/>
        <v>1.5708800000000005</v>
      </c>
      <c r="U4062" s="8">
        <f t="shared" ca="1" si="511"/>
        <v>3.9555200000000008</v>
      </c>
      <c r="V4062" s="9">
        <f ca="1">RawData[[#This Row],[Z (smoothed demand size)]]/RawData[[#This Row],[X (smoothed interval)]]</f>
        <v>0.3971361540328453</v>
      </c>
    </row>
    <row r="4063" spans="1:22">
      <c r="A4063" t="s">
        <v>76</v>
      </c>
      <c r="B4063" t="s">
        <v>60</v>
      </c>
      <c r="C4063">
        <v>21</v>
      </c>
      <c r="D4063" t="s">
        <v>18</v>
      </c>
      <c r="E4063" t="s">
        <v>16</v>
      </c>
      <c r="F4063" s="1">
        <v>43836</v>
      </c>
      <c r="G4063">
        <v>0</v>
      </c>
      <c r="H4063">
        <v>0</v>
      </c>
      <c r="I4063">
        <v>8</v>
      </c>
      <c r="J4063">
        <v>8</v>
      </c>
      <c r="K4063">
        <v>0</v>
      </c>
      <c r="L4063">
        <v>490</v>
      </c>
      <c r="M4063">
        <v>45</v>
      </c>
      <c r="N4063" s="1">
        <f t="shared" si="504"/>
        <v>44938</v>
      </c>
      <c r="O4063" s="1">
        <f t="shared" si="505"/>
        <v>43101</v>
      </c>
      <c r="P4063" s="1">
        <f t="shared" si="506"/>
        <v>43983</v>
      </c>
      <c r="Q4063" s="8">
        <f t="shared" si="507"/>
        <v>0</v>
      </c>
      <c r="R4063" s="8">
        <f t="shared" si="508"/>
        <v>30</v>
      </c>
      <c r="S4063" s="8">
        <f t="shared" ca="1" si="509"/>
        <v>28</v>
      </c>
      <c r="T4063">
        <f t="shared" ca="1" si="510"/>
        <v>1.5708800000000005</v>
      </c>
      <c r="U4063" s="8">
        <f t="shared" ca="1" si="511"/>
        <v>3.9555200000000008</v>
      </c>
      <c r="V4063" s="9">
        <f ca="1">RawData[[#This Row],[Z (smoothed demand size)]]/RawData[[#This Row],[X (smoothed interval)]]</f>
        <v>0.3971361540328453</v>
      </c>
    </row>
    <row r="4064" spans="1:22">
      <c r="A4064" t="s">
        <v>76</v>
      </c>
      <c r="B4064" t="s">
        <v>60</v>
      </c>
      <c r="C4064">
        <v>21</v>
      </c>
      <c r="D4064" t="s">
        <v>18</v>
      </c>
      <c r="E4064" t="s">
        <v>16</v>
      </c>
      <c r="F4064" s="1">
        <v>43837</v>
      </c>
      <c r="G4064">
        <v>0</v>
      </c>
      <c r="H4064">
        <v>0</v>
      </c>
      <c r="I4064">
        <v>8</v>
      </c>
      <c r="J4064">
        <v>8</v>
      </c>
      <c r="K4064">
        <v>0</v>
      </c>
      <c r="L4064">
        <v>490</v>
      </c>
      <c r="M4064">
        <v>45</v>
      </c>
      <c r="N4064" s="1">
        <f t="shared" si="504"/>
        <v>44938</v>
      </c>
      <c r="O4064" s="1">
        <f t="shared" si="505"/>
        <v>43101</v>
      </c>
      <c r="P4064" s="1">
        <f t="shared" si="506"/>
        <v>44013</v>
      </c>
      <c r="Q4064" s="8">
        <f t="shared" si="507"/>
        <v>0</v>
      </c>
      <c r="R4064" s="8">
        <f t="shared" si="508"/>
        <v>31</v>
      </c>
      <c r="S4064" s="8">
        <f t="shared" ca="1" si="509"/>
        <v>28</v>
      </c>
      <c r="T4064">
        <f t="shared" ca="1" si="510"/>
        <v>1.5708800000000005</v>
      </c>
      <c r="U4064" s="8">
        <f t="shared" ca="1" si="511"/>
        <v>3.9555200000000008</v>
      </c>
      <c r="V4064" s="9">
        <f ca="1">RawData[[#This Row],[Z (smoothed demand size)]]/RawData[[#This Row],[X (smoothed interval)]]</f>
        <v>0.3971361540328453</v>
      </c>
    </row>
    <row r="4065" spans="1:22">
      <c r="A4065" t="s">
        <v>76</v>
      </c>
      <c r="B4065" t="s">
        <v>60</v>
      </c>
      <c r="C4065">
        <v>21</v>
      </c>
      <c r="D4065" t="s">
        <v>18</v>
      </c>
      <c r="E4065" t="s">
        <v>16</v>
      </c>
      <c r="F4065" s="1">
        <v>43838</v>
      </c>
      <c r="G4065">
        <v>0</v>
      </c>
      <c r="H4065">
        <v>0</v>
      </c>
      <c r="I4065">
        <v>8</v>
      </c>
      <c r="J4065">
        <v>8</v>
      </c>
      <c r="K4065">
        <v>0</v>
      </c>
      <c r="L4065">
        <v>490</v>
      </c>
      <c r="M4065">
        <v>60</v>
      </c>
      <c r="N4065" s="1">
        <f t="shared" si="504"/>
        <v>44938</v>
      </c>
      <c r="O4065" s="1">
        <f t="shared" si="505"/>
        <v>43101</v>
      </c>
      <c r="P4065" s="1">
        <f t="shared" si="506"/>
        <v>44044</v>
      </c>
      <c r="Q4065" s="8">
        <f t="shared" si="507"/>
        <v>0</v>
      </c>
      <c r="R4065" s="8">
        <f t="shared" si="508"/>
        <v>32</v>
      </c>
      <c r="S4065" s="8">
        <f t="shared" ca="1" si="509"/>
        <v>28</v>
      </c>
      <c r="T4065">
        <f t="shared" ca="1" si="510"/>
        <v>1.5708800000000005</v>
      </c>
      <c r="U4065" s="8">
        <f t="shared" ca="1" si="511"/>
        <v>3.9555200000000008</v>
      </c>
      <c r="V4065" s="9">
        <f ca="1">RawData[[#This Row],[Z (smoothed demand size)]]/RawData[[#This Row],[X (smoothed interval)]]</f>
        <v>0.3971361540328453</v>
      </c>
    </row>
    <row r="4066" spans="1:22">
      <c r="A4066" t="s">
        <v>76</v>
      </c>
      <c r="B4066" t="s">
        <v>60</v>
      </c>
      <c r="C4066">
        <v>21</v>
      </c>
      <c r="D4066" t="s">
        <v>18</v>
      </c>
      <c r="E4066" t="s">
        <v>16</v>
      </c>
      <c r="F4066" s="1">
        <v>43839</v>
      </c>
      <c r="G4066">
        <v>0</v>
      </c>
      <c r="H4066">
        <v>0</v>
      </c>
      <c r="I4066">
        <v>8</v>
      </c>
      <c r="J4066">
        <v>8</v>
      </c>
      <c r="K4066">
        <v>0</v>
      </c>
      <c r="L4066">
        <v>422</v>
      </c>
      <c r="M4066">
        <v>30</v>
      </c>
      <c r="N4066" s="1">
        <f t="shared" si="504"/>
        <v>44938</v>
      </c>
      <c r="O4066" s="1">
        <f t="shared" si="505"/>
        <v>43101</v>
      </c>
      <c r="P4066" s="1">
        <f t="shared" si="506"/>
        <v>44075</v>
      </c>
      <c r="Q4066" s="8">
        <f t="shared" si="507"/>
        <v>0</v>
      </c>
      <c r="R4066" s="8">
        <f t="shared" si="508"/>
        <v>33</v>
      </c>
      <c r="S4066" s="8">
        <f t="shared" ca="1" si="509"/>
        <v>28</v>
      </c>
      <c r="T4066">
        <f t="shared" ca="1" si="510"/>
        <v>1.5708800000000005</v>
      </c>
      <c r="U4066" s="8">
        <f t="shared" ca="1" si="511"/>
        <v>3.9555200000000008</v>
      </c>
      <c r="V4066" s="9">
        <f ca="1">RawData[[#This Row],[Z (smoothed demand size)]]/RawData[[#This Row],[X (smoothed interval)]]</f>
        <v>0.3971361540328453</v>
      </c>
    </row>
    <row r="4067" spans="1:22">
      <c r="A4067" t="s">
        <v>76</v>
      </c>
      <c r="B4067" t="s">
        <v>60</v>
      </c>
      <c r="C4067">
        <v>21</v>
      </c>
      <c r="D4067" t="s">
        <v>18</v>
      </c>
      <c r="E4067" t="s">
        <v>16</v>
      </c>
      <c r="F4067" s="1">
        <v>43840</v>
      </c>
      <c r="G4067">
        <v>0</v>
      </c>
      <c r="H4067">
        <v>0</v>
      </c>
      <c r="I4067">
        <v>8</v>
      </c>
      <c r="J4067">
        <v>8</v>
      </c>
      <c r="K4067">
        <v>0</v>
      </c>
      <c r="L4067">
        <v>425</v>
      </c>
      <c r="M4067">
        <v>60</v>
      </c>
      <c r="N4067" s="1">
        <f t="shared" si="504"/>
        <v>44938</v>
      </c>
      <c r="O4067" s="1">
        <f t="shared" si="505"/>
        <v>43101</v>
      </c>
      <c r="P4067" s="1">
        <f t="shared" si="506"/>
        <v>44105</v>
      </c>
      <c r="Q4067" s="8">
        <f t="shared" si="507"/>
        <v>0</v>
      </c>
      <c r="R4067" s="8">
        <f t="shared" si="508"/>
        <v>34</v>
      </c>
      <c r="S4067" s="8">
        <f t="shared" ca="1" si="509"/>
        <v>28</v>
      </c>
      <c r="T4067">
        <f t="shared" ca="1" si="510"/>
        <v>1.5708800000000005</v>
      </c>
      <c r="U4067" s="8">
        <f t="shared" ca="1" si="511"/>
        <v>3.9555200000000008</v>
      </c>
      <c r="V4067" s="9">
        <f ca="1">RawData[[#This Row],[Z (smoothed demand size)]]/RawData[[#This Row],[X (smoothed interval)]]</f>
        <v>0.3971361540328453</v>
      </c>
    </row>
    <row r="4068" spans="1:22">
      <c r="A4068" t="s">
        <v>76</v>
      </c>
      <c r="B4068" t="s">
        <v>60</v>
      </c>
      <c r="C4068">
        <v>21</v>
      </c>
      <c r="D4068" t="s">
        <v>18</v>
      </c>
      <c r="E4068" t="s">
        <v>16</v>
      </c>
      <c r="F4068" s="1">
        <v>43841</v>
      </c>
      <c r="G4068">
        <v>0</v>
      </c>
      <c r="H4068">
        <v>0</v>
      </c>
      <c r="I4068">
        <v>8</v>
      </c>
      <c r="J4068">
        <v>8</v>
      </c>
      <c r="K4068">
        <v>0</v>
      </c>
      <c r="L4068">
        <v>416</v>
      </c>
      <c r="M4068">
        <v>45</v>
      </c>
      <c r="N4068" s="1">
        <f t="shared" si="504"/>
        <v>44938</v>
      </c>
      <c r="O4068" s="1">
        <f t="shared" si="505"/>
        <v>43101</v>
      </c>
      <c r="P4068" s="1">
        <f t="shared" si="506"/>
        <v>44136</v>
      </c>
      <c r="Q4068" s="8">
        <f t="shared" si="507"/>
        <v>0</v>
      </c>
      <c r="R4068" s="8">
        <f t="shared" si="508"/>
        <v>35</v>
      </c>
      <c r="S4068" s="8">
        <f t="shared" ca="1" si="509"/>
        <v>28</v>
      </c>
      <c r="T4068">
        <f t="shared" ca="1" si="510"/>
        <v>1.5708800000000005</v>
      </c>
      <c r="U4068" s="8">
        <f t="shared" ca="1" si="511"/>
        <v>3.9555200000000008</v>
      </c>
      <c r="V4068" s="9">
        <f ca="1">RawData[[#This Row],[Z (smoothed demand size)]]/RawData[[#This Row],[X (smoothed interval)]]</f>
        <v>0.3971361540328453</v>
      </c>
    </row>
    <row r="4069" spans="1:22">
      <c r="A4069" t="s">
        <v>76</v>
      </c>
      <c r="B4069" t="s">
        <v>60</v>
      </c>
      <c r="C4069">
        <v>21</v>
      </c>
      <c r="D4069" t="s">
        <v>18</v>
      </c>
      <c r="E4069" t="s">
        <v>16</v>
      </c>
      <c r="F4069" s="1">
        <v>43842</v>
      </c>
      <c r="G4069">
        <v>0</v>
      </c>
      <c r="H4069">
        <v>0</v>
      </c>
      <c r="I4069">
        <v>8</v>
      </c>
      <c r="J4069">
        <v>8</v>
      </c>
      <c r="K4069">
        <v>0</v>
      </c>
      <c r="L4069">
        <v>479</v>
      </c>
      <c r="M4069">
        <v>60</v>
      </c>
      <c r="N4069" s="1">
        <f t="shared" si="504"/>
        <v>44938</v>
      </c>
      <c r="O4069" s="1">
        <f t="shared" si="505"/>
        <v>43101</v>
      </c>
      <c r="P4069" s="1">
        <f t="shared" si="506"/>
        <v>44166</v>
      </c>
      <c r="Q4069" s="8">
        <f t="shared" si="507"/>
        <v>0</v>
      </c>
      <c r="R4069" s="8">
        <f t="shared" si="508"/>
        <v>36</v>
      </c>
      <c r="S4069" s="8">
        <f t="shared" ca="1" si="509"/>
        <v>28</v>
      </c>
      <c r="T4069">
        <f t="shared" ca="1" si="510"/>
        <v>1.5708800000000005</v>
      </c>
      <c r="U4069" s="8">
        <f t="shared" ca="1" si="511"/>
        <v>3.9555200000000008</v>
      </c>
      <c r="V4069" s="9">
        <f ca="1">RawData[[#This Row],[Z (smoothed demand size)]]/RawData[[#This Row],[X (smoothed interval)]]</f>
        <v>0.3971361540328453</v>
      </c>
    </row>
    <row r="4070" spans="1:22">
      <c r="A4070" t="s">
        <v>76</v>
      </c>
      <c r="B4070" t="s">
        <v>60</v>
      </c>
      <c r="C4070">
        <v>21</v>
      </c>
      <c r="D4070" t="s">
        <v>18</v>
      </c>
      <c r="E4070" t="s">
        <v>16</v>
      </c>
      <c r="F4070" s="1">
        <v>44197</v>
      </c>
      <c r="G4070">
        <v>1</v>
      </c>
      <c r="H4070">
        <v>1</v>
      </c>
      <c r="I4070">
        <v>8</v>
      </c>
      <c r="J4070">
        <v>7</v>
      </c>
      <c r="K4070">
        <v>0</v>
      </c>
      <c r="L4070">
        <v>428</v>
      </c>
      <c r="M4070">
        <v>15</v>
      </c>
      <c r="N4070" s="1">
        <f t="shared" si="504"/>
        <v>44938</v>
      </c>
      <c r="O4070" s="1">
        <f t="shared" si="505"/>
        <v>43101</v>
      </c>
      <c r="P4070" s="1">
        <f t="shared" si="506"/>
        <v>44197</v>
      </c>
      <c r="Q4070" s="8">
        <f t="shared" si="507"/>
        <v>0</v>
      </c>
      <c r="R4070" s="8">
        <f t="shared" si="508"/>
        <v>37</v>
      </c>
      <c r="S4070" s="8">
        <f t="shared" ca="1" si="509"/>
        <v>37</v>
      </c>
      <c r="T4070">
        <f t="shared" ca="1" si="510"/>
        <v>1.4567040000000004</v>
      </c>
      <c r="U4070" s="8">
        <f t="shared" ca="1" si="511"/>
        <v>4.9644160000000008</v>
      </c>
      <c r="V4070" s="9">
        <f ca="1">RawData[[#This Row],[Z (smoothed demand size)]]/RawData[[#This Row],[X (smoothed interval)]]</f>
        <v>0.29342907604842144</v>
      </c>
    </row>
    <row r="4071" spans="1:22">
      <c r="A4071" t="s">
        <v>76</v>
      </c>
      <c r="B4071" t="s">
        <v>60</v>
      </c>
      <c r="C4071">
        <v>21</v>
      </c>
      <c r="D4071" t="s">
        <v>18</v>
      </c>
      <c r="E4071" t="s">
        <v>16</v>
      </c>
      <c r="F4071" s="1">
        <v>44198</v>
      </c>
      <c r="G4071">
        <v>0</v>
      </c>
      <c r="H4071">
        <v>0</v>
      </c>
      <c r="I4071">
        <v>7</v>
      </c>
      <c r="J4071">
        <v>7</v>
      </c>
      <c r="K4071">
        <v>0</v>
      </c>
      <c r="L4071">
        <v>426</v>
      </c>
      <c r="M4071">
        <v>15</v>
      </c>
      <c r="N4071" s="1">
        <f t="shared" si="504"/>
        <v>44938</v>
      </c>
      <c r="O4071" s="1">
        <f t="shared" si="505"/>
        <v>43101</v>
      </c>
      <c r="P4071" s="1">
        <f t="shared" si="506"/>
        <v>44228</v>
      </c>
      <c r="Q4071" s="8">
        <f t="shared" si="507"/>
        <v>0</v>
      </c>
      <c r="R4071" s="8">
        <f t="shared" si="508"/>
        <v>38</v>
      </c>
      <c r="S4071" s="8">
        <f t="shared" ca="1" si="509"/>
        <v>37</v>
      </c>
      <c r="T4071">
        <f t="shared" ca="1" si="510"/>
        <v>1.4567040000000004</v>
      </c>
      <c r="U4071" s="8">
        <f t="shared" ca="1" si="511"/>
        <v>4.9644160000000008</v>
      </c>
      <c r="V4071" s="9">
        <f ca="1">RawData[[#This Row],[Z (smoothed demand size)]]/RawData[[#This Row],[X (smoothed interval)]]</f>
        <v>0.29342907604842144</v>
      </c>
    </row>
    <row r="4072" spans="1:22">
      <c r="A4072" t="s">
        <v>76</v>
      </c>
      <c r="B4072" t="s">
        <v>60</v>
      </c>
      <c r="C4072">
        <v>21</v>
      </c>
      <c r="D4072" t="s">
        <v>18</v>
      </c>
      <c r="E4072" t="s">
        <v>16</v>
      </c>
      <c r="F4072" s="1">
        <v>44199</v>
      </c>
      <c r="G4072">
        <v>1</v>
      </c>
      <c r="H4072">
        <v>1</v>
      </c>
      <c r="I4072">
        <v>7</v>
      </c>
      <c r="J4072">
        <v>6</v>
      </c>
      <c r="K4072">
        <v>0</v>
      </c>
      <c r="L4072">
        <v>428</v>
      </c>
      <c r="M4072">
        <v>30</v>
      </c>
      <c r="N4072" s="1">
        <f t="shared" si="504"/>
        <v>44938</v>
      </c>
      <c r="O4072" s="1">
        <f t="shared" si="505"/>
        <v>43101</v>
      </c>
      <c r="P4072" s="1">
        <f t="shared" si="506"/>
        <v>44256</v>
      </c>
      <c r="Q4072" s="8">
        <f t="shared" si="507"/>
        <v>0</v>
      </c>
      <c r="R4072" s="8">
        <f t="shared" si="508"/>
        <v>39</v>
      </c>
      <c r="S4072" s="8">
        <f t="shared" ca="1" si="509"/>
        <v>39</v>
      </c>
      <c r="T4072">
        <f t="shared" ca="1" si="510"/>
        <v>1.3653632000000004</v>
      </c>
      <c r="U4072" s="8">
        <f t="shared" ca="1" si="511"/>
        <v>4.3715328000000007</v>
      </c>
      <c r="V4072" s="9">
        <f ca="1">RawData[[#This Row],[Z (smoothed demand size)]]/RawData[[#This Row],[X (smoothed interval)]]</f>
        <v>0.31233053998817079</v>
      </c>
    </row>
    <row r="4073" spans="1:22">
      <c r="A4073" t="s">
        <v>76</v>
      </c>
      <c r="B4073" t="s">
        <v>60</v>
      </c>
      <c r="C4073">
        <v>21</v>
      </c>
      <c r="D4073" t="s">
        <v>18</v>
      </c>
      <c r="E4073" t="s">
        <v>16</v>
      </c>
      <c r="F4073" s="1">
        <v>44200</v>
      </c>
      <c r="G4073">
        <v>0</v>
      </c>
      <c r="H4073">
        <v>0</v>
      </c>
      <c r="I4073">
        <v>6</v>
      </c>
      <c r="J4073">
        <v>6</v>
      </c>
      <c r="K4073">
        <v>0</v>
      </c>
      <c r="L4073">
        <v>421</v>
      </c>
      <c r="M4073">
        <v>45</v>
      </c>
      <c r="N4073" s="1">
        <f t="shared" si="504"/>
        <v>44938</v>
      </c>
      <c r="O4073" s="1">
        <f t="shared" si="505"/>
        <v>43101</v>
      </c>
      <c r="P4073" s="1">
        <f t="shared" si="506"/>
        <v>44287</v>
      </c>
      <c r="Q4073" s="8">
        <f t="shared" si="507"/>
        <v>0</v>
      </c>
      <c r="R4073" s="8">
        <f t="shared" si="508"/>
        <v>40</v>
      </c>
      <c r="S4073" s="8">
        <f t="shared" ca="1" si="509"/>
        <v>39</v>
      </c>
      <c r="T4073">
        <f t="shared" ca="1" si="510"/>
        <v>1.3653632000000004</v>
      </c>
      <c r="U4073" s="8">
        <f t="shared" ca="1" si="511"/>
        <v>4.3715328000000007</v>
      </c>
      <c r="V4073" s="9">
        <f ca="1">RawData[[#This Row],[Z (smoothed demand size)]]/RawData[[#This Row],[X (smoothed interval)]]</f>
        <v>0.31233053998817079</v>
      </c>
    </row>
    <row r="4074" spans="1:22">
      <c r="A4074" t="s">
        <v>76</v>
      </c>
      <c r="B4074" t="s">
        <v>60</v>
      </c>
      <c r="C4074">
        <v>21</v>
      </c>
      <c r="D4074" t="s">
        <v>18</v>
      </c>
      <c r="E4074" t="s">
        <v>16</v>
      </c>
      <c r="F4074" s="1">
        <v>44201</v>
      </c>
      <c r="G4074">
        <v>0</v>
      </c>
      <c r="H4074">
        <v>0</v>
      </c>
      <c r="I4074">
        <v>6</v>
      </c>
      <c r="J4074">
        <v>6</v>
      </c>
      <c r="K4074">
        <v>0</v>
      </c>
      <c r="L4074">
        <v>417</v>
      </c>
      <c r="M4074">
        <v>60</v>
      </c>
      <c r="N4074" s="1">
        <f t="shared" si="504"/>
        <v>44938</v>
      </c>
      <c r="O4074" s="1">
        <f t="shared" si="505"/>
        <v>43101</v>
      </c>
      <c r="P4074" s="1">
        <f t="shared" si="506"/>
        <v>44317</v>
      </c>
      <c r="Q4074" s="8">
        <f t="shared" si="507"/>
        <v>0</v>
      </c>
      <c r="R4074" s="8">
        <f t="shared" si="508"/>
        <v>41</v>
      </c>
      <c r="S4074" s="8">
        <f t="shared" ca="1" si="509"/>
        <v>39</v>
      </c>
      <c r="T4074">
        <f t="shared" ca="1" si="510"/>
        <v>1.3653632000000004</v>
      </c>
      <c r="U4074" s="8">
        <f t="shared" ca="1" si="511"/>
        <v>4.3715328000000007</v>
      </c>
      <c r="V4074" s="9">
        <f ca="1">RawData[[#This Row],[Z (smoothed demand size)]]/RawData[[#This Row],[X (smoothed interval)]]</f>
        <v>0.31233053998817079</v>
      </c>
    </row>
    <row r="4075" spans="1:22">
      <c r="A4075" t="s">
        <v>76</v>
      </c>
      <c r="B4075" t="s">
        <v>60</v>
      </c>
      <c r="C4075">
        <v>21</v>
      </c>
      <c r="D4075" t="s">
        <v>18</v>
      </c>
      <c r="E4075" t="s">
        <v>16</v>
      </c>
      <c r="F4075" s="1">
        <v>44202</v>
      </c>
      <c r="G4075">
        <v>0</v>
      </c>
      <c r="H4075">
        <v>0</v>
      </c>
      <c r="I4075">
        <v>6</v>
      </c>
      <c r="J4075">
        <v>6</v>
      </c>
      <c r="K4075">
        <v>0</v>
      </c>
      <c r="L4075">
        <v>483</v>
      </c>
      <c r="M4075">
        <v>45</v>
      </c>
      <c r="N4075" s="1">
        <f t="shared" si="504"/>
        <v>44938</v>
      </c>
      <c r="O4075" s="1">
        <f t="shared" si="505"/>
        <v>43101</v>
      </c>
      <c r="P4075" s="1">
        <f t="shared" si="506"/>
        <v>44348</v>
      </c>
      <c r="Q4075" s="8">
        <f t="shared" si="507"/>
        <v>0</v>
      </c>
      <c r="R4075" s="8">
        <f t="shared" si="508"/>
        <v>42</v>
      </c>
      <c r="S4075" s="8">
        <f t="shared" ca="1" si="509"/>
        <v>39</v>
      </c>
      <c r="T4075">
        <f t="shared" ca="1" si="510"/>
        <v>1.3653632000000004</v>
      </c>
      <c r="U4075" s="8">
        <f t="shared" ca="1" si="511"/>
        <v>4.3715328000000007</v>
      </c>
      <c r="V4075" s="9">
        <f ca="1">RawData[[#This Row],[Z (smoothed demand size)]]/RawData[[#This Row],[X (smoothed interval)]]</f>
        <v>0.31233053998817079</v>
      </c>
    </row>
    <row r="4076" spans="1:22">
      <c r="A4076" t="s">
        <v>76</v>
      </c>
      <c r="B4076" t="s">
        <v>60</v>
      </c>
      <c r="C4076">
        <v>21</v>
      </c>
      <c r="D4076" t="s">
        <v>18</v>
      </c>
      <c r="E4076" t="s">
        <v>16</v>
      </c>
      <c r="F4076" s="1">
        <v>44203</v>
      </c>
      <c r="G4076">
        <v>0</v>
      </c>
      <c r="H4076">
        <v>0</v>
      </c>
      <c r="I4076">
        <v>6</v>
      </c>
      <c r="J4076">
        <v>6</v>
      </c>
      <c r="K4076">
        <v>0</v>
      </c>
      <c r="L4076">
        <v>494</v>
      </c>
      <c r="M4076">
        <v>15</v>
      </c>
      <c r="N4076" s="1">
        <f t="shared" si="504"/>
        <v>44938</v>
      </c>
      <c r="O4076" s="1">
        <f t="shared" si="505"/>
        <v>43101</v>
      </c>
      <c r="P4076" s="1">
        <f t="shared" si="506"/>
        <v>44378</v>
      </c>
      <c r="Q4076" s="8">
        <f t="shared" si="507"/>
        <v>0</v>
      </c>
      <c r="R4076" s="8">
        <f t="shared" si="508"/>
        <v>43</v>
      </c>
      <c r="S4076" s="8">
        <f t="shared" ca="1" si="509"/>
        <v>39</v>
      </c>
      <c r="T4076">
        <f t="shared" ca="1" si="510"/>
        <v>1.3653632000000004</v>
      </c>
      <c r="U4076" s="8">
        <f t="shared" ca="1" si="511"/>
        <v>4.3715328000000007</v>
      </c>
      <c r="V4076" s="9">
        <f ca="1">RawData[[#This Row],[Z (smoothed demand size)]]/RawData[[#This Row],[X (smoothed interval)]]</f>
        <v>0.31233053998817079</v>
      </c>
    </row>
    <row r="4077" spans="1:22">
      <c r="A4077" t="s">
        <v>76</v>
      </c>
      <c r="B4077" t="s">
        <v>60</v>
      </c>
      <c r="C4077">
        <v>21</v>
      </c>
      <c r="D4077" t="s">
        <v>18</v>
      </c>
      <c r="E4077" t="s">
        <v>16</v>
      </c>
      <c r="F4077" s="1">
        <v>44204</v>
      </c>
      <c r="G4077">
        <v>0</v>
      </c>
      <c r="H4077">
        <v>0</v>
      </c>
      <c r="I4077">
        <v>6</v>
      </c>
      <c r="J4077">
        <v>6</v>
      </c>
      <c r="K4077">
        <v>0</v>
      </c>
      <c r="L4077">
        <v>480</v>
      </c>
      <c r="M4077">
        <v>15</v>
      </c>
      <c r="N4077" s="1">
        <f t="shared" si="504"/>
        <v>44938</v>
      </c>
      <c r="O4077" s="1">
        <f t="shared" si="505"/>
        <v>43101</v>
      </c>
      <c r="P4077" s="1">
        <f t="shared" si="506"/>
        <v>44409</v>
      </c>
      <c r="Q4077" s="8">
        <f t="shared" si="507"/>
        <v>0</v>
      </c>
      <c r="R4077" s="8">
        <f t="shared" si="508"/>
        <v>44</v>
      </c>
      <c r="S4077" s="8">
        <f t="shared" ca="1" si="509"/>
        <v>39</v>
      </c>
      <c r="T4077">
        <f t="shared" ca="1" si="510"/>
        <v>1.3653632000000004</v>
      </c>
      <c r="U4077" s="8">
        <f t="shared" ca="1" si="511"/>
        <v>4.3715328000000007</v>
      </c>
      <c r="V4077" s="9">
        <f ca="1">RawData[[#This Row],[Z (smoothed demand size)]]/RawData[[#This Row],[X (smoothed interval)]]</f>
        <v>0.31233053998817079</v>
      </c>
    </row>
    <row r="4078" spans="1:22">
      <c r="A4078" t="s">
        <v>76</v>
      </c>
      <c r="B4078" t="s">
        <v>60</v>
      </c>
      <c r="C4078">
        <v>21</v>
      </c>
      <c r="D4078" t="s">
        <v>18</v>
      </c>
      <c r="E4078" t="s">
        <v>16</v>
      </c>
      <c r="F4078" s="1">
        <v>44205</v>
      </c>
      <c r="G4078">
        <v>0</v>
      </c>
      <c r="H4078">
        <v>0</v>
      </c>
      <c r="I4078">
        <v>6</v>
      </c>
      <c r="J4078">
        <v>6</v>
      </c>
      <c r="K4078">
        <v>0</v>
      </c>
      <c r="L4078">
        <v>420</v>
      </c>
      <c r="M4078">
        <v>45</v>
      </c>
      <c r="N4078" s="1">
        <f t="shared" si="504"/>
        <v>44938</v>
      </c>
      <c r="O4078" s="1">
        <f t="shared" si="505"/>
        <v>43101</v>
      </c>
      <c r="P4078" s="1">
        <f t="shared" si="506"/>
        <v>44440</v>
      </c>
      <c r="Q4078" s="8">
        <f t="shared" si="507"/>
        <v>0</v>
      </c>
      <c r="R4078" s="8">
        <f t="shared" si="508"/>
        <v>45</v>
      </c>
      <c r="S4078" s="8">
        <f t="shared" ca="1" si="509"/>
        <v>39</v>
      </c>
      <c r="T4078">
        <f t="shared" ca="1" si="510"/>
        <v>1.3653632000000004</v>
      </c>
      <c r="U4078" s="8">
        <f t="shared" ca="1" si="511"/>
        <v>4.3715328000000007</v>
      </c>
      <c r="V4078" s="9">
        <f ca="1">RawData[[#This Row],[Z (smoothed demand size)]]/RawData[[#This Row],[X (smoothed interval)]]</f>
        <v>0.31233053998817079</v>
      </c>
    </row>
    <row r="4079" spans="1:22">
      <c r="A4079" t="s">
        <v>76</v>
      </c>
      <c r="B4079" t="s">
        <v>60</v>
      </c>
      <c r="C4079">
        <v>21</v>
      </c>
      <c r="D4079" t="s">
        <v>18</v>
      </c>
      <c r="E4079" t="s">
        <v>16</v>
      </c>
      <c r="F4079" s="1">
        <v>44206</v>
      </c>
      <c r="G4079">
        <v>4</v>
      </c>
      <c r="H4079">
        <v>4</v>
      </c>
      <c r="I4079">
        <v>6</v>
      </c>
      <c r="J4079">
        <v>2</v>
      </c>
      <c r="K4079">
        <v>0</v>
      </c>
      <c r="L4079">
        <v>426</v>
      </c>
      <c r="M4079">
        <v>30</v>
      </c>
      <c r="N4079" s="1">
        <f t="shared" si="504"/>
        <v>44938</v>
      </c>
      <c r="O4079" s="1">
        <f t="shared" si="505"/>
        <v>43101</v>
      </c>
      <c r="P4079" s="1">
        <f t="shared" si="506"/>
        <v>44470</v>
      </c>
      <c r="Q4079" s="8">
        <f t="shared" si="507"/>
        <v>0</v>
      </c>
      <c r="R4079" s="8">
        <f t="shared" si="508"/>
        <v>46</v>
      </c>
      <c r="S4079" s="8">
        <f t="shared" ca="1" si="509"/>
        <v>46</v>
      </c>
      <c r="T4079">
        <f t="shared" ca="1" si="510"/>
        <v>1.8922905600000004</v>
      </c>
      <c r="U4079" s="8">
        <f t="shared" ca="1" si="511"/>
        <v>4.8972262400000011</v>
      </c>
      <c r="V4079" s="9">
        <f ca="1">RawData[[#This Row],[Z (smoothed demand size)]]/RawData[[#This Row],[X (smoothed interval)]]</f>
        <v>0.38640047799792887</v>
      </c>
    </row>
    <row r="4080" spans="1:22">
      <c r="A4080" t="s">
        <v>76</v>
      </c>
      <c r="B4080" t="s">
        <v>60</v>
      </c>
      <c r="C4080">
        <v>21</v>
      </c>
      <c r="D4080" t="s">
        <v>18</v>
      </c>
      <c r="E4080" t="s">
        <v>16</v>
      </c>
      <c r="F4080" s="1">
        <v>44207</v>
      </c>
      <c r="G4080">
        <v>0</v>
      </c>
      <c r="H4080">
        <v>0</v>
      </c>
      <c r="I4080">
        <v>20</v>
      </c>
      <c r="J4080">
        <v>20</v>
      </c>
      <c r="K4080">
        <v>0</v>
      </c>
      <c r="L4080">
        <v>422</v>
      </c>
      <c r="M4080">
        <v>15</v>
      </c>
      <c r="N4080" s="1">
        <f t="shared" si="504"/>
        <v>44938</v>
      </c>
      <c r="O4080" s="1">
        <f t="shared" si="505"/>
        <v>43101</v>
      </c>
      <c r="P4080" s="1">
        <f t="shared" si="506"/>
        <v>44501</v>
      </c>
      <c r="Q4080" s="8">
        <f t="shared" si="507"/>
        <v>0</v>
      </c>
      <c r="R4080" s="8">
        <f t="shared" si="508"/>
        <v>47</v>
      </c>
      <c r="S4080" s="8">
        <f t="shared" ca="1" si="509"/>
        <v>46</v>
      </c>
      <c r="T4080">
        <f t="shared" ca="1" si="510"/>
        <v>1.8922905600000004</v>
      </c>
      <c r="U4080" s="8">
        <f t="shared" ca="1" si="511"/>
        <v>4.8972262400000011</v>
      </c>
      <c r="V4080" s="9">
        <f ca="1">RawData[[#This Row],[Z (smoothed demand size)]]/RawData[[#This Row],[X (smoothed interval)]]</f>
        <v>0.38640047799792887</v>
      </c>
    </row>
    <row r="4081" spans="1:22">
      <c r="A4081" t="s">
        <v>76</v>
      </c>
      <c r="B4081" t="s">
        <v>60</v>
      </c>
      <c r="C4081">
        <v>21</v>
      </c>
      <c r="D4081" t="s">
        <v>18</v>
      </c>
      <c r="E4081" t="s">
        <v>16</v>
      </c>
      <c r="F4081" s="1">
        <v>44208</v>
      </c>
      <c r="G4081">
        <v>0</v>
      </c>
      <c r="H4081">
        <v>0</v>
      </c>
      <c r="I4081">
        <v>20</v>
      </c>
      <c r="J4081">
        <v>20</v>
      </c>
      <c r="K4081">
        <v>0</v>
      </c>
      <c r="L4081">
        <v>482</v>
      </c>
      <c r="M4081">
        <v>45</v>
      </c>
      <c r="N4081" s="1">
        <f t="shared" si="504"/>
        <v>44938</v>
      </c>
      <c r="O4081" s="1">
        <f t="shared" si="505"/>
        <v>43101</v>
      </c>
      <c r="P4081" s="1">
        <f t="shared" si="506"/>
        <v>44531</v>
      </c>
      <c r="Q4081" s="8">
        <f t="shared" si="507"/>
        <v>0</v>
      </c>
      <c r="R4081" s="8">
        <f t="shared" si="508"/>
        <v>48</v>
      </c>
      <c r="S4081" s="8">
        <f t="shared" ca="1" si="509"/>
        <v>46</v>
      </c>
      <c r="T4081">
        <f t="shared" ca="1" si="510"/>
        <v>1.8922905600000004</v>
      </c>
      <c r="U4081" s="8">
        <f t="shared" ca="1" si="511"/>
        <v>4.8972262400000011</v>
      </c>
      <c r="V4081" s="9">
        <f ca="1">RawData[[#This Row],[Z (smoothed demand size)]]/RawData[[#This Row],[X (smoothed interval)]]</f>
        <v>0.38640047799792887</v>
      </c>
    </row>
    <row r="4082" spans="1:22">
      <c r="A4082" t="s">
        <v>76</v>
      </c>
      <c r="B4082" t="s">
        <v>60</v>
      </c>
      <c r="C4082">
        <v>21</v>
      </c>
      <c r="D4082" t="s">
        <v>18</v>
      </c>
      <c r="E4082" t="s">
        <v>16</v>
      </c>
      <c r="F4082" s="1">
        <v>44562</v>
      </c>
      <c r="G4082">
        <v>0</v>
      </c>
      <c r="H4082">
        <v>0</v>
      </c>
      <c r="I4082">
        <v>20</v>
      </c>
      <c r="J4082">
        <v>20</v>
      </c>
      <c r="K4082">
        <v>0</v>
      </c>
      <c r="L4082">
        <v>423</v>
      </c>
      <c r="M4082">
        <v>30</v>
      </c>
      <c r="N4082" s="1">
        <f t="shared" si="504"/>
        <v>44938</v>
      </c>
      <c r="O4082" s="1">
        <f t="shared" si="505"/>
        <v>43101</v>
      </c>
      <c r="P4082" s="1">
        <f t="shared" si="506"/>
        <v>44562</v>
      </c>
      <c r="Q4082" s="8">
        <f t="shared" si="507"/>
        <v>0</v>
      </c>
      <c r="R4082" s="8">
        <f t="shared" si="508"/>
        <v>49</v>
      </c>
      <c r="S4082" s="8">
        <f t="shared" ca="1" si="509"/>
        <v>46</v>
      </c>
      <c r="T4082">
        <f t="shared" ca="1" si="510"/>
        <v>1.8922905600000004</v>
      </c>
      <c r="U4082" s="8">
        <f t="shared" ca="1" si="511"/>
        <v>4.8972262400000011</v>
      </c>
      <c r="V4082" s="9">
        <f ca="1">RawData[[#This Row],[Z (smoothed demand size)]]/RawData[[#This Row],[X (smoothed interval)]]</f>
        <v>0.38640047799792887</v>
      </c>
    </row>
    <row r="4083" spans="1:22">
      <c r="A4083" t="s">
        <v>76</v>
      </c>
      <c r="B4083" t="s">
        <v>60</v>
      </c>
      <c r="C4083">
        <v>21</v>
      </c>
      <c r="D4083" t="s">
        <v>18</v>
      </c>
      <c r="E4083" t="s">
        <v>16</v>
      </c>
      <c r="F4083" s="1">
        <v>44563</v>
      </c>
      <c r="G4083">
        <v>0</v>
      </c>
      <c r="H4083">
        <v>0</v>
      </c>
      <c r="I4083">
        <v>20</v>
      </c>
      <c r="J4083">
        <v>20</v>
      </c>
      <c r="K4083">
        <v>0</v>
      </c>
      <c r="L4083">
        <v>418</v>
      </c>
      <c r="M4083">
        <v>15</v>
      </c>
      <c r="N4083" s="1">
        <f t="shared" si="504"/>
        <v>44938</v>
      </c>
      <c r="O4083" s="1">
        <f t="shared" si="505"/>
        <v>43101</v>
      </c>
      <c r="P4083" s="1">
        <f t="shared" si="506"/>
        <v>44593</v>
      </c>
      <c r="Q4083" s="8">
        <f t="shared" si="507"/>
        <v>0</v>
      </c>
      <c r="R4083" s="8">
        <f t="shared" si="508"/>
        <v>50</v>
      </c>
      <c r="S4083" s="8">
        <f t="shared" ca="1" si="509"/>
        <v>46</v>
      </c>
      <c r="T4083">
        <f t="shared" ca="1" si="510"/>
        <v>1.8922905600000004</v>
      </c>
      <c r="U4083" s="8">
        <f t="shared" ca="1" si="511"/>
        <v>4.8972262400000011</v>
      </c>
      <c r="V4083" s="9">
        <f ca="1">RawData[[#This Row],[Z (smoothed demand size)]]/RawData[[#This Row],[X (smoothed interval)]]</f>
        <v>0.38640047799792887</v>
      </c>
    </row>
    <row r="4084" spans="1:22">
      <c r="A4084" t="s">
        <v>76</v>
      </c>
      <c r="B4084" t="s">
        <v>60</v>
      </c>
      <c r="C4084">
        <v>21</v>
      </c>
      <c r="D4084" t="s">
        <v>18</v>
      </c>
      <c r="E4084" t="s">
        <v>16</v>
      </c>
      <c r="F4084" s="1">
        <v>44564</v>
      </c>
      <c r="G4084">
        <v>0</v>
      </c>
      <c r="H4084">
        <v>0</v>
      </c>
      <c r="I4084">
        <v>20</v>
      </c>
      <c r="J4084">
        <v>20</v>
      </c>
      <c r="K4084">
        <v>0</v>
      </c>
      <c r="L4084">
        <v>422</v>
      </c>
      <c r="M4084">
        <v>30</v>
      </c>
      <c r="N4084" s="1">
        <f t="shared" si="504"/>
        <v>44938</v>
      </c>
      <c r="O4084" s="1">
        <f t="shared" si="505"/>
        <v>43101</v>
      </c>
      <c r="P4084" s="1">
        <f t="shared" si="506"/>
        <v>44621</v>
      </c>
      <c r="Q4084" s="8">
        <f t="shared" si="507"/>
        <v>0</v>
      </c>
      <c r="R4084" s="8">
        <f t="shared" si="508"/>
        <v>51</v>
      </c>
      <c r="S4084" s="8">
        <f t="shared" ca="1" si="509"/>
        <v>46</v>
      </c>
      <c r="T4084">
        <f t="shared" ca="1" si="510"/>
        <v>1.8922905600000004</v>
      </c>
      <c r="U4084" s="8">
        <f t="shared" ca="1" si="511"/>
        <v>4.8972262400000011</v>
      </c>
      <c r="V4084" s="9">
        <f ca="1">RawData[[#This Row],[Z (smoothed demand size)]]/RawData[[#This Row],[X (smoothed interval)]]</f>
        <v>0.38640047799792887</v>
      </c>
    </row>
    <row r="4085" spans="1:22">
      <c r="A4085" t="s">
        <v>76</v>
      </c>
      <c r="B4085" t="s">
        <v>60</v>
      </c>
      <c r="C4085">
        <v>21</v>
      </c>
      <c r="D4085" t="s">
        <v>18</v>
      </c>
      <c r="E4085" t="s">
        <v>16</v>
      </c>
      <c r="F4085" s="1">
        <v>44565</v>
      </c>
      <c r="G4085">
        <v>0</v>
      </c>
      <c r="H4085">
        <v>0</v>
      </c>
      <c r="I4085">
        <v>20</v>
      </c>
      <c r="J4085">
        <v>20</v>
      </c>
      <c r="K4085">
        <v>0</v>
      </c>
      <c r="L4085">
        <v>410</v>
      </c>
      <c r="M4085">
        <v>15</v>
      </c>
      <c r="N4085" s="1">
        <f t="shared" si="504"/>
        <v>44938</v>
      </c>
      <c r="O4085" s="1">
        <f t="shared" si="505"/>
        <v>43101</v>
      </c>
      <c r="P4085" s="1">
        <f t="shared" si="506"/>
        <v>44652</v>
      </c>
      <c r="Q4085" s="8">
        <f t="shared" si="507"/>
        <v>0</v>
      </c>
      <c r="R4085" s="8">
        <f t="shared" si="508"/>
        <v>52</v>
      </c>
      <c r="S4085" s="8">
        <f t="shared" ca="1" si="509"/>
        <v>46</v>
      </c>
      <c r="T4085">
        <f t="shared" ca="1" si="510"/>
        <v>1.8922905600000004</v>
      </c>
      <c r="U4085" s="8">
        <f t="shared" ca="1" si="511"/>
        <v>4.8972262400000011</v>
      </c>
      <c r="V4085" s="9">
        <f ca="1">RawData[[#This Row],[Z (smoothed demand size)]]/RawData[[#This Row],[X (smoothed interval)]]</f>
        <v>0.38640047799792887</v>
      </c>
    </row>
    <row r="4086" spans="1:22">
      <c r="A4086" t="s">
        <v>76</v>
      </c>
      <c r="B4086" t="s">
        <v>60</v>
      </c>
      <c r="C4086">
        <v>21</v>
      </c>
      <c r="D4086" t="s">
        <v>18</v>
      </c>
      <c r="E4086" t="s">
        <v>16</v>
      </c>
      <c r="F4086" s="1">
        <v>44566</v>
      </c>
      <c r="G4086">
        <v>2</v>
      </c>
      <c r="H4086">
        <v>2</v>
      </c>
      <c r="I4086">
        <v>20</v>
      </c>
      <c r="J4086">
        <v>18</v>
      </c>
      <c r="K4086">
        <v>0</v>
      </c>
      <c r="L4086">
        <v>413</v>
      </c>
      <c r="M4086">
        <v>15</v>
      </c>
      <c r="N4086" s="1">
        <f t="shared" si="504"/>
        <v>44938</v>
      </c>
      <c r="O4086" s="1">
        <f t="shared" si="505"/>
        <v>43101</v>
      </c>
      <c r="P4086" s="1">
        <f t="shared" si="506"/>
        <v>44682</v>
      </c>
      <c r="Q4086" s="8">
        <f t="shared" si="507"/>
        <v>0</v>
      </c>
      <c r="R4086" s="8">
        <f t="shared" si="508"/>
        <v>53</v>
      </c>
      <c r="S4086" s="8">
        <f t="shared" ca="1" si="509"/>
        <v>53</v>
      </c>
      <c r="T4086">
        <f t="shared" ca="1" si="510"/>
        <v>1.9138324480000004</v>
      </c>
      <c r="U4086" s="8">
        <f t="shared" ca="1" si="511"/>
        <v>5.3177809920000012</v>
      </c>
      <c r="V4086" s="9">
        <f ca="1">RawData[[#This Row],[Z (smoothed demand size)]]/RawData[[#This Row],[X (smoothed interval)]]</f>
        <v>0.35989305518206643</v>
      </c>
    </row>
    <row r="4087" spans="1:22">
      <c r="A4087" t="s">
        <v>76</v>
      </c>
      <c r="B4087" t="s">
        <v>60</v>
      </c>
      <c r="C4087">
        <v>21</v>
      </c>
      <c r="D4087" t="s">
        <v>18</v>
      </c>
      <c r="E4087" t="s">
        <v>16</v>
      </c>
      <c r="F4087" s="1">
        <v>44567</v>
      </c>
      <c r="G4087">
        <v>1</v>
      </c>
      <c r="H4087">
        <v>1</v>
      </c>
      <c r="I4087">
        <v>18</v>
      </c>
      <c r="J4087">
        <v>17</v>
      </c>
      <c r="K4087">
        <v>0</v>
      </c>
      <c r="L4087">
        <v>482</v>
      </c>
      <c r="M4087">
        <v>45</v>
      </c>
      <c r="N4087" s="1">
        <f t="shared" si="504"/>
        <v>44938</v>
      </c>
      <c r="O4087" s="1">
        <f t="shared" si="505"/>
        <v>43101</v>
      </c>
      <c r="P4087" s="1">
        <f t="shared" si="506"/>
        <v>44713</v>
      </c>
      <c r="Q4087" s="8">
        <f t="shared" si="507"/>
        <v>0</v>
      </c>
      <c r="R4087" s="8">
        <f t="shared" si="508"/>
        <v>54</v>
      </c>
      <c r="S4087" s="8">
        <f t="shared" ca="1" si="509"/>
        <v>54</v>
      </c>
      <c r="T4087">
        <f t="shared" ca="1" si="510"/>
        <v>1.7310659584000003</v>
      </c>
      <c r="U4087" s="8">
        <f t="shared" ca="1" si="511"/>
        <v>4.4542247936000017</v>
      </c>
      <c r="V4087" s="9">
        <f ca="1">RawData[[#This Row],[Z (smoothed demand size)]]/RawData[[#This Row],[X (smoothed interval)]]</f>
        <v>0.38863461962837198</v>
      </c>
    </row>
    <row r="4088" spans="1:22">
      <c r="A4088" t="s">
        <v>76</v>
      </c>
      <c r="B4088" t="s">
        <v>60</v>
      </c>
      <c r="C4088">
        <v>21</v>
      </c>
      <c r="D4088" t="s">
        <v>18</v>
      </c>
      <c r="E4088" t="s">
        <v>16</v>
      </c>
      <c r="F4088" s="1">
        <v>44568</v>
      </c>
      <c r="G4088">
        <v>0</v>
      </c>
      <c r="H4088">
        <v>0</v>
      </c>
      <c r="I4088">
        <v>17</v>
      </c>
      <c r="J4088">
        <v>17</v>
      </c>
      <c r="K4088">
        <v>0</v>
      </c>
      <c r="L4088">
        <v>489</v>
      </c>
      <c r="M4088">
        <v>30</v>
      </c>
      <c r="N4088" s="1">
        <f t="shared" si="504"/>
        <v>44938</v>
      </c>
      <c r="O4088" s="1">
        <f t="shared" si="505"/>
        <v>43101</v>
      </c>
      <c r="P4088" s="1">
        <f t="shared" si="506"/>
        <v>44743</v>
      </c>
      <c r="Q4088" s="8">
        <f t="shared" si="507"/>
        <v>0</v>
      </c>
      <c r="R4088" s="8">
        <f t="shared" si="508"/>
        <v>55</v>
      </c>
      <c r="S4088" s="8">
        <f t="shared" ca="1" si="509"/>
        <v>54</v>
      </c>
      <c r="T4088">
        <f t="shared" ca="1" si="510"/>
        <v>1.7310659584000003</v>
      </c>
      <c r="U4088" s="8">
        <f t="shared" ca="1" si="511"/>
        <v>4.4542247936000017</v>
      </c>
      <c r="V4088" s="9">
        <f ca="1">RawData[[#This Row],[Z (smoothed demand size)]]/RawData[[#This Row],[X (smoothed interval)]]</f>
        <v>0.38863461962837198</v>
      </c>
    </row>
    <row r="4089" spans="1:22">
      <c r="A4089" t="s">
        <v>76</v>
      </c>
      <c r="B4089" t="s">
        <v>60</v>
      </c>
      <c r="C4089">
        <v>21</v>
      </c>
      <c r="D4089" t="s">
        <v>18</v>
      </c>
      <c r="E4089" t="s">
        <v>16</v>
      </c>
      <c r="F4089" s="1">
        <v>44569</v>
      </c>
      <c r="G4089">
        <v>0</v>
      </c>
      <c r="H4089">
        <v>0</v>
      </c>
      <c r="I4089">
        <v>17</v>
      </c>
      <c r="J4089">
        <v>17</v>
      </c>
      <c r="K4089">
        <v>0</v>
      </c>
      <c r="L4089">
        <v>482</v>
      </c>
      <c r="M4089">
        <v>15</v>
      </c>
      <c r="N4089" s="1">
        <f t="shared" si="504"/>
        <v>44938</v>
      </c>
      <c r="O4089" s="1">
        <f t="shared" si="505"/>
        <v>43101</v>
      </c>
      <c r="P4089" s="1">
        <f t="shared" si="506"/>
        <v>44774</v>
      </c>
      <c r="Q4089" s="8">
        <f t="shared" si="507"/>
        <v>0</v>
      </c>
      <c r="R4089" s="8">
        <f t="shared" si="508"/>
        <v>56</v>
      </c>
      <c r="S4089" s="8">
        <f t="shared" ca="1" si="509"/>
        <v>54</v>
      </c>
      <c r="T4089">
        <f t="shared" ca="1" si="510"/>
        <v>1.7310659584000003</v>
      </c>
      <c r="U4089" s="8">
        <f t="shared" ca="1" si="511"/>
        <v>4.4542247936000017</v>
      </c>
      <c r="V4089" s="9">
        <f ca="1">RawData[[#This Row],[Z (smoothed demand size)]]/RawData[[#This Row],[X (smoothed interval)]]</f>
        <v>0.38863461962837198</v>
      </c>
    </row>
    <row r="4090" spans="1:22">
      <c r="A4090" t="s">
        <v>76</v>
      </c>
      <c r="B4090" t="s">
        <v>60</v>
      </c>
      <c r="C4090">
        <v>21</v>
      </c>
      <c r="D4090" t="s">
        <v>18</v>
      </c>
      <c r="E4090" t="s">
        <v>16</v>
      </c>
      <c r="F4090" s="1">
        <v>44570</v>
      </c>
      <c r="G4090">
        <v>2</v>
      </c>
      <c r="H4090">
        <v>2</v>
      </c>
      <c r="I4090">
        <v>17</v>
      </c>
      <c r="J4090">
        <v>15</v>
      </c>
      <c r="K4090">
        <v>0</v>
      </c>
      <c r="L4090">
        <v>420</v>
      </c>
      <c r="M4090">
        <v>15</v>
      </c>
      <c r="N4090" s="1">
        <f t="shared" si="504"/>
        <v>44938</v>
      </c>
      <c r="O4090" s="1">
        <f t="shared" si="505"/>
        <v>43101</v>
      </c>
      <c r="P4090" s="1">
        <f t="shared" si="506"/>
        <v>44805</v>
      </c>
      <c r="Q4090" s="8">
        <f t="shared" si="507"/>
        <v>0</v>
      </c>
      <c r="R4090" s="8">
        <f t="shared" si="508"/>
        <v>57</v>
      </c>
      <c r="S4090" s="8">
        <f t="shared" ca="1" si="509"/>
        <v>57</v>
      </c>
      <c r="T4090">
        <f t="shared" ca="1" si="510"/>
        <v>1.7848527667200003</v>
      </c>
      <c r="U4090" s="8">
        <f t="shared" ca="1" si="511"/>
        <v>4.1633798348800015</v>
      </c>
      <c r="V4090" s="9">
        <f ca="1">RawData[[#This Row],[Z (smoothed demand size)]]/RawData[[#This Row],[X (smoothed interval)]]</f>
        <v>0.42870284180339358</v>
      </c>
    </row>
    <row r="4091" spans="1:22">
      <c r="A4091" t="s">
        <v>76</v>
      </c>
      <c r="B4091" t="s">
        <v>60</v>
      </c>
      <c r="C4091">
        <v>21</v>
      </c>
      <c r="D4091" t="s">
        <v>18</v>
      </c>
      <c r="E4091" t="s">
        <v>16</v>
      </c>
      <c r="F4091" s="1">
        <v>44571</v>
      </c>
      <c r="G4091">
        <v>1</v>
      </c>
      <c r="H4091">
        <v>1</v>
      </c>
      <c r="I4091">
        <v>15</v>
      </c>
      <c r="J4091">
        <v>14</v>
      </c>
      <c r="K4091">
        <v>0</v>
      </c>
      <c r="L4091">
        <v>421</v>
      </c>
      <c r="M4091">
        <v>15</v>
      </c>
      <c r="N4091" s="1">
        <f t="shared" si="504"/>
        <v>44938</v>
      </c>
      <c r="O4091" s="1">
        <f t="shared" si="505"/>
        <v>43101</v>
      </c>
      <c r="P4091" s="1">
        <f t="shared" si="506"/>
        <v>44835</v>
      </c>
      <c r="Q4091" s="8">
        <f t="shared" si="507"/>
        <v>0</v>
      </c>
      <c r="R4091" s="8">
        <f t="shared" si="508"/>
        <v>58</v>
      </c>
      <c r="S4091" s="8">
        <f t="shared" ca="1" si="509"/>
        <v>58</v>
      </c>
      <c r="T4091">
        <f t="shared" ca="1" si="510"/>
        <v>1.6278822133760003</v>
      </c>
      <c r="U4091" s="8">
        <f t="shared" ca="1" si="511"/>
        <v>3.5307038679040015</v>
      </c>
      <c r="V4091" s="9">
        <f ca="1">RawData[[#This Row],[Z (smoothed demand size)]]/RawData[[#This Row],[X (smoothed interval)]]</f>
        <v>0.46106449996396631</v>
      </c>
    </row>
    <row r="4092" spans="1:22">
      <c r="A4092" t="s">
        <v>76</v>
      </c>
      <c r="B4092" t="s">
        <v>60</v>
      </c>
      <c r="C4092">
        <v>21</v>
      </c>
      <c r="D4092" t="s">
        <v>18</v>
      </c>
      <c r="E4092" t="s">
        <v>16</v>
      </c>
      <c r="F4092" s="1">
        <v>44572</v>
      </c>
      <c r="G4092">
        <v>0</v>
      </c>
      <c r="H4092">
        <v>0</v>
      </c>
      <c r="I4092">
        <v>14</v>
      </c>
      <c r="J4092">
        <v>14</v>
      </c>
      <c r="K4092">
        <v>0</v>
      </c>
      <c r="L4092">
        <v>418</v>
      </c>
      <c r="M4092">
        <v>60</v>
      </c>
      <c r="N4092" s="1">
        <f t="shared" si="504"/>
        <v>44938</v>
      </c>
      <c r="O4092" s="1">
        <f t="shared" si="505"/>
        <v>43101</v>
      </c>
      <c r="P4092" s="1">
        <f t="shared" si="506"/>
        <v>44866</v>
      </c>
      <c r="Q4092" s="8">
        <f t="shared" si="507"/>
        <v>0</v>
      </c>
      <c r="R4092" s="8">
        <f t="shared" si="508"/>
        <v>59</v>
      </c>
      <c r="S4092" s="8">
        <f t="shared" ca="1" si="509"/>
        <v>58</v>
      </c>
      <c r="T4092">
        <f t="shared" ca="1" si="510"/>
        <v>1.6278822133760003</v>
      </c>
      <c r="U4092" s="8">
        <f t="shared" ca="1" si="511"/>
        <v>3.5307038679040015</v>
      </c>
      <c r="V4092" s="9">
        <f ca="1">RawData[[#This Row],[Z (smoothed demand size)]]/RawData[[#This Row],[X (smoothed interval)]]</f>
        <v>0.46106449996396631</v>
      </c>
    </row>
    <row r="4093" spans="1:22">
      <c r="A4093" t="s">
        <v>76</v>
      </c>
      <c r="B4093" t="s">
        <v>60</v>
      </c>
      <c r="C4093">
        <v>21</v>
      </c>
      <c r="D4093" t="s">
        <v>18</v>
      </c>
      <c r="E4093" t="s">
        <v>16</v>
      </c>
      <c r="F4093" s="1">
        <v>44573</v>
      </c>
      <c r="G4093">
        <v>0</v>
      </c>
      <c r="H4093">
        <v>0</v>
      </c>
      <c r="I4093">
        <v>14</v>
      </c>
      <c r="J4093">
        <v>14</v>
      </c>
      <c r="K4093">
        <v>0</v>
      </c>
      <c r="L4093">
        <v>475</v>
      </c>
      <c r="M4093">
        <v>30</v>
      </c>
      <c r="N4093" s="1">
        <f t="shared" si="504"/>
        <v>44938</v>
      </c>
      <c r="O4093" s="1">
        <f t="shared" si="505"/>
        <v>43101</v>
      </c>
      <c r="P4093" s="1">
        <f t="shared" si="506"/>
        <v>44896</v>
      </c>
      <c r="Q4093" s="8">
        <f t="shared" si="507"/>
        <v>0</v>
      </c>
      <c r="R4093" s="8">
        <f t="shared" si="508"/>
        <v>60</v>
      </c>
      <c r="S4093" s="8">
        <f t="shared" ca="1" si="509"/>
        <v>58</v>
      </c>
      <c r="T4093">
        <f t="shared" ca="1" si="510"/>
        <v>1.6278822133760003</v>
      </c>
      <c r="U4093" s="8">
        <f t="shared" ca="1" si="511"/>
        <v>3.5307038679040015</v>
      </c>
      <c r="V4093" s="9">
        <f ca="1">RawData[[#This Row],[Z (smoothed demand size)]]/RawData[[#This Row],[X (smoothed interval)]]</f>
        <v>0.46106449996396631</v>
      </c>
    </row>
    <row r="4094" spans="1:22">
      <c r="A4094" t="s">
        <v>76</v>
      </c>
      <c r="B4094" t="s">
        <v>60</v>
      </c>
      <c r="C4094">
        <v>21</v>
      </c>
      <c r="D4094" t="s">
        <v>18</v>
      </c>
      <c r="E4094" t="s">
        <v>16</v>
      </c>
      <c r="F4094" s="1">
        <v>44927</v>
      </c>
      <c r="G4094">
        <v>2</v>
      </c>
      <c r="H4094">
        <v>2</v>
      </c>
      <c r="I4094">
        <v>14</v>
      </c>
      <c r="J4094">
        <v>12</v>
      </c>
      <c r="K4094">
        <v>0</v>
      </c>
      <c r="L4094">
        <v>422</v>
      </c>
      <c r="M4094">
        <v>15</v>
      </c>
      <c r="N4094" s="1">
        <f t="shared" si="504"/>
        <v>44938</v>
      </c>
      <c r="O4094" s="1">
        <f t="shared" si="505"/>
        <v>43101</v>
      </c>
      <c r="P4094" s="1">
        <f t="shared" si="506"/>
        <v>44927</v>
      </c>
      <c r="Q4094" s="8">
        <f t="shared" si="507"/>
        <v>0</v>
      </c>
      <c r="R4094" s="8">
        <f t="shared" si="508"/>
        <v>61</v>
      </c>
      <c r="S4094" s="8">
        <f t="shared" ca="1" si="509"/>
        <v>61</v>
      </c>
      <c r="T4094">
        <f t="shared" ca="1" si="510"/>
        <v>1.7023057707008005</v>
      </c>
      <c r="U4094" s="8">
        <f t="shared" ca="1" si="511"/>
        <v>3.4245630943232013</v>
      </c>
      <c r="V4094" s="9">
        <f ca="1">RawData[[#This Row],[Z (smoothed demand size)]]/RawData[[#This Row],[X (smoothed interval)]]</f>
        <v>0.49708699294303066</v>
      </c>
    </row>
    <row r="4095" spans="1:22">
      <c r="A4095" t="s">
        <v>76</v>
      </c>
      <c r="B4095" t="s">
        <v>60</v>
      </c>
      <c r="C4095">
        <v>21</v>
      </c>
      <c r="D4095" t="s">
        <v>18</v>
      </c>
      <c r="E4095" t="s">
        <v>16</v>
      </c>
      <c r="F4095" s="1">
        <v>44928</v>
      </c>
      <c r="G4095">
        <v>0</v>
      </c>
      <c r="H4095">
        <v>0</v>
      </c>
      <c r="I4095">
        <v>12</v>
      </c>
      <c r="J4095">
        <v>12</v>
      </c>
      <c r="K4095">
        <v>0</v>
      </c>
      <c r="L4095">
        <v>420</v>
      </c>
      <c r="M4095">
        <v>30</v>
      </c>
      <c r="N4095" s="1">
        <f t="shared" si="504"/>
        <v>44938</v>
      </c>
      <c r="O4095" s="1">
        <f t="shared" si="505"/>
        <v>43101</v>
      </c>
      <c r="P4095" s="1">
        <f t="shared" si="506"/>
        <v>44958</v>
      </c>
      <c r="Q4095" s="8">
        <f t="shared" si="507"/>
        <v>0</v>
      </c>
      <c r="R4095" s="8">
        <f t="shared" si="508"/>
        <v>62</v>
      </c>
      <c r="S4095" s="8">
        <f t="shared" ca="1" si="509"/>
        <v>61</v>
      </c>
      <c r="T4095">
        <f t="shared" ca="1" si="510"/>
        <v>1.7023057707008005</v>
      </c>
      <c r="U4095" s="8">
        <f t="shared" ca="1" si="511"/>
        <v>3.4245630943232013</v>
      </c>
      <c r="V4095" s="9">
        <f ca="1">RawData[[#This Row],[Z (smoothed demand size)]]/RawData[[#This Row],[X (smoothed interval)]]</f>
        <v>0.49708699294303066</v>
      </c>
    </row>
    <row r="4096" spans="1:22">
      <c r="A4096" t="s">
        <v>76</v>
      </c>
      <c r="B4096" t="s">
        <v>60</v>
      </c>
      <c r="C4096">
        <v>21</v>
      </c>
      <c r="D4096" t="s">
        <v>18</v>
      </c>
      <c r="E4096" t="s">
        <v>16</v>
      </c>
      <c r="F4096" s="1">
        <v>44929</v>
      </c>
      <c r="G4096">
        <v>0</v>
      </c>
      <c r="H4096">
        <v>0</v>
      </c>
      <c r="I4096">
        <v>12</v>
      </c>
      <c r="J4096">
        <v>12</v>
      </c>
      <c r="K4096">
        <v>0</v>
      </c>
      <c r="L4096">
        <v>420</v>
      </c>
      <c r="M4096">
        <v>45</v>
      </c>
      <c r="N4096" s="1">
        <f t="shared" si="504"/>
        <v>44938</v>
      </c>
      <c r="O4096" s="1">
        <f t="shared" si="505"/>
        <v>43101</v>
      </c>
      <c r="P4096" s="1">
        <f t="shared" si="506"/>
        <v>44986</v>
      </c>
      <c r="Q4096" s="8">
        <f t="shared" si="507"/>
        <v>0</v>
      </c>
      <c r="R4096" s="8">
        <f t="shared" si="508"/>
        <v>63</v>
      </c>
      <c r="S4096" s="8">
        <f t="shared" ca="1" si="509"/>
        <v>61</v>
      </c>
      <c r="T4096">
        <f t="shared" ca="1" si="510"/>
        <v>1.7023057707008005</v>
      </c>
      <c r="U4096" s="8">
        <f t="shared" ca="1" si="511"/>
        <v>3.4245630943232013</v>
      </c>
      <c r="V4096" s="9">
        <f ca="1">RawData[[#This Row],[Z (smoothed demand size)]]/RawData[[#This Row],[X (smoothed interval)]]</f>
        <v>0.49708699294303066</v>
      </c>
    </row>
    <row r="4097" spans="1:22">
      <c r="A4097" t="s">
        <v>76</v>
      </c>
      <c r="B4097" t="s">
        <v>60</v>
      </c>
      <c r="C4097">
        <v>21</v>
      </c>
      <c r="D4097" t="s">
        <v>18</v>
      </c>
      <c r="E4097" t="s">
        <v>16</v>
      </c>
      <c r="F4097" s="1">
        <v>44930</v>
      </c>
      <c r="G4097">
        <v>0</v>
      </c>
      <c r="H4097">
        <v>0</v>
      </c>
      <c r="I4097">
        <v>12</v>
      </c>
      <c r="J4097">
        <v>12</v>
      </c>
      <c r="K4097">
        <v>0</v>
      </c>
      <c r="L4097">
        <v>414</v>
      </c>
      <c r="M4097">
        <v>15</v>
      </c>
      <c r="N4097" s="1">
        <f t="shared" si="504"/>
        <v>44938</v>
      </c>
      <c r="O4097" s="1">
        <f t="shared" si="505"/>
        <v>43101</v>
      </c>
      <c r="P4097" s="1">
        <f t="shared" si="506"/>
        <v>45017</v>
      </c>
      <c r="Q4097" s="8">
        <f t="shared" si="507"/>
        <v>0</v>
      </c>
      <c r="R4097" s="8">
        <f t="shared" si="508"/>
        <v>64</v>
      </c>
      <c r="S4097" s="8">
        <f t="shared" ca="1" si="509"/>
        <v>61</v>
      </c>
      <c r="T4097">
        <f t="shared" ca="1" si="510"/>
        <v>1.7023057707008005</v>
      </c>
      <c r="U4097" s="8">
        <f t="shared" ca="1" si="511"/>
        <v>3.4245630943232013</v>
      </c>
      <c r="V4097" s="9">
        <f ca="1">RawData[[#This Row],[Z (smoothed demand size)]]/RawData[[#This Row],[X (smoothed interval)]]</f>
        <v>0.49708699294303066</v>
      </c>
    </row>
    <row r="4098" spans="1:22">
      <c r="A4098" t="s">
        <v>76</v>
      </c>
      <c r="B4098" t="s">
        <v>60</v>
      </c>
      <c r="C4098">
        <v>21</v>
      </c>
      <c r="D4098" t="s">
        <v>18</v>
      </c>
      <c r="E4098" t="s">
        <v>16</v>
      </c>
      <c r="F4098" s="1">
        <v>44931</v>
      </c>
      <c r="G4098">
        <v>3</v>
      </c>
      <c r="H4098">
        <v>3</v>
      </c>
      <c r="I4098">
        <v>12</v>
      </c>
      <c r="J4098">
        <v>9</v>
      </c>
      <c r="K4098">
        <v>0</v>
      </c>
      <c r="L4098">
        <v>425</v>
      </c>
      <c r="M4098">
        <v>30</v>
      </c>
      <c r="N4098" s="1">
        <f t="shared" ref="N4098:N4161" si="512">MAX(F:F)</f>
        <v>44938</v>
      </c>
      <c r="O4098" s="1">
        <f t="shared" ref="O4098:O4161" si="513">MIN(F:F)</f>
        <v>43101</v>
      </c>
      <c r="P4098" s="1">
        <f t="shared" ref="P4098:P4161" si="514">DATE(YEAR(F4098), DAY(F4098), 1)</f>
        <v>45047</v>
      </c>
      <c r="Q4098" s="8">
        <f t="shared" ref="Q4098:Q4161" si="515" xml:space="preserve"> IF(A4098&lt;&gt;A4097, 1, 0)</f>
        <v>0</v>
      </c>
      <c r="R4098" s="8">
        <f t="shared" ref="R4098:R4161" si="516">IF(Q4098=1,1,R4097+1)</f>
        <v>65</v>
      </c>
      <c r="S4098" s="8">
        <f t="shared" ref="S4098:S4161" ca="1" si="517" xml:space="preserve"> IF(Q4098=1, IF(G4098&gt;0, R4098, 0), IF(G4098&gt;0, R4098, OFFSET(S4098,-1,0)))</f>
        <v>65</v>
      </c>
      <c r="T4098">
        <f t="shared" ref="T4098:T4161" ca="1" si="518" xml:space="preserve"> IF(Q4098=1, IF(G4098&gt;0, G4098, 0), IF(G4098&gt;0, $X$1*G4098+(1-$X$1)*OFFSET(T4098,-1,0), OFFSET(T4098,-1,0)))</f>
        <v>1.9618446165606405</v>
      </c>
      <c r="U4098" s="8">
        <f t="shared" ref="U4098:U4161" ca="1" si="519" xml:space="preserve"> IF(Q4098=1, 1, IF(G4098&gt;0, $X$1*(R4098-OFFSET(S4098,-1,0))+(1-$X$1)*OFFSET(U4098,-1,0), OFFSET(U4098,-1,0)))</f>
        <v>3.5396504754585614</v>
      </c>
      <c r="V4098" s="9">
        <f ca="1">RawData[[#This Row],[Z (smoothed demand size)]]/RawData[[#This Row],[X (smoothed interval)]]</f>
        <v>0.55424811861020928</v>
      </c>
    </row>
    <row r="4099" spans="1:22">
      <c r="A4099" t="s">
        <v>76</v>
      </c>
      <c r="B4099" t="s">
        <v>60</v>
      </c>
      <c r="C4099">
        <v>21</v>
      </c>
      <c r="D4099" t="s">
        <v>18</v>
      </c>
      <c r="E4099" t="s">
        <v>16</v>
      </c>
      <c r="F4099" s="1">
        <v>44932</v>
      </c>
      <c r="G4099">
        <v>0</v>
      </c>
      <c r="H4099">
        <v>0</v>
      </c>
      <c r="I4099">
        <v>9</v>
      </c>
      <c r="J4099">
        <v>9</v>
      </c>
      <c r="K4099">
        <v>0</v>
      </c>
      <c r="L4099">
        <v>479</v>
      </c>
      <c r="M4099">
        <v>30</v>
      </c>
      <c r="N4099" s="1">
        <f t="shared" si="512"/>
        <v>44938</v>
      </c>
      <c r="O4099" s="1">
        <f t="shared" si="513"/>
        <v>43101</v>
      </c>
      <c r="P4099" s="1">
        <f t="shared" si="514"/>
        <v>45078</v>
      </c>
      <c r="Q4099" s="8">
        <f t="shared" si="515"/>
        <v>0</v>
      </c>
      <c r="R4099" s="8">
        <f t="shared" si="516"/>
        <v>66</v>
      </c>
      <c r="S4099" s="8">
        <f t="shared" ca="1" si="517"/>
        <v>65</v>
      </c>
      <c r="T4099">
        <f t="shared" ca="1" si="518"/>
        <v>1.9618446165606405</v>
      </c>
      <c r="U4099" s="8">
        <f t="shared" ca="1" si="519"/>
        <v>3.5396504754585614</v>
      </c>
      <c r="V4099" s="9">
        <f ca="1">RawData[[#This Row],[Z (smoothed demand size)]]/RawData[[#This Row],[X (smoothed interval)]]</f>
        <v>0.55424811861020928</v>
      </c>
    </row>
    <row r="4100" spans="1:22">
      <c r="A4100" t="s">
        <v>76</v>
      </c>
      <c r="B4100" t="s">
        <v>60</v>
      </c>
      <c r="C4100">
        <v>21</v>
      </c>
      <c r="D4100" t="s">
        <v>18</v>
      </c>
      <c r="E4100" t="s">
        <v>16</v>
      </c>
      <c r="F4100" s="1">
        <v>44933</v>
      </c>
      <c r="G4100">
        <v>0</v>
      </c>
      <c r="H4100">
        <v>0</v>
      </c>
      <c r="I4100">
        <v>9</v>
      </c>
      <c r="J4100">
        <v>9</v>
      </c>
      <c r="K4100">
        <v>0</v>
      </c>
      <c r="L4100">
        <v>488</v>
      </c>
      <c r="M4100">
        <v>30</v>
      </c>
      <c r="N4100" s="1">
        <f t="shared" si="512"/>
        <v>44938</v>
      </c>
      <c r="O4100" s="1">
        <f t="shared" si="513"/>
        <v>43101</v>
      </c>
      <c r="P4100" s="1">
        <f t="shared" si="514"/>
        <v>45108</v>
      </c>
      <c r="Q4100" s="8">
        <f t="shared" si="515"/>
        <v>0</v>
      </c>
      <c r="R4100" s="8">
        <f t="shared" si="516"/>
        <v>67</v>
      </c>
      <c r="S4100" s="8">
        <f t="shared" ca="1" si="517"/>
        <v>65</v>
      </c>
      <c r="T4100">
        <f t="shared" ca="1" si="518"/>
        <v>1.9618446165606405</v>
      </c>
      <c r="U4100" s="8">
        <f t="shared" ca="1" si="519"/>
        <v>3.5396504754585614</v>
      </c>
      <c r="V4100" s="9">
        <f ca="1">RawData[[#This Row],[Z (smoothed demand size)]]/RawData[[#This Row],[X (smoothed interval)]]</f>
        <v>0.55424811861020928</v>
      </c>
    </row>
    <row r="4101" spans="1:22">
      <c r="A4101" t="s">
        <v>76</v>
      </c>
      <c r="B4101" t="s">
        <v>60</v>
      </c>
      <c r="C4101">
        <v>21</v>
      </c>
      <c r="D4101" t="s">
        <v>18</v>
      </c>
      <c r="E4101" t="s">
        <v>16</v>
      </c>
      <c r="F4101" s="1">
        <v>44934</v>
      </c>
      <c r="G4101">
        <v>0</v>
      </c>
      <c r="H4101">
        <v>0</v>
      </c>
      <c r="I4101">
        <v>9</v>
      </c>
      <c r="J4101">
        <v>9</v>
      </c>
      <c r="K4101">
        <v>0</v>
      </c>
      <c r="L4101">
        <v>471</v>
      </c>
      <c r="M4101">
        <v>60</v>
      </c>
      <c r="N4101" s="1">
        <f t="shared" si="512"/>
        <v>44938</v>
      </c>
      <c r="O4101" s="1">
        <f t="shared" si="513"/>
        <v>43101</v>
      </c>
      <c r="P4101" s="1">
        <f t="shared" si="514"/>
        <v>45139</v>
      </c>
      <c r="Q4101" s="8">
        <f t="shared" si="515"/>
        <v>0</v>
      </c>
      <c r="R4101" s="8">
        <f t="shared" si="516"/>
        <v>68</v>
      </c>
      <c r="S4101" s="8">
        <f t="shared" ca="1" si="517"/>
        <v>65</v>
      </c>
      <c r="T4101">
        <f t="shared" ca="1" si="518"/>
        <v>1.9618446165606405</v>
      </c>
      <c r="U4101" s="8">
        <f t="shared" ca="1" si="519"/>
        <v>3.5396504754585614</v>
      </c>
      <c r="V4101" s="9">
        <f ca="1">RawData[[#This Row],[Z (smoothed demand size)]]/RawData[[#This Row],[X (smoothed interval)]]</f>
        <v>0.55424811861020928</v>
      </c>
    </row>
    <row r="4102" spans="1:22">
      <c r="A4102" t="s">
        <v>76</v>
      </c>
      <c r="B4102" t="s">
        <v>60</v>
      </c>
      <c r="C4102">
        <v>21</v>
      </c>
      <c r="D4102" t="s">
        <v>18</v>
      </c>
      <c r="E4102" t="s">
        <v>16</v>
      </c>
      <c r="F4102" s="1">
        <v>44935</v>
      </c>
      <c r="G4102">
        <v>0</v>
      </c>
      <c r="H4102">
        <v>0</v>
      </c>
      <c r="I4102">
        <v>9</v>
      </c>
      <c r="J4102">
        <v>9</v>
      </c>
      <c r="K4102">
        <v>0</v>
      </c>
      <c r="L4102">
        <v>417</v>
      </c>
      <c r="M4102">
        <v>30</v>
      </c>
      <c r="N4102" s="1">
        <f t="shared" si="512"/>
        <v>44938</v>
      </c>
      <c r="O4102" s="1">
        <f t="shared" si="513"/>
        <v>43101</v>
      </c>
      <c r="P4102" s="1">
        <f t="shared" si="514"/>
        <v>45170</v>
      </c>
      <c r="Q4102" s="8">
        <f t="shared" si="515"/>
        <v>0</v>
      </c>
      <c r="R4102" s="8">
        <f t="shared" si="516"/>
        <v>69</v>
      </c>
      <c r="S4102" s="8">
        <f t="shared" ca="1" si="517"/>
        <v>65</v>
      </c>
      <c r="T4102">
        <f t="shared" ca="1" si="518"/>
        <v>1.9618446165606405</v>
      </c>
      <c r="U4102" s="8">
        <f t="shared" ca="1" si="519"/>
        <v>3.5396504754585614</v>
      </c>
      <c r="V4102" s="9">
        <f ca="1">RawData[[#This Row],[Z (smoothed demand size)]]/RawData[[#This Row],[X (smoothed interval)]]</f>
        <v>0.55424811861020928</v>
      </c>
    </row>
    <row r="4103" spans="1:22">
      <c r="A4103" t="s">
        <v>76</v>
      </c>
      <c r="B4103" t="s">
        <v>60</v>
      </c>
      <c r="C4103">
        <v>21</v>
      </c>
      <c r="D4103" t="s">
        <v>18</v>
      </c>
      <c r="E4103" t="s">
        <v>16</v>
      </c>
      <c r="F4103" s="1">
        <v>44936</v>
      </c>
      <c r="G4103">
        <v>0</v>
      </c>
      <c r="H4103">
        <v>0</v>
      </c>
      <c r="I4103">
        <v>9</v>
      </c>
      <c r="J4103">
        <v>9</v>
      </c>
      <c r="K4103">
        <v>0</v>
      </c>
      <c r="L4103">
        <v>425</v>
      </c>
      <c r="M4103">
        <v>15</v>
      </c>
      <c r="N4103" s="1">
        <f t="shared" si="512"/>
        <v>44938</v>
      </c>
      <c r="O4103" s="1">
        <f t="shared" si="513"/>
        <v>43101</v>
      </c>
      <c r="P4103" s="1">
        <f t="shared" si="514"/>
        <v>45200</v>
      </c>
      <c r="Q4103" s="8">
        <f t="shared" si="515"/>
        <v>0</v>
      </c>
      <c r="R4103" s="8">
        <f t="shared" si="516"/>
        <v>70</v>
      </c>
      <c r="S4103" s="8">
        <f t="shared" ca="1" si="517"/>
        <v>65</v>
      </c>
      <c r="T4103">
        <f t="shared" ca="1" si="518"/>
        <v>1.9618446165606405</v>
      </c>
      <c r="U4103" s="8">
        <f t="shared" ca="1" si="519"/>
        <v>3.5396504754585614</v>
      </c>
      <c r="V4103" s="9">
        <f ca="1">RawData[[#This Row],[Z (smoothed demand size)]]/RawData[[#This Row],[X (smoothed interval)]]</f>
        <v>0.55424811861020928</v>
      </c>
    </row>
    <row r="4104" spans="1:22">
      <c r="A4104" t="s">
        <v>76</v>
      </c>
      <c r="B4104" t="s">
        <v>60</v>
      </c>
      <c r="C4104">
        <v>21</v>
      </c>
      <c r="D4104" t="s">
        <v>18</v>
      </c>
      <c r="E4104" t="s">
        <v>16</v>
      </c>
      <c r="F4104" s="1">
        <v>44937</v>
      </c>
      <c r="G4104">
        <v>0</v>
      </c>
      <c r="H4104">
        <v>0</v>
      </c>
      <c r="I4104">
        <v>9</v>
      </c>
      <c r="J4104">
        <v>9</v>
      </c>
      <c r="K4104">
        <v>0</v>
      </c>
      <c r="L4104">
        <v>418</v>
      </c>
      <c r="M4104">
        <v>60</v>
      </c>
      <c r="N4104" s="1">
        <f t="shared" si="512"/>
        <v>44938</v>
      </c>
      <c r="O4104" s="1">
        <f t="shared" si="513"/>
        <v>43101</v>
      </c>
      <c r="P4104" s="1">
        <f t="shared" si="514"/>
        <v>45231</v>
      </c>
      <c r="Q4104" s="8">
        <f t="shared" si="515"/>
        <v>0</v>
      </c>
      <c r="R4104" s="8">
        <f t="shared" si="516"/>
        <v>71</v>
      </c>
      <c r="S4104" s="8">
        <f t="shared" ca="1" si="517"/>
        <v>65</v>
      </c>
      <c r="T4104">
        <f t="shared" ca="1" si="518"/>
        <v>1.9618446165606405</v>
      </c>
      <c r="U4104" s="8">
        <f t="shared" ca="1" si="519"/>
        <v>3.5396504754585614</v>
      </c>
      <c r="V4104" s="9">
        <f ca="1">RawData[[#This Row],[Z (smoothed demand size)]]/RawData[[#This Row],[X (smoothed interval)]]</f>
        <v>0.55424811861020928</v>
      </c>
    </row>
    <row r="4105" spans="1:22">
      <c r="A4105" t="s">
        <v>76</v>
      </c>
      <c r="B4105" t="s">
        <v>60</v>
      </c>
      <c r="C4105">
        <v>21</v>
      </c>
      <c r="D4105" t="s">
        <v>18</v>
      </c>
      <c r="E4105" t="s">
        <v>16</v>
      </c>
      <c r="F4105" s="1">
        <v>44938</v>
      </c>
      <c r="G4105">
        <v>0</v>
      </c>
      <c r="H4105">
        <v>0</v>
      </c>
      <c r="I4105">
        <v>9</v>
      </c>
      <c r="J4105">
        <v>9</v>
      </c>
      <c r="K4105">
        <v>0</v>
      </c>
      <c r="L4105">
        <v>470</v>
      </c>
      <c r="M4105">
        <v>60</v>
      </c>
      <c r="N4105" s="1">
        <f t="shared" si="512"/>
        <v>44938</v>
      </c>
      <c r="O4105" s="1">
        <f t="shared" si="513"/>
        <v>43101</v>
      </c>
      <c r="P4105" s="1">
        <f t="shared" si="514"/>
        <v>45261</v>
      </c>
      <c r="Q4105" s="8">
        <f t="shared" si="515"/>
        <v>0</v>
      </c>
      <c r="R4105" s="8">
        <f t="shared" si="516"/>
        <v>72</v>
      </c>
      <c r="S4105" s="8">
        <f t="shared" ca="1" si="517"/>
        <v>65</v>
      </c>
      <c r="T4105">
        <f t="shared" ca="1" si="518"/>
        <v>1.9618446165606405</v>
      </c>
      <c r="U4105" s="8">
        <f t="shared" ca="1" si="519"/>
        <v>3.5396504754585614</v>
      </c>
      <c r="V4105" s="9">
        <f ca="1">RawData[[#This Row],[Z (smoothed demand size)]]/RawData[[#This Row],[X (smoothed interval)]]</f>
        <v>0.55424811861020928</v>
      </c>
    </row>
    <row r="4106" spans="1:22">
      <c r="A4106" t="s">
        <v>77</v>
      </c>
      <c r="B4106" t="s">
        <v>60</v>
      </c>
      <c r="C4106">
        <v>32</v>
      </c>
      <c r="D4106" t="s">
        <v>15</v>
      </c>
      <c r="E4106" t="s">
        <v>16</v>
      </c>
      <c r="F4106" s="1">
        <v>43101</v>
      </c>
      <c r="G4106">
        <v>0</v>
      </c>
      <c r="H4106">
        <v>0</v>
      </c>
      <c r="I4106">
        <v>17</v>
      </c>
      <c r="J4106">
        <v>17</v>
      </c>
      <c r="K4106">
        <v>0</v>
      </c>
      <c r="L4106">
        <v>626</v>
      </c>
      <c r="M4106">
        <v>30</v>
      </c>
      <c r="N4106" s="1">
        <f t="shared" si="512"/>
        <v>44938</v>
      </c>
      <c r="O4106" s="1">
        <f t="shared" si="513"/>
        <v>43101</v>
      </c>
      <c r="P4106" s="1">
        <f t="shared" si="514"/>
        <v>43101</v>
      </c>
      <c r="Q4106" s="8">
        <f t="shared" si="515"/>
        <v>1</v>
      </c>
      <c r="R4106" s="8">
        <f t="shared" si="516"/>
        <v>1</v>
      </c>
      <c r="S4106" s="8">
        <f t="shared" ca="1" si="517"/>
        <v>0</v>
      </c>
      <c r="T4106">
        <f t="shared" ca="1" si="518"/>
        <v>0</v>
      </c>
      <c r="U4106" s="8">
        <f t="shared" ca="1" si="519"/>
        <v>1</v>
      </c>
      <c r="V4106" s="9">
        <f ca="1">RawData[[#This Row],[Z (smoothed demand size)]]/RawData[[#This Row],[X (smoothed interval)]]</f>
        <v>0</v>
      </c>
    </row>
    <row r="4107" spans="1:22">
      <c r="A4107" t="s">
        <v>77</v>
      </c>
      <c r="B4107" t="s">
        <v>60</v>
      </c>
      <c r="C4107">
        <v>32</v>
      </c>
      <c r="D4107" t="s">
        <v>15</v>
      </c>
      <c r="E4107" t="s">
        <v>16</v>
      </c>
      <c r="F4107" s="1">
        <v>43102</v>
      </c>
      <c r="G4107">
        <v>0</v>
      </c>
      <c r="H4107">
        <v>0</v>
      </c>
      <c r="I4107">
        <v>17</v>
      </c>
      <c r="J4107">
        <v>17</v>
      </c>
      <c r="K4107">
        <v>0</v>
      </c>
      <c r="L4107">
        <v>624</v>
      </c>
      <c r="M4107">
        <v>15</v>
      </c>
      <c r="N4107" s="1">
        <f t="shared" si="512"/>
        <v>44938</v>
      </c>
      <c r="O4107" s="1">
        <f t="shared" si="513"/>
        <v>43101</v>
      </c>
      <c r="P4107" s="1">
        <f t="shared" si="514"/>
        <v>43132</v>
      </c>
      <c r="Q4107" s="8">
        <f t="shared" si="515"/>
        <v>0</v>
      </c>
      <c r="R4107" s="8">
        <f t="shared" si="516"/>
        <v>2</v>
      </c>
      <c r="S4107" s="8">
        <f t="shared" ca="1" si="517"/>
        <v>0</v>
      </c>
      <c r="T4107">
        <f t="shared" ca="1" si="518"/>
        <v>0</v>
      </c>
      <c r="U4107" s="8">
        <f t="shared" ca="1" si="519"/>
        <v>1</v>
      </c>
      <c r="V4107" s="9">
        <f ca="1">RawData[[#This Row],[Z (smoothed demand size)]]/RawData[[#This Row],[X (smoothed interval)]]</f>
        <v>0</v>
      </c>
    </row>
    <row r="4108" spans="1:22">
      <c r="A4108" t="s">
        <v>77</v>
      </c>
      <c r="B4108" t="s">
        <v>60</v>
      </c>
      <c r="C4108">
        <v>32</v>
      </c>
      <c r="D4108" t="s">
        <v>15</v>
      </c>
      <c r="E4108" t="s">
        <v>16</v>
      </c>
      <c r="F4108" s="1">
        <v>43103</v>
      </c>
      <c r="G4108">
        <v>0</v>
      </c>
      <c r="H4108">
        <v>0</v>
      </c>
      <c r="I4108">
        <v>17</v>
      </c>
      <c r="J4108">
        <v>17</v>
      </c>
      <c r="K4108">
        <v>0</v>
      </c>
      <c r="L4108">
        <v>625</v>
      </c>
      <c r="M4108">
        <v>45</v>
      </c>
      <c r="N4108" s="1">
        <f t="shared" si="512"/>
        <v>44938</v>
      </c>
      <c r="O4108" s="1">
        <f t="shared" si="513"/>
        <v>43101</v>
      </c>
      <c r="P4108" s="1">
        <f t="shared" si="514"/>
        <v>43160</v>
      </c>
      <c r="Q4108" s="8">
        <f t="shared" si="515"/>
        <v>0</v>
      </c>
      <c r="R4108" s="8">
        <f t="shared" si="516"/>
        <v>3</v>
      </c>
      <c r="S4108" s="8">
        <f t="shared" ca="1" si="517"/>
        <v>0</v>
      </c>
      <c r="T4108">
        <f t="shared" ca="1" si="518"/>
        <v>0</v>
      </c>
      <c r="U4108" s="8">
        <f t="shared" ca="1" si="519"/>
        <v>1</v>
      </c>
      <c r="V4108" s="9">
        <f ca="1">RawData[[#This Row],[Z (smoothed demand size)]]/RawData[[#This Row],[X (smoothed interval)]]</f>
        <v>0</v>
      </c>
    </row>
    <row r="4109" spans="1:22">
      <c r="A4109" t="s">
        <v>77</v>
      </c>
      <c r="B4109" t="s">
        <v>60</v>
      </c>
      <c r="C4109">
        <v>32</v>
      </c>
      <c r="D4109" t="s">
        <v>15</v>
      </c>
      <c r="E4109" t="s">
        <v>16</v>
      </c>
      <c r="F4109" s="1">
        <v>43104</v>
      </c>
      <c r="G4109">
        <v>0</v>
      </c>
      <c r="H4109">
        <v>0</v>
      </c>
      <c r="I4109">
        <v>17</v>
      </c>
      <c r="J4109">
        <v>17</v>
      </c>
      <c r="K4109">
        <v>0</v>
      </c>
      <c r="L4109">
        <v>612</v>
      </c>
      <c r="M4109">
        <v>45</v>
      </c>
      <c r="N4109" s="1">
        <f t="shared" si="512"/>
        <v>44938</v>
      </c>
      <c r="O4109" s="1">
        <f t="shared" si="513"/>
        <v>43101</v>
      </c>
      <c r="P4109" s="1">
        <f t="shared" si="514"/>
        <v>43191</v>
      </c>
      <c r="Q4109" s="8">
        <f t="shared" si="515"/>
        <v>0</v>
      </c>
      <c r="R4109" s="8">
        <f t="shared" si="516"/>
        <v>4</v>
      </c>
      <c r="S4109" s="8">
        <f t="shared" ca="1" si="517"/>
        <v>0</v>
      </c>
      <c r="T4109">
        <f t="shared" ca="1" si="518"/>
        <v>0</v>
      </c>
      <c r="U4109" s="8">
        <f t="shared" ca="1" si="519"/>
        <v>1</v>
      </c>
      <c r="V4109" s="9">
        <f ca="1">RawData[[#This Row],[Z (smoothed demand size)]]/RawData[[#This Row],[X (smoothed interval)]]</f>
        <v>0</v>
      </c>
    </row>
    <row r="4110" spans="1:22">
      <c r="A4110" t="s">
        <v>77</v>
      </c>
      <c r="B4110" t="s">
        <v>60</v>
      </c>
      <c r="C4110">
        <v>32</v>
      </c>
      <c r="D4110" t="s">
        <v>15</v>
      </c>
      <c r="E4110" t="s">
        <v>16</v>
      </c>
      <c r="F4110" s="1">
        <v>43105</v>
      </c>
      <c r="G4110">
        <v>0</v>
      </c>
      <c r="H4110">
        <v>0</v>
      </c>
      <c r="I4110">
        <v>17</v>
      </c>
      <c r="J4110">
        <v>17</v>
      </c>
      <c r="K4110">
        <v>0</v>
      </c>
      <c r="L4110">
        <v>626</v>
      </c>
      <c r="M4110">
        <v>30</v>
      </c>
      <c r="N4110" s="1">
        <f t="shared" si="512"/>
        <v>44938</v>
      </c>
      <c r="O4110" s="1">
        <f t="shared" si="513"/>
        <v>43101</v>
      </c>
      <c r="P4110" s="1">
        <f t="shared" si="514"/>
        <v>43221</v>
      </c>
      <c r="Q4110" s="8">
        <f t="shared" si="515"/>
        <v>0</v>
      </c>
      <c r="R4110" s="8">
        <f t="shared" si="516"/>
        <v>5</v>
      </c>
      <c r="S4110" s="8">
        <f t="shared" ca="1" si="517"/>
        <v>0</v>
      </c>
      <c r="T4110">
        <f t="shared" ca="1" si="518"/>
        <v>0</v>
      </c>
      <c r="U4110" s="8">
        <f t="shared" ca="1" si="519"/>
        <v>1</v>
      </c>
      <c r="V4110" s="9">
        <f ca="1">RawData[[#This Row],[Z (smoothed demand size)]]/RawData[[#This Row],[X (smoothed interval)]]</f>
        <v>0</v>
      </c>
    </row>
    <row r="4111" spans="1:22">
      <c r="A4111" t="s">
        <v>77</v>
      </c>
      <c r="B4111" t="s">
        <v>60</v>
      </c>
      <c r="C4111">
        <v>32</v>
      </c>
      <c r="D4111" t="s">
        <v>15</v>
      </c>
      <c r="E4111" t="s">
        <v>16</v>
      </c>
      <c r="F4111" s="1">
        <v>43106</v>
      </c>
      <c r="G4111">
        <v>0</v>
      </c>
      <c r="H4111">
        <v>0</v>
      </c>
      <c r="I4111">
        <v>17</v>
      </c>
      <c r="J4111">
        <v>17</v>
      </c>
      <c r="K4111">
        <v>0</v>
      </c>
      <c r="L4111">
        <v>723</v>
      </c>
      <c r="M4111">
        <v>60</v>
      </c>
      <c r="N4111" s="1">
        <f t="shared" si="512"/>
        <v>44938</v>
      </c>
      <c r="O4111" s="1">
        <f t="shared" si="513"/>
        <v>43101</v>
      </c>
      <c r="P4111" s="1">
        <f t="shared" si="514"/>
        <v>43252</v>
      </c>
      <c r="Q4111" s="8">
        <f t="shared" si="515"/>
        <v>0</v>
      </c>
      <c r="R4111" s="8">
        <f t="shared" si="516"/>
        <v>6</v>
      </c>
      <c r="S4111" s="8">
        <f t="shared" ca="1" si="517"/>
        <v>0</v>
      </c>
      <c r="T4111">
        <f t="shared" ca="1" si="518"/>
        <v>0</v>
      </c>
      <c r="U4111" s="8">
        <f t="shared" ca="1" si="519"/>
        <v>1</v>
      </c>
      <c r="V4111" s="9">
        <f ca="1">RawData[[#This Row],[Z (smoothed demand size)]]/RawData[[#This Row],[X (smoothed interval)]]</f>
        <v>0</v>
      </c>
    </row>
    <row r="4112" spans="1:22">
      <c r="A4112" t="s">
        <v>77</v>
      </c>
      <c r="B4112" t="s">
        <v>60</v>
      </c>
      <c r="C4112">
        <v>32</v>
      </c>
      <c r="D4112" t="s">
        <v>15</v>
      </c>
      <c r="E4112" t="s">
        <v>16</v>
      </c>
      <c r="F4112" s="1">
        <v>43107</v>
      </c>
      <c r="G4112">
        <v>0</v>
      </c>
      <c r="H4112">
        <v>0</v>
      </c>
      <c r="I4112">
        <v>17</v>
      </c>
      <c r="J4112">
        <v>17</v>
      </c>
      <c r="K4112">
        <v>0</v>
      </c>
      <c r="L4112">
        <v>729</v>
      </c>
      <c r="M4112">
        <v>60</v>
      </c>
      <c r="N4112" s="1">
        <f t="shared" si="512"/>
        <v>44938</v>
      </c>
      <c r="O4112" s="1">
        <f t="shared" si="513"/>
        <v>43101</v>
      </c>
      <c r="P4112" s="1">
        <f t="shared" si="514"/>
        <v>43282</v>
      </c>
      <c r="Q4112" s="8">
        <f t="shared" si="515"/>
        <v>0</v>
      </c>
      <c r="R4112" s="8">
        <f t="shared" si="516"/>
        <v>7</v>
      </c>
      <c r="S4112" s="8">
        <f t="shared" ca="1" si="517"/>
        <v>0</v>
      </c>
      <c r="T4112">
        <f t="shared" ca="1" si="518"/>
        <v>0</v>
      </c>
      <c r="U4112" s="8">
        <f t="shared" ca="1" si="519"/>
        <v>1</v>
      </c>
      <c r="V4112" s="9">
        <f ca="1">RawData[[#This Row],[Z (smoothed demand size)]]/RawData[[#This Row],[X (smoothed interval)]]</f>
        <v>0</v>
      </c>
    </row>
    <row r="4113" spans="1:22">
      <c r="A4113" t="s">
        <v>77</v>
      </c>
      <c r="B4113" t="s">
        <v>60</v>
      </c>
      <c r="C4113">
        <v>32</v>
      </c>
      <c r="D4113" t="s">
        <v>15</v>
      </c>
      <c r="E4113" t="s">
        <v>16</v>
      </c>
      <c r="F4113" s="1">
        <v>43108</v>
      </c>
      <c r="G4113">
        <v>2</v>
      </c>
      <c r="H4113">
        <v>2</v>
      </c>
      <c r="I4113">
        <v>17</v>
      </c>
      <c r="J4113">
        <v>15</v>
      </c>
      <c r="K4113">
        <v>0</v>
      </c>
      <c r="L4113">
        <v>717</v>
      </c>
      <c r="M4113">
        <v>45</v>
      </c>
      <c r="N4113" s="1">
        <f t="shared" si="512"/>
        <v>44938</v>
      </c>
      <c r="O4113" s="1">
        <f t="shared" si="513"/>
        <v>43101</v>
      </c>
      <c r="P4113" s="1">
        <f t="shared" si="514"/>
        <v>43313</v>
      </c>
      <c r="Q4113" s="8">
        <f t="shared" si="515"/>
        <v>0</v>
      </c>
      <c r="R4113" s="8">
        <f t="shared" si="516"/>
        <v>8</v>
      </c>
      <c r="S4113" s="8">
        <f t="shared" ca="1" si="517"/>
        <v>8</v>
      </c>
      <c r="T4113">
        <f t="shared" ca="1" si="518"/>
        <v>0.4</v>
      </c>
      <c r="U4113" s="8">
        <f t="shared" ca="1" si="519"/>
        <v>2.4000000000000004</v>
      </c>
      <c r="V4113" s="9">
        <f ca="1">RawData[[#This Row],[Z (smoothed demand size)]]/RawData[[#This Row],[X (smoothed interval)]]</f>
        <v>0.16666666666666666</v>
      </c>
    </row>
    <row r="4114" spans="1:22">
      <c r="A4114" t="s">
        <v>77</v>
      </c>
      <c r="B4114" t="s">
        <v>60</v>
      </c>
      <c r="C4114">
        <v>32</v>
      </c>
      <c r="D4114" t="s">
        <v>15</v>
      </c>
      <c r="E4114" t="s">
        <v>16</v>
      </c>
      <c r="F4114" s="1">
        <v>43109</v>
      </c>
      <c r="G4114">
        <v>0</v>
      </c>
      <c r="H4114">
        <v>0</v>
      </c>
      <c r="I4114">
        <v>15</v>
      </c>
      <c r="J4114">
        <v>15</v>
      </c>
      <c r="K4114">
        <v>0</v>
      </c>
      <c r="L4114">
        <v>626</v>
      </c>
      <c r="M4114">
        <v>60</v>
      </c>
      <c r="N4114" s="1">
        <f t="shared" si="512"/>
        <v>44938</v>
      </c>
      <c r="O4114" s="1">
        <f t="shared" si="513"/>
        <v>43101</v>
      </c>
      <c r="P4114" s="1">
        <f t="shared" si="514"/>
        <v>43344</v>
      </c>
      <c r="Q4114" s="8">
        <f t="shared" si="515"/>
        <v>0</v>
      </c>
      <c r="R4114" s="8">
        <f t="shared" si="516"/>
        <v>9</v>
      </c>
      <c r="S4114" s="8">
        <f t="shared" ca="1" si="517"/>
        <v>8</v>
      </c>
      <c r="T4114">
        <f t="shared" ca="1" si="518"/>
        <v>0.4</v>
      </c>
      <c r="U4114" s="8">
        <f t="shared" ca="1" si="519"/>
        <v>2.4000000000000004</v>
      </c>
      <c r="V4114" s="9">
        <f ca="1">RawData[[#This Row],[Z (smoothed demand size)]]/RawData[[#This Row],[X (smoothed interval)]]</f>
        <v>0.16666666666666666</v>
      </c>
    </row>
    <row r="4115" spans="1:22">
      <c r="A4115" t="s">
        <v>77</v>
      </c>
      <c r="B4115" t="s">
        <v>60</v>
      </c>
      <c r="C4115">
        <v>32</v>
      </c>
      <c r="D4115" t="s">
        <v>15</v>
      </c>
      <c r="E4115" t="s">
        <v>16</v>
      </c>
      <c r="F4115" s="1">
        <v>43110</v>
      </c>
      <c r="G4115">
        <v>0</v>
      </c>
      <c r="H4115">
        <v>0</v>
      </c>
      <c r="I4115">
        <v>15</v>
      </c>
      <c r="J4115">
        <v>15</v>
      </c>
      <c r="K4115">
        <v>0</v>
      </c>
      <c r="L4115">
        <v>628</v>
      </c>
      <c r="M4115">
        <v>60</v>
      </c>
      <c r="N4115" s="1">
        <f t="shared" si="512"/>
        <v>44938</v>
      </c>
      <c r="O4115" s="1">
        <f t="shared" si="513"/>
        <v>43101</v>
      </c>
      <c r="P4115" s="1">
        <f t="shared" si="514"/>
        <v>43374</v>
      </c>
      <c r="Q4115" s="8">
        <f t="shared" si="515"/>
        <v>0</v>
      </c>
      <c r="R4115" s="8">
        <f t="shared" si="516"/>
        <v>10</v>
      </c>
      <c r="S4115" s="8">
        <f t="shared" ca="1" si="517"/>
        <v>8</v>
      </c>
      <c r="T4115">
        <f t="shared" ca="1" si="518"/>
        <v>0.4</v>
      </c>
      <c r="U4115" s="8">
        <f t="shared" ca="1" si="519"/>
        <v>2.4000000000000004</v>
      </c>
      <c r="V4115" s="9">
        <f ca="1">RawData[[#This Row],[Z (smoothed demand size)]]/RawData[[#This Row],[X (smoothed interval)]]</f>
        <v>0.16666666666666666</v>
      </c>
    </row>
    <row r="4116" spans="1:22">
      <c r="A4116" t="s">
        <v>77</v>
      </c>
      <c r="B4116" t="s">
        <v>60</v>
      </c>
      <c r="C4116">
        <v>32</v>
      </c>
      <c r="D4116" t="s">
        <v>15</v>
      </c>
      <c r="E4116" t="s">
        <v>16</v>
      </c>
      <c r="F4116" s="1">
        <v>43111</v>
      </c>
      <c r="G4116">
        <v>0</v>
      </c>
      <c r="H4116">
        <v>0</v>
      </c>
      <c r="I4116">
        <v>15</v>
      </c>
      <c r="J4116">
        <v>15</v>
      </c>
      <c r="K4116">
        <v>0</v>
      </c>
      <c r="L4116">
        <v>634</v>
      </c>
      <c r="M4116">
        <v>45</v>
      </c>
      <c r="N4116" s="1">
        <f t="shared" si="512"/>
        <v>44938</v>
      </c>
      <c r="O4116" s="1">
        <f t="shared" si="513"/>
        <v>43101</v>
      </c>
      <c r="P4116" s="1">
        <f t="shared" si="514"/>
        <v>43405</v>
      </c>
      <c r="Q4116" s="8">
        <f t="shared" si="515"/>
        <v>0</v>
      </c>
      <c r="R4116" s="8">
        <f t="shared" si="516"/>
        <v>11</v>
      </c>
      <c r="S4116" s="8">
        <f t="shared" ca="1" si="517"/>
        <v>8</v>
      </c>
      <c r="T4116">
        <f t="shared" ca="1" si="518"/>
        <v>0.4</v>
      </c>
      <c r="U4116" s="8">
        <f t="shared" ca="1" si="519"/>
        <v>2.4000000000000004</v>
      </c>
      <c r="V4116" s="9">
        <f ca="1">RawData[[#This Row],[Z (smoothed demand size)]]/RawData[[#This Row],[X (smoothed interval)]]</f>
        <v>0.16666666666666666</v>
      </c>
    </row>
    <row r="4117" spans="1:22">
      <c r="A4117" t="s">
        <v>77</v>
      </c>
      <c r="B4117" t="s">
        <v>60</v>
      </c>
      <c r="C4117">
        <v>32</v>
      </c>
      <c r="D4117" t="s">
        <v>15</v>
      </c>
      <c r="E4117" t="s">
        <v>16</v>
      </c>
      <c r="F4117" s="1">
        <v>43112</v>
      </c>
      <c r="G4117">
        <v>0</v>
      </c>
      <c r="H4117">
        <v>0</v>
      </c>
      <c r="I4117">
        <v>15</v>
      </c>
      <c r="J4117">
        <v>15</v>
      </c>
      <c r="K4117">
        <v>0</v>
      </c>
      <c r="L4117">
        <v>725</v>
      </c>
      <c r="M4117">
        <v>60</v>
      </c>
      <c r="N4117" s="1">
        <f t="shared" si="512"/>
        <v>44938</v>
      </c>
      <c r="O4117" s="1">
        <f t="shared" si="513"/>
        <v>43101</v>
      </c>
      <c r="P4117" s="1">
        <f t="shared" si="514"/>
        <v>43435</v>
      </c>
      <c r="Q4117" s="8">
        <f t="shared" si="515"/>
        <v>0</v>
      </c>
      <c r="R4117" s="8">
        <f t="shared" si="516"/>
        <v>12</v>
      </c>
      <c r="S4117" s="8">
        <f t="shared" ca="1" si="517"/>
        <v>8</v>
      </c>
      <c r="T4117">
        <f t="shared" ca="1" si="518"/>
        <v>0.4</v>
      </c>
      <c r="U4117" s="8">
        <f t="shared" ca="1" si="519"/>
        <v>2.4000000000000004</v>
      </c>
      <c r="V4117" s="9">
        <f ca="1">RawData[[#This Row],[Z (smoothed demand size)]]/RawData[[#This Row],[X (smoothed interval)]]</f>
        <v>0.16666666666666666</v>
      </c>
    </row>
    <row r="4118" spans="1:22">
      <c r="A4118" t="s">
        <v>77</v>
      </c>
      <c r="B4118" t="s">
        <v>60</v>
      </c>
      <c r="C4118">
        <v>32</v>
      </c>
      <c r="D4118" t="s">
        <v>15</v>
      </c>
      <c r="E4118" t="s">
        <v>16</v>
      </c>
      <c r="F4118" s="1">
        <v>43466</v>
      </c>
      <c r="G4118">
        <v>0</v>
      </c>
      <c r="H4118">
        <v>0</v>
      </c>
      <c r="I4118">
        <v>15</v>
      </c>
      <c r="J4118">
        <v>15</v>
      </c>
      <c r="K4118">
        <v>0</v>
      </c>
      <c r="L4118">
        <v>629</v>
      </c>
      <c r="M4118">
        <v>45</v>
      </c>
      <c r="N4118" s="1">
        <f t="shared" si="512"/>
        <v>44938</v>
      </c>
      <c r="O4118" s="1">
        <f t="shared" si="513"/>
        <v>43101</v>
      </c>
      <c r="P4118" s="1">
        <f t="shared" si="514"/>
        <v>43466</v>
      </c>
      <c r="Q4118" s="8">
        <f t="shared" si="515"/>
        <v>0</v>
      </c>
      <c r="R4118" s="8">
        <f t="shared" si="516"/>
        <v>13</v>
      </c>
      <c r="S4118" s="8">
        <f t="shared" ca="1" si="517"/>
        <v>8</v>
      </c>
      <c r="T4118">
        <f t="shared" ca="1" si="518"/>
        <v>0.4</v>
      </c>
      <c r="U4118" s="8">
        <f t="shared" ca="1" si="519"/>
        <v>2.4000000000000004</v>
      </c>
      <c r="V4118" s="9">
        <f ca="1">RawData[[#This Row],[Z (smoothed demand size)]]/RawData[[#This Row],[X (smoothed interval)]]</f>
        <v>0.16666666666666666</v>
      </c>
    </row>
    <row r="4119" spans="1:22">
      <c r="A4119" t="s">
        <v>77</v>
      </c>
      <c r="B4119" t="s">
        <v>60</v>
      </c>
      <c r="C4119">
        <v>32</v>
      </c>
      <c r="D4119" t="s">
        <v>15</v>
      </c>
      <c r="E4119" t="s">
        <v>16</v>
      </c>
      <c r="F4119" s="1">
        <v>43467</v>
      </c>
      <c r="G4119">
        <v>2</v>
      </c>
      <c r="H4119">
        <v>2</v>
      </c>
      <c r="I4119">
        <v>15</v>
      </c>
      <c r="J4119">
        <v>13</v>
      </c>
      <c r="K4119">
        <v>0</v>
      </c>
      <c r="L4119">
        <v>633</v>
      </c>
      <c r="M4119">
        <v>60</v>
      </c>
      <c r="N4119" s="1">
        <f t="shared" si="512"/>
        <v>44938</v>
      </c>
      <c r="O4119" s="1">
        <f t="shared" si="513"/>
        <v>43101</v>
      </c>
      <c r="P4119" s="1">
        <f t="shared" si="514"/>
        <v>43497</v>
      </c>
      <c r="Q4119" s="8">
        <f t="shared" si="515"/>
        <v>0</v>
      </c>
      <c r="R4119" s="8">
        <f t="shared" si="516"/>
        <v>14</v>
      </c>
      <c r="S4119" s="8">
        <f t="shared" ca="1" si="517"/>
        <v>14</v>
      </c>
      <c r="T4119">
        <f t="shared" ca="1" si="518"/>
        <v>0.72000000000000008</v>
      </c>
      <c r="U4119" s="8">
        <f t="shared" ca="1" si="519"/>
        <v>3.1200000000000006</v>
      </c>
      <c r="V4119" s="9">
        <f ca="1">RawData[[#This Row],[Z (smoothed demand size)]]/RawData[[#This Row],[X (smoothed interval)]]</f>
        <v>0.23076923076923075</v>
      </c>
    </row>
    <row r="4120" spans="1:22">
      <c r="A4120" t="s">
        <v>77</v>
      </c>
      <c r="B4120" t="s">
        <v>60</v>
      </c>
      <c r="C4120">
        <v>32</v>
      </c>
      <c r="D4120" t="s">
        <v>15</v>
      </c>
      <c r="E4120" t="s">
        <v>16</v>
      </c>
      <c r="F4120" s="1">
        <v>43468</v>
      </c>
      <c r="G4120">
        <v>0</v>
      </c>
      <c r="H4120">
        <v>0</v>
      </c>
      <c r="I4120">
        <v>13</v>
      </c>
      <c r="J4120">
        <v>13</v>
      </c>
      <c r="K4120">
        <v>0</v>
      </c>
      <c r="L4120">
        <v>630</v>
      </c>
      <c r="M4120">
        <v>30</v>
      </c>
      <c r="N4120" s="1">
        <f t="shared" si="512"/>
        <v>44938</v>
      </c>
      <c r="O4120" s="1">
        <f t="shared" si="513"/>
        <v>43101</v>
      </c>
      <c r="P4120" s="1">
        <f t="shared" si="514"/>
        <v>43525</v>
      </c>
      <c r="Q4120" s="8">
        <f t="shared" si="515"/>
        <v>0</v>
      </c>
      <c r="R4120" s="8">
        <f t="shared" si="516"/>
        <v>15</v>
      </c>
      <c r="S4120" s="8">
        <f t="shared" ca="1" si="517"/>
        <v>14</v>
      </c>
      <c r="T4120">
        <f t="shared" ca="1" si="518"/>
        <v>0.72000000000000008</v>
      </c>
      <c r="U4120" s="8">
        <f t="shared" ca="1" si="519"/>
        <v>3.1200000000000006</v>
      </c>
      <c r="V4120" s="9">
        <f ca="1">RawData[[#This Row],[Z (smoothed demand size)]]/RawData[[#This Row],[X (smoothed interval)]]</f>
        <v>0.23076923076923075</v>
      </c>
    </row>
    <row r="4121" spans="1:22">
      <c r="A4121" t="s">
        <v>77</v>
      </c>
      <c r="B4121" t="s">
        <v>60</v>
      </c>
      <c r="C4121">
        <v>32</v>
      </c>
      <c r="D4121" t="s">
        <v>15</v>
      </c>
      <c r="E4121" t="s">
        <v>16</v>
      </c>
      <c r="F4121" s="1">
        <v>43469</v>
      </c>
      <c r="G4121">
        <v>0</v>
      </c>
      <c r="H4121">
        <v>0</v>
      </c>
      <c r="I4121">
        <v>13</v>
      </c>
      <c r="J4121">
        <v>13</v>
      </c>
      <c r="K4121">
        <v>0</v>
      </c>
      <c r="L4121">
        <v>623</v>
      </c>
      <c r="M4121">
        <v>30</v>
      </c>
      <c r="N4121" s="1">
        <f t="shared" si="512"/>
        <v>44938</v>
      </c>
      <c r="O4121" s="1">
        <f t="shared" si="513"/>
        <v>43101</v>
      </c>
      <c r="P4121" s="1">
        <f t="shared" si="514"/>
        <v>43556</v>
      </c>
      <c r="Q4121" s="8">
        <f t="shared" si="515"/>
        <v>0</v>
      </c>
      <c r="R4121" s="8">
        <f t="shared" si="516"/>
        <v>16</v>
      </c>
      <c r="S4121" s="8">
        <f t="shared" ca="1" si="517"/>
        <v>14</v>
      </c>
      <c r="T4121">
        <f t="shared" ca="1" si="518"/>
        <v>0.72000000000000008</v>
      </c>
      <c r="U4121" s="8">
        <f t="shared" ca="1" si="519"/>
        <v>3.1200000000000006</v>
      </c>
      <c r="V4121" s="9">
        <f ca="1">RawData[[#This Row],[Z (smoothed demand size)]]/RawData[[#This Row],[X (smoothed interval)]]</f>
        <v>0.23076923076923075</v>
      </c>
    </row>
    <row r="4122" spans="1:22">
      <c r="A4122" t="s">
        <v>77</v>
      </c>
      <c r="B4122" t="s">
        <v>60</v>
      </c>
      <c r="C4122">
        <v>32</v>
      </c>
      <c r="D4122" t="s">
        <v>15</v>
      </c>
      <c r="E4122" t="s">
        <v>16</v>
      </c>
      <c r="F4122" s="1">
        <v>43470</v>
      </c>
      <c r="G4122">
        <v>0</v>
      </c>
      <c r="H4122">
        <v>0</v>
      </c>
      <c r="I4122">
        <v>13</v>
      </c>
      <c r="J4122">
        <v>13</v>
      </c>
      <c r="K4122">
        <v>0</v>
      </c>
      <c r="L4122">
        <v>638</v>
      </c>
      <c r="M4122">
        <v>45</v>
      </c>
      <c r="N4122" s="1">
        <f t="shared" si="512"/>
        <v>44938</v>
      </c>
      <c r="O4122" s="1">
        <f t="shared" si="513"/>
        <v>43101</v>
      </c>
      <c r="P4122" s="1">
        <f t="shared" si="514"/>
        <v>43586</v>
      </c>
      <c r="Q4122" s="8">
        <f t="shared" si="515"/>
        <v>0</v>
      </c>
      <c r="R4122" s="8">
        <f t="shared" si="516"/>
        <v>17</v>
      </c>
      <c r="S4122" s="8">
        <f t="shared" ca="1" si="517"/>
        <v>14</v>
      </c>
      <c r="T4122">
        <f t="shared" ca="1" si="518"/>
        <v>0.72000000000000008</v>
      </c>
      <c r="U4122" s="8">
        <f t="shared" ca="1" si="519"/>
        <v>3.1200000000000006</v>
      </c>
      <c r="V4122" s="9">
        <f ca="1">RawData[[#This Row],[Z (smoothed demand size)]]/RawData[[#This Row],[X (smoothed interval)]]</f>
        <v>0.23076923076923075</v>
      </c>
    </row>
    <row r="4123" spans="1:22">
      <c r="A4123" t="s">
        <v>77</v>
      </c>
      <c r="B4123" t="s">
        <v>60</v>
      </c>
      <c r="C4123">
        <v>32</v>
      </c>
      <c r="D4123" t="s">
        <v>15</v>
      </c>
      <c r="E4123" t="s">
        <v>16</v>
      </c>
      <c r="F4123" s="1">
        <v>43471</v>
      </c>
      <c r="G4123">
        <v>0</v>
      </c>
      <c r="H4123">
        <v>0</v>
      </c>
      <c r="I4123">
        <v>13</v>
      </c>
      <c r="J4123">
        <v>13</v>
      </c>
      <c r="K4123">
        <v>0</v>
      </c>
      <c r="L4123">
        <v>707</v>
      </c>
      <c r="M4123">
        <v>45</v>
      </c>
      <c r="N4123" s="1">
        <f t="shared" si="512"/>
        <v>44938</v>
      </c>
      <c r="O4123" s="1">
        <f t="shared" si="513"/>
        <v>43101</v>
      </c>
      <c r="P4123" s="1">
        <f t="shared" si="514"/>
        <v>43617</v>
      </c>
      <c r="Q4123" s="8">
        <f t="shared" si="515"/>
        <v>0</v>
      </c>
      <c r="R4123" s="8">
        <f t="shared" si="516"/>
        <v>18</v>
      </c>
      <c r="S4123" s="8">
        <f t="shared" ca="1" si="517"/>
        <v>14</v>
      </c>
      <c r="T4123">
        <f t="shared" ca="1" si="518"/>
        <v>0.72000000000000008</v>
      </c>
      <c r="U4123" s="8">
        <f t="shared" ca="1" si="519"/>
        <v>3.1200000000000006</v>
      </c>
      <c r="V4123" s="9">
        <f ca="1">RawData[[#This Row],[Z (smoothed demand size)]]/RawData[[#This Row],[X (smoothed interval)]]</f>
        <v>0.23076923076923075</v>
      </c>
    </row>
    <row r="4124" spans="1:22">
      <c r="A4124" t="s">
        <v>77</v>
      </c>
      <c r="B4124" t="s">
        <v>60</v>
      </c>
      <c r="C4124">
        <v>32</v>
      </c>
      <c r="D4124" t="s">
        <v>15</v>
      </c>
      <c r="E4124" t="s">
        <v>16</v>
      </c>
      <c r="F4124" s="1">
        <v>43472</v>
      </c>
      <c r="G4124">
        <v>0</v>
      </c>
      <c r="H4124">
        <v>0</v>
      </c>
      <c r="I4124">
        <v>13</v>
      </c>
      <c r="J4124">
        <v>13</v>
      </c>
      <c r="K4124">
        <v>0</v>
      </c>
      <c r="L4124">
        <v>728</v>
      </c>
      <c r="M4124">
        <v>30</v>
      </c>
      <c r="N4124" s="1">
        <f t="shared" si="512"/>
        <v>44938</v>
      </c>
      <c r="O4124" s="1">
        <f t="shared" si="513"/>
        <v>43101</v>
      </c>
      <c r="P4124" s="1">
        <f t="shared" si="514"/>
        <v>43647</v>
      </c>
      <c r="Q4124" s="8">
        <f t="shared" si="515"/>
        <v>0</v>
      </c>
      <c r="R4124" s="8">
        <f t="shared" si="516"/>
        <v>19</v>
      </c>
      <c r="S4124" s="8">
        <f t="shared" ca="1" si="517"/>
        <v>14</v>
      </c>
      <c r="T4124">
        <f t="shared" ca="1" si="518"/>
        <v>0.72000000000000008</v>
      </c>
      <c r="U4124" s="8">
        <f t="shared" ca="1" si="519"/>
        <v>3.1200000000000006</v>
      </c>
      <c r="V4124" s="9">
        <f ca="1">RawData[[#This Row],[Z (smoothed demand size)]]/RawData[[#This Row],[X (smoothed interval)]]</f>
        <v>0.23076923076923075</v>
      </c>
    </row>
    <row r="4125" spans="1:22">
      <c r="A4125" t="s">
        <v>77</v>
      </c>
      <c r="B4125" t="s">
        <v>60</v>
      </c>
      <c r="C4125">
        <v>32</v>
      </c>
      <c r="D4125" t="s">
        <v>15</v>
      </c>
      <c r="E4125" t="s">
        <v>16</v>
      </c>
      <c r="F4125" s="1">
        <v>43473</v>
      </c>
      <c r="G4125">
        <v>0</v>
      </c>
      <c r="H4125">
        <v>0</v>
      </c>
      <c r="I4125">
        <v>13</v>
      </c>
      <c r="J4125">
        <v>13</v>
      </c>
      <c r="K4125">
        <v>0</v>
      </c>
      <c r="L4125">
        <v>724</v>
      </c>
      <c r="M4125">
        <v>45</v>
      </c>
      <c r="N4125" s="1">
        <f t="shared" si="512"/>
        <v>44938</v>
      </c>
      <c r="O4125" s="1">
        <f t="shared" si="513"/>
        <v>43101</v>
      </c>
      <c r="P4125" s="1">
        <f t="shared" si="514"/>
        <v>43678</v>
      </c>
      <c r="Q4125" s="8">
        <f t="shared" si="515"/>
        <v>0</v>
      </c>
      <c r="R4125" s="8">
        <f t="shared" si="516"/>
        <v>20</v>
      </c>
      <c r="S4125" s="8">
        <f t="shared" ca="1" si="517"/>
        <v>14</v>
      </c>
      <c r="T4125">
        <f t="shared" ca="1" si="518"/>
        <v>0.72000000000000008</v>
      </c>
      <c r="U4125" s="8">
        <f t="shared" ca="1" si="519"/>
        <v>3.1200000000000006</v>
      </c>
      <c r="V4125" s="9">
        <f ca="1">RawData[[#This Row],[Z (smoothed demand size)]]/RawData[[#This Row],[X (smoothed interval)]]</f>
        <v>0.23076923076923075</v>
      </c>
    </row>
    <row r="4126" spans="1:22">
      <c r="A4126" t="s">
        <v>77</v>
      </c>
      <c r="B4126" t="s">
        <v>60</v>
      </c>
      <c r="C4126">
        <v>32</v>
      </c>
      <c r="D4126" t="s">
        <v>15</v>
      </c>
      <c r="E4126" t="s">
        <v>16</v>
      </c>
      <c r="F4126" s="1">
        <v>43474</v>
      </c>
      <c r="G4126">
        <v>0</v>
      </c>
      <c r="H4126">
        <v>0</v>
      </c>
      <c r="I4126">
        <v>13</v>
      </c>
      <c r="J4126">
        <v>13</v>
      </c>
      <c r="K4126">
        <v>0</v>
      </c>
      <c r="L4126">
        <v>635</v>
      </c>
      <c r="M4126">
        <v>15</v>
      </c>
      <c r="N4126" s="1">
        <f t="shared" si="512"/>
        <v>44938</v>
      </c>
      <c r="O4126" s="1">
        <f t="shared" si="513"/>
        <v>43101</v>
      </c>
      <c r="P4126" s="1">
        <f t="shared" si="514"/>
        <v>43709</v>
      </c>
      <c r="Q4126" s="8">
        <f t="shared" si="515"/>
        <v>0</v>
      </c>
      <c r="R4126" s="8">
        <f t="shared" si="516"/>
        <v>21</v>
      </c>
      <c r="S4126" s="8">
        <f t="shared" ca="1" si="517"/>
        <v>14</v>
      </c>
      <c r="T4126">
        <f t="shared" ca="1" si="518"/>
        <v>0.72000000000000008</v>
      </c>
      <c r="U4126" s="8">
        <f t="shared" ca="1" si="519"/>
        <v>3.1200000000000006</v>
      </c>
      <c r="V4126" s="9">
        <f ca="1">RawData[[#This Row],[Z (smoothed demand size)]]/RawData[[#This Row],[X (smoothed interval)]]</f>
        <v>0.23076923076923075</v>
      </c>
    </row>
    <row r="4127" spans="1:22">
      <c r="A4127" t="s">
        <v>77</v>
      </c>
      <c r="B4127" t="s">
        <v>60</v>
      </c>
      <c r="C4127">
        <v>32</v>
      </c>
      <c r="D4127" t="s">
        <v>15</v>
      </c>
      <c r="E4127" t="s">
        <v>16</v>
      </c>
      <c r="F4127" s="1">
        <v>43475</v>
      </c>
      <c r="G4127">
        <v>0</v>
      </c>
      <c r="H4127">
        <v>0</v>
      </c>
      <c r="I4127">
        <v>13</v>
      </c>
      <c r="J4127">
        <v>13</v>
      </c>
      <c r="K4127">
        <v>0</v>
      </c>
      <c r="L4127">
        <v>626</v>
      </c>
      <c r="M4127">
        <v>15</v>
      </c>
      <c r="N4127" s="1">
        <f t="shared" si="512"/>
        <v>44938</v>
      </c>
      <c r="O4127" s="1">
        <f t="shared" si="513"/>
        <v>43101</v>
      </c>
      <c r="P4127" s="1">
        <f t="shared" si="514"/>
        <v>43739</v>
      </c>
      <c r="Q4127" s="8">
        <f t="shared" si="515"/>
        <v>0</v>
      </c>
      <c r="R4127" s="8">
        <f t="shared" si="516"/>
        <v>22</v>
      </c>
      <c r="S4127" s="8">
        <f t="shared" ca="1" si="517"/>
        <v>14</v>
      </c>
      <c r="T4127">
        <f t="shared" ca="1" si="518"/>
        <v>0.72000000000000008</v>
      </c>
      <c r="U4127" s="8">
        <f t="shared" ca="1" si="519"/>
        <v>3.1200000000000006</v>
      </c>
      <c r="V4127" s="9">
        <f ca="1">RawData[[#This Row],[Z (smoothed demand size)]]/RawData[[#This Row],[X (smoothed interval)]]</f>
        <v>0.23076923076923075</v>
      </c>
    </row>
    <row r="4128" spans="1:22">
      <c r="A4128" t="s">
        <v>77</v>
      </c>
      <c r="B4128" t="s">
        <v>60</v>
      </c>
      <c r="C4128">
        <v>32</v>
      </c>
      <c r="D4128" t="s">
        <v>15</v>
      </c>
      <c r="E4128" t="s">
        <v>16</v>
      </c>
      <c r="F4128" s="1">
        <v>43476</v>
      </c>
      <c r="G4128">
        <v>0</v>
      </c>
      <c r="H4128">
        <v>0</v>
      </c>
      <c r="I4128">
        <v>13</v>
      </c>
      <c r="J4128">
        <v>13</v>
      </c>
      <c r="K4128">
        <v>0</v>
      </c>
      <c r="L4128">
        <v>624</v>
      </c>
      <c r="M4128">
        <v>45</v>
      </c>
      <c r="N4128" s="1">
        <f t="shared" si="512"/>
        <v>44938</v>
      </c>
      <c r="O4128" s="1">
        <f t="shared" si="513"/>
        <v>43101</v>
      </c>
      <c r="P4128" s="1">
        <f t="shared" si="514"/>
        <v>43770</v>
      </c>
      <c r="Q4128" s="8">
        <f t="shared" si="515"/>
        <v>0</v>
      </c>
      <c r="R4128" s="8">
        <f t="shared" si="516"/>
        <v>23</v>
      </c>
      <c r="S4128" s="8">
        <f t="shared" ca="1" si="517"/>
        <v>14</v>
      </c>
      <c r="T4128">
        <f t="shared" ca="1" si="518"/>
        <v>0.72000000000000008</v>
      </c>
      <c r="U4128" s="8">
        <f t="shared" ca="1" si="519"/>
        <v>3.1200000000000006</v>
      </c>
      <c r="V4128" s="9">
        <f ca="1">RawData[[#This Row],[Z (smoothed demand size)]]/RawData[[#This Row],[X (smoothed interval)]]</f>
        <v>0.23076923076923075</v>
      </c>
    </row>
    <row r="4129" spans="1:22">
      <c r="A4129" t="s">
        <v>77</v>
      </c>
      <c r="B4129" t="s">
        <v>60</v>
      </c>
      <c r="C4129">
        <v>32</v>
      </c>
      <c r="D4129" t="s">
        <v>15</v>
      </c>
      <c r="E4129" t="s">
        <v>16</v>
      </c>
      <c r="F4129" s="1">
        <v>43477</v>
      </c>
      <c r="G4129">
        <v>0</v>
      </c>
      <c r="H4129">
        <v>0</v>
      </c>
      <c r="I4129">
        <v>13</v>
      </c>
      <c r="J4129">
        <v>13</v>
      </c>
      <c r="K4129">
        <v>0</v>
      </c>
      <c r="L4129">
        <v>713</v>
      </c>
      <c r="M4129">
        <v>15</v>
      </c>
      <c r="N4129" s="1">
        <f t="shared" si="512"/>
        <v>44938</v>
      </c>
      <c r="O4129" s="1">
        <f t="shared" si="513"/>
        <v>43101</v>
      </c>
      <c r="P4129" s="1">
        <f t="shared" si="514"/>
        <v>43800</v>
      </c>
      <c r="Q4129" s="8">
        <f t="shared" si="515"/>
        <v>0</v>
      </c>
      <c r="R4129" s="8">
        <f t="shared" si="516"/>
        <v>24</v>
      </c>
      <c r="S4129" s="8">
        <f t="shared" ca="1" si="517"/>
        <v>14</v>
      </c>
      <c r="T4129">
        <f t="shared" ca="1" si="518"/>
        <v>0.72000000000000008</v>
      </c>
      <c r="U4129" s="8">
        <f t="shared" ca="1" si="519"/>
        <v>3.1200000000000006</v>
      </c>
      <c r="V4129" s="9">
        <f ca="1">RawData[[#This Row],[Z (smoothed demand size)]]/RawData[[#This Row],[X (smoothed interval)]]</f>
        <v>0.23076923076923075</v>
      </c>
    </row>
    <row r="4130" spans="1:22">
      <c r="A4130" t="s">
        <v>77</v>
      </c>
      <c r="B4130" t="s">
        <v>60</v>
      </c>
      <c r="C4130">
        <v>32</v>
      </c>
      <c r="D4130" t="s">
        <v>15</v>
      </c>
      <c r="E4130" t="s">
        <v>16</v>
      </c>
      <c r="F4130" s="1">
        <v>43831</v>
      </c>
      <c r="G4130">
        <v>0</v>
      </c>
      <c r="H4130">
        <v>0</v>
      </c>
      <c r="I4130">
        <v>13</v>
      </c>
      <c r="J4130">
        <v>13</v>
      </c>
      <c r="K4130">
        <v>0</v>
      </c>
      <c r="L4130">
        <v>619</v>
      </c>
      <c r="M4130">
        <v>15</v>
      </c>
      <c r="N4130" s="1">
        <f t="shared" si="512"/>
        <v>44938</v>
      </c>
      <c r="O4130" s="1">
        <f t="shared" si="513"/>
        <v>43101</v>
      </c>
      <c r="P4130" s="1">
        <f t="shared" si="514"/>
        <v>43831</v>
      </c>
      <c r="Q4130" s="8">
        <f t="shared" si="515"/>
        <v>0</v>
      </c>
      <c r="R4130" s="8">
        <f t="shared" si="516"/>
        <v>25</v>
      </c>
      <c r="S4130" s="8">
        <f t="shared" ca="1" si="517"/>
        <v>14</v>
      </c>
      <c r="T4130">
        <f t="shared" ca="1" si="518"/>
        <v>0.72000000000000008</v>
      </c>
      <c r="U4130" s="8">
        <f t="shared" ca="1" si="519"/>
        <v>3.1200000000000006</v>
      </c>
      <c r="V4130" s="9">
        <f ca="1">RawData[[#This Row],[Z (smoothed demand size)]]/RawData[[#This Row],[X (smoothed interval)]]</f>
        <v>0.23076923076923075</v>
      </c>
    </row>
    <row r="4131" spans="1:22">
      <c r="A4131" t="s">
        <v>77</v>
      </c>
      <c r="B4131" t="s">
        <v>60</v>
      </c>
      <c r="C4131">
        <v>32</v>
      </c>
      <c r="D4131" t="s">
        <v>15</v>
      </c>
      <c r="E4131" t="s">
        <v>16</v>
      </c>
      <c r="F4131" s="1">
        <v>43832</v>
      </c>
      <c r="G4131">
        <v>0</v>
      </c>
      <c r="H4131">
        <v>0</v>
      </c>
      <c r="I4131">
        <v>13</v>
      </c>
      <c r="J4131">
        <v>13</v>
      </c>
      <c r="K4131">
        <v>0</v>
      </c>
      <c r="L4131">
        <v>624</v>
      </c>
      <c r="M4131">
        <v>60</v>
      </c>
      <c r="N4131" s="1">
        <f t="shared" si="512"/>
        <v>44938</v>
      </c>
      <c r="O4131" s="1">
        <f t="shared" si="513"/>
        <v>43101</v>
      </c>
      <c r="P4131" s="1">
        <f t="shared" si="514"/>
        <v>43862</v>
      </c>
      <c r="Q4131" s="8">
        <f t="shared" si="515"/>
        <v>0</v>
      </c>
      <c r="R4131" s="8">
        <f t="shared" si="516"/>
        <v>26</v>
      </c>
      <c r="S4131" s="8">
        <f t="shared" ca="1" si="517"/>
        <v>14</v>
      </c>
      <c r="T4131">
        <f t="shared" ca="1" si="518"/>
        <v>0.72000000000000008</v>
      </c>
      <c r="U4131" s="8">
        <f t="shared" ca="1" si="519"/>
        <v>3.1200000000000006</v>
      </c>
      <c r="V4131" s="9">
        <f ca="1">RawData[[#This Row],[Z (smoothed demand size)]]/RawData[[#This Row],[X (smoothed interval)]]</f>
        <v>0.23076923076923075</v>
      </c>
    </row>
    <row r="4132" spans="1:22">
      <c r="A4132" t="s">
        <v>77</v>
      </c>
      <c r="B4132" t="s">
        <v>60</v>
      </c>
      <c r="C4132">
        <v>32</v>
      </c>
      <c r="D4132" t="s">
        <v>15</v>
      </c>
      <c r="E4132" t="s">
        <v>16</v>
      </c>
      <c r="F4132" s="1">
        <v>43833</v>
      </c>
      <c r="G4132">
        <v>0</v>
      </c>
      <c r="H4132">
        <v>0</v>
      </c>
      <c r="I4132">
        <v>13</v>
      </c>
      <c r="J4132">
        <v>13</v>
      </c>
      <c r="K4132">
        <v>0</v>
      </c>
      <c r="L4132">
        <v>620</v>
      </c>
      <c r="M4132">
        <v>30</v>
      </c>
      <c r="N4132" s="1">
        <f t="shared" si="512"/>
        <v>44938</v>
      </c>
      <c r="O4132" s="1">
        <f t="shared" si="513"/>
        <v>43101</v>
      </c>
      <c r="P4132" s="1">
        <f t="shared" si="514"/>
        <v>43891</v>
      </c>
      <c r="Q4132" s="8">
        <f t="shared" si="515"/>
        <v>0</v>
      </c>
      <c r="R4132" s="8">
        <f t="shared" si="516"/>
        <v>27</v>
      </c>
      <c r="S4132" s="8">
        <f t="shared" ca="1" si="517"/>
        <v>14</v>
      </c>
      <c r="T4132">
        <f t="shared" ca="1" si="518"/>
        <v>0.72000000000000008</v>
      </c>
      <c r="U4132" s="8">
        <f t="shared" ca="1" si="519"/>
        <v>3.1200000000000006</v>
      </c>
      <c r="V4132" s="9">
        <f ca="1">RawData[[#This Row],[Z (smoothed demand size)]]/RawData[[#This Row],[X (smoothed interval)]]</f>
        <v>0.23076923076923075</v>
      </c>
    </row>
    <row r="4133" spans="1:22">
      <c r="A4133" t="s">
        <v>77</v>
      </c>
      <c r="B4133" t="s">
        <v>60</v>
      </c>
      <c r="C4133">
        <v>32</v>
      </c>
      <c r="D4133" t="s">
        <v>15</v>
      </c>
      <c r="E4133" t="s">
        <v>16</v>
      </c>
      <c r="F4133" s="1">
        <v>43834</v>
      </c>
      <c r="G4133">
        <v>0</v>
      </c>
      <c r="H4133">
        <v>0</v>
      </c>
      <c r="I4133">
        <v>13</v>
      </c>
      <c r="J4133">
        <v>13</v>
      </c>
      <c r="K4133">
        <v>0</v>
      </c>
      <c r="L4133">
        <v>621</v>
      </c>
      <c r="M4133">
        <v>30</v>
      </c>
      <c r="N4133" s="1">
        <f t="shared" si="512"/>
        <v>44938</v>
      </c>
      <c r="O4133" s="1">
        <f t="shared" si="513"/>
        <v>43101</v>
      </c>
      <c r="P4133" s="1">
        <f t="shared" si="514"/>
        <v>43922</v>
      </c>
      <c r="Q4133" s="8">
        <f t="shared" si="515"/>
        <v>0</v>
      </c>
      <c r="R4133" s="8">
        <f t="shared" si="516"/>
        <v>28</v>
      </c>
      <c r="S4133" s="8">
        <f t="shared" ca="1" si="517"/>
        <v>14</v>
      </c>
      <c r="T4133">
        <f t="shared" ca="1" si="518"/>
        <v>0.72000000000000008</v>
      </c>
      <c r="U4133" s="8">
        <f t="shared" ca="1" si="519"/>
        <v>3.1200000000000006</v>
      </c>
      <c r="V4133" s="9">
        <f ca="1">RawData[[#This Row],[Z (smoothed demand size)]]/RawData[[#This Row],[X (smoothed interval)]]</f>
        <v>0.23076923076923075</v>
      </c>
    </row>
    <row r="4134" spans="1:22">
      <c r="A4134" t="s">
        <v>77</v>
      </c>
      <c r="B4134" t="s">
        <v>60</v>
      </c>
      <c r="C4134">
        <v>32</v>
      </c>
      <c r="D4134" t="s">
        <v>15</v>
      </c>
      <c r="E4134" t="s">
        <v>16</v>
      </c>
      <c r="F4134" s="1">
        <v>43835</v>
      </c>
      <c r="G4134">
        <v>0</v>
      </c>
      <c r="H4134">
        <v>0</v>
      </c>
      <c r="I4134">
        <v>13</v>
      </c>
      <c r="J4134">
        <v>13</v>
      </c>
      <c r="K4134">
        <v>0</v>
      </c>
      <c r="L4134">
        <v>619</v>
      </c>
      <c r="M4134">
        <v>30</v>
      </c>
      <c r="N4134" s="1">
        <f t="shared" si="512"/>
        <v>44938</v>
      </c>
      <c r="O4134" s="1">
        <f t="shared" si="513"/>
        <v>43101</v>
      </c>
      <c r="P4134" s="1">
        <f t="shared" si="514"/>
        <v>43952</v>
      </c>
      <c r="Q4134" s="8">
        <f t="shared" si="515"/>
        <v>0</v>
      </c>
      <c r="R4134" s="8">
        <f t="shared" si="516"/>
        <v>29</v>
      </c>
      <c r="S4134" s="8">
        <f t="shared" ca="1" si="517"/>
        <v>14</v>
      </c>
      <c r="T4134">
        <f t="shared" ca="1" si="518"/>
        <v>0.72000000000000008</v>
      </c>
      <c r="U4134" s="8">
        <f t="shared" ca="1" si="519"/>
        <v>3.1200000000000006</v>
      </c>
      <c r="V4134" s="9">
        <f ca="1">RawData[[#This Row],[Z (smoothed demand size)]]/RawData[[#This Row],[X (smoothed interval)]]</f>
        <v>0.23076923076923075</v>
      </c>
    </row>
    <row r="4135" spans="1:22">
      <c r="A4135" t="s">
        <v>77</v>
      </c>
      <c r="B4135" t="s">
        <v>60</v>
      </c>
      <c r="C4135">
        <v>32</v>
      </c>
      <c r="D4135" t="s">
        <v>15</v>
      </c>
      <c r="E4135" t="s">
        <v>16</v>
      </c>
      <c r="F4135" s="1">
        <v>43836</v>
      </c>
      <c r="G4135">
        <v>0</v>
      </c>
      <c r="H4135">
        <v>0</v>
      </c>
      <c r="I4135">
        <v>13</v>
      </c>
      <c r="J4135">
        <v>13</v>
      </c>
      <c r="K4135">
        <v>0</v>
      </c>
      <c r="L4135">
        <v>726</v>
      </c>
      <c r="M4135">
        <v>60</v>
      </c>
      <c r="N4135" s="1">
        <f t="shared" si="512"/>
        <v>44938</v>
      </c>
      <c r="O4135" s="1">
        <f t="shared" si="513"/>
        <v>43101</v>
      </c>
      <c r="P4135" s="1">
        <f t="shared" si="514"/>
        <v>43983</v>
      </c>
      <c r="Q4135" s="8">
        <f t="shared" si="515"/>
        <v>0</v>
      </c>
      <c r="R4135" s="8">
        <f t="shared" si="516"/>
        <v>30</v>
      </c>
      <c r="S4135" s="8">
        <f t="shared" ca="1" si="517"/>
        <v>14</v>
      </c>
      <c r="T4135">
        <f t="shared" ca="1" si="518"/>
        <v>0.72000000000000008</v>
      </c>
      <c r="U4135" s="8">
        <f t="shared" ca="1" si="519"/>
        <v>3.1200000000000006</v>
      </c>
      <c r="V4135" s="9">
        <f ca="1">RawData[[#This Row],[Z (smoothed demand size)]]/RawData[[#This Row],[X (smoothed interval)]]</f>
        <v>0.23076923076923075</v>
      </c>
    </row>
    <row r="4136" spans="1:22">
      <c r="A4136" t="s">
        <v>77</v>
      </c>
      <c r="B4136" t="s">
        <v>60</v>
      </c>
      <c r="C4136">
        <v>32</v>
      </c>
      <c r="D4136" t="s">
        <v>15</v>
      </c>
      <c r="E4136" t="s">
        <v>16</v>
      </c>
      <c r="F4136" s="1">
        <v>43837</v>
      </c>
      <c r="G4136">
        <v>0</v>
      </c>
      <c r="H4136">
        <v>0</v>
      </c>
      <c r="I4136">
        <v>13</v>
      </c>
      <c r="J4136">
        <v>13</v>
      </c>
      <c r="K4136">
        <v>0</v>
      </c>
      <c r="L4136">
        <v>714</v>
      </c>
      <c r="M4136">
        <v>30</v>
      </c>
      <c r="N4136" s="1">
        <f t="shared" si="512"/>
        <v>44938</v>
      </c>
      <c r="O4136" s="1">
        <f t="shared" si="513"/>
        <v>43101</v>
      </c>
      <c r="P4136" s="1">
        <f t="shared" si="514"/>
        <v>44013</v>
      </c>
      <c r="Q4136" s="8">
        <f t="shared" si="515"/>
        <v>0</v>
      </c>
      <c r="R4136" s="8">
        <f t="shared" si="516"/>
        <v>31</v>
      </c>
      <c r="S4136" s="8">
        <f t="shared" ca="1" si="517"/>
        <v>14</v>
      </c>
      <c r="T4136">
        <f t="shared" ca="1" si="518"/>
        <v>0.72000000000000008</v>
      </c>
      <c r="U4136" s="8">
        <f t="shared" ca="1" si="519"/>
        <v>3.1200000000000006</v>
      </c>
      <c r="V4136" s="9">
        <f ca="1">RawData[[#This Row],[Z (smoothed demand size)]]/RawData[[#This Row],[X (smoothed interval)]]</f>
        <v>0.23076923076923075</v>
      </c>
    </row>
    <row r="4137" spans="1:22">
      <c r="A4137" t="s">
        <v>77</v>
      </c>
      <c r="B4137" t="s">
        <v>60</v>
      </c>
      <c r="C4137">
        <v>32</v>
      </c>
      <c r="D4137" t="s">
        <v>15</v>
      </c>
      <c r="E4137" t="s">
        <v>16</v>
      </c>
      <c r="F4137" s="1">
        <v>43838</v>
      </c>
      <c r="G4137">
        <v>0</v>
      </c>
      <c r="H4137">
        <v>0</v>
      </c>
      <c r="I4137">
        <v>13</v>
      </c>
      <c r="J4137">
        <v>13</v>
      </c>
      <c r="K4137">
        <v>0</v>
      </c>
      <c r="L4137">
        <v>722</v>
      </c>
      <c r="M4137">
        <v>15</v>
      </c>
      <c r="N4137" s="1">
        <f t="shared" si="512"/>
        <v>44938</v>
      </c>
      <c r="O4137" s="1">
        <f t="shared" si="513"/>
        <v>43101</v>
      </c>
      <c r="P4137" s="1">
        <f t="shared" si="514"/>
        <v>44044</v>
      </c>
      <c r="Q4137" s="8">
        <f t="shared" si="515"/>
        <v>0</v>
      </c>
      <c r="R4137" s="8">
        <f t="shared" si="516"/>
        <v>32</v>
      </c>
      <c r="S4137" s="8">
        <f t="shared" ca="1" si="517"/>
        <v>14</v>
      </c>
      <c r="T4137">
        <f t="shared" ca="1" si="518"/>
        <v>0.72000000000000008</v>
      </c>
      <c r="U4137" s="8">
        <f t="shared" ca="1" si="519"/>
        <v>3.1200000000000006</v>
      </c>
      <c r="V4137" s="9">
        <f ca="1">RawData[[#This Row],[Z (smoothed demand size)]]/RawData[[#This Row],[X (smoothed interval)]]</f>
        <v>0.23076923076923075</v>
      </c>
    </row>
    <row r="4138" spans="1:22">
      <c r="A4138" t="s">
        <v>77</v>
      </c>
      <c r="B4138" t="s">
        <v>60</v>
      </c>
      <c r="C4138">
        <v>32</v>
      </c>
      <c r="D4138" t="s">
        <v>15</v>
      </c>
      <c r="E4138" t="s">
        <v>16</v>
      </c>
      <c r="F4138" s="1">
        <v>43839</v>
      </c>
      <c r="G4138">
        <v>0</v>
      </c>
      <c r="H4138">
        <v>0</v>
      </c>
      <c r="I4138">
        <v>13</v>
      </c>
      <c r="J4138">
        <v>13</v>
      </c>
      <c r="K4138">
        <v>0</v>
      </c>
      <c r="L4138">
        <v>624</v>
      </c>
      <c r="M4138">
        <v>60</v>
      </c>
      <c r="N4138" s="1">
        <f t="shared" si="512"/>
        <v>44938</v>
      </c>
      <c r="O4138" s="1">
        <f t="shared" si="513"/>
        <v>43101</v>
      </c>
      <c r="P4138" s="1">
        <f t="shared" si="514"/>
        <v>44075</v>
      </c>
      <c r="Q4138" s="8">
        <f t="shared" si="515"/>
        <v>0</v>
      </c>
      <c r="R4138" s="8">
        <f t="shared" si="516"/>
        <v>33</v>
      </c>
      <c r="S4138" s="8">
        <f t="shared" ca="1" si="517"/>
        <v>14</v>
      </c>
      <c r="T4138">
        <f t="shared" ca="1" si="518"/>
        <v>0.72000000000000008</v>
      </c>
      <c r="U4138" s="8">
        <f t="shared" ca="1" si="519"/>
        <v>3.1200000000000006</v>
      </c>
      <c r="V4138" s="9">
        <f ca="1">RawData[[#This Row],[Z (smoothed demand size)]]/RawData[[#This Row],[X (smoothed interval)]]</f>
        <v>0.23076923076923075</v>
      </c>
    </row>
    <row r="4139" spans="1:22">
      <c r="A4139" t="s">
        <v>77</v>
      </c>
      <c r="B4139" t="s">
        <v>60</v>
      </c>
      <c r="C4139">
        <v>32</v>
      </c>
      <c r="D4139" t="s">
        <v>15</v>
      </c>
      <c r="E4139" t="s">
        <v>16</v>
      </c>
      <c r="F4139" s="1">
        <v>43840</v>
      </c>
      <c r="G4139">
        <v>4</v>
      </c>
      <c r="H4139">
        <v>4</v>
      </c>
      <c r="I4139">
        <v>13</v>
      </c>
      <c r="J4139">
        <v>9</v>
      </c>
      <c r="K4139">
        <v>0</v>
      </c>
      <c r="L4139">
        <v>627</v>
      </c>
      <c r="M4139">
        <v>30</v>
      </c>
      <c r="N4139" s="1">
        <f t="shared" si="512"/>
        <v>44938</v>
      </c>
      <c r="O4139" s="1">
        <f t="shared" si="513"/>
        <v>43101</v>
      </c>
      <c r="P4139" s="1">
        <f t="shared" si="514"/>
        <v>44105</v>
      </c>
      <c r="Q4139" s="8">
        <f t="shared" si="515"/>
        <v>0</v>
      </c>
      <c r="R4139" s="8">
        <f t="shared" si="516"/>
        <v>34</v>
      </c>
      <c r="S4139" s="8">
        <f t="shared" ca="1" si="517"/>
        <v>34</v>
      </c>
      <c r="T4139">
        <f t="shared" ca="1" si="518"/>
        <v>1.3760000000000001</v>
      </c>
      <c r="U4139" s="8">
        <f t="shared" ca="1" si="519"/>
        <v>6.4960000000000004</v>
      </c>
      <c r="V4139" s="9">
        <f ca="1">RawData[[#This Row],[Z (smoothed demand size)]]/RawData[[#This Row],[X (smoothed interval)]]</f>
        <v>0.21182266009852216</v>
      </c>
    </row>
    <row r="4140" spans="1:22">
      <c r="A4140" t="s">
        <v>77</v>
      </c>
      <c r="B4140" t="s">
        <v>60</v>
      </c>
      <c r="C4140">
        <v>32</v>
      </c>
      <c r="D4140" t="s">
        <v>15</v>
      </c>
      <c r="E4140" t="s">
        <v>16</v>
      </c>
      <c r="F4140" s="1">
        <v>43841</v>
      </c>
      <c r="G4140">
        <v>0</v>
      </c>
      <c r="H4140">
        <v>0</v>
      </c>
      <c r="I4140">
        <v>9</v>
      </c>
      <c r="J4140">
        <v>9</v>
      </c>
      <c r="K4140">
        <v>0</v>
      </c>
      <c r="L4140">
        <v>624</v>
      </c>
      <c r="M4140">
        <v>30</v>
      </c>
      <c r="N4140" s="1">
        <f t="shared" si="512"/>
        <v>44938</v>
      </c>
      <c r="O4140" s="1">
        <f t="shared" si="513"/>
        <v>43101</v>
      </c>
      <c r="P4140" s="1">
        <f t="shared" si="514"/>
        <v>44136</v>
      </c>
      <c r="Q4140" s="8">
        <f t="shared" si="515"/>
        <v>0</v>
      </c>
      <c r="R4140" s="8">
        <f t="shared" si="516"/>
        <v>35</v>
      </c>
      <c r="S4140" s="8">
        <f t="shared" ca="1" si="517"/>
        <v>34</v>
      </c>
      <c r="T4140">
        <f t="shared" ca="1" si="518"/>
        <v>1.3760000000000001</v>
      </c>
      <c r="U4140" s="8">
        <f t="shared" ca="1" si="519"/>
        <v>6.4960000000000004</v>
      </c>
      <c r="V4140" s="9">
        <f ca="1">RawData[[#This Row],[Z (smoothed demand size)]]/RawData[[#This Row],[X (smoothed interval)]]</f>
        <v>0.21182266009852216</v>
      </c>
    </row>
    <row r="4141" spans="1:22">
      <c r="A4141" t="s">
        <v>77</v>
      </c>
      <c r="B4141" t="s">
        <v>60</v>
      </c>
      <c r="C4141">
        <v>32</v>
      </c>
      <c r="D4141" t="s">
        <v>15</v>
      </c>
      <c r="E4141" t="s">
        <v>16</v>
      </c>
      <c r="F4141" s="1">
        <v>43842</v>
      </c>
      <c r="G4141">
        <v>0</v>
      </c>
      <c r="H4141">
        <v>0</v>
      </c>
      <c r="I4141">
        <v>9</v>
      </c>
      <c r="J4141">
        <v>9</v>
      </c>
      <c r="K4141">
        <v>0</v>
      </c>
      <c r="L4141">
        <v>725</v>
      </c>
      <c r="M4141">
        <v>15</v>
      </c>
      <c r="N4141" s="1">
        <f t="shared" si="512"/>
        <v>44938</v>
      </c>
      <c r="O4141" s="1">
        <f t="shared" si="513"/>
        <v>43101</v>
      </c>
      <c r="P4141" s="1">
        <f t="shared" si="514"/>
        <v>44166</v>
      </c>
      <c r="Q4141" s="8">
        <f t="shared" si="515"/>
        <v>0</v>
      </c>
      <c r="R4141" s="8">
        <f t="shared" si="516"/>
        <v>36</v>
      </c>
      <c r="S4141" s="8">
        <f t="shared" ca="1" si="517"/>
        <v>34</v>
      </c>
      <c r="T4141">
        <f t="shared" ca="1" si="518"/>
        <v>1.3760000000000001</v>
      </c>
      <c r="U4141" s="8">
        <f t="shared" ca="1" si="519"/>
        <v>6.4960000000000004</v>
      </c>
      <c r="V4141" s="9">
        <f ca="1">RawData[[#This Row],[Z (smoothed demand size)]]/RawData[[#This Row],[X (smoothed interval)]]</f>
        <v>0.21182266009852216</v>
      </c>
    </row>
    <row r="4142" spans="1:22">
      <c r="A4142" t="s">
        <v>77</v>
      </c>
      <c r="B4142" t="s">
        <v>60</v>
      </c>
      <c r="C4142">
        <v>32</v>
      </c>
      <c r="D4142" t="s">
        <v>15</v>
      </c>
      <c r="E4142" t="s">
        <v>16</v>
      </c>
      <c r="F4142" s="1">
        <v>44197</v>
      </c>
      <c r="G4142">
        <v>0</v>
      </c>
      <c r="H4142">
        <v>0</v>
      </c>
      <c r="I4142">
        <v>9</v>
      </c>
      <c r="J4142">
        <v>9</v>
      </c>
      <c r="K4142">
        <v>0</v>
      </c>
      <c r="L4142">
        <v>627</v>
      </c>
      <c r="M4142">
        <v>60</v>
      </c>
      <c r="N4142" s="1">
        <f t="shared" si="512"/>
        <v>44938</v>
      </c>
      <c r="O4142" s="1">
        <f t="shared" si="513"/>
        <v>43101</v>
      </c>
      <c r="P4142" s="1">
        <f t="shared" si="514"/>
        <v>44197</v>
      </c>
      <c r="Q4142" s="8">
        <f t="shared" si="515"/>
        <v>0</v>
      </c>
      <c r="R4142" s="8">
        <f t="shared" si="516"/>
        <v>37</v>
      </c>
      <c r="S4142" s="8">
        <f t="shared" ca="1" si="517"/>
        <v>34</v>
      </c>
      <c r="T4142">
        <f t="shared" ca="1" si="518"/>
        <v>1.3760000000000001</v>
      </c>
      <c r="U4142" s="8">
        <f t="shared" ca="1" si="519"/>
        <v>6.4960000000000004</v>
      </c>
      <c r="V4142" s="9">
        <f ca="1">RawData[[#This Row],[Z (smoothed demand size)]]/RawData[[#This Row],[X (smoothed interval)]]</f>
        <v>0.21182266009852216</v>
      </c>
    </row>
    <row r="4143" spans="1:22">
      <c r="A4143" t="s">
        <v>77</v>
      </c>
      <c r="B4143" t="s">
        <v>60</v>
      </c>
      <c r="C4143">
        <v>32</v>
      </c>
      <c r="D4143" t="s">
        <v>15</v>
      </c>
      <c r="E4143" t="s">
        <v>16</v>
      </c>
      <c r="F4143" s="1">
        <v>44198</v>
      </c>
      <c r="G4143">
        <v>0</v>
      </c>
      <c r="H4143">
        <v>0</v>
      </c>
      <c r="I4143">
        <v>9</v>
      </c>
      <c r="J4143">
        <v>9</v>
      </c>
      <c r="K4143">
        <v>0</v>
      </c>
      <c r="L4143">
        <v>631</v>
      </c>
      <c r="M4143">
        <v>60</v>
      </c>
      <c r="N4143" s="1">
        <f t="shared" si="512"/>
        <v>44938</v>
      </c>
      <c r="O4143" s="1">
        <f t="shared" si="513"/>
        <v>43101</v>
      </c>
      <c r="P4143" s="1">
        <f t="shared" si="514"/>
        <v>44228</v>
      </c>
      <c r="Q4143" s="8">
        <f t="shared" si="515"/>
        <v>0</v>
      </c>
      <c r="R4143" s="8">
        <f t="shared" si="516"/>
        <v>38</v>
      </c>
      <c r="S4143" s="8">
        <f t="shared" ca="1" si="517"/>
        <v>34</v>
      </c>
      <c r="T4143">
        <f t="shared" ca="1" si="518"/>
        <v>1.3760000000000001</v>
      </c>
      <c r="U4143" s="8">
        <f t="shared" ca="1" si="519"/>
        <v>6.4960000000000004</v>
      </c>
      <c r="V4143" s="9">
        <f ca="1">RawData[[#This Row],[Z (smoothed demand size)]]/RawData[[#This Row],[X (smoothed interval)]]</f>
        <v>0.21182266009852216</v>
      </c>
    </row>
    <row r="4144" spans="1:22">
      <c r="A4144" t="s">
        <v>77</v>
      </c>
      <c r="B4144" t="s">
        <v>60</v>
      </c>
      <c r="C4144">
        <v>32</v>
      </c>
      <c r="D4144" t="s">
        <v>15</v>
      </c>
      <c r="E4144" t="s">
        <v>16</v>
      </c>
      <c r="F4144" s="1">
        <v>44199</v>
      </c>
      <c r="G4144">
        <v>0</v>
      </c>
      <c r="H4144">
        <v>0</v>
      </c>
      <c r="I4144">
        <v>9</v>
      </c>
      <c r="J4144">
        <v>9</v>
      </c>
      <c r="K4144">
        <v>0</v>
      </c>
      <c r="L4144">
        <v>619</v>
      </c>
      <c r="M4144">
        <v>15</v>
      </c>
      <c r="N4144" s="1">
        <f t="shared" si="512"/>
        <v>44938</v>
      </c>
      <c r="O4144" s="1">
        <f t="shared" si="513"/>
        <v>43101</v>
      </c>
      <c r="P4144" s="1">
        <f t="shared" si="514"/>
        <v>44256</v>
      </c>
      <c r="Q4144" s="8">
        <f t="shared" si="515"/>
        <v>0</v>
      </c>
      <c r="R4144" s="8">
        <f t="shared" si="516"/>
        <v>39</v>
      </c>
      <c r="S4144" s="8">
        <f t="shared" ca="1" si="517"/>
        <v>34</v>
      </c>
      <c r="T4144">
        <f t="shared" ca="1" si="518"/>
        <v>1.3760000000000001</v>
      </c>
      <c r="U4144" s="8">
        <f t="shared" ca="1" si="519"/>
        <v>6.4960000000000004</v>
      </c>
      <c r="V4144" s="9">
        <f ca="1">RawData[[#This Row],[Z (smoothed demand size)]]/RawData[[#This Row],[X (smoothed interval)]]</f>
        <v>0.21182266009852216</v>
      </c>
    </row>
    <row r="4145" spans="1:22">
      <c r="A4145" t="s">
        <v>77</v>
      </c>
      <c r="B4145" t="s">
        <v>60</v>
      </c>
      <c r="C4145">
        <v>32</v>
      </c>
      <c r="D4145" t="s">
        <v>15</v>
      </c>
      <c r="E4145" t="s">
        <v>16</v>
      </c>
      <c r="F4145" s="1">
        <v>44200</v>
      </c>
      <c r="G4145">
        <v>0</v>
      </c>
      <c r="H4145">
        <v>0</v>
      </c>
      <c r="I4145">
        <v>9</v>
      </c>
      <c r="J4145">
        <v>9</v>
      </c>
      <c r="K4145">
        <v>0</v>
      </c>
      <c r="L4145">
        <v>618</v>
      </c>
      <c r="M4145">
        <v>30</v>
      </c>
      <c r="N4145" s="1">
        <f t="shared" si="512"/>
        <v>44938</v>
      </c>
      <c r="O4145" s="1">
        <f t="shared" si="513"/>
        <v>43101</v>
      </c>
      <c r="P4145" s="1">
        <f t="shared" si="514"/>
        <v>44287</v>
      </c>
      <c r="Q4145" s="8">
        <f t="shared" si="515"/>
        <v>0</v>
      </c>
      <c r="R4145" s="8">
        <f t="shared" si="516"/>
        <v>40</v>
      </c>
      <c r="S4145" s="8">
        <f t="shared" ca="1" si="517"/>
        <v>34</v>
      </c>
      <c r="T4145">
        <f t="shared" ca="1" si="518"/>
        <v>1.3760000000000001</v>
      </c>
      <c r="U4145" s="8">
        <f t="shared" ca="1" si="519"/>
        <v>6.4960000000000004</v>
      </c>
      <c r="V4145" s="9">
        <f ca="1">RawData[[#This Row],[Z (smoothed demand size)]]/RawData[[#This Row],[X (smoothed interval)]]</f>
        <v>0.21182266009852216</v>
      </c>
    </row>
    <row r="4146" spans="1:22">
      <c r="A4146" t="s">
        <v>77</v>
      </c>
      <c r="B4146" t="s">
        <v>60</v>
      </c>
      <c r="C4146">
        <v>32</v>
      </c>
      <c r="D4146" t="s">
        <v>15</v>
      </c>
      <c r="E4146" t="s">
        <v>16</v>
      </c>
      <c r="F4146" s="1">
        <v>44201</v>
      </c>
      <c r="G4146">
        <v>0</v>
      </c>
      <c r="H4146">
        <v>0</v>
      </c>
      <c r="I4146">
        <v>9</v>
      </c>
      <c r="J4146">
        <v>9</v>
      </c>
      <c r="K4146">
        <v>0</v>
      </c>
      <c r="L4146">
        <v>621</v>
      </c>
      <c r="M4146">
        <v>60</v>
      </c>
      <c r="N4146" s="1">
        <f t="shared" si="512"/>
        <v>44938</v>
      </c>
      <c r="O4146" s="1">
        <f t="shared" si="513"/>
        <v>43101</v>
      </c>
      <c r="P4146" s="1">
        <f t="shared" si="514"/>
        <v>44317</v>
      </c>
      <c r="Q4146" s="8">
        <f t="shared" si="515"/>
        <v>0</v>
      </c>
      <c r="R4146" s="8">
        <f t="shared" si="516"/>
        <v>41</v>
      </c>
      <c r="S4146" s="8">
        <f t="shared" ca="1" si="517"/>
        <v>34</v>
      </c>
      <c r="T4146">
        <f t="shared" ca="1" si="518"/>
        <v>1.3760000000000001</v>
      </c>
      <c r="U4146" s="8">
        <f t="shared" ca="1" si="519"/>
        <v>6.4960000000000004</v>
      </c>
      <c r="V4146" s="9">
        <f ca="1">RawData[[#This Row],[Z (smoothed demand size)]]/RawData[[#This Row],[X (smoothed interval)]]</f>
        <v>0.21182266009852216</v>
      </c>
    </row>
    <row r="4147" spans="1:22">
      <c r="A4147" t="s">
        <v>77</v>
      </c>
      <c r="B4147" t="s">
        <v>60</v>
      </c>
      <c r="C4147">
        <v>32</v>
      </c>
      <c r="D4147" t="s">
        <v>15</v>
      </c>
      <c r="E4147" t="s">
        <v>16</v>
      </c>
      <c r="F4147" s="1">
        <v>44202</v>
      </c>
      <c r="G4147">
        <v>1</v>
      </c>
      <c r="H4147">
        <v>1</v>
      </c>
      <c r="I4147">
        <v>9</v>
      </c>
      <c r="J4147">
        <v>8</v>
      </c>
      <c r="K4147">
        <v>0</v>
      </c>
      <c r="L4147">
        <v>718</v>
      </c>
      <c r="M4147">
        <v>60</v>
      </c>
      <c r="N4147" s="1">
        <f t="shared" si="512"/>
        <v>44938</v>
      </c>
      <c r="O4147" s="1">
        <f t="shared" si="513"/>
        <v>43101</v>
      </c>
      <c r="P4147" s="1">
        <f t="shared" si="514"/>
        <v>44348</v>
      </c>
      <c r="Q4147" s="8">
        <f t="shared" si="515"/>
        <v>0</v>
      </c>
      <c r="R4147" s="8">
        <f t="shared" si="516"/>
        <v>42</v>
      </c>
      <c r="S4147" s="8">
        <f t="shared" ca="1" si="517"/>
        <v>42</v>
      </c>
      <c r="T4147">
        <f t="shared" ca="1" si="518"/>
        <v>1.3008000000000002</v>
      </c>
      <c r="U4147" s="8">
        <f t="shared" ca="1" si="519"/>
        <v>6.7968000000000011</v>
      </c>
      <c r="V4147" s="9">
        <f ca="1">RawData[[#This Row],[Z (smoothed demand size)]]/RawData[[#This Row],[X (smoothed interval)]]</f>
        <v>0.19138418079096045</v>
      </c>
    </row>
    <row r="4148" spans="1:22">
      <c r="A4148" t="s">
        <v>77</v>
      </c>
      <c r="B4148" t="s">
        <v>60</v>
      </c>
      <c r="C4148">
        <v>32</v>
      </c>
      <c r="D4148" t="s">
        <v>15</v>
      </c>
      <c r="E4148" t="s">
        <v>16</v>
      </c>
      <c r="F4148" s="1">
        <v>44203</v>
      </c>
      <c r="G4148">
        <v>4</v>
      </c>
      <c r="H4148">
        <v>4</v>
      </c>
      <c r="I4148">
        <v>8</v>
      </c>
      <c r="J4148">
        <v>4</v>
      </c>
      <c r="K4148">
        <v>0</v>
      </c>
      <c r="L4148">
        <v>721</v>
      </c>
      <c r="M4148">
        <v>30</v>
      </c>
      <c r="N4148" s="1">
        <f t="shared" si="512"/>
        <v>44938</v>
      </c>
      <c r="O4148" s="1">
        <f t="shared" si="513"/>
        <v>43101</v>
      </c>
      <c r="P4148" s="1">
        <f t="shared" si="514"/>
        <v>44378</v>
      </c>
      <c r="Q4148" s="8">
        <f t="shared" si="515"/>
        <v>0</v>
      </c>
      <c r="R4148" s="8">
        <f t="shared" si="516"/>
        <v>43</v>
      </c>
      <c r="S4148" s="8">
        <f t="shared" ca="1" si="517"/>
        <v>43</v>
      </c>
      <c r="T4148">
        <f t="shared" ca="1" si="518"/>
        <v>1.8406400000000003</v>
      </c>
      <c r="U4148" s="8">
        <f t="shared" ca="1" si="519"/>
        <v>5.6374400000000016</v>
      </c>
      <c r="V4148" s="9">
        <f ca="1">RawData[[#This Row],[Z (smoothed demand size)]]/RawData[[#This Row],[X (smoothed interval)]]</f>
        <v>0.3265028097860021</v>
      </c>
    </row>
    <row r="4149" spans="1:22">
      <c r="A4149" t="s">
        <v>77</v>
      </c>
      <c r="B4149" t="s">
        <v>60</v>
      </c>
      <c r="C4149">
        <v>32</v>
      </c>
      <c r="D4149" t="s">
        <v>15</v>
      </c>
      <c r="E4149" t="s">
        <v>16</v>
      </c>
      <c r="F4149" s="1">
        <v>44204</v>
      </c>
      <c r="G4149">
        <v>0</v>
      </c>
      <c r="H4149">
        <v>0</v>
      </c>
      <c r="I4149">
        <v>27</v>
      </c>
      <c r="J4149">
        <v>27</v>
      </c>
      <c r="K4149">
        <v>0</v>
      </c>
      <c r="L4149">
        <v>712</v>
      </c>
      <c r="M4149">
        <v>30</v>
      </c>
      <c r="N4149" s="1">
        <f t="shared" si="512"/>
        <v>44938</v>
      </c>
      <c r="O4149" s="1">
        <f t="shared" si="513"/>
        <v>43101</v>
      </c>
      <c r="P4149" s="1">
        <f t="shared" si="514"/>
        <v>44409</v>
      </c>
      <c r="Q4149" s="8">
        <f t="shared" si="515"/>
        <v>0</v>
      </c>
      <c r="R4149" s="8">
        <f t="shared" si="516"/>
        <v>44</v>
      </c>
      <c r="S4149" s="8">
        <f t="shared" ca="1" si="517"/>
        <v>43</v>
      </c>
      <c r="T4149">
        <f t="shared" ca="1" si="518"/>
        <v>1.8406400000000003</v>
      </c>
      <c r="U4149" s="8">
        <f t="shared" ca="1" si="519"/>
        <v>5.6374400000000016</v>
      </c>
      <c r="V4149" s="9">
        <f ca="1">RawData[[#This Row],[Z (smoothed demand size)]]/RawData[[#This Row],[X (smoothed interval)]]</f>
        <v>0.3265028097860021</v>
      </c>
    </row>
    <row r="4150" spans="1:22">
      <c r="A4150" t="s">
        <v>77</v>
      </c>
      <c r="B4150" t="s">
        <v>60</v>
      </c>
      <c r="C4150">
        <v>32</v>
      </c>
      <c r="D4150" t="s">
        <v>15</v>
      </c>
      <c r="E4150" t="s">
        <v>16</v>
      </c>
      <c r="F4150" s="1">
        <v>44205</v>
      </c>
      <c r="G4150">
        <v>0</v>
      </c>
      <c r="H4150">
        <v>0</v>
      </c>
      <c r="I4150">
        <v>27</v>
      </c>
      <c r="J4150">
        <v>27</v>
      </c>
      <c r="K4150">
        <v>0</v>
      </c>
      <c r="L4150">
        <v>625</v>
      </c>
      <c r="M4150">
        <v>15</v>
      </c>
      <c r="N4150" s="1">
        <f t="shared" si="512"/>
        <v>44938</v>
      </c>
      <c r="O4150" s="1">
        <f t="shared" si="513"/>
        <v>43101</v>
      </c>
      <c r="P4150" s="1">
        <f t="shared" si="514"/>
        <v>44440</v>
      </c>
      <c r="Q4150" s="8">
        <f t="shared" si="515"/>
        <v>0</v>
      </c>
      <c r="R4150" s="8">
        <f t="shared" si="516"/>
        <v>45</v>
      </c>
      <c r="S4150" s="8">
        <f t="shared" ca="1" si="517"/>
        <v>43</v>
      </c>
      <c r="T4150">
        <f t="shared" ca="1" si="518"/>
        <v>1.8406400000000003</v>
      </c>
      <c r="U4150" s="8">
        <f t="shared" ca="1" si="519"/>
        <v>5.6374400000000016</v>
      </c>
      <c r="V4150" s="9">
        <f ca="1">RawData[[#This Row],[Z (smoothed demand size)]]/RawData[[#This Row],[X (smoothed interval)]]</f>
        <v>0.3265028097860021</v>
      </c>
    </row>
    <row r="4151" spans="1:22">
      <c r="A4151" t="s">
        <v>77</v>
      </c>
      <c r="B4151" t="s">
        <v>60</v>
      </c>
      <c r="C4151">
        <v>32</v>
      </c>
      <c r="D4151" t="s">
        <v>15</v>
      </c>
      <c r="E4151" t="s">
        <v>16</v>
      </c>
      <c r="F4151" s="1">
        <v>44206</v>
      </c>
      <c r="G4151">
        <v>0</v>
      </c>
      <c r="H4151">
        <v>0</v>
      </c>
      <c r="I4151">
        <v>27</v>
      </c>
      <c r="J4151">
        <v>27</v>
      </c>
      <c r="K4151">
        <v>0</v>
      </c>
      <c r="L4151">
        <v>622</v>
      </c>
      <c r="M4151">
        <v>45</v>
      </c>
      <c r="N4151" s="1">
        <f t="shared" si="512"/>
        <v>44938</v>
      </c>
      <c r="O4151" s="1">
        <f t="shared" si="513"/>
        <v>43101</v>
      </c>
      <c r="P4151" s="1">
        <f t="shared" si="514"/>
        <v>44470</v>
      </c>
      <c r="Q4151" s="8">
        <f t="shared" si="515"/>
        <v>0</v>
      </c>
      <c r="R4151" s="8">
        <f t="shared" si="516"/>
        <v>46</v>
      </c>
      <c r="S4151" s="8">
        <f t="shared" ca="1" si="517"/>
        <v>43</v>
      </c>
      <c r="T4151">
        <f t="shared" ca="1" si="518"/>
        <v>1.8406400000000003</v>
      </c>
      <c r="U4151" s="8">
        <f t="shared" ca="1" si="519"/>
        <v>5.6374400000000016</v>
      </c>
      <c r="V4151" s="9">
        <f ca="1">RawData[[#This Row],[Z (smoothed demand size)]]/RawData[[#This Row],[X (smoothed interval)]]</f>
        <v>0.3265028097860021</v>
      </c>
    </row>
    <row r="4152" spans="1:22">
      <c r="A4152" t="s">
        <v>77</v>
      </c>
      <c r="B4152" t="s">
        <v>60</v>
      </c>
      <c r="C4152">
        <v>32</v>
      </c>
      <c r="D4152" t="s">
        <v>15</v>
      </c>
      <c r="E4152" t="s">
        <v>16</v>
      </c>
      <c r="F4152" s="1">
        <v>44207</v>
      </c>
      <c r="G4152">
        <v>0</v>
      </c>
      <c r="H4152">
        <v>0</v>
      </c>
      <c r="I4152">
        <v>27</v>
      </c>
      <c r="J4152">
        <v>27</v>
      </c>
      <c r="K4152">
        <v>0</v>
      </c>
      <c r="L4152">
        <v>622</v>
      </c>
      <c r="M4152">
        <v>30</v>
      </c>
      <c r="N4152" s="1">
        <f t="shared" si="512"/>
        <v>44938</v>
      </c>
      <c r="O4152" s="1">
        <f t="shared" si="513"/>
        <v>43101</v>
      </c>
      <c r="P4152" s="1">
        <f t="shared" si="514"/>
        <v>44501</v>
      </c>
      <c r="Q4152" s="8">
        <f t="shared" si="515"/>
        <v>0</v>
      </c>
      <c r="R4152" s="8">
        <f t="shared" si="516"/>
        <v>47</v>
      </c>
      <c r="S4152" s="8">
        <f t="shared" ca="1" si="517"/>
        <v>43</v>
      </c>
      <c r="T4152">
        <f t="shared" ca="1" si="518"/>
        <v>1.8406400000000003</v>
      </c>
      <c r="U4152" s="8">
        <f t="shared" ca="1" si="519"/>
        <v>5.6374400000000016</v>
      </c>
      <c r="V4152" s="9">
        <f ca="1">RawData[[#This Row],[Z (smoothed demand size)]]/RawData[[#This Row],[X (smoothed interval)]]</f>
        <v>0.3265028097860021</v>
      </c>
    </row>
    <row r="4153" spans="1:22">
      <c r="A4153" t="s">
        <v>77</v>
      </c>
      <c r="B4153" t="s">
        <v>60</v>
      </c>
      <c r="C4153">
        <v>32</v>
      </c>
      <c r="D4153" t="s">
        <v>15</v>
      </c>
      <c r="E4153" t="s">
        <v>16</v>
      </c>
      <c r="F4153" s="1">
        <v>44208</v>
      </c>
      <c r="G4153">
        <v>0</v>
      </c>
      <c r="H4153">
        <v>0</v>
      </c>
      <c r="I4153">
        <v>27</v>
      </c>
      <c r="J4153">
        <v>27</v>
      </c>
      <c r="K4153">
        <v>0</v>
      </c>
      <c r="L4153">
        <v>717</v>
      </c>
      <c r="M4153">
        <v>60</v>
      </c>
      <c r="N4153" s="1">
        <f t="shared" si="512"/>
        <v>44938</v>
      </c>
      <c r="O4153" s="1">
        <f t="shared" si="513"/>
        <v>43101</v>
      </c>
      <c r="P4153" s="1">
        <f t="shared" si="514"/>
        <v>44531</v>
      </c>
      <c r="Q4153" s="8">
        <f t="shared" si="515"/>
        <v>0</v>
      </c>
      <c r="R4153" s="8">
        <f t="shared" si="516"/>
        <v>48</v>
      </c>
      <c r="S4153" s="8">
        <f t="shared" ca="1" si="517"/>
        <v>43</v>
      </c>
      <c r="T4153">
        <f t="shared" ca="1" si="518"/>
        <v>1.8406400000000003</v>
      </c>
      <c r="U4153" s="8">
        <f t="shared" ca="1" si="519"/>
        <v>5.6374400000000016</v>
      </c>
      <c r="V4153" s="9">
        <f ca="1">RawData[[#This Row],[Z (smoothed demand size)]]/RawData[[#This Row],[X (smoothed interval)]]</f>
        <v>0.3265028097860021</v>
      </c>
    </row>
    <row r="4154" spans="1:22">
      <c r="A4154" t="s">
        <v>77</v>
      </c>
      <c r="B4154" t="s">
        <v>60</v>
      </c>
      <c r="C4154">
        <v>32</v>
      </c>
      <c r="D4154" t="s">
        <v>15</v>
      </c>
      <c r="E4154" t="s">
        <v>16</v>
      </c>
      <c r="F4154" s="1">
        <v>44562</v>
      </c>
      <c r="G4154">
        <v>0</v>
      </c>
      <c r="H4154">
        <v>0</v>
      </c>
      <c r="I4154">
        <v>27</v>
      </c>
      <c r="J4154">
        <v>27</v>
      </c>
      <c r="K4154">
        <v>0</v>
      </c>
      <c r="L4154">
        <v>631</v>
      </c>
      <c r="M4154">
        <v>45</v>
      </c>
      <c r="N4154" s="1">
        <f t="shared" si="512"/>
        <v>44938</v>
      </c>
      <c r="O4154" s="1">
        <f t="shared" si="513"/>
        <v>43101</v>
      </c>
      <c r="P4154" s="1">
        <f t="shared" si="514"/>
        <v>44562</v>
      </c>
      <c r="Q4154" s="8">
        <f t="shared" si="515"/>
        <v>0</v>
      </c>
      <c r="R4154" s="8">
        <f t="shared" si="516"/>
        <v>49</v>
      </c>
      <c r="S4154" s="8">
        <f t="shared" ca="1" si="517"/>
        <v>43</v>
      </c>
      <c r="T4154">
        <f t="shared" ca="1" si="518"/>
        <v>1.8406400000000003</v>
      </c>
      <c r="U4154" s="8">
        <f t="shared" ca="1" si="519"/>
        <v>5.6374400000000016</v>
      </c>
      <c r="V4154" s="9">
        <f ca="1">RawData[[#This Row],[Z (smoothed demand size)]]/RawData[[#This Row],[X (smoothed interval)]]</f>
        <v>0.3265028097860021</v>
      </c>
    </row>
    <row r="4155" spans="1:22">
      <c r="A4155" t="s">
        <v>77</v>
      </c>
      <c r="B4155" t="s">
        <v>60</v>
      </c>
      <c r="C4155">
        <v>32</v>
      </c>
      <c r="D4155" t="s">
        <v>15</v>
      </c>
      <c r="E4155" t="s">
        <v>16</v>
      </c>
      <c r="F4155" s="1">
        <v>44563</v>
      </c>
      <c r="G4155">
        <v>0</v>
      </c>
      <c r="H4155">
        <v>0</v>
      </c>
      <c r="I4155">
        <v>27</v>
      </c>
      <c r="J4155">
        <v>27</v>
      </c>
      <c r="K4155">
        <v>0</v>
      </c>
      <c r="L4155">
        <v>626</v>
      </c>
      <c r="M4155">
        <v>30</v>
      </c>
      <c r="N4155" s="1">
        <f t="shared" si="512"/>
        <v>44938</v>
      </c>
      <c r="O4155" s="1">
        <f t="shared" si="513"/>
        <v>43101</v>
      </c>
      <c r="P4155" s="1">
        <f t="shared" si="514"/>
        <v>44593</v>
      </c>
      <c r="Q4155" s="8">
        <f t="shared" si="515"/>
        <v>0</v>
      </c>
      <c r="R4155" s="8">
        <f t="shared" si="516"/>
        <v>50</v>
      </c>
      <c r="S4155" s="8">
        <f t="shared" ca="1" si="517"/>
        <v>43</v>
      </c>
      <c r="T4155">
        <f t="shared" ca="1" si="518"/>
        <v>1.8406400000000003</v>
      </c>
      <c r="U4155" s="8">
        <f t="shared" ca="1" si="519"/>
        <v>5.6374400000000016</v>
      </c>
      <c r="V4155" s="9">
        <f ca="1">RawData[[#This Row],[Z (smoothed demand size)]]/RawData[[#This Row],[X (smoothed interval)]]</f>
        <v>0.3265028097860021</v>
      </c>
    </row>
    <row r="4156" spans="1:22">
      <c r="A4156" t="s">
        <v>77</v>
      </c>
      <c r="B4156" t="s">
        <v>60</v>
      </c>
      <c r="C4156">
        <v>32</v>
      </c>
      <c r="D4156" t="s">
        <v>15</v>
      </c>
      <c r="E4156" t="s">
        <v>16</v>
      </c>
      <c r="F4156" s="1">
        <v>44564</v>
      </c>
      <c r="G4156">
        <v>0</v>
      </c>
      <c r="H4156">
        <v>0</v>
      </c>
      <c r="I4156">
        <v>27</v>
      </c>
      <c r="J4156">
        <v>27</v>
      </c>
      <c r="K4156">
        <v>0</v>
      </c>
      <c r="L4156">
        <v>628</v>
      </c>
      <c r="M4156">
        <v>60</v>
      </c>
      <c r="N4156" s="1">
        <f t="shared" si="512"/>
        <v>44938</v>
      </c>
      <c r="O4156" s="1">
        <f t="shared" si="513"/>
        <v>43101</v>
      </c>
      <c r="P4156" s="1">
        <f t="shared" si="514"/>
        <v>44621</v>
      </c>
      <c r="Q4156" s="8">
        <f t="shared" si="515"/>
        <v>0</v>
      </c>
      <c r="R4156" s="8">
        <f t="shared" si="516"/>
        <v>51</v>
      </c>
      <c r="S4156" s="8">
        <f t="shared" ca="1" si="517"/>
        <v>43</v>
      </c>
      <c r="T4156">
        <f t="shared" ca="1" si="518"/>
        <v>1.8406400000000003</v>
      </c>
      <c r="U4156" s="8">
        <f t="shared" ca="1" si="519"/>
        <v>5.6374400000000016</v>
      </c>
      <c r="V4156" s="9">
        <f ca="1">RawData[[#This Row],[Z (smoothed demand size)]]/RawData[[#This Row],[X (smoothed interval)]]</f>
        <v>0.3265028097860021</v>
      </c>
    </row>
    <row r="4157" spans="1:22">
      <c r="A4157" t="s">
        <v>77</v>
      </c>
      <c r="B4157" t="s">
        <v>60</v>
      </c>
      <c r="C4157">
        <v>32</v>
      </c>
      <c r="D4157" t="s">
        <v>15</v>
      </c>
      <c r="E4157" t="s">
        <v>16</v>
      </c>
      <c r="F4157" s="1">
        <v>44565</v>
      </c>
      <c r="G4157">
        <v>0</v>
      </c>
      <c r="H4157">
        <v>0</v>
      </c>
      <c r="I4157">
        <v>27</v>
      </c>
      <c r="J4157">
        <v>27</v>
      </c>
      <c r="K4157">
        <v>0</v>
      </c>
      <c r="L4157">
        <v>624</v>
      </c>
      <c r="M4157">
        <v>60</v>
      </c>
      <c r="N4157" s="1">
        <f t="shared" si="512"/>
        <v>44938</v>
      </c>
      <c r="O4157" s="1">
        <f t="shared" si="513"/>
        <v>43101</v>
      </c>
      <c r="P4157" s="1">
        <f t="shared" si="514"/>
        <v>44652</v>
      </c>
      <c r="Q4157" s="8">
        <f t="shared" si="515"/>
        <v>0</v>
      </c>
      <c r="R4157" s="8">
        <f t="shared" si="516"/>
        <v>52</v>
      </c>
      <c r="S4157" s="8">
        <f t="shared" ca="1" si="517"/>
        <v>43</v>
      </c>
      <c r="T4157">
        <f t="shared" ca="1" si="518"/>
        <v>1.8406400000000003</v>
      </c>
      <c r="U4157" s="8">
        <f t="shared" ca="1" si="519"/>
        <v>5.6374400000000016</v>
      </c>
      <c r="V4157" s="9">
        <f ca="1">RawData[[#This Row],[Z (smoothed demand size)]]/RawData[[#This Row],[X (smoothed interval)]]</f>
        <v>0.3265028097860021</v>
      </c>
    </row>
    <row r="4158" spans="1:22">
      <c r="A4158" t="s">
        <v>77</v>
      </c>
      <c r="B4158" t="s">
        <v>60</v>
      </c>
      <c r="C4158">
        <v>32</v>
      </c>
      <c r="D4158" t="s">
        <v>15</v>
      </c>
      <c r="E4158" t="s">
        <v>16</v>
      </c>
      <c r="F4158" s="1">
        <v>44566</v>
      </c>
      <c r="G4158">
        <v>0</v>
      </c>
      <c r="H4158">
        <v>0</v>
      </c>
      <c r="I4158">
        <v>27</v>
      </c>
      <c r="J4158">
        <v>27</v>
      </c>
      <c r="K4158">
        <v>0</v>
      </c>
      <c r="L4158">
        <v>632</v>
      </c>
      <c r="M4158">
        <v>60</v>
      </c>
      <c r="N4158" s="1">
        <f t="shared" si="512"/>
        <v>44938</v>
      </c>
      <c r="O4158" s="1">
        <f t="shared" si="513"/>
        <v>43101</v>
      </c>
      <c r="P4158" s="1">
        <f t="shared" si="514"/>
        <v>44682</v>
      </c>
      <c r="Q4158" s="8">
        <f t="shared" si="515"/>
        <v>0</v>
      </c>
      <c r="R4158" s="8">
        <f t="shared" si="516"/>
        <v>53</v>
      </c>
      <c r="S4158" s="8">
        <f t="shared" ca="1" si="517"/>
        <v>43</v>
      </c>
      <c r="T4158">
        <f t="shared" ca="1" si="518"/>
        <v>1.8406400000000003</v>
      </c>
      <c r="U4158" s="8">
        <f t="shared" ca="1" si="519"/>
        <v>5.6374400000000016</v>
      </c>
      <c r="V4158" s="9">
        <f ca="1">RawData[[#This Row],[Z (smoothed demand size)]]/RawData[[#This Row],[X (smoothed interval)]]</f>
        <v>0.3265028097860021</v>
      </c>
    </row>
    <row r="4159" spans="1:22">
      <c r="A4159" t="s">
        <v>77</v>
      </c>
      <c r="B4159" t="s">
        <v>60</v>
      </c>
      <c r="C4159">
        <v>32</v>
      </c>
      <c r="D4159" t="s">
        <v>15</v>
      </c>
      <c r="E4159" t="s">
        <v>16</v>
      </c>
      <c r="F4159" s="1">
        <v>44567</v>
      </c>
      <c r="G4159">
        <v>0</v>
      </c>
      <c r="H4159">
        <v>0</v>
      </c>
      <c r="I4159">
        <v>27</v>
      </c>
      <c r="J4159">
        <v>27</v>
      </c>
      <c r="K4159">
        <v>0</v>
      </c>
      <c r="L4159">
        <v>721</v>
      </c>
      <c r="M4159">
        <v>60</v>
      </c>
      <c r="N4159" s="1">
        <f t="shared" si="512"/>
        <v>44938</v>
      </c>
      <c r="O4159" s="1">
        <f t="shared" si="513"/>
        <v>43101</v>
      </c>
      <c r="P4159" s="1">
        <f t="shared" si="514"/>
        <v>44713</v>
      </c>
      <c r="Q4159" s="8">
        <f t="shared" si="515"/>
        <v>0</v>
      </c>
      <c r="R4159" s="8">
        <f t="shared" si="516"/>
        <v>54</v>
      </c>
      <c r="S4159" s="8">
        <f t="shared" ca="1" si="517"/>
        <v>43</v>
      </c>
      <c r="T4159">
        <f t="shared" ca="1" si="518"/>
        <v>1.8406400000000003</v>
      </c>
      <c r="U4159" s="8">
        <f t="shared" ca="1" si="519"/>
        <v>5.6374400000000016</v>
      </c>
      <c r="V4159" s="9">
        <f ca="1">RawData[[#This Row],[Z (smoothed demand size)]]/RawData[[#This Row],[X (smoothed interval)]]</f>
        <v>0.3265028097860021</v>
      </c>
    </row>
    <row r="4160" spans="1:22">
      <c r="A4160" t="s">
        <v>77</v>
      </c>
      <c r="B4160" t="s">
        <v>60</v>
      </c>
      <c r="C4160">
        <v>32</v>
      </c>
      <c r="D4160" t="s">
        <v>15</v>
      </c>
      <c r="E4160" t="s">
        <v>16</v>
      </c>
      <c r="F4160" s="1">
        <v>44568</v>
      </c>
      <c r="G4160">
        <v>0</v>
      </c>
      <c r="H4160">
        <v>0</v>
      </c>
      <c r="I4160">
        <v>27</v>
      </c>
      <c r="J4160">
        <v>27</v>
      </c>
      <c r="K4160">
        <v>0</v>
      </c>
      <c r="L4160">
        <v>704</v>
      </c>
      <c r="M4160">
        <v>45</v>
      </c>
      <c r="N4160" s="1">
        <f t="shared" si="512"/>
        <v>44938</v>
      </c>
      <c r="O4160" s="1">
        <f t="shared" si="513"/>
        <v>43101</v>
      </c>
      <c r="P4160" s="1">
        <f t="shared" si="514"/>
        <v>44743</v>
      </c>
      <c r="Q4160" s="8">
        <f t="shared" si="515"/>
        <v>0</v>
      </c>
      <c r="R4160" s="8">
        <f t="shared" si="516"/>
        <v>55</v>
      </c>
      <c r="S4160" s="8">
        <f t="shared" ca="1" si="517"/>
        <v>43</v>
      </c>
      <c r="T4160">
        <f t="shared" ca="1" si="518"/>
        <v>1.8406400000000003</v>
      </c>
      <c r="U4160" s="8">
        <f t="shared" ca="1" si="519"/>
        <v>5.6374400000000016</v>
      </c>
      <c r="V4160" s="9">
        <f ca="1">RawData[[#This Row],[Z (smoothed demand size)]]/RawData[[#This Row],[X (smoothed interval)]]</f>
        <v>0.3265028097860021</v>
      </c>
    </row>
    <row r="4161" spans="1:22">
      <c r="A4161" t="s">
        <v>77</v>
      </c>
      <c r="B4161" t="s">
        <v>60</v>
      </c>
      <c r="C4161">
        <v>32</v>
      </c>
      <c r="D4161" t="s">
        <v>15</v>
      </c>
      <c r="E4161" t="s">
        <v>16</v>
      </c>
      <c r="F4161" s="1">
        <v>44569</v>
      </c>
      <c r="G4161">
        <v>0</v>
      </c>
      <c r="H4161">
        <v>0</v>
      </c>
      <c r="I4161">
        <v>27</v>
      </c>
      <c r="J4161">
        <v>27</v>
      </c>
      <c r="K4161">
        <v>0</v>
      </c>
      <c r="L4161">
        <v>720</v>
      </c>
      <c r="M4161">
        <v>30</v>
      </c>
      <c r="N4161" s="1">
        <f t="shared" si="512"/>
        <v>44938</v>
      </c>
      <c r="O4161" s="1">
        <f t="shared" si="513"/>
        <v>43101</v>
      </c>
      <c r="P4161" s="1">
        <f t="shared" si="514"/>
        <v>44774</v>
      </c>
      <c r="Q4161" s="8">
        <f t="shared" si="515"/>
        <v>0</v>
      </c>
      <c r="R4161" s="8">
        <f t="shared" si="516"/>
        <v>56</v>
      </c>
      <c r="S4161" s="8">
        <f t="shared" ca="1" si="517"/>
        <v>43</v>
      </c>
      <c r="T4161">
        <f t="shared" ca="1" si="518"/>
        <v>1.8406400000000003</v>
      </c>
      <c r="U4161" s="8">
        <f t="shared" ca="1" si="519"/>
        <v>5.6374400000000016</v>
      </c>
      <c r="V4161" s="9">
        <f ca="1">RawData[[#This Row],[Z (smoothed demand size)]]/RawData[[#This Row],[X (smoothed interval)]]</f>
        <v>0.3265028097860021</v>
      </c>
    </row>
    <row r="4162" spans="1:22">
      <c r="A4162" t="s">
        <v>77</v>
      </c>
      <c r="B4162" t="s">
        <v>60</v>
      </c>
      <c r="C4162">
        <v>32</v>
      </c>
      <c r="D4162" t="s">
        <v>15</v>
      </c>
      <c r="E4162" t="s">
        <v>16</v>
      </c>
      <c r="F4162" s="1">
        <v>44570</v>
      </c>
      <c r="G4162">
        <v>0</v>
      </c>
      <c r="H4162">
        <v>0</v>
      </c>
      <c r="I4162">
        <v>27</v>
      </c>
      <c r="J4162">
        <v>27</v>
      </c>
      <c r="K4162">
        <v>0</v>
      </c>
      <c r="L4162">
        <v>624</v>
      </c>
      <c r="M4162">
        <v>45</v>
      </c>
      <c r="N4162" s="1">
        <f t="shared" ref="N4162:N4225" si="520">MAX(F:F)</f>
        <v>44938</v>
      </c>
      <c r="O4162" s="1">
        <f t="shared" ref="O4162:O4225" si="521">MIN(F:F)</f>
        <v>43101</v>
      </c>
      <c r="P4162" s="1">
        <f t="shared" ref="P4162:P4225" si="522">DATE(YEAR(F4162), DAY(F4162), 1)</f>
        <v>44805</v>
      </c>
      <c r="Q4162" s="8">
        <f t="shared" ref="Q4162:Q4225" si="523" xml:space="preserve"> IF(A4162&lt;&gt;A4161, 1, 0)</f>
        <v>0</v>
      </c>
      <c r="R4162" s="8">
        <f t="shared" ref="R4162:R4225" si="524">IF(Q4162=1,1,R4161+1)</f>
        <v>57</v>
      </c>
      <c r="S4162" s="8">
        <f t="shared" ref="S4162:S4225" ca="1" si="525" xml:space="preserve"> IF(Q4162=1, IF(G4162&gt;0, R4162, 0), IF(G4162&gt;0, R4162, OFFSET(S4162,-1,0)))</f>
        <v>43</v>
      </c>
      <c r="T4162">
        <f t="shared" ref="T4162:T4225" ca="1" si="526" xml:space="preserve"> IF(Q4162=1, IF(G4162&gt;0, G4162, 0), IF(G4162&gt;0, $X$1*G4162+(1-$X$1)*OFFSET(T4162,-1,0), OFFSET(T4162,-1,0)))</f>
        <v>1.8406400000000003</v>
      </c>
      <c r="U4162" s="8">
        <f t="shared" ref="U4162:U4225" ca="1" si="527" xml:space="preserve"> IF(Q4162=1, 1, IF(G4162&gt;0, $X$1*(R4162-OFFSET(S4162,-1,0))+(1-$X$1)*OFFSET(U4162,-1,0), OFFSET(U4162,-1,0)))</f>
        <v>5.6374400000000016</v>
      </c>
      <c r="V4162" s="9">
        <f ca="1">RawData[[#This Row],[Z (smoothed demand size)]]/RawData[[#This Row],[X (smoothed interval)]]</f>
        <v>0.3265028097860021</v>
      </c>
    </row>
    <row r="4163" spans="1:22">
      <c r="A4163" t="s">
        <v>77</v>
      </c>
      <c r="B4163" t="s">
        <v>60</v>
      </c>
      <c r="C4163">
        <v>32</v>
      </c>
      <c r="D4163" t="s">
        <v>15</v>
      </c>
      <c r="E4163" t="s">
        <v>16</v>
      </c>
      <c r="F4163" s="1">
        <v>44571</v>
      </c>
      <c r="G4163">
        <v>0</v>
      </c>
      <c r="H4163">
        <v>0</v>
      </c>
      <c r="I4163">
        <v>27</v>
      </c>
      <c r="J4163">
        <v>27</v>
      </c>
      <c r="K4163">
        <v>0</v>
      </c>
      <c r="L4163">
        <v>625</v>
      </c>
      <c r="M4163">
        <v>15</v>
      </c>
      <c r="N4163" s="1">
        <f t="shared" si="520"/>
        <v>44938</v>
      </c>
      <c r="O4163" s="1">
        <f t="shared" si="521"/>
        <v>43101</v>
      </c>
      <c r="P4163" s="1">
        <f t="shared" si="522"/>
        <v>44835</v>
      </c>
      <c r="Q4163" s="8">
        <f t="shared" si="523"/>
        <v>0</v>
      </c>
      <c r="R4163" s="8">
        <f t="shared" si="524"/>
        <v>58</v>
      </c>
      <c r="S4163" s="8">
        <f t="shared" ca="1" si="525"/>
        <v>43</v>
      </c>
      <c r="T4163">
        <f t="shared" ca="1" si="526"/>
        <v>1.8406400000000003</v>
      </c>
      <c r="U4163" s="8">
        <f t="shared" ca="1" si="527"/>
        <v>5.6374400000000016</v>
      </c>
      <c r="V4163" s="9">
        <f ca="1">RawData[[#This Row],[Z (smoothed demand size)]]/RawData[[#This Row],[X (smoothed interval)]]</f>
        <v>0.3265028097860021</v>
      </c>
    </row>
    <row r="4164" spans="1:22">
      <c r="A4164" t="s">
        <v>77</v>
      </c>
      <c r="B4164" t="s">
        <v>60</v>
      </c>
      <c r="C4164">
        <v>32</v>
      </c>
      <c r="D4164" t="s">
        <v>15</v>
      </c>
      <c r="E4164" t="s">
        <v>16</v>
      </c>
      <c r="F4164" s="1">
        <v>44572</v>
      </c>
      <c r="G4164">
        <v>0</v>
      </c>
      <c r="H4164">
        <v>0</v>
      </c>
      <c r="I4164">
        <v>27</v>
      </c>
      <c r="J4164">
        <v>27</v>
      </c>
      <c r="K4164">
        <v>0</v>
      </c>
      <c r="L4164">
        <v>612</v>
      </c>
      <c r="M4164">
        <v>60</v>
      </c>
      <c r="N4164" s="1">
        <f t="shared" si="520"/>
        <v>44938</v>
      </c>
      <c r="O4164" s="1">
        <f t="shared" si="521"/>
        <v>43101</v>
      </c>
      <c r="P4164" s="1">
        <f t="shared" si="522"/>
        <v>44866</v>
      </c>
      <c r="Q4164" s="8">
        <f t="shared" si="523"/>
        <v>0</v>
      </c>
      <c r="R4164" s="8">
        <f t="shared" si="524"/>
        <v>59</v>
      </c>
      <c r="S4164" s="8">
        <f t="shared" ca="1" si="525"/>
        <v>43</v>
      </c>
      <c r="T4164">
        <f t="shared" ca="1" si="526"/>
        <v>1.8406400000000003</v>
      </c>
      <c r="U4164" s="8">
        <f t="shared" ca="1" si="527"/>
        <v>5.6374400000000016</v>
      </c>
      <c r="V4164" s="9">
        <f ca="1">RawData[[#This Row],[Z (smoothed demand size)]]/RawData[[#This Row],[X (smoothed interval)]]</f>
        <v>0.3265028097860021</v>
      </c>
    </row>
    <row r="4165" spans="1:22">
      <c r="A4165" t="s">
        <v>77</v>
      </c>
      <c r="B4165" t="s">
        <v>60</v>
      </c>
      <c r="C4165">
        <v>32</v>
      </c>
      <c r="D4165" t="s">
        <v>15</v>
      </c>
      <c r="E4165" t="s">
        <v>16</v>
      </c>
      <c r="F4165" s="1">
        <v>44573</v>
      </c>
      <c r="G4165">
        <v>2</v>
      </c>
      <c r="H4165">
        <v>2</v>
      </c>
      <c r="I4165">
        <v>27</v>
      </c>
      <c r="J4165">
        <v>25</v>
      </c>
      <c r="K4165">
        <v>0</v>
      </c>
      <c r="L4165">
        <v>704</v>
      </c>
      <c r="M4165">
        <v>60</v>
      </c>
      <c r="N4165" s="1">
        <f t="shared" si="520"/>
        <v>44938</v>
      </c>
      <c r="O4165" s="1">
        <f t="shared" si="521"/>
        <v>43101</v>
      </c>
      <c r="P4165" s="1">
        <f t="shared" si="522"/>
        <v>44896</v>
      </c>
      <c r="Q4165" s="8">
        <f t="shared" si="523"/>
        <v>0</v>
      </c>
      <c r="R4165" s="8">
        <f t="shared" si="524"/>
        <v>60</v>
      </c>
      <c r="S4165" s="8">
        <f t="shared" ca="1" si="525"/>
        <v>60</v>
      </c>
      <c r="T4165">
        <f t="shared" ca="1" si="526"/>
        <v>1.8725120000000004</v>
      </c>
      <c r="U4165" s="8">
        <f t="shared" ca="1" si="527"/>
        <v>7.9099520000000014</v>
      </c>
      <c r="V4165" s="9">
        <f ca="1">RawData[[#This Row],[Z (smoothed demand size)]]/RawData[[#This Row],[X (smoothed interval)]]</f>
        <v>0.23672861731651471</v>
      </c>
    </row>
    <row r="4166" spans="1:22">
      <c r="A4166" t="s">
        <v>77</v>
      </c>
      <c r="B4166" t="s">
        <v>60</v>
      </c>
      <c r="C4166">
        <v>32</v>
      </c>
      <c r="D4166" t="s">
        <v>15</v>
      </c>
      <c r="E4166" t="s">
        <v>16</v>
      </c>
      <c r="F4166" s="1">
        <v>44927</v>
      </c>
      <c r="G4166">
        <v>0</v>
      </c>
      <c r="H4166">
        <v>0</v>
      </c>
      <c r="I4166">
        <v>25</v>
      </c>
      <c r="J4166">
        <v>25</v>
      </c>
      <c r="K4166">
        <v>0</v>
      </c>
      <c r="L4166">
        <v>619</v>
      </c>
      <c r="M4166">
        <v>30</v>
      </c>
      <c r="N4166" s="1">
        <f t="shared" si="520"/>
        <v>44938</v>
      </c>
      <c r="O4166" s="1">
        <f t="shared" si="521"/>
        <v>43101</v>
      </c>
      <c r="P4166" s="1">
        <f t="shared" si="522"/>
        <v>44927</v>
      </c>
      <c r="Q4166" s="8">
        <f t="shared" si="523"/>
        <v>0</v>
      </c>
      <c r="R4166" s="8">
        <f t="shared" si="524"/>
        <v>61</v>
      </c>
      <c r="S4166" s="8">
        <f t="shared" ca="1" si="525"/>
        <v>60</v>
      </c>
      <c r="T4166">
        <f t="shared" ca="1" si="526"/>
        <v>1.8725120000000004</v>
      </c>
      <c r="U4166" s="8">
        <f t="shared" ca="1" si="527"/>
        <v>7.9099520000000014</v>
      </c>
      <c r="V4166" s="9">
        <f ca="1">RawData[[#This Row],[Z (smoothed demand size)]]/RawData[[#This Row],[X (smoothed interval)]]</f>
        <v>0.23672861731651471</v>
      </c>
    </row>
    <row r="4167" spans="1:22">
      <c r="A4167" t="s">
        <v>77</v>
      </c>
      <c r="B4167" t="s">
        <v>60</v>
      </c>
      <c r="C4167">
        <v>32</v>
      </c>
      <c r="D4167" t="s">
        <v>15</v>
      </c>
      <c r="E4167" t="s">
        <v>16</v>
      </c>
      <c r="F4167" s="1">
        <v>44928</v>
      </c>
      <c r="G4167">
        <v>0</v>
      </c>
      <c r="H4167">
        <v>0</v>
      </c>
      <c r="I4167">
        <v>25</v>
      </c>
      <c r="J4167">
        <v>25</v>
      </c>
      <c r="K4167">
        <v>0</v>
      </c>
      <c r="L4167">
        <v>609</v>
      </c>
      <c r="M4167">
        <v>30</v>
      </c>
      <c r="N4167" s="1">
        <f t="shared" si="520"/>
        <v>44938</v>
      </c>
      <c r="O4167" s="1">
        <f t="shared" si="521"/>
        <v>43101</v>
      </c>
      <c r="P4167" s="1">
        <f t="shared" si="522"/>
        <v>44958</v>
      </c>
      <c r="Q4167" s="8">
        <f t="shared" si="523"/>
        <v>0</v>
      </c>
      <c r="R4167" s="8">
        <f t="shared" si="524"/>
        <v>62</v>
      </c>
      <c r="S4167" s="8">
        <f t="shared" ca="1" si="525"/>
        <v>60</v>
      </c>
      <c r="T4167">
        <f t="shared" ca="1" si="526"/>
        <v>1.8725120000000004</v>
      </c>
      <c r="U4167" s="8">
        <f t="shared" ca="1" si="527"/>
        <v>7.9099520000000014</v>
      </c>
      <c r="V4167" s="9">
        <f ca="1">RawData[[#This Row],[Z (smoothed demand size)]]/RawData[[#This Row],[X (smoothed interval)]]</f>
        <v>0.23672861731651471</v>
      </c>
    </row>
    <row r="4168" spans="1:22">
      <c r="A4168" t="s">
        <v>77</v>
      </c>
      <c r="B4168" t="s">
        <v>60</v>
      </c>
      <c r="C4168">
        <v>32</v>
      </c>
      <c r="D4168" t="s">
        <v>15</v>
      </c>
      <c r="E4168" t="s">
        <v>16</v>
      </c>
      <c r="F4168" s="1">
        <v>44929</v>
      </c>
      <c r="G4168">
        <v>0</v>
      </c>
      <c r="H4168">
        <v>0</v>
      </c>
      <c r="I4168">
        <v>25</v>
      </c>
      <c r="J4168">
        <v>25</v>
      </c>
      <c r="K4168">
        <v>0</v>
      </c>
      <c r="L4168">
        <v>624</v>
      </c>
      <c r="M4168">
        <v>15</v>
      </c>
      <c r="N4168" s="1">
        <f t="shared" si="520"/>
        <v>44938</v>
      </c>
      <c r="O4168" s="1">
        <f t="shared" si="521"/>
        <v>43101</v>
      </c>
      <c r="P4168" s="1">
        <f t="shared" si="522"/>
        <v>44986</v>
      </c>
      <c r="Q4168" s="8">
        <f t="shared" si="523"/>
        <v>0</v>
      </c>
      <c r="R4168" s="8">
        <f t="shared" si="524"/>
        <v>63</v>
      </c>
      <c r="S4168" s="8">
        <f t="shared" ca="1" si="525"/>
        <v>60</v>
      </c>
      <c r="T4168">
        <f t="shared" ca="1" si="526"/>
        <v>1.8725120000000004</v>
      </c>
      <c r="U4168" s="8">
        <f t="shared" ca="1" si="527"/>
        <v>7.9099520000000014</v>
      </c>
      <c r="V4168" s="9">
        <f ca="1">RawData[[#This Row],[Z (smoothed demand size)]]/RawData[[#This Row],[X (smoothed interval)]]</f>
        <v>0.23672861731651471</v>
      </c>
    </row>
    <row r="4169" spans="1:22">
      <c r="A4169" t="s">
        <v>77</v>
      </c>
      <c r="B4169" t="s">
        <v>60</v>
      </c>
      <c r="C4169">
        <v>32</v>
      </c>
      <c r="D4169" t="s">
        <v>15</v>
      </c>
      <c r="E4169" t="s">
        <v>16</v>
      </c>
      <c r="F4169" s="1">
        <v>44930</v>
      </c>
      <c r="G4169">
        <v>0</v>
      </c>
      <c r="H4169">
        <v>0</v>
      </c>
      <c r="I4169">
        <v>25</v>
      </c>
      <c r="J4169">
        <v>25</v>
      </c>
      <c r="K4169">
        <v>0</v>
      </c>
      <c r="L4169">
        <v>620</v>
      </c>
      <c r="M4169">
        <v>30</v>
      </c>
      <c r="N4169" s="1">
        <f t="shared" si="520"/>
        <v>44938</v>
      </c>
      <c r="O4169" s="1">
        <f t="shared" si="521"/>
        <v>43101</v>
      </c>
      <c r="P4169" s="1">
        <f t="shared" si="522"/>
        <v>45017</v>
      </c>
      <c r="Q4169" s="8">
        <f t="shared" si="523"/>
        <v>0</v>
      </c>
      <c r="R4169" s="8">
        <f t="shared" si="524"/>
        <v>64</v>
      </c>
      <c r="S4169" s="8">
        <f t="shared" ca="1" si="525"/>
        <v>60</v>
      </c>
      <c r="T4169">
        <f t="shared" ca="1" si="526"/>
        <v>1.8725120000000004</v>
      </c>
      <c r="U4169" s="8">
        <f t="shared" ca="1" si="527"/>
        <v>7.9099520000000014</v>
      </c>
      <c r="V4169" s="9">
        <f ca="1">RawData[[#This Row],[Z (smoothed demand size)]]/RawData[[#This Row],[X (smoothed interval)]]</f>
        <v>0.23672861731651471</v>
      </c>
    </row>
    <row r="4170" spans="1:22">
      <c r="A4170" t="s">
        <v>77</v>
      </c>
      <c r="B4170" t="s">
        <v>60</v>
      </c>
      <c r="C4170">
        <v>32</v>
      </c>
      <c r="D4170" t="s">
        <v>15</v>
      </c>
      <c r="E4170" t="s">
        <v>16</v>
      </c>
      <c r="F4170" s="1">
        <v>44931</v>
      </c>
      <c r="G4170">
        <v>0</v>
      </c>
      <c r="H4170">
        <v>0</v>
      </c>
      <c r="I4170">
        <v>25</v>
      </c>
      <c r="J4170">
        <v>25</v>
      </c>
      <c r="K4170">
        <v>0</v>
      </c>
      <c r="L4170">
        <v>632</v>
      </c>
      <c r="M4170">
        <v>15</v>
      </c>
      <c r="N4170" s="1">
        <f t="shared" si="520"/>
        <v>44938</v>
      </c>
      <c r="O4170" s="1">
        <f t="shared" si="521"/>
        <v>43101</v>
      </c>
      <c r="P4170" s="1">
        <f t="shared" si="522"/>
        <v>45047</v>
      </c>
      <c r="Q4170" s="8">
        <f t="shared" si="523"/>
        <v>0</v>
      </c>
      <c r="R4170" s="8">
        <f t="shared" si="524"/>
        <v>65</v>
      </c>
      <c r="S4170" s="8">
        <f t="shared" ca="1" si="525"/>
        <v>60</v>
      </c>
      <c r="T4170">
        <f t="shared" ca="1" si="526"/>
        <v>1.8725120000000004</v>
      </c>
      <c r="U4170" s="8">
        <f t="shared" ca="1" si="527"/>
        <v>7.9099520000000014</v>
      </c>
      <c r="V4170" s="9">
        <f ca="1">RawData[[#This Row],[Z (smoothed demand size)]]/RawData[[#This Row],[X (smoothed interval)]]</f>
        <v>0.23672861731651471</v>
      </c>
    </row>
    <row r="4171" spans="1:22">
      <c r="A4171" t="s">
        <v>77</v>
      </c>
      <c r="B4171" t="s">
        <v>60</v>
      </c>
      <c r="C4171">
        <v>32</v>
      </c>
      <c r="D4171" t="s">
        <v>15</v>
      </c>
      <c r="E4171" t="s">
        <v>16</v>
      </c>
      <c r="F4171" s="1">
        <v>44932</v>
      </c>
      <c r="G4171">
        <v>0</v>
      </c>
      <c r="H4171">
        <v>0</v>
      </c>
      <c r="I4171">
        <v>25</v>
      </c>
      <c r="J4171">
        <v>25</v>
      </c>
      <c r="K4171">
        <v>0</v>
      </c>
      <c r="L4171">
        <v>715</v>
      </c>
      <c r="M4171">
        <v>15</v>
      </c>
      <c r="N4171" s="1">
        <f t="shared" si="520"/>
        <v>44938</v>
      </c>
      <c r="O4171" s="1">
        <f t="shared" si="521"/>
        <v>43101</v>
      </c>
      <c r="P4171" s="1">
        <f t="shared" si="522"/>
        <v>45078</v>
      </c>
      <c r="Q4171" s="8">
        <f t="shared" si="523"/>
        <v>0</v>
      </c>
      <c r="R4171" s="8">
        <f t="shared" si="524"/>
        <v>66</v>
      </c>
      <c r="S4171" s="8">
        <f t="shared" ca="1" si="525"/>
        <v>60</v>
      </c>
      <c r="T4171">
        <f t="shared" ca="1" si="526"/>
        <v>1.8725120000000004</v>
      </c>
      <c r="U4171" s="8">
        <f t="shared" ca="1" si="527"/>
        <v>7.9099520000000014</v>
      </c>
      <c r="V4171" s="9">
        <f ca="1">RawData[[#This Row],[Z (smoothed demand size)]]/RawData[[#This Row],[X (smoothed interval)]]</f>
        <v>0.23672861731651471</v>
      </c>
    </row>
    <row r="4172" spans="1:22">
      <c r="A4172" t="s">
        <v>77</v>
      </c>
      <c r="B4172" t="s">
        <v>60</v>
      </c>
      <c r="C4172">
        <v>32</v>
      </c>
      <c r="D4172" t="s">
        <v>15</v>
      </c>
      <c r="E4172" t="s">
        <v>16</v>
      </c>
      <c r="F4172" s="1">
        <v>44933</v>
      </c>
      <c r="G4172">
        <v>0</v>
      </c>
      <c r="H4172">
        <v>0</v>
      </c>
      <c r="I4172">
        <v>25</v>
      </c>
      <c r="J4172">
        <v>25</v>
      </c>
      <c r="K4172">
        <v>0</v>
      </c>
      <c r="L4172">
        <v>717</v>
      </c>
      <c r="M4172">
        <v>30</v>
      </c>
      <c r="N4172" s="1">
        <f t="shared" si="520"/>
        <v>44938</v>
      </c>
      <c r="O4172" s="1">
        <f t="shared" si="521"/>
        <v>43101</v>
      </c>
      <c r="P4172" s="1">
        <f t="shared" si="522"/>
        <v>45108</v>
      </c>
      <c r="Q4172" s="8">
        <f t="shared" si="523"/>
        <v>0</v>
      </c>
      <c r="R4172" s="8">
        <f t="shared" si="524"/>
        <v>67</v>
      </c>
      <c r="S4172" s="8">
        <f t="shared" ca="1" si="525"/>
        <v>60</v>
      </c>
      <c r="T4172">
        <f t="shared" ca="1" si="526"/>
        <v>1.8725120000000004</v>
      </c>
      <c r="U4172" s="8">
        <f t="shared" ca="1" si="527"/>
        <v>7.9099520000000014</v>
      </c>
      <c r="V4172" s="9">
        <f ca="1">RawData[[#This Row],[Z (smoothed demand size)]]/RawData[[#This Row],[X (smoothed interval)]]</f>
        <v>0.23672861731651471</v>
      </c>
    </row>
    <row r="4173" spans="1:22">
      <c r="A4173" t="s">
        <v>77</v>
      </c>
      <c r="B4173" t="s">
        <v>60</v>
      </c>
      <c r="C4173">
        <v>32</v>
      </c>
      <c r="D4173" t="s">
        <v>15</v>
      </c>
      <c r="E4173" t="s">
        <v>16</v>
      </c>
      <c r="F4173" s="1">
        <v>44934</v>
      </c>
      <c r="G4173">
        <v>0</v>
      </c>
      <c r="H4173">
        <v>0</v>
      </c>
      <c r="I4173">
        <v>25</v>
      </c>
      <c r="J4173">
        <v>25</v>
      </c>
      <c r="K4173">
        <v>0</v>
      </c>
      <c r="L4173">
        <v>717</v>
      </c>
      <c r="M4173">
        <v>45</v>
      </c>
      <c r="N4173" s="1">
        <f t="shared" si="520"/>
        <v>44938</v>
      </c>
      <c r="O4173" s="1">
        <f t="shared" si="521"/>
        <v>43101</v>
      </c>
      <c r="P4173" s="1">
        <f t="shared" si="522"/>
        <v>45139</v>
      </c>
      <c r="Q4173" s="8">
        <f t="shared" si="523"/>
        <v>0</v>
      </c>
      <c r="R4173" s="8">
        <f t="shared" si="524"/>
        <v>68</v>
      </c>
      <c r="S4173" s="8">
        <f t="shared" ca="1" si="525"/>
        <v>60</v>
      </c>
      <c r="T4173">
        <f t="shared" ca="1" si="526"/>
        <v>1.8725120000000004</v>
      </c>
      <c r="U4173" s="8">
        <f t="shared" ca="1" si="527"/>
        <v>7.9099520000000014</v>
      </c>
      <c r="V4173" s="9">
        <f ca="1">RawData[[#This Row],[Z (smoothed demand size)]]/RawData[[#This Row],[X (smoothed interval)]]</f>
        <v>0.23672861731651471</v>
      </c>
    </row>
    <row r="4174" spans="1:22">
      <c r="A4174" t="s">
        <v>77</v>
      </c>
      <c r="B4174" t="s">
        <v>60</v>
      </c>
      <c r="C4174">
        <v>32</v>
      </c>
      <c r="D4174" t="s">
        <v>15</v>
      </c>
      <c r="E4174" t="s">
        <v>16</v>
      </c>
      <c r="F4174" s="1">
        <v>44935</v>
      </c>
      <c r="G4174">
        <v>0</v>
      </c>
      <c r="H4174">
        <v>0</v>
      </c>
      <c r="I4174">
        <v>25</v>
      </c>
      <c r="J4174">
        <v>25</v>
      </c>
      <c r="K4174">
        <v>0</v>
      </c>
      <c r="L4174">
        <v>620</v>
      </c>
      <c r="M4174">
        <v>15</v>
      </c>
      <c r="N4174" s="1">
        <f t="shared" si="520"/>
        <v>44938</v>
      </c>
      <c r="O4174" s="1">
        <f t="shared" si="521"/>
        <v>43101</v>
      </c>
      <c r="P4174" s="1">
        <f t="shared" si="522"/>
        <v>45170</v>
      </c>
      <c r="Q4174" s="8">
        <f t="shared" si="523"/>
        <v>0</v>
      </c>
      <c r="R4174" s="8">
        <f t="shared" si="524"/>
        <v>69</v>
      </c>
      <c r="S4174" s="8">
        <f t="shared" ca="1" si="525"/>
        <v>60</v>
      </c>
      <c r="T4174">
        <f t="shared" ca="1" si="526"/>
        <v>1.8725120000000004</v>
      </c>
      <c r="U4174" s="8">
        <f t="shared" ca="1" si="527"/>
        <v>7.9099520000000014</v>
      </c>
      <c r="V4174" s="9">
        <f ca="1">RawData[[#This Row],[Z (smoothed demand size)]]/RawData[[#This Row],[X (smoothed interval)]]</f>
        <v>0.23672861731651471</v>
      </c>
    </row>
    <row r="4175" spans="1:22">
      <c r="A4175" t="s">
        <v>77</v>
      </c>
      <c r="B4175" t="s">
        <v>60</v>
      </c>
      <c r="C4175">
        <v>32</v>
      </c>
      <c r="D4175" t="s">
        <v>15</v>
      </c>
      <c r="E4175" t="s">
        <v>16</v>
      </c>
      <c r="F4175" s="1">
        <v>44936</v>
      </c>
      <c r="G4175">
        <v>0</v>
      </c>
      <c r="H4175">
        <v>0</v>
      </c>
      <c r="I4175">
        <v>25</v>
      </c>
      <c r="J4175">
        <v>25</v>
      </c>
      <c r="K4175">
        <v>0</v>
      </c>
      <c r="L4175">
        <v>620</v>
      </c>
      <c r="M4175">
        <v>15</v>
      </c>
      <c r="N4175" s="1">
        <f t="shared" si="520"/>
        <v>44938</v>
      </c>
      <c r="O4175" s="1">
        <f t="shared" si="521"/>
        <v>43101</v>
      </c>
      <c r="P4175" s="1">
        <f t="shared" si="522"/>
        <v>45200</v>
      </c>
      <c r="Q4175" s="8">
        <f t="shared" si="523"/>
        <v>0</v>
      </c>
      <c r="R4175" s="8">
        <f t="shared" si="524"/>
        <v>70</v>
      </c>
      <c r="S4175" s="8">
        <f t="shared" ca="1" si="525"/>
        <v>60</v>
      </c>
      <c r="T4175">
        <f t="shared" ca="1" si="526"/>
        <v>1.8725120000000004</v>
      </c>
      <c r="U4175" s="8">
        <f t="shared" ca="1" si="527"/>
        <v>7.9099520000000014</v>
      </c>
      <c r="V4175" s="9">
        <f ca="1">RawData[[#This Row],[Z (smoothed demand size)]]/RawData[[#This Row],[X (smoothed interval)]]</f>
        <v>0.23672861731651471</v>
      </c>
    </row>
    <row r="4176" spans="1:22">
      <c r="A4176" t="s">
        <v>77</v>
      </c>
      <c r="B4176" t="s">
        <v>60</v>
      </c>
      <c r="C4176">
        <v>32</v>
      </c>
      <c r="D4176" t="s">
        <v>15</v>
      </c>
      <c r="E4176" t="s">
        <v>16</v>
      </c>
      <c r="F4176" s="1">
        <v>44937</v>
      </c>
      <c r="G4176">
        <v>0</v>
      </c>
      <c r="H4176">
        <v>0</v>
      </c>
      <c r="I4176">
        <v>25</v>
      </c>
      <c r="J4176">
        <v>25</v>
      </c>
      <c r="K4176">
        <v>0</v>
      </c>
      <c r="L4176">
        <v>619</v>
      </c>
      <c r="M4176">
        <v>60</v>
      </c>
      <c r="N4176" s="1">
        <f t="shared" si="520"/>
        <v>44938</v>
      </c>
      <c r="O4176" s="1">
        <f t="shared" si="521"/>
        <v>43101</v>
      </c>
      <c r="P4176" s="1">
        <f t="shared" si="522"/>
        <v>45231</v>
      </c>
      <c r="Q4176" s="8">
        <f t="shared" si="523"/>
        <v>0</v>
      </c>
      <c r="R4176" s="8">
        <f t="shared" si="524"/>
        <v>71</v>
      </c>
      <c r="S4176" s="8">
        <f t="shared" ca="1" si="525"/>
        <v>60</v>
      </c>
      <c r="T4176">
        <f t="shared" ca="1" si="526"/>
        <v>1.8725120000000004</v>
      </c>
      <c r="U4176" s="8">
        <f t="shared" ca="1" si="527"/>
        <v>7.9099520000000014</v>
      </c>
      <c r="V4176" s="9">
        <f ca="1">RawData[[#This Row],[Z (smoothed demand size)]]/RawData[[#This Row],[X (smoothed interval)]]</f>
        <v>0.23672861731651471</v>
      </c>
    </row>
    <row r="4177" spans="1:22">
      <c r="A4177" t="s">
        <v>77</v>
      </c>
      <c r="B4177" t="s">
        <v>60</v>
      </c>
      <c r="C4177">
        <v>32</v>
      </c>
      <c r="D4177" t="s">
        <v>15</v>
      </c>
      <c r="E4177" t="s">
        <v>16</v>
      </c>
      <c r="F4177" s="1">
        <v>44938</v>
      </c>
      <c r="G4177">
        <v>0</v>
      </c>
      <c r="H4177">
        <v>0</v>
      </c>
      <c r="I4177">
        <v>25</v>
      </c>
      <c r="J4177">
        <v>25</v>
      </c>
      <c r="K4177">
        <v>0</v>
      </c>
      <c r="L4177">
        <v>695</v>
      </c>
      <c r="M4177">
        <v>60</v>
      </c>
      <c r="N4177" s="1">
        <f t="shared" si="520"/>
        <v>44938</v>
      </c>
      <c r="O4177" s="1">
        <f t="shared" si="521"/>
        <v>43101</v>
      </c>
      <c r="P4177" s="1">
        <f t="shared" si="522"/>
        <v>45261</v>
      </c>
      <c r="Q4177" s="8">
        <f t="shared" si="523"/>
        <v>0</v>
      </c>
      <c r="R4177" s="8">
        <f t="shared" si="524"/>
        <v>72</v>
      </c>
      <c r="S4177" s="8">
        <f t="shared" ca="1" si="525"/>
        <v>60</v>
      </c>
      <c r="T4177">
        <f t="shared" ca="1" si="526"/>
        <v>1.8725120000000004</v>
      </c>
      <c r="U4177" s="8">
        <f t="shared" ca="1" si="527"/>
        <v>7.9099520000000014</v>
      </c>
      <c r="V4177" s="9">
        <f ca="1">RawData[[#This Row],[Z (smoothed demand size)]]/RawData[[#This Row],[X (smoothed interval)]]</f>
        <v>0.23672861731651471</v>
      </c>
    </row>
    <row r="4178" spans="1:22">
      <c r="A4178" t="s">
        <v>78</v>
      </c>
      <c r="B4178" t="s">
        <v>60</v>
      </c>
      <c r="C4178">
        <v>27</v>
      </c>
      <c r="D4178" t="s">
        <v>22</v>
      </c>
      <c r="E4178" t="s">
        <v>16</v>
      </c>
      <c r="F4178" s="1">
        <v>43101</v>
      </c>
      <c r="G4178">
        <v>1</v>
      </c>
      <c r="H4178">
        <v>1</v>
      </c>
      <c r="I4178">
        <v>29</v>
      </c>
      <c r="J4178">
        <v>28</v>
      </c>
      <c r="K4178">
        <v>0</v>
      </c>
      <c r="L4178">
        <v>628</v>
      </c>
      <c r="M4178">
        <v>45</v>
      </c>
      <c r="N4178" s="1">
        <f t="shared" si="520"/>
        <v>44938</v>
      </c>
      <c r="O4178" s="1">
        <f t="shared" si="521"/>
        <v>43101</v>
      </c>
      <c r="P4178" s="1">
        <f t="shared" si="522"/>
        <v>43101</v>
      </c>
      <c r="Q4178" s="8">
        <f t="shared" si="523"/>
        <v>1</v>
      </c>
      <c r="R4178" s="8">
        <f t="shared" si="524"/>
        <v>1</v>
      </c>
      <c r="S4178" s="8">
        <f t="shared" ca="1" si="525"/>
        <v>1</v>
      </c>
      <c r="T4178">
        <f t="shared" ca="1" si="526"/>
        <v>1</v>
      </c>
      <c r="U4178" s="8">
        <f t="shared" ca="1" si="527"/>
        <v>1</v>
      </c>
      <c r="V4178" s="9">
        <f ca="1">RawData[[#This Row],[Z (smoothed demand size)]]/RawData[[#This Row],[X (smoothed interval)]]</f>
        <v>1</v>
      </c>
    </row>
    <row r="4179" spans="1:22">
      <c r="A4179" t="s">
        <v>78</v>
      </c>
      <c r="B4179" t="s">
        <v>60</v>
      </c>
      <c r="C4179">
        <v>27</v>
      </c>
      <c r="D4179" t="s">
        <v>22</v>
      </c>
      <c r="E4179" t="s">
        <v>16</v>
      </c>
      <c r="F4179" s="1">
        <v>43102</v>
      </c>
      <c r="G4179">
        <v>0</v>
      </c>
      <c r="H4179">
        <v>0</v>
      </c>
      <c r="I4179">
        <v>28</v>
      </c>
      <c r="J4179">
        <v>28</v>
      </c>
      <c r="K4179">
        <v>0</v>
      </c>
      <c r="L4179">
        <v>623</v>
      </c>
      <c r="M4179">
        <v>45</v>
      </c>
      <c r="N4179" s="1">
        <f t="shared" si="520"/>
        <v>44938</v>
      </c>
      <c r="O4179" s="1">
        <f t="shared" si="521"/>
        <v>43101</v>
      </c>
      <c r="P4179" s="1">
        <f t="shared" si="522"/>
        <v>43132</v>
      </c>
      <c r="Q4179" s="8">
        <f t="shared" si="523"/>
        <v>0</v>
      </c>
      <c r="R4179" s="8">
        <f t="shared" si="524"/>
        <v>2</v>
      </c>
      <c r="S4179" s="8">
        <f t="shared" ca="1" si="525"/>
        <v>1</v>
      </c>
      <c r="T4179">
        <f t="shared" ca="1" si="526"/>
        <v>1</v>
      </c>
      <c r="U4179" s="8">
        <f t="shared" ca="1" si="527"/>
        <v>1</v>
      </c>
      <c r="V4179" s="9">
        <f ca="1">RawData[[#This Row],[Z (smoothed demand size)]]/RawData[[#This Row],[X (smoothed interval)]]</f>
        <v>1</v>
      </c>
    </row>
    <row r="4180" spans="1:22">
      <c r="A4180" t="s">
        <v>78</v>
      </c>
      <c r="B4180" t="s">
        <v>60</v>
      </c>
      <c r="C4180">
        <v>27</v>
      </c>
      <c r="D4180" t="s">
        <v>22</v>
      </c>
      <c r="E4180" t="s">
        <v>16</v>
      </c>
      <c r="F4180" s="1">
        <v>43103</v>
      </c>
      <c r="G4180">
        <v>0</v>
      </c>
      <c r="H4180">
        <v>0</v>
      </c>
      <c r="I4180">
        <v>28</v>
      </c>
      <c r="J4180">
        <v>28</v>
      </c>
      <c r="K4180">
        <v>0</v>
      </c>
      <c r="L4180">
        <v>633</v>
      </c>
      <c r="M4180">
        <v>60</v>
      </c>
      <c r="N4180" s="1">
        <f t="shared" si="520"/>
        <v>44938</v>
      </c>
      <c r="O4180" s="1">
        <f t="shared" si="521"/>
        <v>43101</v>
      </c>
      <c r="P4180" s="1">
        <f t="shared" si="522"/>
        <v>43160</v>
      </c>
      <c r="Q4180" s="8">
        <f t="shared" si="523"/>
        <v>0</v>
      </c>
      <c r="R4180" s="8">
        <f t="shared" si="524"/>
        <v>3</v>
      </c>
      <c r="S4180" s="8">
        <f t="shared" ca="1" si="525"/>
        <v>1</v>
      </c>
      <c r="T4180">
        <f t="shared" ca="1" si="526"/>
        <v>1</v>
      </c>
      <c r="U4180" s="8">
        <f t="shared" ca="1" si="527"/>
        <v>1</v>
      </c>
      <c r="V4180" s="9">
        <f ca="1">RawData[[#This Row],[Z (smoothed demand size)]]/RawData[[#This Row],[X (smoothed interval)]]</f>
        <v>1</v>
      </c>
    </row>
    <row r="4181" spans="1:22">
      <c r="A4181" t="s">
        <v>78</v>
      </c>
      <c r="B4181" t="s">
        <v>60</v>
      </c>
      <c r="C4181">
        <v>27</v>
      </c>
      <c r="D4181" t="s">
        <v>22</v>
      </c>
      <c r="E4181" t="s">
        <v>16</v>
      </c>
      <c r="F4181" s="1">
        <v>43104</v>
      </c>
      <c r="G4181">
        <v>0</v>
      </c>
      <c r="H4181">
        <v>0</v>
      </c>
      <c r="I4181">
        <v>28</v>
      </c>
      <c r="J4181">
        <v>28</v>
      </c>
      <c r="K4181">
        <v>0</v>
      </c>
      <c r="L4181">
        <v>627</v>
      </c>
      <c r="M4181">
        <v>45</v>
      </c>
      <c r="N4181" s="1">
        <f t="shared" si="520"/>
        <v>44938</v>
      </c>
      <c r="O4181" s="1">
        <f t="shared" si="521"/>
        <v>43101</v>
      </c>
      <c r="P4181" s="1">
        <f t="shared" si="522"/>
        <v>43191</v>
      </c>
      <c r="Q4181" s="8">
        <f t="shared" si="523"/>
        <v>0</v>
      </c>
      <c r="R4181" s="8">
        <f t="shared" si="524"/>
        <v>4</v>
      </c>
      <c r="S4181" s="8">
        <f t="shared" ca="1" si="525"/>
        <v>1</v>
      </c>
      <c r="T4181">
        <f t="shared" ca="1" si="526"/>
        <v>1</v>
      </c>
      <c r="U4181" s="8">
        <f t="shared" ca="1" si="527"/>
        <v>1</v>
      </c>
      <c r="V4181" s="9">
        <f ca="1">RawData[[#This Row],[Z (smoothed demand size)]]/RawData[[#This Row],[X (smoothed interval)]]</f>
        <v>1</v>
      </c>
    </row>
    <row r="4182" spans="1:22">
      <c r="A4182" t="s">
        <v>78</v>
      </c>
      <c r="B4182" t="s">
        <v>60</v>
      </c>
      <c r="C4182">
        <v>27</v>
      </c>
      <c r="D4182" t="s">
        <v>22</v>
      </c>
      <c r="E4182" t="s">
        <v>16</v>
      </c>
      <c r="F4182" s="1">
        <v>43105</v>
      </c>
      <c r="G4182">
        <v>0</v>
      </c>
      <c r="H4182">
        <v>0</v>
      </c>
      <c r="I4182">
        <v>28</v>
      </c>
      <c r="J4182">
        <v>28</v>
      </c>
      <c r="K4182">
        <v>0</v>
      </c>
      <c r="L4182">
        <v>621</v>
      </c>
      <c r="M4182">
        <v>60</v>
      </c>
      <c r="N4182" s="1">
        <f t="shared" si="520"/>
        <v>44938</v>
      </c>
      <c r="O4182" s="1">
        <f t="shared" si="521"/>
        <v>43101</v>
      </c>
      <c r="P4182" s="1">
        <f t="shared" si="522"/>
        <v>43221</v>
      </c>
      <c r="Q4182" s="8">
        <f t="shared" si="523"/>
        <v>0</v>
      </c>
      <c r="R4182" s="8">
        <f t="shared" si="524"/>
        <v>5</v>
      </c>
      <c r="S4182" s="8">
        <f t="shared" ca="1" si="525"/>
        <v>1</v>
      </c>
      <c r="T4182">
        <f t="shared" ca="1" si="526"/>
        <v>1</v>
      </c>
      <c r="U4182" s="8">
        <f t="shared" ca="1" si="527"/>
        <v>1</v>
      </c>
      <c r="V4182" s="9">
        <f ca="1">RawData[[#This Row],[Z (smoothed demand size)]]/RawData[[#This Row],[X (smoothed interval)]]</f>
        <v>1</v>
      </c>
    </row>
    <row r="4183" spans="1:22">
      <c r="A4183" t="s">
        <v>78</v>
      </c>
      <c r="B4183" t="s">
        <v>60</v>
      </c>
      <c r="C4183">
        <v>27</v>
      </c>
      <c r="D4183" t="s">
        <v>22</v>
      </c>
      <c r="E4183" t="s">
        <v>16</v>
      </c>
      <c r="F4183" s="1">
        <v>43106</v>
      </c>
      <c r="G4183">
        <v>0</v>
      </c>
      <c r="H4183">
        <v>0</v>
      </c>
      <c r="I4183">
        <v>28</v>
      </c>
      <c r="J4183">
        <v>28</v>
      </c>
      <c r="K4183">
        <v>0</v>
      </c>
      <c r="L4183">
        <v>722</v>
      </c>
      <c r="M4183">
        <v>60</v>
      </c>
      <c r="N4183" s="1">
        <f t="shared" si="520"/>
        <v>44938</v>
      </c>
      <c r="O4183" s="1">
        <f t="shared" si="521"/>
        <v>43101</v>
      </c>
      <c r="P4183" s="1">
        <f t="shared" si="522"/>
        <v>43252</v>
      </c>
      <c r="Q4183" s="8">
        <f t="shared" si="523"/>
        <v>0</v>
      </c>
      <c r="R4183" s="8">
        <f t="shared" si="524"/>
        <v>6</v>
      </c>
      <c r="S4183" s="8">
        <f t="shared" ca="1" si="525"/>
        <v>1</v>
      </c>
      <c r="T4183">
        <f t="shared" ca="1" si="526"/>
        <v>1</v>
      </c>
      <c r="U4183" s="8">
        <f t="shared" ca="1" si="527"/>
        <v>1</v>
      </c>
      <c r="V4183" s="9">
        <f ca="1">RawData[[#This Row],[Z (smoothed demand size)]]/RawData[[#This Row],[X (smoothed interval)]]</f>
        <v>1</v>
      </c>
    </row>
    <row r="4184" spans="1:22">
      <c r="A4184" t="s">
        <v>78</v>
      </c>
      <c r="B4184" t="s">
        <v>60</v>
      </c>
      <c r="C4184">
        <v>27</v>
      </c>
      <c r="D4184" t="s">
        <v>22</v>
      </c>
      <c r="E4184" t="s">
        <v>16</v>
      </c>
      <c r="F4184" s="1">
        <v>43107</v>
      </c>
      <c r="G4184">
        <v>3</v>
      </c>
      <c r="H4184">
        <v>3</v>
      </c>
      <c r="I4184">
        <v>28</v>
      </c>
      <c r="J4184">
        <v>25</v>
      </c>
      <c r="K4184">
        <v>0</v>
      </c>
      <c r="L4184">
        <v>715</v>
      </c>
      <c r="M4184">
        <v>45</v>
      </c>
      <c r="N4184" s="1">
        <f t="shared" si="520"/>
        <v>44938</v>
      </c>
      <c r="O4184" s="1">
        <f t="shared" si="521"/>
        <v>43101</v>
      </c>
      <c r="P4184" s="1">
        <f t="shared" si="522"/>
        <v>43282</v>
      </c>
      <c r="Q4184" s="8">
        <f t="shared" si="523"/>
        <v>0</v>
      </c>
      <c r="R4184" s="8">
        <f t="shared" si="524"/>
        <v>7</v>
      </c>
      <c r="S4184" s="8">
        <f t="shared" ca="1" si="525"/>
        <v>7</v>
      </c>
      <c r="T4184">
        <f t="shared" ca="1" si="526"/>
        <v>1.4000000000000001</v>
      </c>
      <c r="U4184" s="8">
        <f t="shared" ca="1" si="527"/>
        <v>2</v>
      </c>
      <c r="V4184" s="9">
        <f ca="1">RawData[[#This Row],[Z (smoothed demand size)]]/RawData[[#This Row],[X (smoothed interval)]]</f>
        <v>0.70000000000000007</v>
      </c>
    </row>
    <row r="4185" spans="1:22">
      <c r="A4185" t="s">
        <v>78</v>
      </c>
      <c r="B4185" t="s">
        <v>60</v>
      </c>
      <c r="C4185">
        <v>27</v>
      </c>
      <c r="D4185" t="s">
        <v>22</v>
      </c>
      <c r="E4185" t="s">
        <v>16</v>
      </c>
      <c r="F4185" s="1">
        <v>43108</v>
      </c>
      <c r="G4185">
        <v>0</v>
      </c>
      <c r="H4185">
        <v>0</v>
      </c>
      <c r="I4185">
        <v>25</v>
      </c>
      <c r="J4185">
        <v>25</v>
      </c>
      <c r="K4185">
        <v>0</v>
      </c>
      <c r="L4185">
        <v>728</v>
      </c>
      <c r="M4185">
        <v>15</v>
      </c>
      <c r="N4185" s="1">
        <f t="shared" si="520"/>
        <v>44938</v>
      </c>
      <c r="O4185" s="1">
        <f t="shared" si="521"/>
        <v>43101</v>
      </c>
      <c r="P4185" s="1">
        <f t="shared" si="522"/>
        <v>43313</v>
      </c>
      <c r="Q4185" s="8">
        <f t="shared" si="523"/>
        <v>0</v>
      </c>
      <c r="R4185" s="8">
        <f t="shared" si="524"/>
        <v>8</v>
      </c>
      <c r="S4185" s="8">
        <f t="shared" ca="1" si="525"/>
        <v>7</v>
      </c>
      <c r="T4185">
        <f t="shared" ca="1" si="526"/>
        <v>1.4000000000000001</v>
      </c>
      <c r="U4185" s="8">
        <f t="shared" ca="1" si="527"/>
        <v>2</v>
      </c>
      <c r="V4185" s="9">
        <f ca="1">RawData[[#This Row],[Z (smoothed demand size)]]/RawData[[#This Row],[X (smoothed interval)]]</f>
        <v>0.70000000000000007</v>
      </c>
    </row>
    <row r="4186" spans="1:22">
      <c r="A4186" t="s">
        <v>78</v>
      </c>
      <c r="B4186" t="s">
        <v>60</v>
      </c>
      <c r="C4186">
        <v>27</v>
      </c>
      <c r="D4186" t="s">
        <v>22</v>
      </c>
      <c r="E4186" t="s">
        <v>16</v>
      </c>
      <c r="F4186" s="1">
        <v>43109</v>
      </c>
      <c r="G4186">
        <v>3</v>
      </c>
      <c r="H4186">
        <v>3</v>
      </c>
      <c r="I4186">
        <v>25</v>
      </c>
      <c r="J4186">
        <v>22</v>
      </c>
      <c r="K4186">
        <v>0</v>
      </c>
      <c r="L4186">
        <v>626</v>
      </c>
      <c r="M4186">
        <v>15</v>
      </c>
      <c r="N4186" s="1">
        <f t="shared" si="520"/>
        <v>44938</v>
      </c>
      <c r="O4186" s="1">
        <f t="shared" si="521"/>
        <v>43101</v>
      </c>
      <c r="P4186" s="1">
        <f t="shared" si="522"/>
        <v>43344</v>
      </c>
      <c r="Q4186" s="8">
        <f t="shared" si="523"/>
        <v>0</v>
      </c>
      <c r="R4186" s="8">
        <f t="shared" si="524"/>
        <v>9</v>
      </c>
      <c r="S4186" s="8">
        <f t="shared" ca="1" si="525"/>
        <v>9</v>
      </c>
      <c r="T4186">
        <f t="shared" ca="1" si="526"/>
        <v>1.7200000000000002</v>
      </c>
      <c r="U4186" s="8">
        <f t="shared" ca="1" si="527"/>
        <v>2</v>
      </c>
      <c r="V4186" s="9">
        <f ca="1">RawData[[#This Row],[Z (smoothed demand size)]]/RawData[[#This Row],[X (smoothed interval)]]</f>
        <v>0.8600000000000001</v>
      </c>
    </row>
    <row r="4187" spans="1:22">
      <c r="A4187" t="s">
        <v>78</v>
      </c>
      <c r="B4187" t="s">
        <v>60</v>
      </c>
      <c r="C4187">
        <v>27</v>
      </c>
      <c r="D4187" t="s">
        <v>22</v>
      </c>
      <c r="E4187" t="s">
        <v>16</v>
      </c>
      <c r="F4187" s="1">
        <v>43110</v>
      </c>
      <c r="G4187">
        <v>0</v>
      </c>
      <c r="H4187">
        <v>0</v>
      </c>
      <c r="I4187">
        <v>22</v>
      </c>
      <c r="J4187">
        <v>22</v>
      </c>
      <c r="K4187">
        <v>0</v>
      </c>
      <c r="L4187">
        <v>631</v>
      </c>
      <c r="M4187">
        <v>45</v>
      </c>
      <c r="N4187" s="1">
        <f t="shared" si="520"/>
        <v>44938</v>
      </c>
      <c r="O4187" s="1">
        <f t="shared" si="521"/>
        <v>43101</v>
      </c>
      <c r="P4187" s="1">
        <f t="shared" si="522"/>
        <v>43374</v>
      </c>
      <c r="Q4187" s="8">
        <f t="shared" si="523"/>
        <v>0</v>
      </c>
      <c r="R4187" s="8">
        <f t="shared" si="524"/>
        <v>10</v>
      </c>
      <c r="S4187" s="8">
        <f t="shared" ca="1" si="525"/>
        <v>9</v>
      </c>
      <c r="T4187">
        <f t="shared" ca="1" si="526"/>
        <v>1.7200000000000002</v>
      </c>
      <c r="U4187" s="8">
        <f t="shared" ca="1" si="527"/>
        <v>2</v>
      </c>
      <c r="V4187" s="9">
        <f ca="1">RawData[[#This Row],[Z (smoothed demand size)]]/RawData[[#This Row],[X (smoothed interval)]]</f>
        <v>0.8600000000000001</v>
      </c>
    </row>
    <row r="4188" spans="1:22">
      <c r="A4188" t="s">
        <v>78</v>
      </c>
      <c r="B4188" t="s">
        <v>60</v>
      </c>
      <c r="C4188">
        <v>27</v>
      </c>
      <c r="D4188" t="s">
        <v>22</v>
      </c>
      <c r="E4188" t="s">
        <v>16</v>
      </c>
      <c r="F4188" s="1">
        <v>43111</v>
      </c>
      <c r="G4188">
        <v>0</v>
      </c>
      <c r="H4188">
        <v>0</v>
      </c>
      <c r="I4188">
        <v>22</v>
      </c>
      <c r="J4188">
        <v>22</v>
      </c>
      <c r="K4188">
        <v>0</v>
      </c>
      <c r="L4188">
        <v>623</v>
      </c>
      <c r="M4188">
        <v>45</v>
      </c>
      <c r="N4188" s="1">
        <f t="shared" si="520"/>
        <v>44938</v>
      </c>
      <c r="O4188" s="1">
        <f t="shared" si="521"/>
        <v>43101</v>
      </c>
      <c r="P4188" s="1">
        <f t="shared" si="522"/>
        <v>43405</v>
      </c>
      <c r="Q4188" s="8">
        <f t="shared" si="523"/>
        <v>0</v>
      </c>
      <c r="R4188" s="8">
        <f t="shared" si="524"/>
        <v>11</v>
      </c>
      <c r="S4188" s="8">
        <f t="shared" ca="1" si="525"/>
        <v>9</v>
      </c>
      <c r="T4188">
        <f t="shared" ca="1" si="526"/>
        <v>1.7200000000000002</v>
      </c>
      <c r="U4188" s="8">
        <f t="shared" ca="1" si="527"/>
        <v>2</v>
      </c>
      <c r="V4188" s="9">
        <f ca="1">RawData[[#This Row],[Z (smoothed demand size)]]/RawData[[#This Row],[X (smoothed interval)]]</f>
        <v>0.8600000000000001</v>
      </c>
    </row>
    <row r="4189" spans="1:22">
      <c r="A4189" t="s">
        <v>78</v>
      </c>
      <c r="B4189" t="s">
        <v>60</v>
      </c>
      <c r="C4189">
        <v>27</v>
      </c>
      <c r="D4189" t="s">
        <v>22</v>
      </c>
      <c r="E4189" t="s">
        <v>16</v>
      </c>
      <c r="F4189" s="1">
        <v>43112</v>
      </c>
      <c r="G4189">
        <v>0</v>
      </c>
      <c r="H4189">
        <v>0</v>
      </c>
      <c r="I4189">
        <v>22</v>
      </c>
      <c r="J4189">
        <v>22</v>
      </c>
      <c r="K4189">
        <v>0</v>
      </c>
      <c r="L4189">
        <v>720</v>
      </c>
      <c r="M4189">
        <v>15</v>
      </c>
      <c r="N4189" s="1">
        <f t="shared" si="520"/>
        <v>44938</v>
      </c>
      <c r="O4189" s="1">
        <f t="shared" si="521"/>
        <v>43101</v>
      </c>
      <c r="P4189" s="1">
        <f t="shared" si="522"/>
        <v>43435</v>
      </c>
      <c r="Q4189" s="8">
        <f t="shared" si="523"/>
        <v>0</v>
      </c>
      <c r="R4189" s="8">
        <f t="shared" si="524"/>
        <v>12</v>
      </c>
      <c r="S4189" s="8">
        <f t="shared" ca="1" si="525"/>
        <v>9</v>
      </c>
      <c r="T4189">
        <f t="shared" ca="1" si="526"/>
        <v>1.7200000000000002</v>
      </c>
      <c r="U4189" s="8">
        <f t="shared" ca="1" si="527"/>
        <v>2</v>
      </c>
      <c r="V4189" s="9">
        <f ca="1">RawData[[#This Row],[Z (smoothed demand size)]]/RawData[[#This Row],[X (smoothed interval)]]</f>
        <v>0.8600000000000001</v>
      </c>
    </row>
    <row r="4190" spans="1:22">
      <c r="A4190" t="s">
        <v>78</v>
      </c>
      <c r="B4190" t="s">
        <v>60</v>
      </c>
      <c r="C4190">
        <v>27</v>
      </c>
      <c r="D4190" t="s">
        <v>22</v>
      </c>
      <c r="E4190" t="s">
        <v>16</v>
      </c>
      <c r="F4190" s="1">
        <v>43466</v>
      </c>
      <c r="G4190">
        <v>0</v>
      </c>
      <c r="H4190">
        <v>0</v>
      </c>
      <c r="I4190">
        <v>22</v>
      </c>
      <c r="J4190">
        <v>22</v>
      </c>
      <c r="K4190">
        <v>0</v>
      </c>
      <c r="L4190">
        <v>628</v>
      </c>
      <c r="M4190">
        <v>15</v>
      </c>
      <c r="N4190" s="1">
        <f t="shared" si="520"/>
        <v>44938</v>
      </c>
      <c r="O4190" s="1">
        <f t="shared" si="521"/>
        <v>43101</v>
      </c>
      <c r="P4190" s="1">
        <f t="shared" si="522"/>
        <v>43466</v>
      </c>
      <c r="Q4190" s="8">
        <f t="shared" si="523"/>
        <v>0</v>
      </c>
      <c r="R4190" s="8">
        <f t="shared" si="524"/>
        <v>13</v>
      </c>
      <c r="S4190" s="8">
        <f t="shared" ca="1" si="525"/>
        <v>9</v>
      </c>
      <c r="T4190">
        <f t="shared" ca="1" si="526"/>
        <v>1.7200000000000002</v>
      </c>
      <c r="U4190" s="8">
        <f t="shared" ca="1" si="527"/>
        <v>2</v>
      </c>
      <c r="V4190" s="9">
        <f ca="1">RawData[[#This Row],[Z (smoothed demand size)]]/RawData[[#This Row],[X (smoothed interval)]]</f>
        <v>0.8600000000000001</v>
      </c>
    </row>
    <row r="4191" spans="1:22">
      <c r="A4191" t="s">
        <v>78</v>
      </c>
      <c r="B4191" t="s">
        <v>60</v>
      </c>
      <c r="C4191">
        <v>27</v>
      </c>
      <c r="D4191" t="s">
        <v>22</v>
      </c>
      <c r="E4191" t="s">
        <v>16</v>
      </c>
      <c r="F4191" s="1">
        <v>43467</v>
      </c>
      <c r="G4191">
        <v>2</v>
      </c>
      <c r="H4191">
        <v>2</v>
      </c>
      <c r="I4191">
        <v>22</v>
      </c>
      <c r="J4191">
        <v>20</v>
      </c>
      <c r="K4191">
        <v>0</v>
      </c>
      <c r="L4191">
        <v>624</v>
      </c>
      <c r="M4191">
        <v>30</v>
      </c>
      <c r="N4191" s="1">
        <f t="shared" si="520"/>
        <v>44938</v>
      </c>
      <c r="O4191" s="1">
        <f t="shared" si="521"/>
        <v>43101</v>
      </c>
      <c r="P4191" s="1">
        <f t="shared" si="522"/>
        <v>43497</v>
      </c>
      <c r="Q4191" s="8">
        <f t="shared" si="523"/>
        <v>0</v>
      </c>
      <c r="R4191" s="8">
        <f t="shared" si="524"/>
        <v>14</v>
      </c>
      <c r="S4191" s="8">
        <f t="shared" ca="1" si="525"/>
        <v>14</v>
      </c>
      <c r="T4191">
        <f t="shared" ca="1" si="526"/>
        <v>1.7760000000000002</v>
      </c>
      <c r="U4191" s="8">
        <f t="shared" ca="1" si="527"/>
        <v>2.6</v>
      </c>
      <c r="V4191" s="9">
        <f ca="1">RawData[[#This Row],[Z (smoothed demand size)]]/RawData[[#This Row],[X (smoothed interval)]]</f>
        <v>0.68307692307692314</v>
      </c>
    </row>
    <row r="4192" spans="1:22">
      <c r="A4192" t="s">
        <v>78</v>
      </c>
      <c r="B4192" t="s">
        <v>60</v>
      </c>
      <c r="C4192">
        <v>27</v>
      </c>
      <c r="D4192" t="s">
        <v>22</v>
      </c>
      <c r="E4192" t="s">
        <v>16</v>
      </c>
      <c r="F4192" s="1">
        <v>43468</v>
      </c>
      <c r="G4192">
        <v>0</v>
      </c>
      <c r="H4192">
        <v>0</v>
      </c>
      <c r="I4192">
        <v>20</v>
      </c>
      <c r="J4192">
        <v>20</v>
      </c>
      <c r="K4192">
        <v>0</v>
      </c>
      <c r="L4192">
        <v>620</v>
      </c>
      <c r="M4192">
        <v>60</v>
      </c>
      <c r="N4192" s="1">
        <f t="shared" si="520"/>
        <v>44938</v>
      </c>
      <c r="O4192" s="1">
        <f t="shared" si="521"/>
        <v>43101</v>
      </c>
      <c r="P4192" s="1">
        <f t="shared" si="522"/>
        <v>43525</v>
      </c>
      <c r="Q4192" s="8">
        <f t="shared" si="523"/>
        <v>0</v>
      </c>
      <c r="R4192" s="8">
        <f t="shared" si="524"/>
        <v>15</v>
      </c>
      <c r="S4192" s="8">
        <f t="shared" ca="1" si="525"/>
        <v>14</v>
      </c>
      <c r="T4192">
        <f t="shared" ca="1" si="526"/>
        <v>1.7760000000000002</v>
      </c>
      <c r="U4192" s="8">
        <f t="shared" ca="1" si="527"/>
        <v>2.6</v>
      </c>
      <c r="V4192" s="9">
        <f ca="1">RawData[[#This Row],[Z (smoothed demand size)]]/RawData[[#This Row],[X (smoothed interval)]]</f>
        <v>0.68307692307692314</v>
      </c>
    </row>
    <row r="4193" spans="1:22">
      <c r="A4193" t="s">
        <v>78</v>
      </c>
      <c r="B4193" t="s">
        <v>60</v>
      </c>
      <c r="C4193">
        <v>27</v>
      </c>
      <c r="D4193" t="s">
        <v>22</v>
      </c>
      <c r="E4193" t="s">
        <v>16</v>
      </c>
      <c r="F4193" s="1">
        <v>43469</v>
      </c>
      <c r="G4193">
        <v>0</v>
      </c>
      <c r="H4193">
        <v>0</v>
      </c>
      <c r="I4193">
        <v>20</v>
      </c>
      <c r="J4193">
        <v>20</v>
      </c>
      <c r="K4193">
        <v>0</v>
      </c>
      <c r="L4193">
        <v>630</v>
      </c>
      <c r="M4193">
        <v>60</v>
      </c>
      <c r="N4193" s="1">
        <f t="shared" si="520"/>
        <v>44938</v>
      </c>
      <c r="O4193" s="1">
        <f t="shared" si="521"/>
        <v>43101</v>
      </c>
      <c r="P4193" s="1">
        <f t="shared" si="522"/>
        <v>43556</v>
      </c>
      <c r="Q4193" s="8">
        <f t="shared" si="523"/>
        <v>0</v>
      </c>
      <c r="R4193" s="8">
        <f t="shared" si="524"/>
        <v>16</v>
      </c>
      <c r="S4193" s="8">
        <f t="shared" ca="1" si="525"/>
        <v>14</v>
      </c>
      <c r="T4193">
        <f t="shared" ca="1" si="526"/>
        <v>1.7760000000000002</v>
      </c>
      <c r="U4193" s="8">
        <f t="shared" ca="1" si="527"/>
        <v>2.6</v>
      </c>
      <c r="V4193" s="9">
        <f ca="1">RawData[[#This Row],[Z (smoothed demand size)]]/RawData[[#This Row],[X (smoothed interval)]]</f>
        <v>0.68307692307692314</v>
      </c>
    </row>
    <row r="4194" spans="1:22">
      <c r="A4194" t="s">
        <v>78</v>
      </c>
      <c r="B4194" t="s">
        <v>60</v>
      </c>
      <c r="C4194">
        <v>27</v>
      </c>
      <c r="D4194" t="s">
        <v>22</v>
      </c>
      <c r="E4194" t="s">
        <v>16</v>
      </c>
      <c r="F4194" s="1">
        <v>43470</v>
      </c>
      <c r="G4194">
        <v>0</v>
      </c>
      <c r="H4194">
        <v>0</v>
      </c>
      <c r="I4194">
        <v>20</v>
      </c>
      <c r="J4194">
        <v>20</v>
      </c>
      <c r="K4194">
        <v>0</v>
      </c>
      <c r="L4194">
        <v>627</v>
      </c>
      <c r="M4194">
        <v>15</v>
      </c>
      <c r="N4194" s="1">
        <f t="shared" si="520"/>
        <v>44938</v>
      </c>
      <c r="O4194" s="1">
        <f t="shared" si="521"/>
        <v>43101</v>
      </c>
      <c r="P4194" s="1">
        <f t="shared" si="522"/>
        <v>43586</v>
      </c>
      <c r="Q4194" s="8">
        <f t="shared" si="523"/>
        <v>0</v>
      </c>
      <c r="R4194" s="8">
        <f t="shared" si="524"/>
        <v>17</v>
      </c>
      <c r="S4194" s="8">
        <f t="shared" ca="1" si="525"/>
        <v>14</v>
      </c>
      <c r="T4194">
        <f t="shared" ca="1" si="526"/>
        <v>1.7760000000000002</v>
      </c>
      <c r="U4194" s="8">
        <f t="shared" ca="1" si="527"/>
        <v>2.6</v>
      </c>
      <c r="V4194" s="9">
        <f ca="1">RawData[[#This Row],[Z (smoothed demand size)]]/RawData[[#This Row],[X (smoothed interval)]]</f>
        <v>0.68307692307692314</v>
      </c>
    </row>
    <row r="4195" spans="1:22">
      <c r="A4195" t="s">
        <v>78</v>
      </c>
      <c r="B4195" t="s">
        <v>60</v>
      </c>
      <c r="C4195">
        <v>27</v>
      </c>
      <c r="D4195" t="s">
        <v>22</v>
      </c>
      <c r="E4195" t="s">
        <v>16</v>
      </c>
      <c r="F4195" s="1">
        <v>43471</v>
      </c>
      <c r="G4195">
        <v>0</v>
      </c>
      <c r="H4195">
        <v>0</v>
      </c>
      <c r="I4195">
        <v>20</v>
      </c>
      <c r="J4195">
        <v>20</v>
      </c>
      <c r="K4195">
        <v>0</v>
      </c>
      <c r="L4195">
        <v>711</v>
      </c>
      <c r="M4195">
        <v>45</v>
      </c>
      <c r="N4195" s="1">
        <f t="shared" si="520"/>
        <v>44938</v>
      </c>
      <c r="O4195" s="1">
        <f t="shared" si="521"/>
        <v>43101</v>
      </c>
      <c r="P4195" s="1">
        <f t="shared" si="522"/>
        <v>43617</v>
      </c>
      <c r="Q4195" s="8">
        <f t="shared" si="523"/>
        <v>0</v>
      </c>
      <c r="R4195" s="8">
        <f t="shared" si="524"/>
        <v>18</v>
      </c>
      <c r="S4195" s="8">
        <f t="shared" ca="1" si="525"/>
        <v>14</v>
      </c>
      <c r="T4195">
        <f t="shared" ca="1" si="526"/>
        <v>1.7760000000000002</v>
      </c>
      <c r="U4195" s="8">
        <f t="shared" ca="1" si="527"/>
        <v>2.6</v>
      </c>
      <c r="V4195" s="9">
        <f ca="1">RawData[[#This Row],[Z (smoothed demand size)]]/RawData[[#This Row],[X (smoothed interval)]]</f>
        <v>0.68307692307692314</v>
      </c>
    </row>
    <row r="4196" spans="1:22">
      <c r="A4196" t="s">
        <v>78</v>
      </c>
      <c r="B4196" t="s">
        <v>60</v>
      </c>
      <c r="C4196">
        <v>27</v>
      </c>
      <c r="D4196" t="s">
        <v>22</v>
      </c>
      <c r="E4196" t="s">
        <v>16</v>
      </c>
      <c r="F4196" s="1">
        <v>43472</v>
      </c>
      <c r="G4196">
        <v>0</v>
      </c>
      <c r="H4196">
        <v>0</v>
      </c>
      <c r="I4196">
        <v>20</v>
      </c>
      <c r="J4196">
        <v>20</v>
      </c>
      <c r="K4196">
        <v>0</v>
      </c>
      <c r="L4196">
        <v>716</v>
      </c>
      <c r="M4196">
        <v>60</v>
      </c>
      <c r="N4196" s="1">
        <f t="shared" si="520"/>
        <v>44938</v>
      </c>
      <c r="O4196" s="1">
        <f t="shared" si="521"/>
        <v>43101</v>
      </c>
      <c r="P4196" s="1">
        <f t="shared" si="522"/>
        <v>43647</v>
      </c>
      <c r="Q4196" s="8">
        <f t="shared" si="523"/>
        <v>0</v>
      </c>
      <c r="R4196" s="8">
        <f t="shared" si="524"/>
        <v>19</v>
      </c>
      <c r="S4196" s="8">
        <f t="shared" ca="1" si="525"/>
        <v>14</v>
      </c>
      <c r="T4196">
        <f t="shared" ca="1" si="526"/>
        <v>1.7760000000000002</v>
      </c>
      <c r="U4196" s="8">
        <f t="shared" ca="1" si="527"/>
        <v>2.6</v>
      </c>
      <c r="V4196" s="9">
        <f ca="1">RawData[[#This Row],[Z (smoothed demand size)]]/RawData[[#This Row],[X (smoothed interval)]]</f>
        <v>0.68307692307692314</v>
      </c>
    </row>
    <row r="4197" spans="1:22">
      <c r="A4197" t="s">
        <v>78</v>
      </c>
      <c r="B4197" t="s">
        <v>60</v>
      </c>
      <c r="C4197">
        <v>27</v>
      </c>
      <c r="D4197" t="s">
        <v>22</v>
      </c>
      <c r="E4197" t="s">
        <v>16</v>
      </c>
      <c r="F4197" s="1">
        <v>43473</v>
      </c>
      <c r="G4197">
        <v>0</v>
      </c>
      <c r="H4197">
        <v>0</v>
      </c>
      <c r="I4197">
        <v>20</v>
      </c>
      <c r="J4197">
        <v>20</v>
      </c>
      <c r="K4197">
        <v>0</v>
      </c>
      <c r="L4197">
        <v>713</v>
      </c>
      <c r="M4197">
        <v>30</v>
      </c>
      <c r="N4197" s="1">
        <f t="shared" si="520"/>
        <v>44938</v>
      </c>
      <c r="O4197" s="1">
        <f t="shared" si="521"/>
        <v>43101</v>
      </c>
      <c r="P4197" s="1">
        <f t="shared" si="522"/>
        <v>43678</v>
      </c>
      <c r="Q4197" s="8">
        <f t="shared" si="523"/>
        <v>0</v>
      </c>
      <c r="R4197" s="8">
        <f t="shared" si="524"/>
        <v>20</v>
      </c>
      <c r="S4197" s="8">
        <f t="shared" ca="1" si="525"/>
        <v>14</v>
      </c>
      <c r="T4197">
        <f t="shared" ca="1" si="526"/>
        <v>1.7760000000000002</v>
      </c>
      <c r="U4197" s="8">
        <f t="shared" ca="1" si="527"/>
        <v>2.6</v>
      </c>
      <c r="V4197" s="9">
        <f ca="1">RawData[[#This Row],[Z (smoothed demand size)]]/RawData[[#This Row],[X (smoothed interval)]]</f>
        <v>0.68307692307692314</v>
      </c>
    </row>
    <row r="4198" spans="1:22">
      <c r="A4198" t="s">
        <v>78</v>
      </c>
      <c r="B4198" t="s">
        <v>60</v>
      </c>
      <c r="C4198">
        <v>27</v>
      </c>
      <c r="D4198" t="s">
        <v>22</v>
      </c>
      <c r="E4198" t="s">
        <v>16</v>
      </c>
      <c r="F4198" s="1">
        <v>43474</v>
      </c>
      <c r="G4198">
        <v>0</v>
      </c>
      <c r="H4198">
        <v>0</v>
      </c>
      <c r="I4198">
        <v>20</v>
      </c>
      <c r="J4198">
        <v>20</v>
      </c>
      <c r="K4198">
        <v>0</v>
      </c>
      <c r="L4198">
        <v>622</v>
      </c>
      <c r="M4198">
        <v>60</v>
      </c>
      <c r="N4198" s="1">
        <f t="shared" si="520"/>
        <v>44938</v>
      </c>
      <c r="O4198" s="1">
        <f t="shared" si="521"/>
        <v>43101</v>
      </c>
      <c r="P4198" s="1">
        <f t="shared" si="522"/>
        <v>43709</v>
      </c>
      <c r="Q4198" s="8">
        <f t="shared" si="523"/>
        <v>0</v>
      </c>
      <c r="R4198" s="8">
        <f t="shared" si="524"/>
        <v>21</v>
      </c>
      <c r="S4198" s="8">
        <f t="shared" ca="1" si="525"/>
        <v>14</v>
      </c>
      <c r="T4198">
        <f t="shared" ca="1" si="526"/>
        <v>1.7760000000000002</v>
      </c>
      <c r="U4198" s="8">
        <f t="shared" ca="1" si="527"/>
        <v>2.6</v>
      </c>
      <c r="V4198" s="9">
        <f ca="1">RawData[[#This Row],[Z (smoothed demand size)]]/RawData[[#This Row],[X (smoothed interval)]]</f>
        <v>0.68307692307692314</v>
      </c>
    </row>
    <row r="4199" spans="1:22">
      <c r="A4199" t="s">
        <v>78</v>
      </c>
      <c r="B4199" t="s">
        <v>60</v>
      </c>
      <c r="C4199">
        <v>27</v>
      </c>
      <c r="D4199" t="s">
        <v>22</v>
      </c>
      <c r="E4199" t="s">
        <v>16</v>
      </c>
      <c r="F4199" s="1">
        <v>43475</v>
      </c>
      <c r="G4199">
        <v>0</v>
      </c>
      <c r="H4199">
        <v>0</v>
      </c>
      <c r="I4199">
        <v>20</v>
      </c>
      <c r="J4199">
        <v>20</v>
      </c>
      <c r="K4199">
        <v>0</v>
      </c>
      <c r="L4199">
        <v>622</v>
      </c>
      <c r="M4199">
        <v>45</v>
      </c>
      <c r="N4199" s="1">
        <f t="shared" si="520"/>
        <v>44938</v>
      </c>
      <c r="O4199" s="1">
        <f t="shared" si="521"/>
        <v>43101</v>
      </c>
      <c r="P4199" s="1">
        <f t="shared" si="522"/>
        <v>43739</v>
      </c>
      <c r="Q4199" s="8">
        <f t="shared" si="523"/>
        <v>0</v>
      </c>
      <c r="R4199" s="8">
        <f t="shared" si="524"/>
        <v>22</v>
      </c>
      <c r="S4199" s="8">
        <f t="shared" ca="1" si="525"/>
        <v>14</v>
      </c>
      <c r="T4199">
        <f t="shared" ca="1" si="526"/>
        <v>1.7760000000000002</v>
      </c>
      <c r="U4199" s="8">
        <f t="shared" ca="1" si="527"/>
        <v>2.6</v>
      </c>
      <c r="V4199" s="9">
        <f ca="1">RawData[[#This Row],[Z (smoothed demand size)]]/RawData[[#This Row],[X (smoothed interval)]]</f>
        <v>0.68307692307692314</v>
      </c>
    </row>
    <row r="4200" spans="1:22">
      <c r="A4200" t="s">
        <v>78</v>
      </c>
      <c r="B4200" t="s">
        <v>60</v>
      </c>
      <c r="C4200">
        <v>27</v>
      </c>
      <c r="D4200" t="s">
        <v>22</v>
      </c>
      <c r="E4200" t="s">
        <v>16</v>
      </c>
      <c r="F4200" s="1">
        <v>43476</v>
      </c>
      <c r="G4200">
        <v>0</v>
      </c>
      <c r="H4200">
        <v>0</v>
      </c>
      <c r="I4200">
        <v>20</v>
      </c>
      <c r="J4200">
        <v>20</v>
      </c>
      <c r="K4200">
        <v>0</v>
      </c>
      <c r="L4200">
        <v>624</v>
      </c>
      <c r="M4200">
        <v>60</v>
      </c>
      <c r="N4200" s="1">
        <f t="shared" si="520"/>
        <v>44938</v>
      </c>
      <c r="O4200" s="1">
        <f t="shared" si="521"/>
        <v>43101</v>
      </c>
      <c r="P4200" s="1">
        <f t="shared" si="522"/>
        <v>43770</v>
      </c>
      <c r="Q4200" s="8">
        <f t="shared" si="523"/>
        <v>0</v>
      </c>
      <c r="R4200" s="8">
        <f t="shared" si="524"/>
        <v>23</v>
      </c>
      <c r="S4200" s="8">
        <f t="shared" ca="1" si="525"/>
        <v>14</v>
      </c>
      <c r="T4200">
        <f t="shared" ca="1" si="526"/>
        <v>1.7760000000000002</v>
      </c>
      <c r="U4200" s="8">
        <f t="shared" ca="1" si="527"/>
        <v>2.6</v>
      </c>
      <c r="V4200" s="9">
        <f ca="1">RawData[[#This Row],[Z (smoothed demand size)]]/RawData[[#This Row],[X (smoothed interval)]]</f>
        <v>0.68307692307692314</v>
      </c>
    </row>
    <row r="4201" spans="1:22">
      <c r="A4201" t="s">
        <v>78</v>
      </c>
      <c r="B4201" t="s">
        <v>60</v>
      </c>
      <c r="C4201">
        <v>27</v>
      </c>
      <c r="D4201" t="s">
        <v>22</v>
      </c>
      <c r="E4201" t="s">
        <v>16</v>
      </c>
      <c r="F4201" s="1">
        <v>43477</v>
      </c>
      <c r="G4201">
        <v>0</v>
      </c>
      <c r="H4201">
        <v>0</v>
      </c>
      <c r="I4201">
        <v>20</v>
      </c>
      <c r="J4201">
        <v>20</v>
      </c>
      <c r="K4201">
        <v>0</v>
      </c>
      <c r="L4201">
        <v>709</v>
      </c>
      <c r="M4201">
        <v>30</v>
      </c>
      <c r="N4201" s="1">
        <f t="shared" si="520"/>
        <v>44938</v>
      </c>
      <c r="O4201" s="1">
        <f t="shared" si="521"/>
        <v>43101</v>
      </c>
      <c r="P4201" s="1">
        <f t="shared" si="522"/>
        <v>43800</v>
      </c>
      <c r="Q4201" s="8">
        <f t="shared" si="523"/>
        <v>0</v>
      </c>
      <c r="R4201" s="8">
        <f t="shared" si="524"/>
        <v>24</v>
      </c>
      <c r="S4201" s="8">
        <f t="shared" ca="1" si="525"/>
        <v>14</v>
      </c>
      <c r="T4201">
        <f t="shared" ca="1" si="526"/>
        <v>1.7760000000000002</v>
      </c>
      <c r="U4201" s="8">
        <f t="shared" ca="1" si="527"/>
        <v>2.6</v>
      </c>
      <c r="V4201" s="9">
        <f ca="1">RawData[[#This Row],[Z (smoothed demand size)]]/RawData[[#This Row],[X (smoothed interval)]]</f>
        <v>0.68307692307692314</v>
      </c>
    </row>
    <row r="4202" spans="1:22">
      <c r="A4202" t="s">
        <v>78</v>
      </c>
      <c r="B4202" t="s">
        <v>60</v>
      </c>
      <c r="C4202">
        <v>27</v>
      </c>
      <c r="D4202" t="s">
        <v>22</v>
      </c>
      <c r="E4202" t="s">
        <v>16</v>
      </c>
      <c r="F4202" s="1">
        <v>43831</v>
      </c>
      <c r="G4202">
        <v>1</v>
      </c>
      <c r="H4202">
        <v>1</v>
      </c>
      <c r="I4202">
        <v>20</v>
      </c>
      <c r="J4202">
        <v>19</v>
      </c>
      <c r="K4202">
        <v>0</v>
      </c>
      <c r="L4202">
        <v>621</v>
      </c>
      <c r="M4202">
        <v>15</v>
      </c>
      <c r="N4202" s="1">
        <f t="shared" si="520"/>
        <v>44938</v>
      </c>
      <c r="O4202" s="1">
        <f t="shared" si="521"/>
        <v>43101</v>
      </c>
      <c r="P4202" s="1">
        <f t="shared" si="522"/>
        <v>43831</v>
      </c>
      <c r="Q4202" s="8">
        <f t="shared" si="523"/>
        <v>0</v>
      </c>
      <c r="R4202" s="8">
        <f t="shared" si="524"/>
        <v>25</v>
      </c>
      <c r="S4202" s="8">
        <f t="shared" ca="1" si="525"/>
        <v>25</v>
      </c>
      <c r="T4202">
        <f t="shared" ca="1" si="526"/>
        <v>1.6208000000000002</v>
      </c>
      <c r="U4202" s="8">
        <f t="shared" ca="1" si="527"/>
        <v>4.28</v>
      </c>
      <c r="V4202" s="9">
        <f ca="1">RawData[[#This Row],[Z (smoothed demand size)]]/RawData[[#This Row],[X (smoothed interval)]]</f>
        <v>0.37869158878504677</v>
      </c>
    </row>
    <row r="4203" spans="1:22">
      <c r="A4203" t="s">
        <v>78</v>
      </c>
      <c r="B4203" t="s">
        <v>60</v>
      </c>
      <c r="C4203">
        <v>27</v>
      </c>
      <c r="D4203" t="s">
        <v>22</v>
      </c>
      <c r="E4203" t="s">
        <v>16</v>
      </c>
      <c r="F4203" s="1">
        <v>43832</v>
      </c>
      <c r="G4203">
        <v>0</v>
      </c>
      <c r="H4203">
        <v>0</v>
      </c>
      <c r="I4203">
        <v>19</v>
      </c>
      <c r="J4203">
        <v>19</v>
      </c>
      <c r="K4203">
        <v>0</v>
      </c>
      <c r="L4203">
        <v>629</v>
      </c>
      <c r="M4203">
        <v>30</v>
      </c>
      <c r="N4203" s="1">
        <f t="shared" si="520"/>
        <v>44938</v>
      </c>
      <c r="O4203" s="1">
        <f t="shared" si="521"/>
        <v>43101</v>
      </c>
      <c r="P4203" s="1">
        <f t="shared" si="522"/>
        <v>43862</v>
      </c>
      <c r="Q4203" s="8">
        <f t="shared" si="523"/>
        <v>0</v>
      </c>
      <c r="R4203" s="8">
        <f t="shared" si="524"/>
        <v>26</v>
      </c>
      <c r="S4203" s="8">
        <f t="shared" ca="1" si="525"/>
        <v>25</v>
      </c>
      <c r="T4203">
        <f t="shared" ca="1" si="526"/>
        <v>1.6208000000000002</v>
      </c>
      <c r="U4203" s="8">
        <f t="shared" ca="1" si="527"/>
        <v>4.28</v>
      </c>
      <c r="V4203" s="9">
        <f ca="1">RawData[[#This Row],[Z (smoothed demand size)]]/RawData[[#This Row],[X (smoothed interval)]]</f>
        <v>0.37869158878504677</v>
      </c>
    </row>
    <row r="4204" spans="1:22">
      <c r="A4204" t="s">
        <v>78</v>
      </c>
      <c r="B4204" t="s">
        <v>60</v>
      </c>
      <c r="C4204">
        <v>27</v>
      </c>
      <c r="D4204" t="s">
        <v>22</v>
      </c>
      <c r="E4204" t="s">
        <v>16</v>
      </c>
      <c r="F4204" s="1">
        <v>43833</v>
      </c>
      <c r="G4204">
        <v>3</v>
      </c>
      <c r="H4204">
        <v>3</v>
      </c>
      <c r="I4204">
        <v>19</v>
      </c>
      <c r="J4204">
        <v>16</v>
      </c>
      <c r="K4204">
        <v>0</v>
      </c>
      <c r="L4204">
        <v>634</v>
      </c>
      <c r="M4204">
        <v>30</v>
      </c>
      <c r="N4204" s="1">
        <f t="shared" si="520"/>
        <v>44938</v>
      </c>
      <c r="O4204" s="1">
        <f t="shared" si="521"/>
        <v>43101</v>
      </c>
      <c r="P4204" s="1">
        <f t="shared" si="522"/>
        <v>43891</v>
      </c>
      <c r="Q4204" s="8">
        <f t="shared" si="523"/>
        <v>0</v>
      </c>
      <c r="R4204" s="8">
        <f t="shared" si="524"/>
        <v>27</v>
      </c>
      <c r="S4204" s="8">
        <f t="shared" ca="1" si="525"/>
        <v>27</v>
      </c>
      <c r="T4204">
        <f t="shared" ca="1" si="526"/>
        <v>1.8966400000000003</v>
      </c>
      <c r="U4204" s="8">
        <f t="shared" ca="1" si="527"/>
        <v>3.8240000000000003</v>
      </c>
      <c r="V4204" s="9">
        <f ca="1">RawData[[#This Row],[Z (smoothed demand size)]]/RawData[[#This Row],[X (smoothed interval)]]</f>
        <v>0.4959832635983264</v>
      </c>
    </row>
    <row r="4205" spans="1:22">
      <c r="A4205" t="s">
        <v>78</v>
      </c>
      <c r="B4205" t="s">
        <v>60</v>
      </c>
      <c r="C4205">
        <v>27</v>
      </c>
      <c r="D4205" t="s">
        <v>22</v>
      </c>
      <c r="E4205" t="s">
        <v>16</v>
      </c>
      <c r="F4205" s="1">
        <v>43834</v>
      </c>
      <c r="G4205">
        <v>0</v>
      </c>
      <c r="H4205">
        <v>0</v>
      </c>
      <c r="I4205">
        <v>16</v>
      </c>
      <c r="J4205">
        <v>16</v>
      </c>
      <c r="K4205">
        <v>0</v>
      </c>
      <c r="L4205">
        <v>616</v>
      </c>
      <c r="M4205">
        <v>15</v>
      </c>
      <c r="N4205" s="1">
        <f t="shared" si="520"/>
        <v>44938</v>
      </c>
      <c r="O4205" s="1">
        <f t="shared" si="521"/>
        <v>43101</v>
      </c>
      <c r="P4205" s="1">
        <f t="shared" si="522"/>
        <v>43922</v>
      </c>
      <c r="Q4205" s="8">
        <f t="shared" si="523"/>
        <v>0</v>
      </c>
      <c r="R4205" s="8">
        <f t="shared" si="524"/>
        <v>28</v>
      </c>
      <c r="S4205" s="8">
        <f t="shared" ca="1" si="525"/>
        <v>27</v>
      </c>
      <c r="T4205">
        <f t="shared" ca="1" si="526"/>
        <v>1.8966400000000003</v>
      </c>
      <c r="U4205" s="8">
        <f t="shared" ca="1" si="527"/>
        <v>3.8240000000000003</v>
      </c>
      <c r="V4205" s="9">
        <f ca="1">RawData[[#This Row],[Z (smoothed demand size)]]/RawData[[#This Row],[X (smoothed interval)]]</f>
        <v>0.4959832635983264</v>
      </c>
    </row>
    <row r="4206" spans="1:22">
      <c r="A4206" t="s">
        <v>78</v>
      </c>
      <c r="B4206" t="s">
        <v>60</v>
      </c>
      <c r="C4206">
        <v>27</v>
      </c>
      <c r="D4206" t="s">
        <v>22</v>
      </c>
      <c r="E4206" t="s">
        <v>16</v>
      </c>
      <c r="F4206" s="1">
        <v>43835</v>
      </c>
      <c r="G4206">
        <v>6</v>
      </c>
      <c r="H4206">
        <v>6</v>
      </c>
      <c r="I4206">
        <v>16</v>
      </c>
      <c r="J4206">
        <v>10</v>
      </c>
      <c r="K4206">
        <v>0</v>
      </c>
      <c r="L4206">
        <v>630</v>
      </c>
      <c r="M4206">
        <v>15</v>
      </c>
      <c r="N4206" s="1">
        <f t="shared" si="520"/>
        <v>44938</v>
      </c>
      <c r="O4206" s="1">
        <f t="shared" si="521"/>
        <v>43101</v>
      </c>
      <c r="P4206" s="1">
        <f t="shared" si="522"/>
        <v>43952</v>
      </c>
      <c r="Q4206" s="8">
        <f t="shared" si="523"/>
        <v>0</v>
      </c>
      <c r="R4206" s="8">
        <f t="shared" si="524"/>
        <v>29</v>
      </c>
      <c r="S4206" s="8">
        <f t="shared" ca="1" si="525"/>
        <v>29</v>
      </c>
      <c r="T4206">
        <f t="shared" ca="1" si="526"/>
        <v>2.7173120000000006</v>
      </c>
      <c r="U4206" s="8">
        <f t="shared" ca="1" si="527"/>
        <v>3.4592000000000005</v>
      </c>
      <c r="V4206" s="9">
        <f ca="1">RawData[[#This Row],[Z (smoothed demand size)]]/RawData[[#This Row],[X (smoothed interval)]]</f>
        <v>0.78553191489361707</v>
      </c>
    </row>
    <row r="4207" spans="1:22">
      <c r="A4207" t="s">
        <v>78</v>
      </c>
      <c r="B4207" t="s">
        <v>60</v>
      </c>
      <c r="C4207">
        <v>27</v>
      </c>
      <c r="D4207" t="s">
        <v>22</v>
      </c>
      <c r="E4207" t="s">
        <v>16</v>
      </c>
      <c r="F4207" s="1">
        <v>43836</v>
      </c>
      <c r="G4207">
        <v>0</v>
      </c>
      <c r="H4207">
        <v>0</v>
      </c>
      <c r="I4207">
        <v>10</v>
      </c>
      <c r="J4207">
        <v>10</v>
      </c>
      <c r="K4207">
        <v>0</v>
      </c>
      <c r="L4207">
        <v>733</v>
      </c>
      <c r="M4207">
        <v>45</v>
      </c>
      <c r="N4207" s="1">
        <f t="shared" si="520"/>
        <v>44938</v>
      </c>
      <c r="O4207" s="1">
        <f t="shared" si="521"/>
        <v>43101</v>
      </c>
      <c r="P4207" s="1">
        <f t="shared" si="522"/>
        <v>43983</v>
      </c>
      <c r="Q4207" s="8">
        <f t="shared" si="523"/>
        <v>0</v>
      </c>
      <c r="R4207" s="8">
        <f t="shared" si="524"/>
        <v>30</v>
      </c>
      <c r="S4207" s="8">
        <f t="shared" ca="1" si="525"/>
        <v>29</v>
      </c>
      <c r="T4207">
        <f t="shared" ca="1" si="526"/>
        <v>2.7173120000000006</v>
      </c>
      <c r="U4207" s="8">
        <f t="shared" ca="1" si="527"/>
        <v>3.4592000000000005</v>
      </c>
      <c r="V4207" s="9">
        <f ca="1">RawData[[#This Row],[Z (smoothed demand size)]]/RawData[[#This Row],[X (smoothed interval)]]</f>
        <v>0.78553191489361707</v>
      </c>
    </row>
    <row r="4208" spans="1:22">
      <c r="A4208" t="s">
        <v>78</v>
      </c>
      <c r="B4208" t="s">
        <v>60</v>
      </c>
      <c r="C4208">
        <v>27</v>
      </c>
      <c r="D4208" t="s">
        <v>22</v>
      </c>
      <c r="E4208" t="s">
        <v>16</v>
      </c>
      <c r="F4208" s="1">
        <v>43837</v>
      </c>
      <c r="G4208">
        <v>0</v>
      </c>
      <c r="H4208">
        <v>0</v>
      </c>
      <c r="I4208">
        <v>10</v>
      </c>
      <c r="J4208">
        <v>10</v>
      </c>
      <c r="K4208">
        <v>0</v>
      </c>
      <c r="L4208">
        <v>715</v>
      </c>
      <c r="M4208">
        <v>45</v>
      </c>
      <c r="N4208" s="1">
        <f t="shared" si="520"/>
        <v>44938</v>
      </c>
      <c r="O4208" s="1">
        <f t="shared" si="521"/>
        <v>43101</v>
      </c>
      <c r="P4208" s="1">
        <f t="shared" si="522"/>
        <v>44013</v>
      </c>
      <c r="Q4208" s="8">
        <f t="shared" si="523"/>
        <v>0</v>
      </c>
      <c r="R4208" s="8">
        <f t="shared" si="524"/>
        <v>31</v>
      </c>
      <c r="S4208" s="8">
        <f t="shared" ca="1" si="525"/>
        <v>29</v>
      </c>
      <c r="T4208">
        <f t="shared" ca="1" si="526"/>
        <v>2.7173120000000006</v>
      </c>
      <c r="U4208" s="8">
        <f t="shared" ca="1" si="527"/>
        <v>3.4592000000000005</v>
      </c>
      <c r="V4208" s="9">
        <f ca="1">RawData[[#This Row],[Z (smoothed demand size)]]/RawData[[#This Row],[X (smoothed interval)]]</f>
        <v>0.78553191489361707</v>
      </c>
    </row>
    <row r="4209" spans="1:22">
      <c r="A4209" t="s">
        <v>78</v>
      </c>
      <c r="B4209" t="s">
        <v>60</v>
      </c>
      <c r="C4209">
        <v>27</v>
      </c>
      <c r="D4209" t="s">
        <v>22</v>
      </c>
      <c r="E4209" t="s">
        <v>16</v>
      </c>
      <c r="F4209" s="1">
        <v>43838</v>
      </c>
      <c r="G4209">
        <v>0</v>
      </c>
      <c r="H4209">
        <v>0</v>
      </c>
      <c r="I4209">
        <v>10</v>
      </c>
      <c r="J4209">
        <v>10</v>
      </c>
      <c r="K4209">
        <v>0</v>
      </c>
      <c r="L4209">
        <v>720</v>
      </c>
      <c r="M4209">
        <v>45</v>
      </c>
      <c r="N4209" s="1">
        <f t="shared" si="520"/>
        <v>44938</v>
      </c>
      <c r="O4209" s="1">
        <f t="shared" si="521"/>
        <v>43101</v>
      </c>
      <c r="P4209" s="1">
        <f t="shared" si="522"/>
        <v>44044</v>
      </c>
      <c r="Q4209" s="8">
        <f t="shared" si="523"/>
        <v>0</v>
      </c>
      <c r="R4209" s="8">
        <f t="shared" si="524"/>
        <v>32</v>
      </c>
      <c r="S4209" s="8">
        <f t="shared" ca="1" si="525"/>
        <v>29</v>
      </c>
      <c r="T4209">
        <f t="shared" ca="1" si="526"/>
        <v>2.7173120000000006</v>
      </c>
      <c r="U4209" s="8">
        <f t="shared" ca="1" si="527"/>
        <v>3.4592000000000005</v>
      </c>
      <c r="V4209" s="9">
        <f ca="1">RawData[[#This Row],[Z (smoothed demand size)]]/RawData[[#This Row],[X (smoothed interval)]]</f>
        <v>0.78553191489361707</v>
      </c>
    </row>
    <row r="4210" spans="1:22">
      <c r="A4210" t="s">
        <v>78</v>
      </c>
      <c r="B4210" t="s">
        <v>60</v>
      </c>
      <c r="C4210">
        <v>27</v>
      </c>
      <c r="D4210" t="s">
        <v>22</v>
      </c>
      <c r="E4210" t="s">
        <v>16</v>
      </c>
      <c r="F4210" s="1">
        <v>43839</v>
      </c>
      <c r="G4210">
        <v>0</v>
      </c>
      <c r="H4210">
        <v>0</v>
      </c>
      <c r="I4210">
        <v>10</v>
      </c>
      <c r="J4210">
        <v>10</v>
      </c>
      <c r="K4210">
        <v>0</v>
      </c>
      <c r="L4210">
        <v>630</v>
      </c>
      <c r="M4210">
        <v>15</v>
      </c>
      <c r="N4210" s="1">
        <f t="shared" si="520"/>
        <v>44938</v>
      </c>
      <c r="O4210" s="1">
        <f t="shared" si="521"/>
        <v>43101</v>
      </c>
      <c r="P4210" s="1">
        <f t="shared" si="522"/>
        <v>44075</v>
      </c>
      <c r="Q4210" s="8">
        <f t="shared" si="523"/>
        <v>0</v>
      </c>
      <c r="R4210" s="8">
        <f t="shared" si="524"/>
        <v>33</v>
      </c>
      <c r="S4210" s="8">
        <f t="shared" ca="1" si="525"/>
        <v>29</v>
      </c>
      <c r="T4210">
        <f t="shared" ca="1" si="526"/>
        <v>2.7173120000000006</v>
      </c>
      <c r="U4210" s="8">
        <f t="shared" ca="1" si="527"/>
        <v>3.4592000000000005</v>
      </c>
      <c r="V4210" s="9">
        <f ca="1">RawData[[#This Row],[Z (smoothed demand size)]]/RawData[[#This Row],[X (smoothed interval)]]</f>
        <v>0.78553191489361707</v>
      </c>
    </row>
    <row r="4211" spans="1:22">
      <c r="A4211" t="s">
        <v>78</v>
      </c>
      <c r="B4211" t="s">
        <v>60</v>
      </c>
      <c r="C4211">
        <v>27</v>
      </c>
      <c r="D4211" t="s">
        <v>22</v>
      </c>
      <c r="E4211" t="s">
        <v>16</v>
      </c>
      <c r="F4211" s="1">
        <v>43840</v>
      </c>
      <c r="G4211">
        <v>0</v>
      </c>
      <c r="H4211">
        <v>0</v>
      </c>
      <c r="I4211">
        <v>10</v>
      </c>
      <c r="J4211">
        <v>10</v>
      </c>
      <c r="K4211">
        <v>0</v>
      </c>
      <c r="L4211">
        <v>621</v>
      </c>
      <c r="M4211">
        <v>15</v>
      </c>
      <c r="N4211" s="1">
        <f t="shared" si="520"/>
        <v>44938</v>
      </c>
      <c r="O4211" s="1">
        <f t="shared" si="521"/>
        <v>43101</v>
      </c>
      <c r="P4211" s="1">
        <f t="shared" si="522"/>
        <v>44105</v>
      </c>
      <c r="Q4211" s="8">
        <f t="shared" si="523"/>
        <v>0</v>
      </c>
      <c r="R4211" s="8">
        <f t="shared" si="524"/>
        <v>34</v>
      </c>
      <c r="S4211" s="8">
        <f t="shared" ca="1" si="525"/>
        <v>29</v>
      </c>
      <c r="T4211">
        <f t="shared" ca="1" si="526"/>
        <v>2.7173120000000006</v>
      </c>
      <c r="U4211" s="8">
        <f t="shared" ca="1" si="527"/>
        <v>3.4592000000000005</v>
      </c>
      <c r="V4211" s="9">
        <f ca="1">RawData[[#This Row],[Z (smoothed demand size)]]/RawData[[#This Row],[X (smoothed interval)]]</f>
        <v>0.78553191489361707</v>
      </c>
    </row>
    <row r="4212" spans="1:22">
      <c r="A4212" t="s">
        <v>78</v>
      </c>
      <c r="B4212" t="s">
        <v>60</v>
      </c>
      <c r="C4212">
        <v>27</v>
      </c>
      <c r="D4212" t="s">
        <v>22</v>
      </c>
      <c r="E4212" t="s">
        <v>16</v>
      </c>
      <c r="F4212" s="1">
        <v>43841</v>
      </c>
      <c r="G4212">
        <v>0</v>
      </c>
      <c r="H4212">
        <v>0</v>
      </c>
      <c r="I4212">
        <v>10</v>
      </c>
      <c r="J4212">
        <v>10</v>
      </c>
      <c r="K4212">
        <v>0</v>
      </c>
      <c r="L4212">
        <v>629</v>
      </c>
      <c r="M4212">
        <v>60</v>
      </c>
      <c r="N4212" s="1">
        <f t="shared" si="520"/>
        <v>44938</v>
      </c>
      <c r="O4212" s="1">
        <f t="shared" si="521"/>
        <v>43101</v>
      </c>
      <c r="P4212" s="1">
        <f t="shared" si="522"/>
        <v>44136</v>
      </c>
      <c r="Q4212" s="8">
        <f t="shared" si="523"/>
        <v>0</v>
      </c>
      <c r="R4212" s="8">
        <f t="shared" si="524"/>
        <v>35</v>
      </c>
      <c r="S4212" s="8">
        <f t="shared" ca="1" si="525"/>
        <v>29</v>
      </c>
      <c r="T4212">
        <f t="shared" ca="1" si="526"/>
        <v>2.7173120000000006</v>
      </c>
      <c r="U4212" s="8">
        <f t="shared" ca="1" si="527"/>
        <v>3.4592000000000005</v>
      </c>
      <c r="V4212" s="9">
        <f ca="1">RawData[[#This Row],[Z (smoothed demand size)]]/RawData[[#This Row],[X (smoothed interval)]]</f>
        <v>0.78553191489361707</v>
      </c>
    </row>
    <row r="4213" spans="1:22">
      <c r="A4213" t="s">
        <v>78</v>
      </c>
      <c r="B4213" t="s">
        <v>60</v>
      </c>
      <c r="C4213">
        <v>27</v>
      </c>
      <c r="D4213" t="s">
        <v>22</v>
      </c>
      <c r="E4213" t="s">
        <v>16</v>
      </c>
      <c r="F4213" s="1">
        <v>43842</v>
      </c>
      <c r="G4213">
        <v>0</v>
      </c>
      <c r="H4213">
        <v>0</v>
      </c>
      <c r="I4213">
        <v>10</v>
      </c>
      <c r="J4213">
        <v>10</v>
      </c>
      <c r="K4213">
        <v>0</v>
      </c>
      <c r="L4213">
        <v>715</v>
      </c>
      <c r="M4213">
        <v>15</v>
      </c>
      <c r="N4213" s="1">
        <f t="shared" si="520"/>
        <v>44938</v>
      </c>
      <c r="O4213" s="1">
        <f t="shared" si="521"/>
        <v>43101</v>
      </c>
      <c r="P4213" s="1">
        <f t="shared" si="522"/>
        <v>44166</v>
      </c>
      <c r="Q4213" s="8">
        <f t="shared" si="523"/>
        <v>0</v>
      </c>
      <c r="R4213" s="8">
        <f t="shared" si="524"/>
        <v>36</v>
      </c>
      <c r="S4213" s="8">
        <f t="shared" ca="1" si="525"/>
        <v>29</v>
      </c>
      <c r="T4213">
        <f t="shared" ca="1" si="526"/>
        <v>2.7173120000000006</v>
      </c>
      <c r="U4213" s="8">
        <f t="shared" ca="1" si="527"/>
        <v>3.4592000000000005</v>
      </c>
      <c r="V4213" s="9">
        <f ca="1">RawData[[#This Row],[Z (smoothed demand size)]]/RawData[[#This Row],[X (smoothed interval)]]</f>
        <v>0.78553191489361707</v>
      </c>
    </row>
    <row r="4214" spans="1:22">
      <c r="A4214" t="s">
        <v>78</v>
      </c>
      <c r="B4214" t="s">
        <v>60</v>
      </c>
      <c r="C4214">
        <v>27</v>
      </c>
      <c r="D4214" t="s">
        <v>22</v>
      </c>
      <c r="E4214" t="s">
        <v>16</v>
      </c>
      <c r="F4214" s="1">
        <v>44197</v>
      </c>
      <c r="G4214">
        <v>0</v>
      </c>
      <c r="H4214">
        <v>0</v>
      </c>
      <c r="I4214">
        <v>10</v>
      </c>
      <c r="J4214">
        <v>10</v>
      </c>
      <c r="K4214">
        <v>0</v>
      </c>
      <c r="L4214">
        <v>627</v>
      </c>
      <c r="M4214">
        <v>60</v>
      </c>
      <c r="N4214" s="1">
        <f t="shared" si="520"/>
        <v>44938</v>
      </c>
      <c r="O4214" s="1">
        <f t="shared" si="521"/>
        <v>43101</v>
      </c>
      <c r="P4214" s="1">
        <f t="shared" si="522"/>
        <v>44197</v>
      </c>
      <c r="Q4214" s="8">
        <f t="shared" si="523"/>
        <v>0</v>
      </c>
      <c r="R4214" s="8">
        <f t="shared" si="524"/>
        <v>37</v>
      </c>
      <c r="S4214" s="8">
        <f t="shared" ca="1" si="525"/>
        <v>29</v>
      </c>
      <c r="T4214">
        <f t="shared" ca="1" si="526"/>
        <v>2.7173120000000006</v>
      </c>
      <c r="U4214" s="8">
        <f t="shared" ca="1" si="527"/>
        <v>3.4592000000000005</v>
      </c>
      <c r="V4214" s="9">
        <f ca="1">RawData[[#This Row],[Z (smoothed demand size)]]/RawData[[#This Row],[X (smoothed interval)]]</f>
        <v>0.78553191489361707</v>
      </c>
    </row>
    <row r="4215" spans="1:22">
      <c r="A4215" t="s">
        <v>78</v>
      </c>
      <c r="B4215" t="s">
        <v>60</v>
      </c>
      <c r="C4215">
        <v>27</v>
      </c>
      <c r="D4215" t="s">
        <v>22</v>
      </c>
      <c r="E4215" t="s">
        <v>16</v>
      </c>
      <c r="F4215" s="1">
        <v>44198</v>
      </c>
      <c r="G4215">
        <v>0</v>
      </c>
      <c r="H4215">
        <v>0</v>
      </c>
      <c r="I4215">
        <v>10</v>
      </c>
      <c r="J4215">
        <v>10</v>
      </c>
      <c r="K4215">
        <v>0</v>
      </c>
      <c r="L4215">
        <v>631</v>
      </c>
      <c r="M4215">
        <v>30</v>
      </c>
      <c r="N4215" s="1">
        <f t="shared" si="520"/>
        <v>44938</v>
      </c>
      <c r="O4215" s="1">
        <f t="shared" si="521"/>
        <v>43101</v>
      </c>
      <c r="P4215" s="1">
        <f t="shared" si="522"/>
        <v>44228</v>
      </c>
      <c r="Q4215" s="8">
        <f t="shared" si="523"/>
        <v>0</v>
      </c>
      <c r="R4215" s="8">
        <f t="shared" si="524"/>
        <v>38</v>
      </c>
      <c r="S4215" s="8">
        <f t="shared" ca="1" si="525"/>
        <v>29</v>
      </c>
      <c r="T4215">
        <f t="shared" ca="1" si="526"/>
        <v>2.7173120000000006</v>
      </c>
      <c r="U4215" s="8">
        <f t="shared" ca="1" si="527"/>
        <v>3.4592000000000005</v>
      </c>
      <c r="V4215" s="9">
        <f ca="1">RawData[[#This Row],[Z (smoothed demand size)]]/RawData[[#This Row],[X (smoothed interval)]]</f>
        <v>0.78553191489361707</v>
      </c>
    </row>
    <row r="4216" spans="1:22">
      <c r="A4216" t="s">
        <v>78</v>
      </c>
      <c r="B4216" t="s">
        <v>60</v>
      </c>
      <c r="C4216">
        <v>27</v>
      </c>
      <c r="D4216" t="s">
        <v>22</v>
      </c>
      <c r="E4216" t="s">
        <v>16</v>
      </c>
      <c r="F4216" s="1">
        <v>44199</v>
      </c>
      <c r="G4216">
        <v>0</v>
      </c>
      <c r="H4216">
        <v>0</v>
      </c>
      <c r="I4216">
        <v>10</v>
      </c>
      <c r="J4216">
        <v>10</v>
      </c>
      <c r="K4216">
        <v>0</v>
      </c>
      <c r="L4216">
        <v>629</v>
      </c>
      <c r="M4216">
        <v>30</v>
      </c>
      <c r="N4216" s="1">
        <f t="shared" si="520"/>
        <v>44938</v>
      </c>
      <c r="O4216" s="1">
        <f t="shared" si="521"/>
        <v>43101</v>
      </c>
      <c r="P4216" s="1">
        <f t="shared" si="522"/>
        <v>44256</v>
      </c>
      <c r="Q4216" s="8">
        <f t="shared" si="523"/>
        <v>0</v>
      </c>
      <c r="R4216" s="8">
        <f t="shared" si="524"/>
        <v>39</v>
      </c>
      <c r="S4216" s="8">
        <f t="shared" ca="1" si="525"/>
        <v>29</v>
      </c>
      <c r="T4216">
        <f t="shared" ca="1" si="526"/>
        <v>2.7173120000000006</v>
      </c>
      <c r="U4216" s="8">
        <f t="shared" ca="1" si="527"/>
        <v>3.4592000000000005</v>
      </c>
      <c r="V4216" s="9">
        <f ca="1">RawData[[#This Row],[Z (smoothed demand size)]]/RawData[[#This Row],[X (smoothed interval)]]</f>
        <v>0.78553191489361707</v>
      </c>
    </row>
    <row r="4217" spans="1:22">
      <c r="A4217" t="s">
        <v>78</v>
      </c>
      <c r="B4217" t="s">
        <v>60</v>
      </c>
      <c r="C4217">
        <v>27</v>
      </c>
      <c r="D4217" t="s">
        <v>22</v>
      </c>
      <c r="E4217" t="s">
        <v>16</v>
      </c>
      <c r="F4217" s="1">
        <v>44200</v>
      </c>
      <c r="G4217">
        <v>0</v>
      </c>
      <c r="H4217">
        <v>0</v>
      </c>
      <c r="I4217">
        <v>10</v>
      </c>
      <c r="J4217">
        <v>10</v>
      </c>
      <c r="K4217">
        <v>0</v>
      </c>
      <c r="L4217">
        <v>619</v>
      </c>
      <c r="M4217">
        <v>45</v>
      </c>
      <c r="N4217" s="1">
        <f t="shared" si="520"/>
        <v>44938</v>
      </c>
      <c r="O4217" s="1">
        <f t="shared" si="521"/>
        <v>43101</v>
      </c>
      <c r="P4217" s="1">
        <f t="shared" si="522"/>
        <v>44287</v>
      </c>
      <c r="Q4217" s="8">
        <f t="shared" si="523"/>
        <v>0</v>
      </c>
      <c r="R4217" s="8">
        <f t="shared" si="524"/>
        <v>40</v>
      </c>
      <c r="S4217" s="8">
        <f t="shared" ca="1" si="525"/>
        <v>29</v>
      </c>
      <c r="T4217">
        <f t="shared" ca="1" si="526"/>
        <v>2.7173120000000006</v>
      </c>
      <c r="U4217" s="8">
        <f t="shared" ca="1" si="527"/>
        <v>3.4592000000000005</v>
      </c>
      <c r="V4217" s="9">
        <f ca="1">RawData[[#This Row],[Z (smoothed demand size)]]/RawData[[#This Row],[X (smoothed interval)]]</f>
        <v>0.78553191489361707</v>
      </c>
    </row>
    <row r="4218" spans="1:22">
      <c r="A4218" t="s">
        <v>78</v>
      </c>
      <c r="B4218" t="s">
        <v>60</v>
      </c>
      <c r="C4218">
        <v>27</v>
      </c>
      <c r="D4218" t="s">
        <v>22</v>
      </c>
      <c r="E4218" t="s">
        <v>16</v>
      </c>
      <c r="F4218" s="1">
        <v>44201</v>
      </c>
      <c r="G4218">
        <v>0</v>
      </c>
      <c r="H4218">
        <v>0</v>
      </c>
      <c r="I4218">
        <v>10</v>
      </c>
      <c r="J4218">
        <v>10</v>
      </c>
      <c r="K4218">
        <v>0</v>
      </c>
      <c r="L4218">
        <v>625</v>
      </c>
      <c r="M4218">
        <v>45</v>
      </c>
      <c r="N4218" s="1">
        <f t="shared" si="520"/>
        <v>44938</v>
      </c>
      <c r="O4218" s="1">
        <f t="shared" si="521"/>
        <v>43101</v>
      </c>
      <c r="P4218" s="1">
        <f t="shared" si="522"/>
        <v>44317</v>
      </c>
      <c r="Q4218" s="8">
        <f t="shared" si="523"/>
        <v>0</v>
      </c>
      <c r="R4218" s="8">
        <f t="shared" si="524"/>
        <v>41</v>
      </c>
      <c r="S4218" s="8">
        <f t="shared" ca="1" si="525"/>
        <v>29</v>
      </c>
      <c r="T4218">
        <f t="shared" ca="1" si="526"/>
        <v>2.7173120000000006</v>
      </c>
      <c r="U4218" s="8">
        <f t="shared" ca="1" si="527"/>
        <v>3.4592000000000005</v>
      </c>
      <c r="V4218" s="9">
        <f ca="1">RawData[[#This Row],[Z (smoothed demand size)]]/RawData[[#This Row],[X (smoothed interval)]]</f>
        <v>0.78553191489361707</v>
      </c>
    </row>
    <row r="4219" spans="1:22">
      <c r="A4219" t="s">
        <v>78</v>
      </c>
      <c r="B4219" t="s">
        <v>60</v>
      </c>
      <c r="C4219">
        <v>27</v>
      </c>
      <c r="D4219" t="s">
        <v>22</v>
      </c>
      <c r="E4219" t="s">
        <v>16</v>
      </c>
      <c r="F4219" s="1">
        <v>44202</v>
      </c>
      <c r="G4219">
        <v>0</v>
      </c>
      <c r="H4219">
        <v>0</v>
      </c>
      <c r="I4219">
        <v>10</v>
      </c>
      <c r="J4219">
        <v>10</v>
      </c>
      <c r="K4219">
        <v>0</v>
      </c>
      <c r="L4219">
        <v>711</v>
      </c>
      <c r="M4219">
        <v>15</v>
      </c>
      <c r="N4219" s="1">
        <f t="shared" si="520"/>
        <v>44938</v>
      </c>
      <c r="O4219" s="1">
        <f t="shared" si="521"/>
        <v>43101</v>
      </c>
      <c r="P4219" s="1">
        <f t="shared" si="522"/>
        <v>44348</v>
      </c>
      <c r="Q4219" s="8">
        <f t="shared" si="523"/>
        <v>0</v>
      </c>
      <c r="R4219" s="8">
        <f t="shared" si="524"/>
        <v>42</v>
      </c>
      <c r="S4219" s="8">
        <f t="shared" ca="1" si="525"/>
        <v>29</v>
      </c>
      <c r="T4219">
        <f t="shared" ca="1" si="526"/>
        <v>2.7173120000000006</v>
      </c>
      <c r="U4219" s="8">
        <f t="shared" ca="1" si="527"/>
        <v>3.4592000000000005</v>
      </c>
      <c r="V4219" s="9">
        <f ca="1">RawData[[#This Row],[Z (smoothed demand size)]]/RawData[[#This Row],[X (smoothed interval)]]</f>
        <v>0.78553191489361707</v>
      </c>
    </row>
    <row r="4220" spans="1:22">
      <c r="A4220" t="s">
        <v>78</v>
      </c>
      <c r="B4220" t="s">
        <v>60</v>
      </c>
      <c r="C4220">
        <v>27</v>
      </c>
      <c r="D4220" t="s">
        <v>22</v>
      </c>
      <c r="E4220" t="s">
        <v>16</v>
      </c>
      <c r="F4220" s="1">
        <v>44203</v>
      </c>
      <c r="G4220">
        <v>0</v>
      </c>
      <c r="H4220">
        <v>0</v>
      </c>
      <c r="I4220">
        <v>10</v>
      </c>
      <c r="J4220">
        <v>10</v>
      </c>
      <c r="K4220">
        <v>0</v>
      </c>
      <c r="L4220">
        <v>706</v>
      </c>
      <c r="M4220">
        <v>15</v>
      </c>
      <c r="N4220" s="1">
        <f t="shared" si="520"/>
        <v>44938</v>
      </c>
      <c r="O4220" s="1">
        <f t="shared" si="521"/>
        <v>43101</v>
      </c>
      <c r="P4220" s="1">
        <f t="shared" si="522"/>
        <v>44378</v>
      </c>
      <c r="Q4220" s="8">
        <f t="shared" si="523"/>
        <v>0</v>
      </c>
      <c r="R4220" s="8">
        <f t="shared" si="524"/>
        <v>43</v>
      </c>
      <c r="S4220" s="8">
        <f t="shared" ca="1" si="525"/>
        <v>29</v>
      </c>
      <c r="T4220">
        <f t="shared" ca="1" si="526"/>
        <v>2.7173120000000006</v>
      </c>
      <c r="U4220" s="8">
        <f t="shared" ca="1" si="527"/>
        <v>3.4592000000000005</v>
      </c>
      <c r="V4220" s="9">
        <f ca="1">RawData[[#This Row],[Z (smoothed demand size)]]/RawData[[#This Row],[X (smoothed interval)]]</f>
        <v>0.78553191489361707</v>
      </c>
    </row>
    <row r="4221" spans="1:22">
      <c r="A4221" t="s">
        <v>78</v>
      </c>
      <c r="B4221" t="s">
        <v>60</v>
      </c>
      <c r="C4221">
        <v>27</v>
      </c>
      <c r="D4221" t="s">
        <v>22</v>
      </c>
      <c r="E4221" t="s">
        <v>16</v>
      </c>
      <c r="F4221" s="1">
        <v>44204</v>
      </c>
      <c r="G4221">
        <v>0</v>
      </c>
      <c r="H4221">
        <v>0</v>
      </c>
      <c r="I4221">
        <v>10</v>
      </c>
      <c r="J4221">
        <v>10</v>
      </c>
      <c r="K4221">
        <v>0</v>
      </c>
      <c r="L4221">
        <v>713</v>
      </c>
      <c r="M4221">
        <v>60</v>
      </c>
      <c r="N4221" s="1">
        <f t="shared" si="520"/>
        <v>44938</v>
      </c>
      <c r="O4221" s="1">
        <f t="shared" si="521"/>
        <v>43101</v>
      </c>
      <c r="P4221" s="1">
        <f t="shared" si="522"/>
        <v>44409</v>
      </c>
      <c r="Q4221" s="8">
        <f t="shared" si="523"/>
        <v>0</v>
      </c>
      <c r="R4221" s="8">
        <f t="shared" si="524"/>
        <v>44</v>
      </c>
      <c r="S4221" s="8">
        <f t="shared" ca="1" si="525"/>
        <v>29</v>
      </c>
      <c r="T4221">
        <f t="shared" ca="1" si="526"/>
        <v>2.7173120000000006</v>
      </c>
      <c r="U4221" s="8">
        <f t="shared" ca="1" si="527"/>
        <v>3.4592000000000005</v>
      </c>
      <c r="V4221" s="9">
        <f ca="1">RawData[[#This Row],[Z (smoothed demand size)]]/RawData[[#This Row],[X (smoothed interval)]]</f>
        <v>0.78553191489361707</v>
      </c>
    </row>
    <row r="4222" spans="1:22">
      <c r="A4222" t="s">
        <v>78</v>
      </c>
      <c r="B4222" t="s">
        <v>60</v>
      </c>
      <c r="C4222">
        <v>27</v>
      </c>
      <c r="D4222" t="s">
        <v>22</v>
      </c>
      <c r="E4222" t="s">
        <v>16</v>
      </c>
      <c r="F4222" s="1">
        <v>44205</v>
      </c>
      <c r="G4222">
        <v>0</v>
      </c>
      <c r="H4222">
        <v>0</v>
      </c>
      <c r="I4222">
        <v>10</v>
      </c>
      <c r="J4222">
        <v>10</v>
      </c>
      <c r="K4222">
        <v>0</v>
      </c>
      <c r="L4222">
        <v>626</v>
      </c>
      <c r="M4222">
        <v>15</v>
      </c>
      <c r="N4222" s="1">
        <f t="shared" si="520"/>
        <v>44938</v>
      </c>
      <c r="O4222" s="1">
        <f t="shared" si="521"/>
        <v>43101</v>
      </c>
      <c r="P4222" s="1">
        <f t="shared" si="522"/>
        <v>44440</v>
      </c>
      <c r="Q4222" s="8">
        <f t="shared" si="523"/>
        <v>0</v>
      </c>
      <c r="R4222" s="8">
        <f t="shared" si="524"/>
        <v>45</v>
      </c>
      <c r="S4222" s="8">
        <f t="shared" ca="1" si="525"/>
        <v>29</v>
      </c>
      <c r="T4222">
        <f t="shared" ca="1" si="526"/>
        <v>2.7173120000000006</v>
      </c>
      <c r="U4222" s="8">
        <f t="shared" ca="1" si="527"/>
        <v>3.4592000000000005</v>
      </c>
      <c r="V4222" s="9">
        <f ca="1">RawData[[#This Row],[Z (smoothed demand size)]]/RawData[[#This Row],[X (smoothed interval)]]</f>
        <v>0.78553191489361707</v>
      </c>
    </row>
    <row r="4223" spans="1:22">
      <c r="A4223" t="s">
        <v>78</v>
      </c>
      <c r="B4223" t="s">
        <v>60</v>
      </c>
      <c r="C4223">
        <v>27</v>
      </c>
      <c r="D4223" t="s">
        <v>22</v>
      </c>
      <c r="E4223" t="s">
        <v>16</v>
      </c>
      <c r="F4223" s="1">
        <v>44206</v>
      </c>
      <c r="G4223">
        <v>0</v>
      </c>
      <c r="H4223">
        <v>0</v>
      </c>
      <c r="I4223">
        <v>10</v>
      </c>
      <c r="J4223">
        <v>10</v>
      </c>
      <c r="K4223">
        <v>0</v>
      </c>
      <c r="L4223">
        <v>620</v>
      </c>
      <c r="M4223">
        <v>45</v>
      </c>
      <c r="N4223" s="1">
        <f t="shared" si="520"/>
        <v>44938</v>
      </c>
      <c r="O4223" s="1">
        <f t="shared" si="521"/>
        <v>43101</v>
      </c>
      <c r="P4223" s="1">
        <f t="shared" si="522"/>
        <v>44470</v>
      </c>
      <c r="Q4223" s="8">
        <f t="shared" si="523"/>
        <v>0</v>
      </c>
      <c r="R4223" s="8">
        <f t="shared" si="524"/>
        <v>46</v>
      </c>
      <c r="S4223" s="8">
        <f t="shared" ca="1" si="525"/>
        <v>29</v>
      </c>
      <c r="T4223">
        <f t="shared" ca="1" si="526"/>
        <v>2.7173120000000006</v>
      </c>
      <c r="U4223" s="8">
        <f t="shared" ca="1" si="527"/>
        <v>3.4592000000000005</v>
      </c>
      <c r="V4223" s="9">
        <f ca="1">RawData[[#This Row],[Z (smoothed demand size)]]/RawData[[#This Row],[X (smoothed interval)]]</f>
        <v>0.78553191489361707</v>
      </c>
    </row>
    <row r="4224" spans="1:22">
      <c r="A4224" t="s">
        <v>78</v>
      </c>
      <c r="B4224" t="s">
        <v>60</v>
      </c>
      <c r="C4224">
        <v>27</v>
      </c>
      <c r="D4224" t="s">
        <v>22</v>
      </c>
      <c r="E4224" t="s">
        <v>16</v>
      </c>
      <c r="F4224" s="1">
        <v>44207</v>
      </c>
      <c r="G4224">
        <v>0</v>
      </c>
      <c r="H4224">
        <v>0</v>
      </c>
      <c r="I4224">
        <v>10</v>
      </c>
      <c r="J4224">
        <v>10</v>
      </c>
      <c r="K4224">
        <v>0</v>
      </c>
      <c r="L4224">
        <v>630</v>
      </c>
      <c r="M4224">
        <v>15</v>
      </c>
      <c r="N4224" s="1">
        <f t="shared" si="520"/>
        <v>44938</v>
      </c>
      <c r="O4224" s="1">
        <f t="shared" si="521"/>
        <v>43101</v>
      </c>
      <c r="P4224" s="1">
        <f t="shared" si="522"/>
        <v>44501</v>
      </c>
      <c r="Q4224" s="8">
        <f t="shared" si="523"/>
        <v>0</v>
      </c>
      <c r="R4224" s="8">
        <f t="shared" si="524"/>
        <v>47</v>
      </c>
      <c r="S4224" s="8">
        <f t="shared" ca="1" si="525"/>
        <v>29</v>
      </c>
      <c r="T4224">
        <f t="shared" ca="1" si="526"/>
        <v>2.7173120000000006</v>
      </c>
      <c r="U4224" s="8">
        <f t="shared" ca="1" si="527"/>
        <v>3.4592000000000005</v>
      </c>
      <c r="V4224" s="9">
        <f ca="1">RawData[[#This Row],[Z (smoothed demand size)]]/RawData[[#This Row],[X (smoothed interval)]]</f>
        <v>0.78553191489361707</v>
      </c>
    </row>
    <row r="4225" spans="1:22">
      <c r="A4225" t="s">
        <v>78</v>
      </c>
      <c r="B4225" t="s">
        <v>60</v>
      </c>
      <c r="C4225">
        <v>27</v>
      </c>
      <c r="D4225" t="s">
        <v>22</v>
      </c>
      <c r="E4225" t="s">
        <v>16</v>
      </c>
      <c r="F4225" s="1">
        <v>44208</v>
      </c>
      <c r="G4225">
        <v>0</v>
      </c>
      <c r="H4225">
        <v>0</v>
      </c>
      <c r="I4225">
        <v>10</v>
      </c>
      <c r="J4225">
        <v>10</v>
      </c>
      <c r="K4225">
        <v>0</v>
      </c>
      <c r="L4225">
        <v>715</v>
      </c>
      <c r="M4225">
        <v>15</v>
      </c>
      <c r="N4225" s="1">
        <f t="shared" si="520"/>
        <v>44938</v>
      </c>
      <c r="O4225" s="1">
        <f t="shared" si="521"/>
        <v>43101</v>
      </c>
      <c r="P4225" s="1">
        <f t="shared" si="522"/>
        <v>44531</v>
      </c>
      <c r="Q4225" s="8">
        <f t="shared" si="523"/>
        <v>0</v>
      </c>
      <c r="R4225" s="8">
        <f t="shared" si="524"/>
        <v>48</v>
      </c>
      <c r="S4225" s="8">
        <f t="shared" ca="1" si="525"/>
        <v>29</v>
      </c>
      <c r="T4225">
        <f t="shared" ca="1" si="526"/>
        <v>2.7173120000000006</v>
      </c>
      <c r="U4225" s="8">
        <f t="shared" ca="1" si="527"/>
        <v>3.4592000000000005</v>
      </c>
      <c r="V4225" s="9">
        <f ca="1">RawData[[#This Row],[Z (smoothed demand size)]]/RawData[[#This Row],[X (smoothed interval)]]</f>
        <v>0.78553191489361707</v>
      </c>
    </row>
    <row r="4226" spans="1:22">
      <c r="A4226" t="s">
        <v>78</v>
      </c>
      <c r="B4226" t="s">
        <v>60</v>
      </c>
      <c r="C4226">
        <v>27</v>
      </c>
      <c r="D4226" t="s">
        <v>22</v>
      </c>
      <c r="E4226" t="s">
        <v>16</v>
      </c>
      <c r="F4226" s="1">
        <v>44562</v>
      </c>
      <c r="G4226">
        <v>0</v>
      </c>
      <c r="H4226">
        <v>0</v>
      </c>
      <c r="I4226">
        <v>10</v>
      </c>
      <c r="J4226">
        <v>10</v>
      </c>
      <c r="K4226">
        <v>0</v>
      </c>
      <c r="L4226">
        <v>613</v>
      </c>
      <c r="M4226">
        <v>45</v>
      </c>
      <c r="N4226" s="1">
        <f t="shared" ref="N4226:N4289" si="528">MAX(F:F)</f>
        <v>44938</v>
      </c>
      <c r="O4226" s="1">
        <f t="shared" ref="O4226:O4289" si="529">MIN(F:F)</f>
        <v>43101</v>
      </c>
      <c r="P4226" s="1">
        <f t="shared" ref="P4226:P4289" si="530">DATE(YEAR(F4226), DAY(F4226), 1)</f>
        <v>44562</v>
      </c>
      <c r="Q4226" s="8">
        <f t="shared" ref="Q4226:Q4289" si="531" xml:space="preserve"> IF(A4226&lt;&gt;A4225, 1, 0)</f>
        <v>0</v>
      </c>
      <c r="R4226" s="8">
        <f t="shared" ref="R4226:R4289" si="532">IF(Q4226=1,1,R4225+1)</f>
        <v>49</v>
      </c>
      <c r="S4226" s="8">
        <f t="shared" ref="S4226:S4289" ca="1" si="533" xml:space="preserve"> IF(Q4226=1, IF(G4226&gt;0, R4226, 0), IF(G4226&gt;0, R4226, OFFSET(S4226,-1,0)))</f>
        <v>29</v>
      </c>
      <c r="T4226">
        <f t="shared" ref="T4226:T4289" ca="1" si="534" xml:space="preserve"> IF(Q4226=1, IF(G4226&gt;0, G4226, 0), IF(G4226&gt;0, $X$1*G4226+(1-$X$1)*OFFSET(T4226,-1,0), OFFSET(T4226,-1,0)))</f>
        <v>2.7173120000000006</v>
      </c>
      <c r="U4226" s="8">
        <f t="shared" ref="U4226:U4289" ca="1" si="535" xml:space="preserve"> IF(Q4226=1, 1, IF(G4226&gt;0, $X$1*(R4226-OFFSET(S4226,-1,0))+(1-$X$1)*OFFSET(U4226,-1,0), OFFSET(U4226,-1,0)))</f>
        <v>3.4592000000000005</v>
      </c>
      <c r="V4226" s="9">
        <f ca="1">RawData[[#This Row],[Z (smoothed demand size)]]/RawData[[#This Row],[X (smoothed interval)]]</f>
        <v>0.78553191489361707</v>
      </c>
    </row>
    <row r="4227" spans="1:22">
      <c r="A4227" t="s">
        <v>78</v>
      </c>
      <c r="B4227" t="s">
        <v>60</v>
      </c>
      <c r="C4227">
        <v>27</v>
      </c>
      <c r="D4227" t="s">
        <v>22</v>
      </c>
      <c r="E4227" t="s">
        <v>16</v>
      </c>
      <c r="F4227" s="1">
        <v>44563</v>
      </c>
      <c r="G4227">
        <v>2</v>
      </c>
      <c r="H4227">
        <v>2</v>
      </c>
      <c r="I4227">
        <v>10</v>
      </c>
      <c r="J4227">
        <v>8</v>
      </c>
      <c r="K4227">
        <v>0</v>
      </c>
      <c r="L4227">
        <v>618</v>
      </c>
      <c r="M4227">
        <v>60</v>
      </c>
      <c r="N4227" s="1">
        <f t="shared" si="528"/>
        <v>44938</v>
      </c>
      <c r="O4227" s="1">
        <f t="shared" si="529"/>
        <v>43101</v>
      </c>
      <c r="P4227" s="1">
        <f t="shared" si="530"/>
        <v>44593</v>
      </c>
      <c r="Q4227" s="8">
        <f t="shared" si="531"/>
        <v>0</v>
      </c>
      <c r="R4227" s="8">
        <f t="shared" si="532"/>
        <v>50</v>
      </c>
      <c r="S4227" s="8">
        <f t="shared" ca="1" si="533"/>
        <v>50</v>
      </c>
      <c r="T4227">
        <f t="shared" ca="1" si="534"/>
        <v>2.5738496000000004</v>
      </c>
      <c r="U4227" s="8">
        <f t="shared" ca="1" si="535"/>
        <v>6.9673600000000011</v>
      </c>
      <c r="V4227" s="9">
        <f ca="1">RawData[[#This Row],[Z (smoothed demand size)]]/RawData[[#This Row],[X (smoothed interval)]]</f>
        <v>0.36941533091443529</v>
      </c>
    </row>
    <row r="4228" spans="1:22">
      <c r="A4228" t="s">
        <v>78</v>
      </c>
      <c r="B4228" t="s">
        <v>60</v>
      </c>
      <c r="C4228">
        <v>27</v>
      </c>
      <c r="D4228" t="s">
        <v>22</v>
      </c>
      <c r="E4228" t="s">
        <v>16</v>
      </c>
      <c r="F4228" s="1">
        <v>44564</v>
      </c>
      <c r="G4228">
        <v>0</v>
      </c>
      <c r="H4228">
        <v>0</v>
      </c>
      <c r="I4228">
        <v>8</v>
      </c>
      <c r="J4228">
        <v>8</v>
      </c>
      <c r="K4228">
        <v>0</v>
      </c>
      <c r="L4228">
        <v>616</v>
      </c>
      <c r="M4228">
        <v>15</v>
      </c>
      <c r="N4228" s="1">
        <f t="shared" si="528"/>
        <v>44938</v>
      </c>
      <c r="O4228" s="1">
        <f t="shared" si="529"/>
        <v>43101</v>
      </c>
      <c r="P4228" s="1">
        <f t="shared" si="530"/>
        <v>44621</v>
      </c>
      <c r="Q4228" s="8">
        <f t="shared" si="531"/>
        <v>0</v>
      </c>
      <c r="R4228" s="8">
        <f t="shared" si="532"/>
        <v>51</v>
      </c>
      <c r="S4228" s="8">
        <f t="shared" ca="1" si="533"/>
        <v>50</v>
      </c>
      <c r="T4228">
        <f t="shared" ca="1" si="534"/>
        <v>2.5738496000000004</v>
      </c>
      <c r="U4228" s="8">
        <f t="shared" ca="1" si="535"/>
        <v>6.9673600000000011</v>
      </c>
      <c r="V4228" s="9">
        <f ca="1">RawData[[#This Row],[Z (smoothed demand size)]]/RawData[[#This Row],[X (smoothed interval)]]</f>
        <v>0.36941533091443529</v>
      </c>
    </row>
    <row r="4229" spans="1:22">
      <c r="A4229" t="s">
        <v>78</v>
      </c>
      <c r="B4229" t="s">
        <v>60</v>
      </c>
      <c r="C4229">
        <v>27</v>
      </c>
      <c r="D4229" t="s">
        <v>22</v>
      </c>
      <c r="E4229" t="s">
        <v>16</v>
      </c>
      <c r="F4229" s="1">
        <v>44565</v>
      </c>
      <c r="G4229">
        <v>1</v>
      </c>
      <c r="H4229">
        <v>1</v>
      </c>
      <c r="I4229">
        <v>8</v>
      </c>
      <c r="J4229">
        <v>7</v>
      </c>
      <c r="K4229">
        <v>0</v>
      </c>
      <c r="L4229">
        <v>628</v>
      </c>
      <c r="M4229">
        <v>45</v>
      </c>
      <c r="N4229" s="1">
        <f t="shared" si="528"/>
        <v>44938</v>
      </c>
      <c r="O4229" s="1">
        <f t="shared" si="529"/>
        <v>43101</v>
      </c>
      <c r="P4229" s="1">
        <f t="shared" si="530"/>
        <v>44652</v>
      </c>
      <c r="Q4229" s="8">
        <f t="shared" si="531"/>
        <v>0</v>
      </c>
      <c r="R4229" s="8">
        <f t="shared" si="532"/>
        <v>52</v>
      </c>
      <c r="S4229" s="8">
        <f t="shared" ca="1" si="533"/>
        <v>52</v>
      </c>
      <c r="T4229">
        <f t="shared" ca="1" si="534"/>
        <v>2.2590796800000006</v>
      </c>
      <c r="U4229" s="8">
        <f t="shared" ca="1" si="535"/>
        <v>5.9738880000000014</v>
      </c>
      <c r="V4229" s="9">
        <f ca="1">RawData[[#This Row],[Z (smoothed demand size)]]/RawData[[#This Row],[X (smoothed interval)]]</f>
        <v>0.37815902809024876</v>
      </c>
    </row>
    <row r="4230" spans="1:22">
      <c r="A4230" t="s">
        <v>78</v>
      </c>
      <c r="B4230" t="s">
        <v>60</v>
      </c>
      <c r="C4230">
        <v>27</v>
      </c>
      <c r="D4230" t="s">
        <v>22</v>
      </c>
      <c r="E4230" t="s">
        <v>16</v>
      </c>
      <c r="F4230" s="1">
        <v>44566</v>
      </c>
      <c r="G4230">
        <v>0</v>
      </c>
      <c r="H4230">
        <v>0</v>
      </c>
      <c r="I4230">
        <v>7</v>
      </c>
      <c r="J4230">
        <v>7</v>
      </c>
      <c r="K4230">
        <v>0</v>
      </c>
      <c r="L4230">
        <v>623</v>
      </c>
      <c r="M4230">
        <v>15</v>
      </c>
      <c r="N4230" s="1">
        <f t="shared" si="528"/>
        <v>44938</v>
      </c>
      <c r="O4230" s="1">
        <f t="shared" si="529"/>
        <v>43101</v>
      </c>
      <c r="P4230" s="1">
        <f t="shared" si="530"/>
        <v>44682</v>
      </c>
      <c r="Q4230" s="8">
        <f t="shared" si="531"/>
        <v>0</v>
      </c>
      <c r="R4230" s="8">
        <f t="shared" si="532"/>
        <v>53</v>
      </c>
      <c r="S4230" s="8">
        <f t="shared" ca="1" si="533"/>
        <v>52</v>
      </c>
      <c r="T4230">
        <f t="shared" ca="1" si="534"/>
        <v>2.2590796800000006</v>
      </c>
      <c r="U4230" s="8">
        <f t="shared" ca="1" si="535"/>
        <v>5.9738880000000014</v>
      </c>
      <c r="V4230" s="9">
        <f ca="1">RawData[[#This Row],[Z (smoothed demand size)]]/RawData[[#This Row],[X (smoothed interval)]]</f>
        <v>0.37815902809024876</v>
      </c>
    </row>
    <row r="4231" spans="1:22">
      <c r="A4231" t="s">
        <v>78</v>
      </c>
      <c r="B4231" t="s">
        <v>60</v>
      </c>
      <c r="C4231">
        <v>27</v>
      </c>
      <c r="D4231" t="s">
        <v>22</v>
      </c>
      <c r="E4231" t="s">
        <v>16</v>
      </c>
      <c r="F4231" s="1">
        <v>44567</v>
      </c>
      <c r="G4231">
        <v>0</v>
      </c>
      <c r="H4231">
        <v>0</v>
      </c>
      <c r="I4231">
        <v>7</v>
      </c>
      <c r="J4231">
        <v>7</v>
      </c>
      <c r="K4231">
        <v>0</v>
      </c>
      <c r="L4231">
        <v>712</v>
      </c>
      <c r="M4231">
        <v>30</v>
      </c>
      <c r="N4231" s="1">
        <f t="shared" si="528"/>
        <v>44938</v>
      </c>
      <c r="O4231" s="1">
        <f t="shared" si="529"/>
        <v>43101</v>
      </c>
      <c r="P4231" s="1">
        <f t="shared" si="530"/>
        <v>44713</v>
      </c>
      <c r="Q4231" s="8">
        <f t="shared" si="531"/>
        <v>0</v>
      </c>
      <c r="R4231" s="8">
        <f t="shared" si="532"/>
        <v>54</v>
      </c>
      <c r="S4231" s="8">
        <f t="shared" ca="1" si="533"/>
        <v>52</v>
      </c>
      <c r="T4231">
        <f t="shared" ca="1" si="534"/>
        <v>2.2590796800000006</v>
      </c>
      <c r="U4231" s="8">
        <f t="shared" ca="1" si="535"/>
        <v>5.9738880000000014</v>
      </c>
      <c r="V4231" s="9">
        <f ca="1">RawData[[#This Row],[Z (smoothed demand size)]]/RawData[[#This Row],[X (smoothed interval)]]</f>
        <v>0.37815902809024876</v>
      </c>
    </row>
    <row r="4232" spans="1:22">
      <c r="A4232" t="s">
        <v>78</v>
      </c>
      <c r="B4232" t="s">
        <v>60</v>
      </c>
      <c r="C4232">
        <v>27</v>
      </c>
      <c r="D4232" t="s">
        <v>22</v>
      </c>
      <c r="E4232" t="s">
        <v>16</v>
      </c>
      <c r="F4232" s="1">
        <v>44568</v>
      </c>
      <c r="G4232">
        <v>0</v>
      </c>
      <c r="H4232">
        <v>0</v>
      </c>
      <c r="I4232">
        <v>7</v>
      </c>
      <c r="J4232">
        <v>7</v>
      </c>
      <c r="K4232">
        <v>0</v>
      </c>
      <c r="L4232">
        <v>718</v>
      </c>
      <c r="M4232">
        <v>60</v>
      </c>
      <c r="N4232" s="1">
        <f t="shared" si="528"/>
        <v>44938</v>
      </c>
      <c r="O4232" s="1">
        <f t="shared" si="529"/>
        <v>43101</v>
      </c>
      <c r="P4232" s="1">
        <f t="shared" si="530"/>
        <v>44743</v>
      </c>
      <c r="Q4232" s="8">
        <f t="shared" si="531"/>
        <v>0</v>
      </c>
      <c r="R4232" s="8">
        <f t="shared" si="532"/>
        <v>55</v>
      </c>
      <c r="S4232" s="8">
        <f t="shared" ca="1" si="533"/>
        <v>52</v>
      </c>
      <c r="T4232">
        <f t="shared" ca="1" si="534"/>
        <v>2.2590796800000006</v>
      </c>
      <c r="U4232" s="8">
        <f t="shared" ca="1" si="535"/>
        <v>5.9738880000000014</v>
      </c>
      <c r="V4232" s="9">
        <f ca="1">RawData[[#This Row],[Z (smoothed demand size)]]/RawData[[#This Row],[X (smoothed interval)]]</f>
        <v>0.37815902809024876</v>
      </c>
    </row>
    <row r="4233" spans="1:22">
      <c r="A4233" t="s">
        <v>78</v>
      </c>
      <c r="B4233" t="s">
        <v>60</v>
      </c>
      <c r="C4233">
        <v>27</v>
      </c>
      <c r="D4233" t="s">
        <v>22</v>
      </c>
      <c r="E4233" t="s">
        <v>16</v>
      </c>
      <c r="F4233" s="1">
        <v>44569</v>
      </c>
      <c r="G4233">
        <v>0</v>
      </c>
      <c r="H4233">
        <v>0</v>
      </c>
      <c r="I4233">
        <v>7</v>
      </c>
      <c r="J4233">
        <v>7</v>
      </c>
      <c r="K4233">
        <v>0</v>
      </c>
      <c r="L4233">
        <v>707</v>
      </c>
      <c r="M4233">
        <v>60</v>
      </c>
      <c r="N4233" s="1">
        <f t="shared" si="528"/>
        <v>44938</v>
      </c>
      <c r="O4233" s="1">
        <f t="shared" si="529"/>
        <v>43101</v>
      </c>
      <c r="P4233" s="1">
        <f t="shared" si="530"/>
        <v>44774</v>
      </c>
      <c r="Q4233" s="8">
        <f t="shared" si="531"/>
        <v>0</v>
      </c>
      <c r="R4233" s="8">
        <f t="shared" si="532"/>
        <v>56</v>
      </c>
      <c r="S4233" s="8">
        <f t="shared" ca="1" si="533"/>
        <v>52</v>
      </c>
      <c r="T4233">
        <f t="shared" ca="1" si="534"/>
        <v>2.2590796800000006</v>
      </c>
      <c r="U4233" s="8">
        <f t="shared" ca="1" si="535"/>
        <v>5.9738880000000014</v>
      </c>
      <c r="V4233" s="9">
        <f ca="1">RawData[[#This Row],[Z (smoothed demand size)]]/RawData[[#This Row],[X (smoothed interval)]]</f>
        <v>0.37815902809024876</v>
      </c>
    </row>
    <row r="4234" spans="1:22">
      <c r="A4234" t="s">
        <v>78</v>
      </c>
      <c r="B4234" t="s">
        <v>60</v>
      </c>
      <c r="C4234">
        <v>27</v>
      </c>
      <c r="D4234" t="s">
        <v>22</v>
      </c>
      <c r="E4234" t="s">
        <v>16</v>
      </c>
      <c r="F4234" s="1">
        <v>44570</v>
      </c>
      <c r="G4234">
        <v>0</v>
      </c>
      <c r="H4234">
        <v>0</v>
      </c>
      <c r="I4234">
        <v>7</v>
      </c>
      <c r="J4234">
        <v>7</v>
      </c>
      <c r="K4234">
        <v>0</v>
      </c>
      <c r="L4234">
        <v>612</v>
      </c>
      <c r="M4234">
        <v>45</v>
      </c>
      <c r="N4234" s="1">
        <f t="shared" si="528"/>
        <v>44938</v>
      </c>
      <c r="O4234" s="1">
        <f t="shared" si="529"/>
        <v>43101</v>
      </c>
      <c r="P4234" s="1">
        <f t="shared" si="530"/>
        <v>44805</v>
      </c>
      <c r="Q4234" s="8">
        <f t="shared" si="531"/>
        <v>0</v>
      </c>
      <c r="R4234" s="8">
        <f t="shared" si="532"/>
        <v>57</v>
      </c>
      <c r="S4234" s="8">
        <f t="shared" ca="1" si="533"/>
        <v>52</v>
      </c>
      <c r="T4234">
        <f t="shared" ca="1" si="534"/>
        <v>2.2590796800000006</v>
      </c>
      <c r="U4234" s="8">
        <f t="shared" ca="1" si="535"/>
        <v>5.9738880000000014</v>
      </c>
      <c r="V4234" s="9">
        <f ca="1">RawData[[#This Row],[Z (smoothed demand size)]]/RawData[[#This Row],[X (smoothed interval)]]</f>
        <v>0.37815902809024876</v>
      </c>
    </row>
    <row r="4235" spans="1:22">
      <c r="A4235" t="s">
        <v>78</v>
      </c>
      <c r="B4235" t="s">
        <v>60</v>
      </c>
      <c r="C4235">
        <v>27</v>
      </c>
      <c r="D4235" t="s">
        <v>22</v>
      </c>
      <c r="E4235" t="s">
        <v>16</v>
      </c>
      <c r="F4235" s="1">
        <v>44571</v>
      </c>
      <c r="G4235">
        <v>1</v>
      </c>
      <c r="H4235">
        <v>1</v>
      </c>
      <c r="I4235">
        <v>7</v>
      </c>
      <c r="J4235">
        <v>6</v>
      </c>
      <c r="K4235">
        <v>0</v>
      </c>
      <c r="L4235">
        <v>612</v>
      </c>
      <c r="M4235">
        <v>45</v>
      </c>
      <c r="N4235" s="1">
        <f t="shared" si="528"/>
        <v>44938</v>
      </c>
      <c r="O4235" s="1">
        <f t="shared" si="529"/>
        <v>43101</v>
      </c>
      <c r="P4235" s="1">
        <f t="shared" si="530"/>
        <v>44835</v>
      </c>
      <c r="Q4235" s="8">
        <f t="shared" si="531"/>
        <v>0</v>
      </c>
      <c r="R4235" s="8">
        <f t="shared" si="532"/>
        <v>58</v>
      </c>
      <c r="S4235" s="8">
        <f t="shared" ca="1" si="533"/>
        <v>58</v>
      </c>
      <c r="T4235">
        <f t="shared" ca="1" si="534"/>
        <v>2.0072637440000007</v>
      </c>
      <c r="U4235" s="8">
        <f t="shared" ca="1" si="535"/>
        <v>5.9791104000000015</v>
      </c>
      <c r="V4235" s="9">
        <f ca="1">RawData[[#This Row],[Z (smoothed demand size)]]/RawData[[#This Row],[X (smoothed interval)]]</f>
        <v>0.33571277493053153</v>
      </c>
    </row>
    <row r="4236" spans="1:22">
      <c r="A4236" t="s">
        <v>78</v>
      </c>
      <c r="B4236" t="s">
        <v>60</v>
      </c>
      <c r="C4236">
        <v>27</v>
      </c>
      <c r="D4236" t="s">
        <v>22</v>
      </c>
      <c r="E4236" t="s">
        <v>16</v>
      </c>
      <c r="F4236" s="1">
        <v>44572</v>
      </c>
      <c r="G4236">
        <v>0</v>
      </c>
      <c r="H4236">
        <v>0</v>
      </c>
      <c r="I4236">
        <v>6</v>
      </c>
      <c r="J4236">
        <v>6</v>
      </c>
      <c r="K4236">
        <v>0</v>
      </c>
      <c r="L4236">
        <v>608</v>
      </c>
      <c r="M4236">
        <v>15</v>
      </c>
      <c r="N4236" s="1">
        <f t="shared" si="528"/>
        <v>44938</v>
      </c>
      <c r="O4236" s="1">
        <f t="shared" si="529"/>
        <v>43101</v>
      </c>
      <c r="P4236" s="1">
        <f t="shared" si="530"/>
        <v>44866</v>
      </c>
      <c r="Q4236" s="8">
        <f t="shared" si="531"/>
        <v>0</v>
      </c>
      <c r="R4236" s="8">
        <f t="shared" si="532"/>
        <v>59</v>
      </c>
      <c r="S4236" s="8">
        <f t="shared" ca="1" si="533"/>
        <v>58</v>
      </c>
      <c r="T4236">
        <f t="shared" ca="1" si="534"/>
        <v>2.0072637440000007</v>
      </c>
      <c r="U4236" s="8">
        <f t="shared" ca="1" si="535"/>
        <v>5.9791104000000015</v>
      </c>
      <c r="V4236" s="9">
        <f ca="1">RawData[[#This Row],[Z (smoothed demand size)]]/RawData[[#This Row],[X (smoothed interval)]]</f>
        <v>0.33571277493053153</v>
      </c>
    </row>
    <row r="4237" spans="1:22">
      <c r="A4237" t="s">
        <v>78</v>
      </c>
      <c r="B4237" t="s">
        <v>60</v>
      </c>
      <c r="C4237">
        <v>27</v>
      </c>
      <c r="D4237" t="s">
        <v>22</v>
      </c>
      <c r="E4237" t="s">
        <v>16</v>
      </c>
      <c r="F4237" s="1">
        <v>44573</v>
      </c>
      <c r="G4237">
        <v>0</v>
      </c>
      <c r="H4237">
        <v>0</v>
      </c>
      <c r="I4237">
        <v>6</v>
      </c>
      <c r="J4237">
        <v>6</v>
      </c>
      <c r="K4237">
        <v>0</v>
      </c>
      <c r="L4237">
        <v>705</v>
      </c>
      <c r="M4237">
        <v>30</v>
      </c>
      <c r="N4237" s="1">
        <f t="shared" si="528"/>
        <v>44938</v>
      </c>
      <c r="O4237" s="1">
        <f t="shared" si="529"/>
        <v>43101</v>
      </c>
      <c r="P4237" s="1">
        <f t="shared" si="530"/>
        <v>44896</v>
      </c>
      <c r="Q4237" s="8">
        <f t="shared" si="531"/>
        <v>0</v>
      </c>
      <c r="R4237" s="8">
        <f t="shared" si="532"/>
        <v>60</v>
      </c>
      <c r="S4237" s="8">
        <f t="shared" ca="1" si="533"/>
        <v>58</v>
      </c>
      <c r="T4237">
        <f t="shared" ca="1" si="534"/>
        <v>2.0072637440000007</v>
      </c>
      <c r="U4237" s="8">
        <f t="shared" ca="1" si="535"/>
        <v>5.9791104000000015</v>
      </c>
      <c r="V4237" s="9">
        <f ca="1">RawData[[#This Row],[Z (smoothed demand size)]]/RawData[[#This Row],[X (smoothed interval)]]</f>
        <v>0.33571277493053153</v>
      </c>
    </row>
    <row r="4238" spans="1:22">
      <c r="A4238" t="s">
        <v>78</v>
      </c>
      <c r="B4238" t="s">
        <v>60</v>
      </c>
      <c r="C4238">
        <v>27</v>
      </c>
      <c r="D4238" t="s">
        <v>22</v>
      </c>
      <c r="E4238" t="s">
        <v>16</v>
      </c>
      <c r="F4238" s="1">
        <v>44927</v>
      </c>
      <c r="G4238">
        <v>0</v>
      </c>
      <c r="H4238">
        <v>0</v>
      </c>
      <c r="I4238">
        <v>6</v>
      </c>
      <c r="J4238">
        <v>6</v>
      </c>
      <c r="K4238">
        <v>0</v>
      </c>
      <c r="L4238">
        <v>621</v>
      </c>
      <c r="M4238">
        <v>15</v>
      </c>
      <c r="N4238" s="1">
        <f t="shared" si="528"/>
        <v>44938</v>
      </c>
      <c r="O4238" s="1">
        <f t="shared" si="529"/>
        <v>43101</v>
      </c>
      <c r="P4238" s="1">
        <f t="shared" si="530"/>
        <v>44927</v>
      </c>
      <c r="Q4238" s="8">
        <f t="shared" si="531"/>
        <v>0</v>
      </c>
      <c r="R4238" s="8">
        <f t="shared" si="532"/>
        <v>61</v>
      </c>
      <c r="S4238" s="8">
        <f t="shared" ca="1" si="533"/>
        <v>58</v>
      </c>
      <c r="T4238">
        <f t="shared" ca="1" si="534"/>
        <v>2.0072637440000007</v>
      </c>
      <c r="U4238" s="8">
        <f t="shared" ca="1" si="535"/>
        <v>5.9791104000000015</v>
      </c>
      <c r="V4238" s="9">
        <f ca="1">RawData[[#This Row],[Z (smoothed demand size)]]/RawData[[#This Row],[X (smoothed interval)]]</f>
        <v>0.33571277493053153</v>
      </c>
    </row>
    <row r="4239" spans="1:22">
      <c r="A4239" t="s">
        <v>78</v>
      </c>
      <c r="B4239" t="s">
        <v>60</v>
      </c>
      <c r="C4239">
        <v>27</v>
      </c>
      <c r="D4239" t="s">
        <v>22</v>
      </c>
      <c r="E4239" t="s">
        <v>16</v>
      </c>
      <c r="F4239" s="1">
        <v>44928</v>
      </c>
      <c r="G4239">
        <v>0</v>
      </c>
      <c r="H4239">
        <v>0</v>
      </c>
      <c r="I4239">
        <v>6</v>
      </c>
      <c r="J4239">
        <v>6</v>
      </c>
      <c r="K4239">
        <v>0</v>
      </c>
      <c r="L4239">
        <v>622</v>
      </c>
      <c r="M4239">
        <v>15</v>
      </c>
      <c r="N4239" s="1">
        <f t="shared" si="528"/>
        <v>44938</v>
      </c>
      <c r="O4239" s="1">
        <f t="shared" si="529"/>
        <v>43101</v>
      </c>
      <c r="P4239" s="1">
        <f t="shared" si="530"/>
        <v>44958</v>
      </c>
      <c r="Q4239" s="8">
        <f t="shared" si="531"/>
        <v>0</v>
      </c>
      <c r="R4239" s="8">
        <f t="shared" si="532"/>
        <v>62</v>
      </c>
      <c r="S4239" s="8">
        <f t="shared" ca="1" si="533"/>
        <v>58</v>
      </c>
      <c r="T4239">
        <f t="shared" ca="1" si="534"/>
        <v>2.0072637440000007</v>
      </c>
      <c r="U4239" s="8">
        <f t="shared" ca="1" si="535"/>
        <v>5.9791104000000015</v>
      </c>
      <c r="V4239" s="9">
        <f ca="1">RawData[[#This Row],[Z (smoothed demand size)]]/RawData[[#This Row],[X (smoothed interval)]]</f>
        <v>0.33571277493053153</v>
      </c>
    </row>
    <row r="4240" spans="1:22">
      <c r="A4240" t="s">
        <v>78</v>
      </c>
      <c r="B4240" t="s">
        <v>60</v>
      </c>
      <c r="C4240">
        <v>27</v>
      </c>
      <c r="D4240" t="s">
        <v>22</v>
      </c>
      <c r="E4240" t="s">
        <v>16</v>
      </c>
      <c r="F4240" s="1">
        <v>44929</v>
      </c>
      <c r="G4240">
        <v>1</v>
      </c>
      <c r="H4240">
        <v>1</v>
      </c>
      <c r="I4240">
        <v>6</v>
      </c>
      <c r="J4240">
        <v>5</v>
      </c>
      <c r="K4240">
        <v>0</v>
      </c>
      <c r="L4240">
        <v>612</v>
      </c>
      <c r="M4240">
        <v>15</v>
      </c>
      <c r="N4240" s="1">
        <f t="shared" si="528"/>
        <v>44938</v>
      </c>
      <c r="O4240" s="1">
        <f t="shared" si="529"/>
        <v>43101</v>
      </c>
      <c r="P4240" s="1">
        <f t="shared" si="530"/>
        <v>44986</v>
      </c>
      <c r="Q4240" s="8">
        <f t="shared" si="531"/>
        <v>0</v>
      </c>
      <c r="R4240" s="8">
        <f t="shared" si="532"/>
        <v>63</v>
      </c>
      <c r="S4240" s="8">
        <f t="shared" ca="1" si="533"/>
        <v>63</v>
      </c>
      <c r="T4240">
        <f t="shared" ca="1" si="534"/>
        <v>1.8058109952000005</v>
      </c>
      <c r="U4240" s="8">
        <f t="shared" ca="1" si="535"/>
        <v>5.7832883200000014</v>
      </c>
      <c r="V4240" s="9">
        <f ca="1">RawData[[#This Row],[Z (smoothed demand size)]]/RawData[[#This Row],[X (smoothed interval)]]</f>
        <v>0.31224640641813967</v>
      </c>
    </row>
    <row r="4241" spans="1:22">
      <c r="A4241" t="s">
        <v>78</v>
      </c>
      <c r="B4241" t="s">
        <v>60</v>
      </c>
      <c r="C4241">
        <v>27</v>
      </c>
      <c r="D4241" t="s">
        <v>22</v>
      </c>
      <c r="E4241" t="s">
        <v>16</v>
      </c>
      <c r="F4241" s="1">
        <v>44930</v>
      </c>
      <c r="G4241">
        <v>0</v>
      </c>
      <c r="H4241">
        <v>0</v>
      </c>
      <c r="I4241">
        <v>5</v>
      </c>
      <c r="J4241">
        <v>5</v>
      </c>
      <c r="K4241">
        <v>0</v>
      </c>
      <c r="L4241">
        <v>605</v>
      </c>
      <c r="M4241">
        <v>60</v>
      </c>
      <c r="N4241" s="1">
        <f t="shared" si="528"/>
        <v>44938</v>
      </c>
      <c r="O4241" s="1">
        <f t="shared" si="529"/>
        <v>43101</v>
      </c>
      <c r="P4241" s="1">
        <f t="shared" si="530"/>
        <v>45017</v>
      </c>
      <c r="Q4241" s="8">
        <f t="shared" si="531"/>
        <v>0</v>
      </c>
      <c r="R4241" s="8">
        <f t="shared" si="532"/>
        <v>64</v>
      </c>
      <c r="S4241" s="8">
        <f t="shared" ca="1" si="533"/>
        <v>63</v>
      </c>
      <c r="T4241">
        <f t="shared" ca="1" si="534"/>
        <v>1.8058109952000005</v>
      </c>
      <c r="U4241" s="8">
        <f t="shared" ca="1" si="535"/>
        <v>5.7832883200000014</v>
      </c>
      <c r="V4241" s="9">
        <f ca="1">RawData[[#This Row],[Z (smoothed demand size)]]/RawData[[#This Row],[X (smoothed interval)]]</f>
        <v>0.31224640641813967</v>
      </c>
    </row>
    <row r="4242" spans="1:22">
      <c r="A4242" t="s">
        <v>78</v>
      </c>
      <c r="B4242" t="s">
        <v>60</v>
      </c>
      <c r="C4242">
        <v>27</v>
      </c>
      <c r="D4242" t="s">
        <v>22</v>
      </c>
      <c r="E4242" t="s">
        <v>16</v>
      </c>
      <c r="F4242" s="1">
        <v>44931</v>
      </c>
      <c r="G4242">
        <v>2</v>
      </c>
      <c r="H4242">
        <v>2</v>
      </c>
      <c r="I4242">
        <v>5</v>
      </c>
      <c r="J4242">
        <v>3</v>
      </c>
      <c r="K4242">
        <v>0</v>
      </c>
      <c r="L4242">
        <v>615</v>
      </c>
      <c r="M4242">
        <v>30</v>
      </c>
      <c r="N4242" s="1">
        <f t="shared" si="528"/>
        <v>44938</v>
      </c>
      <c r="O4242" s="1">
        <f t="shared" si="529"/>
        <v>43101</v>
      </c>
      <c r="P4242" s="1">
        <f t="shared" si="530"/>
        <v>45047</v>
      </c>
      <c r="Q4242" s="8">
        <f t="shared" si="531"/>
        <v>0</v>
      </c>
      <c r="R4242" s="8">
        <f t="shared" si="532"/>
        <v>65</v>
      </c>
      <c r="S4242" s="8">
        <f t="shared" ca="1" si="533"/>
        <v>65</v>
      </c>
      <c r="T4242">
        <f t="shared" ca="1" si="534"/>
        <v>1.8446487961600004</v>
      </c>
      <c r="U4242" s="8">
        <f t="shared" ca="1" si="535"/>
        <v>5.0266306560000018</v>
      </c>
      <c r="V4242" s="9">
        <f ca="1">RawData[[#This Row],[Z (smoothed demand size)]]/RawData[[#This Row],[X (smoothed interval)]]</f>
        <v>0.366975201163457</v>
      </c>
    </row>
    <row r="4243" spans="1:22">
      <c r="A4243" t="s">
        <v>78</v>
      </c>
      <c r="B4243" t="s">
        <v>60</v>
      </c>
      <c r="C4243">
        <v>27</v>
      </c>
      <c r="D4243" t="s">
        <v>22</v>
      </c>
      <c r="E4243" t="s">
        <v>16</v>
      </c>
      <c r="F4243" s="1">
        <v>44932</v>
      </c>
      <c r="G4243">
        <v>0</v>
      </c>
      <c r="H4243">
        <v>0</v>
      </c>
      <c r="I4243">
        <v>20</v>
      </c>
      <c r="J4243">
        <v>20</v>
      </c>
      <c r="K4243">
        <v>0</v>
      </c>
      <c r="L4243">
        <v>714</v>
      </c>
      <c r="M4243">
        <v>15</v>
      </c>
      <c r="N4243" s="1">
        <f t="shared" si="528"/>
        <v>44938</v>
      </c>
      <c r="O4243" s="1">
        <f t="shared" si="529"/>
        <v>43101</v>
      </c>
      <c r="P4243" s="1">
        <f t="shared" si="530"/>
        <v>45078</v>
      </c>
      <c r="Q4243" s="8">
        <f t="shared" si="531"/>
        <v>0</v>
      </c>
      <c r="R4243" s="8">
        <f t="shared" si="532"/>
        <v>66</v>
      </c>
      <c r="S4243" s="8">
        <f t="shared" ca="1" si="533"/>
        <v>65</v>
      </c>
      <c r="T4243">
        <f t="shared" ca="1" si="534"/>
        <v>1.8446487961600004</v>
      </c>
      <c r="U4243" s="8">
        <f t="shared" ca="1" si="535"/>
        <v>5.0266306560000018</v>
      </c>
      <c r="V4243" s="9">
        <f ca="1">RawData[[#This Row],[Z (smoothed demand size)]]/RawData[[#This Row],[X (smoothed interval)]]</f>
        <v>0.366975201163457</v>
      </c>
    </row>
    <row r="4244" spans="1:22">
      <c r="A4244" t="s">
        <v>78</v>
      </c>
      <c r="B4244" t="s">
        <v>60</v>
      </c>
      <c r="C4244">
        <v>27</v>
      </c>
      <c r="D4244" t="s">
        <v>22</v>
      </c>
      <c r="E4244" t="s">
        <v>16</v>
      </c>
      <c r="F4244" s="1">
        <v>44933</v>
      </c>
      <c r="G4244">
        <v>0</v>
      </c>
      <c r="H4244">
        <v>0</v>
      </c>
      <c r="I4244">
        <v>20</v>
      </c>
      <c r="J4244">
        <v>20</v>
      </c>
      <c r="K4244">
        <v>0</v>
      </c>
      <c r="L4244">
        <v>716</v>
      </c>
      <c r="M4244">
        <v>30</v>
      </c>
      <c r="N4244" s="1">
        <f t="shared" si="528"/>
        <v>44938</v>
      </c>
      <c r="O4244" s="1">
        <f t="shared" si="529"/>
        <v>43101</v>
      </c>
      <c r="P4244" s="1">
        <f t="shared" si="530"/>
        <v>45108</v>
      </c>
      <c r="Q4244" s="8">
        <f t="shared" si="531"/>
        <v>0</v>
      </c>
      <c r="R4244" s="8">
        <f t="shared" si="532"/>
        <v>67</v>
      </c>
      <c r="S4244" s="8">
        <f t="shared" ca="1" si="533"/>
        <v>65</v>
      </c>
      <c r="T4244">
        <f t="shared" ca="1" si="534"/>
        <v>1.8446487961600004</v>
      </c>
      <c r="U4244" s="8">
        <f t="shared" ca="1" si="535"/>
        <v>5.0266306560000018</v>
      </c>
      <c r="V4244" s="9">
        <f ca="1">RawData[[#This Row],[Z (smoothed demand size)]]/RawData[[#This Row],[X (smoothed interval)]]</f>
        <v>0.366975201163457</v>
      </c>
    </row>
    <row r="4245" spans="1:22">
      <c r="A4245" t="s">
        <v>78</v>
      </c>
      <c r="B4245" t="s">
        <v>60</v>
      </c>
      <c r="C4245">
        <v>27</v>
      </c>
      <c r="D4245" t="s">
        <v>22</v>
      </c>
      <c r="E4245" t="s">
        <v>16</v>
      </c>
      <c r="F4245" s="1">
        <v>44934</v>
      </c>
      <c r="G4245">
        <v>0</v>
      </c>
      <c r="H4245">
        <v>0</v>
      </c>
      <c r="I4245">
        <v>20</v>
      </c>
      <c r="J4245">
        <v>20</v>
      </c>
      <c r="K4245">
        <v>0</v>
      </c>
      <c r="L4245">
        <v>712</v>
      </c>
      <c r="M4245">
        <v>30</v>
      </c>
      <c r="N4245" s="1">
        <f t="shared" si="528"/>
        <v>44938</v>
      </c>
      <c r="O4245" s="1">
        <f t="shared" si="529"/>
        <v>43101</v>
      </c>
      <c r="P4245" s="1">
        <f t="shared" si="530"/>
        <v>45139</v>
      </c>
      <c r="Q4245" s="8">
        <f t="shared" si="531"/>
        <v>0</v>
      </c>
      <c r="R4245" s="8">
        <f t="shared" si="532"/>
        <v>68</v>
      </c>
      <c r="S4245" s="8">
        <f t="shared" ca="1" si="533"/>
        <v>65</v>
      </c>
      <c r="T4245">
        <f t="shared" ca="1" si="534"/>
        <v>1.8446487961600004</v>
      </c>
      <c r="U4245" s="8">
        <f t="shared" ca="1" si="535"/>
        <v>5.0266306560000018</v>
      </c>
      <c r="V4245" s="9">
        <f ca="1">RawData[[#This Row],[Z (smoothed demand size)]]/RawData[[#This Row],[X (smoothed interval)]]</f>
        <v>0.366975201163457</v>
      </c>
    </row>
    <row r="4246" spans="1:22">
      <c r="A4246" t="s">
        <v>78</v>
      </c>
      <c r="B4246" t="s">
        <v>60</v>
      </c>
      <c r="C4246">
        <v>27</v>
      </c>
      <c r="D4246" t="s">
        <v>22</v>
      </c>
      <c r="E4246" t="s">
        <v>16</v>
      </c>
      <c r="F4246" s="1">
        <v>44935</v>
      </c>
      <c r="G4246">
        <v>0</v>
      </c>
      <c r="H4246">
        <v>0</v>
      </c>
      <c r="I4246">
        <v>20</v>
      </c>
      <c r="J4246">
        <v>20</v>
      </c>
      <c r="K4246">
        <v>0</v>
      </c>
      <c r="L4246">
        <v>611</v>
      </c>
      <c r="M4246">
        <v>60</v>
      </c>
      <c r="N4246" s="1">
        <f t="shared" si="528"/>
        <v>44938</v>
      </c>
      <c r="O4246" s="1">
        <f t="shared" si="529"/>
        <v>43101</v>
      </c>
      <c r="P4246" s="1">
        <f t="shared" si="530"/>
        <v>45170</v>
      </c>
      <c r="Q4246" s="8">
        <f t="shared" si="531"/>
        <v>0</v>
      </c>
      <c r="R4246" s="8">
        <f t="shared" si="532"/>
        <v>69</v>
      </c>
      <c r="S4246" s="8">
        <f t="shared" ca="1" si="533"/>
        <v>65</v>
      </c>
      <c r="T4246">
        <f t="shared" ca="1" si="534"/>
        <v>1.8446487961600004</v>
      </c>
      <c r="U4246" s="8">
        <f t="shared" ca="1" si="535"/>
        <v>5.0266306560000018</v>
      </c>
      <c r="V4246" s="9">
        <f ca="1">RawData[[#This Row],[Z (smoothed demand size)]]/RawData[[#This Row],[X (smoothed interval)]]</f>
        <v>0.366975201163457</v>
      </c>
    </row>
    <row r="4247" spans="1:22">
      <c r="A4247" t="s">
        <v>78</v>
      </c>
      <c r="B4247" t="s">
        <v>60</v>
      </c>
      <c r="C4247">
        <v>27</v>
      </c>
      <c r="D4247" t="s">
        <v>22</v>
      </c>
      <c r="E4247" t="s">
        <v>16</v>
      </c>
      <c r="F4247" s="1">
        <v>44936</v>
      </c>
      <c r="G4247">
        <v>0</v>
      </c>
      <c r="H4247">
        <v>0</v>
      </c>
      <c r="I4247">
        <v>20</v>
      </c>
      <c r="J4247">
        <v>20</v>
      </c>
      <c r="K4247">
        <v>0</v>
      </c>
      <c r="L4247">
        <v>622</v>
      </c>
      <c r="M4247">
        <v>15</v>
      </c>
      <c r="N4247" s="1">
        <f t="shared" si="528"/>
        <v>44938</v>
      </c>
      <c r="O4247" s="1">
        <f t="shared" si="529"/>
        <v>43101</v>
      </c>
      <c r="P4247" s="1">
        <f t="shared" si="530"/>
        <v>45200</v>
      </c>
      <c r="Q4247" s="8">
        <f t="shared" si="531"/>
        <v>0</v>
      </c>
      <c r="R4247" s="8">
        <f t="shared" si="532"/>
        <v>70</v>
      </c>
      <c r="S4247" s="8">
        <f t="shared" ca="1" si="533"/>
        <v>65</v>
      </c>
      <c r="T4247">
        <f t="shared" ca="1" si="534"/>
        <v>1.8446487961600004</v>
      </c>
      <c r="U4247" s="8">
        <f t="shared" ca="1" si="535"/>
        <v>5.0266306560000018</v>
      </c>
      <c r="V4247" s="9">
        <f ca="1">RawData[[#This Row],[Z (smoothed demand size)]]/RawData[[#This Row],[X (smoothed interval)]]</f>
        <v>0.366975201163457</v>
      </c>
    </row>
    <row r="4248" spans="1:22">
      <c r="A4248" t="s">
        <v>78</v>
      </c>
      <c r="B4248" t="s">
        <v>60</v>
      </c>
      <c r="C4248">
        <v>27</v>
      </c>
      <c r="D4248" t="s">
        <v>22</v>
      </c>
      <c r="E4248" t="s">
        <v>16</v>
      </c>
      <c r="F4248" s="1">
        <v>44937</v>
      </c>
      <c r="G4248">
        <v>2</v>
      </c>
      <c r="H4248">
        <v>2</v>
      </c>
      <c r="I4248">
        <v>20</v>
      </c>
      <c r="J4248">
        <v>18</v>
      </c>
      <c r="K4248">
        <v>0</v>
      </c>
      <c r="L4248">
        <v>620</v>
      </c>
      <c r="M4248">
        <v>15</v>
      </c>
      <c r="N4248" s="1">
        <f t="shared" si="528"/>
        <v>44938</v>
      </c>
      <c r="O4248" s="1">
        <f t="shared" si="529"/>
        <v>43101</v>
      </c>
      <c r="P4248" s="1">
        <f t="shared" si="530"/>
        <v>45231</v>
      </c>
      <c r="Q4248" s="8">
        <f t="shared" si="531"/>
        <v>0</v>
      </c>
      <c r="R4248" s="8">
        <f t="shared" si="532"/>
        <v>71</v>
      </c>
      <c r="S4248" s="8">
        <f t="shared" ca="1" si="533"/>
        <v>71</v>
      </c>
      <c r="T4248">
        <f t="shared" ca="1" si="534"/>
        <v>1.8757190369280003</v>
      </c>
      <c r="U4248" s="8">
        <f t="shared" ca="1" si="535"/>
        <v>5.2213045248000016</v>
      </c>
      <c r="V4248" s="9">
        <f ca="1">RawData[[#This Row],[Z (smoothed demand size)]]/RawData[[#This Row],[X (smoothed interval)]]</f>
        <v>0.35924337069764162</v>
      </c>
    </row>
    <row r="4249" spans="1:22">
      <c r="A4249" t="s">
        <v>78</v>
      </c>
      <c r="B4249" t="s">
        <v>60</v>
      </c>
      <c r="C4249">
        <v>27</v>
      </c>
      <c r="D4249" t="s">
        <v>22</v>
      </c>
      <c r="E4249" t="s">
        <v>16</v>
      </c>
      <c r="F4249" s="1">
        <v>44938</v>
      </c>
      <c r="G4249">
        <v>3</v>
      </c>
      <c r="H4249">
        <v>3</v>
      </c>
      <c r="I4249">
        <v>18</v>
      </c>
      <c r="J4249">
        <v>15</v>
      </c>
      <c r="K4249">
        <v>0</v>
      </c>
      <c r="L4249">
        <v>715</v>
      </c>
      <c r="M4249">
        <v>15</v>
      </c>
      <c r="N4249" s="1">
        <f t="shared" si="528"/>
        <v>44938</v>
      </c>
      <c r="O4249" s="1">
        <f t="shared" si="529"/>
        <v>43101</v>
      </c>
      <c r="P4249" s="1">
        <f t="shared" si="530"/>
        <v>45261</v>
      </c>
      <c r="Q4249" s="8">
        <f t="shared" si="531"/>
        <v>0</v>
      </c>
      <c r="R4249" s="8">
        <f t="shared" si="532"/>
        <v>72</v>
      </c>
      <c r="S4249" s="8">
        <f t="shared" ca="1" si="533"/>
        <v>72</v>
      </c>
      <c r="T4249">
        <f t="shared" ca="1" si="534"/>
        <v>2.1005752295424003</v>
      </c>
      <c r="U4249" s="8">
        <f t="shared" ca="1" si="535"/>
        <v>4.377043619840002</v>
      </c>
      <c r="V4249" s="9">
        <f ca="1">RawData[[#This Row],[Z (smoothed demand size)]]/RawData[[#This Row],[X (smoothed interval)]]</f>
        <v>0.47990731004393883</v>
      </c>
    </row>
    <row r="4250" spans="1:22">
      <c r="A4250" t="s">
        <v>79</v>
      </c>
      <c r="B4250" t="s">
        <v>60</v>
      </c>
      <c r="C4250">
        <v>49</v>
      </c>
      <c r="D4250" t="s">
        <v>15</v>
      </c>
      <c r="E4250" t="s">
        <v>16</v>
      </c>
      <c r="F4250" s="1">
        <v>43101</v>
      </c>
      <c r="G4250">
        <v>0</v>
      </c>
      <c r="H4250">
        <v>0</v>
      </c>
      <c r="I4250">
        <v>21</v>
      </c>
      <c r="J4250">
        <v>21</v>
      </c>
      <c r="K4250">
        <v>0</v>
      </c>
      <c r="L4250">
        <v>549</v>
      </c>
      <c r="M4250">
        <v>15</v>
      </c>
      <c r="N4250" s="1">
        <f t="shared" si="528"/>
        <v>44938</v>
      </c>
      <c r="O4250" s="1">
        <f t="shared" si="529"/>
        <v>43101</v>
      </c>
      <c r="P4250" s="1">
        <f t="shared" si="530"/>
        <v>43101</v>
      </c>
      <c r="Q4250" s="8">
        <f t="shared" si="531"/>
        <v>1</v>
      </c>
      <c r="R4250" s="8">
        <f t="shared" si="532"/>
        <v>1</v>
      </c>
      <c r="S4250" s="8">
        <f t="shared" ca="1" si="533"/>
        <v>0</v>
      </c>
      <c r="T4250">
        <f t="shared" ca="1" si="534"/>
        <v>0</v>
      </c>
      <c r="U4250" s="8">
        <f t="shared" ca="1" si="535"/>
        <v>1</v>
      </c>
      <c r="V4250" s="9">
        <f ca="1">RawData[[#This Row],[Z (smoothed demand size)]]/RawData[[#This Row],[X (smoothed interval)]]</f>
        <v>0</v>
      </c>
    </row>
    <row r="4251" spans="1:22">
      <c r="A4251" t="s">
        <v>79</v>
      </c>
      <c r="B4251" t="s">
        <v>60</v>
      </c>
      <c r="C4251">
        <v>49</v>
      </c>
      <c r="D4251" t="s">
        <v>15</v>
      </c>
      <c r="E4251" t="s">
        <v>16</v>
      </c>
      <c r="F4251" s="1">
        <v>43102</v>
      </c>
      <c r="G4251">
        <v>0</v>
      </c>
      <c r="H4251">
        <v>0</v>
      </c>
      <c r="I4251">
        <v>21</v>
      </c>
      <c r="J4251">
        <v>21</v>
      </c>
      <c r="K4251">
        <v>0</v>
      </c>
      <c r="L4251">
        <v>552</v>
      </c>
      <c r="M4251">
        <v>30</v>
      </c>
      <c r="N4251" s="1">
        <f t="shared" si="528"/>
        <v>44938</v>
      </c>
      <c r="O4251" s="1">
        <f t="shared" si="529"/>
        <v>43101</v>
      </c>
      <c r="P4251" s="1">
        <f t="shared" si="530"/>
        <v>43132</v>
      </c>
      <c r="Q4251" s="8">
        <f t="shared" si="531"/>
        <v>0</v>
      </c>
      <c r="R4251" s="8">
        <f t="shared" si="532"/>
        <v>2</v>
      </c>
      <c r="S4251" s="8">
        <f t="shared" ca="1" si="533"/>
        <v>0</v>
      </c>
      <c r="T4251">
        <f t="shared" ca="1" si="534"/>
        <v>0</v>
      </c>
      <c r="U4251" s="8">
        <f t="shared" ca="1" si="535"/>
        <v>1</v>
      </c>
      <c r="V4251" s="9">
        <f ca="1">RawData[[#This Row],[Z (smoothed demand size)]]/RawData[[#This Row],[X (smoothed interval)]]</f>
        <v>0</v>
      </c>
    </row>
    <row r="4252" spans="1:22">
      <c r="A4252" t="s">
        <v>79</v>
      </c>
      <c r="B4252" t="s">
        <v>60</v>
      </c>
      <c r="C4252">
        <v>49</v>
      </c>
      <c r="D4252" t="s">
        <v>15</v>
      </c>
      <c r="E4252" t="s">
        <v>16</v>
      </c>
      <c r="F4252" s="1">
        <v>43103</v>
      </c>
      <c r="G4252">
        <v>0</v>
      </c>
      <c r="H4252">
        <v>0</v>
      </c>
      <c r="I4252">
        <v>21</v>
      </c>
      <c r="J4252">
        <v>21</v>
      </c>
      <c r="K4252">
        <v>0</v>
      </c>
      <c r="L4252">
        <v>559</v>
      </c>
      <c r="M4252">
        <v>45</v>
      </c>
      <c r="N4252" s="1">
        <f t="shared" si="528"/>
        <v>44938</v>
      </c>
      <c r="O4252" s="1">
        <f t="shared" si="529"/>
        <v>43101</v>
      </c>
      <c r="P4252" s="1">
        <f t="shared" si="530"/>
        <v>43160</v>
      </c>
      <c r="Q4252" s="8">
        <f t="shared" si="531"/>
        <v>0</v>
      </c>
      <c r="R4252" s="8">
        <f t="shared" si="532"/>
        <v>3</v>
      </c>
      <c r="S4252" s="8">
        <f t="shared" ca="1" si="533"/>
        <v>0</v>
      </c>
      <c r="T4252">
        <f t="shared" ca="1" si="534"/>
        <v>0</v>
      </c>
      <c r="U4252" s="8">
        <f t="shared" ca="1" si="535"/>
        <v>1</v>
      </c>
      <c r="V4252" s="9">
        <f ca="1">RawData[[#This Row],[Z (smoothed demand size)]]/RawData[[#This Row],[X (smoothed interval)]]</f>
        <v>0</v>
      </c>
    </row>
    <row r="4253" spans="1:22">
      <c r="A4253" t="s">
        <v>79</v>
      </c>
      <c r="B4253" t="s">
        <v>60</v>
      </c>
      <c r="C4253">
        <v>49</v>
      </c>
      <c r="D4253" t="s">
        <v>15</v>
      </c>
      <c r="E4253" t="s">
        <v>16</v>
      </c>
      <c r="F4253" s="1">
        <v>43104</v>
      </c>
      <c r="G4253">
        <v>0</v>
      </c>
      <c r="H4253">
        <v>0</v>
      </c>
      <c r="I4253">
        <v>21</v>
      </c>
      <c r="J4253">
        <v>21</v>
      </c>
      <c r="K4253">
        <v>0</v>
      </c>
      <c r="L4253">
        <v>550</v>
      </c>
      <c r="M4253">
        <v>45</v>
      </c>
      <c r="N4253" s="1">
        <f t="shared" si="528"/>
        <v>44938</v>
      </c>
      <c r="O4253" s="1">
        <f t="shared" si="529"/>
        <v>43101</v>
      </c>
      <c r="P4253" s="1">
        <f t="shared" si="530"/>
        <v>43191</v>
      </c>
      <c r="Q4253" s="8">
        <f t="shared" si="531"/>
        <v>0</v>
      </c>
      <c r="R4253" s="8">
        <f t="shared" si="532"/>
        <v>4</v>
      </c>
      <c r="S4253" s="8">
        <f t="shared" ca="1" si="533"/>
        <v>0</v>
      </c>
      <c r="T4253">
        <f t="shared" ca="1" si="534"/>
        <v>0</v>
      </c>
      <c r="U4253" s="8">
        <f t="shared" ca="1" si="535"/>
        <v>1</v>
      </c>
      <c r="V4253" s="9">
        <f ca="1">RawData[[#This Row],[Z (smoothed demand size)]]/RawData[[#This Row],[X (smoothed interval)]]</f>
        <v>0</v>
      </c>
    </row>
    <row r="4254" spans="1:22">
      <c r="A4254" t="s">
        <v>79</v>
      </c>
      <c r="B4254" t="s">
        <v>60</v>
      </c>
      <c r="C4254">
        <v>49</v>
      </c>
      <c r="D4254" t="s">
        <v>15</v>
      </c>
      <c r="E4254" t="s">
        <v>16</v>
      </c>
      <c r="F4254" s="1">
        <v>43105</v>
      </c>
      <c r="G4254">
        <v>0</v>
      </c>
      <c r="H4254">
        <v>0</v>
      </c>
      <c r="I4254">
        <v>21</v>
      </c>
      <c r="J4254">
        <v>21</v>
      </c>
      <c r="K4254">
        <v>0</v>
      </c>
      <c r="L4254">
        <v>554</v>
      </c>
      <c r="M4254">
        <v>60</v>
      </c>
      <c r="N4254" s="1">
        <f t="shared" si="528"/>
        <v>44938</v>
      </c>
      <c r="O4254" s="1">
        <f t="shared" si="529"/>
        <v>43101</v>
      </c>
      <c r="P4254" s="1">
        <f t="shared" si="530"/>
        <v>43221</v>
      </c>
      <c r="Q4254" s="8">
        <f t="shared" si="531"/>
        <v>0</v>
      </c>
      <c r="R4254" s="8">
        <f t="shared" si="532"/>
        <v>5</v>
      </c>
      <c r="S4254" s="8">
        <f t="shared" ca="1" si="533"/>
        <v>0</v>
      </c>
      <c r="T4254">
        <f t="shared" ca="1" si="534"/>
        <v>0</v>
      </c>
      <c r="U4254" s="8">
        <f t="shared" ca="1" si="535"/>
        <v>1</v>
      </c>
      <c r="V4254" s="9">
        <f ca="1">RawData[[#This Row],[Z (smoothed demand size)]]/RawData[[#This Row],[X (smoothed interval)]]</f>
        <v>0</v>
      </c>
    </row>
    <row r="4255" spans="1:22">
      <c r="A4255" t="s">
        <v>79</v>
      </c>
      <c r="B4255" t="s">
        <v>60</v>
      </c>
      <c r="C4255">
        <v>49</v>
      </c>
      <c r="D4255" t="s">
        <v>15</v>
      </c>
      <c r="E4255" t="s">
        <v>16</v>
      </c>
      <c r="F4255" s="1">
        <v>43106</v>
      </c>
      <c r="G4255">
        <v>0</v>
      </c>
      <c r="H4255">
        <v>0</v>
      </c>
      <c r="I4255">
        <v>21</v>
      </c>
      <c r="J4255">
        <v>21</v>
      </c>
      <c r="K4255">
        <v>0</v>
      </c>
      <c r="L4255">
        <v>636</v>
      </c>
      <c r="M4255">
        <v>45</v>
      </c>
      <c r="N4255" s="1">
        <f t="shared" si="528"/>
        <v>44938</v>
      </c>
      <c r="O4255" s="1">
        <f t="shared" si="529"/>
        <v>43101</v>
      </c>
      <c r="P4255" s="1">
        <f t="shared" si="530"/>
        <v>43252</v>
      </c>
      <c r="Q4255" s="8">
        <f t="shared" si="531"/>
        <v>0</v>
      </c>
      <c r="R4255" s="8">
        <f t="shared" si="532"/>
        <v>6</v>
      </c>
      <c r="S4255" s="8">
        <f t="shared" ca="1" si="533"/>
        <v>0</v>
      </c>
      <c r="T4255">
        <f t="shared" ca="1" si="534"/>
        <v>0</v>
      </c>
      <c r="U4255" s="8">
        <f t="shared" ca="1" si="535"/>
        <v>1</v>
      </c>
      <c r="V4255" s="9">
        <f ca="1">RawData[[#This Row],[Z (smoothed demand size)]]/RawData[[#This Row],[X (smoothed interval)]]</f>
        <v>0</v>
      </c>
    </row>
    <row r="4256" spans="1:22">
      <c r="A4256" t="s">
        <v>79</v>
      </c>
      <c r="B4256" t="s">
        <v>60</v>
      </c>
      <c r="C4256">
        <v>49</v>
      </c>
      <c r="D4256" t="s">
        <v>15</v>
      </c>
      <c r="E4256" t="s">
        <v>16</v>
      </c>
      <c r="F4256" s="1">
        <v>43107</v>
      </c>
      <c r="G4256">
        <v>0</v>
      </c>
      <c r="H4256">
        <v>0</v>
      </c>
      <c r="I4256">
        <v>21</v>
      </c>
      <c r="J4256">
        <v>21</v>
      </c>
      <c r="K4256">
        <v>0</v>
      </c>
      <c r="L4256">
        <v>634</v>
      </c>
      <c r="M4256">
        <v>45</v>
      </c>
      <c r="N4256" s="1">
        <f t="shared" si="528"/>
        <v>44938</v>
      </c>
      <c r="O4256" s="1">
        <f t="shared" si="529"/>
        <v>43101</v>
      </c>
      <c r="P4256" s="1">
        <f t="shared" si="530"/>
        <v>43282</v>
      </c>
      <c r="Q4256" s="8">
        <f t="shared" si="531"/>
        <v>0</v>
      </c>
      <c r="R4256" s="8">
        <f t="shared" si="532"/>
        <v>7</v>
      </c>
      <c r="S4256" s="8">
        <f t="shared" ca="1" si="533"/>
        <v>0</v>
      </c>
      <c r="T4256">
        <f t="shared" ca="1" si="534"/>
        <v>0</v>
      </c>
      <c r="U4256" s="8">
        <f t="shared" ca="1" si="535"/>
        <v>1</v>
      </c>
      <c r="V4256" s="9">
        <f ca="1">RawData[[#This Row],[Z (smoothed demand size)]]/RawData[[#This Row],[X (smoothed interval)]]</f>
        <v>0</v>
      </c>
    </row>
    <row r="4257" spans="1:22">
      <c r="A4257" t="s">
        <v>79</v>
      </c>
      <c r="B4257" t="s">
        <v>60</v>
      </c>
      <c r="C4257">
        <v>49</v>
      </c>
      <c r="D4257" t="s">
        <v>15</v>
      </c>
      <c r="E4257" t="s">
        <v>16</v>
      </c>
      <c r="F4257" s="1">
        <v>43108</v>
      </c>
      <c r="G4257">
        <v>0</v>
      </c>
      <c r="H4257">
        <v>0</v>
      </c>
      <c r="I4257">
        <v>21</v>
      </c>
      <c r="J4257">
        <v>21</v>
      </c>
      <c r="K4257">
        <v>0</v>
      </c>
      <c r="L4257">
        <v>631</v>
      </c>
      <c r="M4257">
        <v>45</v>
      </c>
      <c r="N4257" s="1">
        <f t="shared" si="528"/>
        <v>44938</v>
      </c>
      <c r="O4257" s="1">
        <f t="shared" si="529"/>
        <v>43101</v>
      </c>
      <c r="P4257" s="1">
        <f t="shared" si="530"/>
        <v>43313</v>
      </c>
      <c r="Q4257" s="8">
        <f t="shared" si="531"/>
        <v>0</v>
      </c>
      <c r="R4257" s="8">
        <f t="shared" si="532"/>
        <v>8</v>
      </c>
      <c r="S4257" s="8">
        <f t="shared" ca="1" si="533"/>
        <v>0</v>
      </c>
      <c r="T4257">
        <f t="shared" ca="1" si="534"/>
        <v>0</v>
      </c>
      <c r="U4257" s="8">
        <f t="shared" ca="1" si="535"/>
        <v>1</v>
      </c>
      <c r="V4257" s="9">
        <f ca="1">RawData[[#This Row],[Z (smoothed demand size)]]/RawData[[#This Row],[X (smoothed interval)]]</f>
        <v>0</v>
      </c>
    </row>
    <row r="4258" spans="1:22">
      <c r="A4258" t="s">
        <v>79</v>
      </c>
      <c r="B4258" t="s">
        <v>60</v>
      </c>
      <c r="C4258">
        <v>49</v>
      </c>
      <c r="D4258" t="s">
        <v>15</v>
      </c>
      <c r="E4258" t="s">
        <v>16</v>
      </c>
      <c r="F4258" s="1">
        <v>43109</v>
      </c>
      <c r="G4258">
        <v>0</v>
      </c>
      <c r="H4258">
        <v>0</v>
      </c>
      <c r="I4258">
        <v>21</v>
      </c>
      <c r="J4258">
        <v>21</v>
      </c>
      <c r="K4258">
        <v>0</v>
      </c>
      <c r="L4258">
        <v>555</v>
      </c>
      <c r="M4258">
        <v>60</v>
      </c>
      <c r="N4258" s="1">
        <f t="shared" si="528"/>
        <v>44938</v>
      </c>
      <c r="O4258" s="1">
        <f t="shared" si="529"/>
        <v>43101</v>
      </c>
      <c r="P4258" s="1">
        <f t="shared" si="530"/>
        <v>43344</v>
      </c>
      <c r="Q4258" s="8">
        <f t="shared" si="531"/>
        <v>0</v>
      </c>
      <c r="R4258" s="8">
        <f t="shared" si="532"/>
        <v>9</v>
      </c>
      <c r="S4258" s="8">
        <f t="shared" ca="1" si="533"/>
        <v>0</v>
      </c>
      <c r="T4258">
        <f t="shared" ca="1" si="534"/>
        <v>0</v>
      </c>
      <c r="U4258" s="8">
        <f t="shared" ca="1" si="535"/>
        <v>1</v>
      </c>
      <c r="V4258" s="9">
        <f ca="1">RawData[[#This Row],[Z (smoothed demand size)]]/RawData[[#This Row],[X (smoothed interval)]]</f>
        <v>0</v>
      </c>
    </row>
    <row r="4259" spans="1:22">
      <c r="A4259" t="s">
        <v>79</v>
      </c>
      <c r="B4259" t="s">
        <v>60</v>
      </c>
      <c r="C4259">
        <v>49</v>
      </c>
      <c r="D4259" t="s">
        <v>15</v>
      </c>
      <c r="E4259" t="s">
        <v>16</v>
      </c>
      <c r="F4259" s="1">
        <v>43110</v>
      </c>
      <c r="G4259">
        <v>1</v>
      </c>
      <c r="H4259">
        <v>1</v>
      </c>
      <c r="I4259">
        <v>21</v>
      </c>
      <c r="J4259">
        <v>20</v>
      </c>
      <c r="K4259">
        <v>0</v>
      </c>
      <c r="L4259">
        <v>550</v>
      </c>
      <c r="M4259">
        <v>60</v>
      </c>
      <c r="N4259" s="1">
        <f t="shared" si="528"/>
        <v>44938</v>
      </c>
      <c r="O4259" s="1">
        <f t="shared" si="529"/>
        <v>43101</v>
      </c>
      <c r="P4259" s="1">
        <f t="shared" si="530"/>
        <v>43374</v>
      </c>
      <c r="Q4259" s="8">
        <f t="shared" si="531"/>
        <v>0</v>
      </c>
      <c r="R4259" s="8">
        <f t="shared" si="532"/>
        <v>10</v>
      </c>
      <c r="S4259" s="8">
        <f t="shared" ca="1" si="533"/>
        <v>10</v>
      </c>
      <c r="T4259">
        <f t="shared" ca="1" si="534"/>
        <v>0.2</v>
      </c>
      <c r="U4259" s="8">
        <f t="shared" ca="1" si="535"/>
        <v>2.8</v>
      </c>
      <c r="V4259" s="9">
        <f ca="1">RawData[[#This Row],[Z (smoothed demand size)]]/RawData[[#This Row],[X (smoothed interval)]]</f>
        <v>7.1428571428571438E-2</v>
      </c>
    </row>
    <row r="4260" spans="1:22">
      <c r="A4260" t="s">
        <v>79</v>
      </c>
      <c r="B4260" t="s">
        <v>60</v>
      </c>
      <c r="C4260">
        <v>49</v>
      </c>
      <c r="D4260" t="s">
        <v>15</v>
      </c>
      <c r="E4260" t="s">
        <v>16</v>
      </c>
      <c r="F4260" s="1">
        <v>43111</v>
      </c>
      <c r="G4260">
        <v>0</v>
      </c>
      <c r="H4260">
        <v>0</v>
      </c>
      <c r="I4260">
        <v>20</v>
      </c>
      <c r="J4260">
        <v>20</v>
      </c>
      <c r="K4260">
        <v>0</v>
      </c>
      <c r="L4260">
        <v>552</v>
      </c>
      <c r="M4260">
        <v>30</v>
      </c>
      <c r="N4260" s="1">
        <f t="shared" si="528"/>
        <v>44938</v>
      </c>
      <c r="O4260" s="1">
        <f t="shared" si="529"/>
        <v>43101</v>
      </c>
      <c r="P4260" s="1">
        <f t="shared" si="530"/>
        <v>43405</v>
      </c>
      <c r="Q4260" s="8">
        <f t="shared" si="531"/>
        <v>0</v>
      </c>
      <c r="R4260" s="8">
        <f t="shared" si="532"/>
        <v>11</v>
      </c>
      <c r="S4260" s="8">
        <f t="shared" ca="1" si="533"/>
        <v>10</v>
      </c>
      <c r="T4260">
        <f t="shared" ca="1" si="534"/>
        <v>0.2</v>
      </c>
      <c r="U4260" s="8">
        <f t="shared" ca="1" si="535"/>
        <v>2.8</v>
      </c>
      <c r="V4260" s="9">
        <f ca="1">RawData[[#This Row],[Z (smoothed demand size)]]/RawData[[#This Row],[X (smoothed interval)]]</f>
        <v>7.1428571428571438E-2</v>
      </c>
    </row>
    <row r="4261" spans="1:22">
      <c r="A4261" t="s">
        <v>79</v>
      </c>
      <c r="B4261" t="s">
        <v>60</v>
      </c>
      <c r="C4261">
        <v>49</v>
      </c>
      <c r="D4261" t="s">
        <v>15</v>
      </c>
      <c r="E4261" t="s">
        <v>16</v>
      </c>
      <c r="F4261" s="1">
        <v>43112</v>
      </c>
      <c r="G4261">
        <v>1</v>
      </c>
      <c r="H4261">
        <v>1</v>
      </c>
      <c r="I4261">
        <v>20</v>
      </c>
      <c r="J4261">
        <v>19</v>
      </c>
      <c r="K4261">
        <v>0</v>
      </c>
      <c r="L4261">
        <v>644</v>
      </c>
      <c r="M4261">
        <v>60</v>
      </c>
      <c r="N4261" s="1">
        <f t="shared" si="528"/>
        <v>44938</v>
      </c>
      <c r="O4261" s="1">
        <f t="shared" si="529"/>
        <v>43101</v>
      </c>
      <c r="P4261" s="1">
        <f t="shared" si="530"/>
        <v>43435</v>
      </c>
      <c r="Q4261" s="8">
        <f t="shared" si="531"/>
        <v>0</v>
      </c>
      <c r="R4261" s="8">
        <f t="shared" si="532"/>
        <v>12</v>
      </c>
      <c r="S4261" s="8">
        <f t="shared" ca="1" si="533"/>
        <v>12</v>
      </c>
      <c r="T4261">
        <f t="shared" ca="1" si="534"/>
        <v>0.36000000000000004</v>
      </c>
      <c r="U4261" s="8">
        <f t="shared" ca="1" si="535"/>
        <v>2.6399999999999997</v>
      </c>
      <c r="V4261" s="9">
        <f ca="1">RawData[[#This Row],[Z (smoothed demand size)]]/RawData[[#This Row],[X (smoothed interval)]]</f>
        <v>0.13636363636363641</v>
      </c>
    </row>
    <row r="4262" spans="1:22">
      <c r="A4262" t="s">
        <v>79</v>
      </c>
      <c r="B4262" t="s">
        <v>60</v>
      </c>
      <c r="C4262">
        <v>49</v>
      </c>
      <c r="D4262" t="s">
        <v>15</v>
      </c>
      <c r="E4262" t="s">
        <v>16</v>
      </c>
      <c r="F4262" s="1">
        <v>43466</v>
      </c>
      <c r="G4262">
        <v>0</v>
      </c>
      <c r="H4262">
        <v>0</v>
      </c>
      <c r="I4262">
        <v>19</v>
      </c>
      <c r="J4262">
        <v>19</v>
      </c>
      <c r="K4262">
        <v>0</v>
      </c>
      <c r="L4262">
        <v>549</v>
      </c>
      <c r="M4262">
        <v>30</v>
      </c>
      <c r="N4262" s="1">
        <f t="shared" si="528"/>
        <v>44938</v>
      </c>
      <c r="O4262" s="1">
        <f t="shared" si="529"/>
        <v>43101</v>
      </c>
      <c r="P4262" s="1">
        <f t="shared" si="530"/>
        <v>43466</v>
      </c>
      <c r="Q4262" s="8">
        <f t="shared" si="531"/>
        <v>0</v>
      </c>
      <c r="R4262" s="8">
        <f t="shared" si="532"/>
        <v>13</v>
      </c>
      <c r="S4262" s="8">
        <f t="shared" ca="1" si="533"/>
        <v>12</v>
      </c>
      <c r="T4262">
        <f t="shared" ca="1" si="534"/>
        <v>0.36000000000000004</v>
      </c>
      <c r="U4262" s="8">
        <f t="shared" ca="1" si="535"/>
        <v>2.6399999999999997</v>
      </c>
      <c r="V4262" s="9">
        <f ca="1">RawData[[#This Row],[Z (smoothed demand size)]]/RawData[[#This Row],[X (smoothed interval)]]</f>
        <v>0.13636363636363641</v>
      </c>
    </row>
    <row r="4263" spans="1:22">
      <c r="A4263" t="s">
        <v>79</v>
      </c>
      <c r="B4263" t="s">
        <v>60</v>
      </c>
      <c r="C4263">
        <v>49</v>
      </c>
      <c r="D4263" t="s">
        <v>15</v>
      </c>
      <c r="E4263" t="s">
        <v>16</v>
      </c>
      <c r="F4263" s="1">
        <v>43467</v>
      </c>
      <c r="G4263">
        <v>1</v>
      </c>
      <c r="H4263">
        <v>1</v>
      </c>
      <c r="I4263">
        <v>19</v>
      </c>
      <c r="J4263">
        <v>18</v>
      </c>
      <c r="K4263">
        <v>0</v>
      </c>
      <c r="L4263">
        <v>556</v>
      </c>
      <c r="M4263">
        <v>30</v>
      </c>
      <c r="N4263" s="1">
        <f t="shared" si="528"/>
        <v>44938</v>
      </c>
      <c r="O4263" s="1">
        <f t="shared" si="529"/>
        <v>43101</v>
      </c>
      <c r="P4263" s="1">
        <f t="shared" si="530"/>
        <v>43497</v>
      </c>
      <c r="Q4263" s="8">
        <f t="shared" si="531"/>
        <v>0</v>
      </c>
      <c r="R4263" s="8">
        <f t="shared" si="532"/>
        <v>14</v>
      </c>
      <c r="S4263" s="8">
        <f t="shared" ca="1" si="533"/>
        <v>14</v>
      </c>
      <c r="T4263">
        <f t="shared" ca="1" si="534"/>
        <v>0.48800000000000004</v>
      </c>
      <c r="U4263" s="8">
        <f t="shared" ca="1" si="535"/>
        <v>2.5119999999999996</v>
      </c>
      <c r="V4263" s="9">
        <f ca="1">RawData[[#This Row],[Z (smoothed demand size)]]/RawData[[#This Row],[X (smoothed interval)]]</f>
        <v>0.19426751592356692</v>
      </c>
    </row>
    <row r="4264" spans="1:22">
      <c r="A4264" t="s">
        <v>79</v>
      </c>
      <c r="B4264" t="s">
        <v>60</v>
      </c>
      <c r="C4264">
        <v>49</v>
      </c>
      <c r="D4264" t="s">
        <v>15</v>
      </c>
      <c r="E4264" t="s">
        <v>16</v>
      </c>
      <c r="F4264" s="1">
        <v>43468</v>
      </c>
      <c r="G4264">
        <v>0</v>
      </c>
      <c r="H4264">
        <v>0</v>
      </c>
      <c r="I4264">
        <v>18</v>
      </c>
      <c r="J4264">
        <v>18</v>
      </c>
      <c r="K4264">
        <v>0</v>
      </c>
      <c r="L4264">
        <v>559</v>
      </c>
      <c r="M4264">
        <v>15</v>
      </c>
      <c r="N4264" s="1">
        <f t="shared" si="528"/>
        <v>44938</v>
      </c>
      <c r="O4264" s="1">
        <f t="shared" si="529"/>
        <v>43101</v>
      </c>
      <c r="P4264" s="1">
        <f t="shared" si="530"/>
        <v>43525</v>
      </c>
      <c r="Q4264" s="8">
        <f t="shared" si="531"/>
        <v>0</v>
      </c>
      <c r="R4264" s="8">
        <f t="shared" si="532"/>
        <v>15</v>
      </c>
      <c r="S4264" s="8">
        <f t="shared" ca="1" si="533"/>
        <v>14</v>
      </c>
      <c r="T4264">
        <f t="shared" ca="1" si="534"/>
        <v>0.48800000000000004</v>
      </c>
      <c r="U4264" s="8">
        <f t="shared" ca="1" si="535"/>
        <v>2.5119999999999996</v>
      </c>
      <c r="V4264" s="9">
        <f ca="1">RawData[[#This Row],[Z (smoothed demand size)]]/RawData[[#This Row],[X (smoothed interval)]]</f>
        <v>0.19426751592356692</v>
      </c>
    </row>
    <row r="4265" spans="1:22">
      <c r="A4265" t="s">
        <v>79</v>
      </c>
      <c r="B4265" t="s">
        <v>60</v>
      </c>
      <c r="C4265">
        <v>49</v>
      </c>
      <c r="D4265" t="s">
        <v>15</v>
      </c>
      <c r="E4265" t="s">
        <v>16</v>
      </c>
      <c r="F4265" s="1">
        <v>43469</v>
      </c>
      <c r="G4265">
        <v>0</v>
      </c>
      <c r="H4265">
        <v>0</v>
      </c>
      <c r="I4265">
        <v>18</v>
      </c>
      <c r="J4265">
        <v>18</v>
      </c>
      <c r="K4265">
        <v>0</v>
      </c>
      <c r="L4265">
        <v>553</v>
      </c>
      <c r="M4265">
        <v>60</v>
      </c>
      <c r="N4265" s="1">
        <f t="shared" si="528"/>
        <v>44938</v>
      </c>
      <c r="O4265" s="1">
        <f t="shared" si="529"/>
        <v>43101</v>
      </c>
      <c r="P4265" s="1">
        <f t="shared" si="530"/>
        <v>43556</v>
      </c>
      <c r="Q4265" s="8">
        <f t="shared" si="531"/>
        <v>0</v>
      </c>
      <c r="R4265" s="8">
        <f t="shared" si="532"/>
        <v>16</v>
      </c>
      <c r="S4265" s="8">
        <f t="shared" ca="1" si="533"/>
        <v>14</v>
      </c>
      <c r="T4265">
        <f t="shared" ca="1" si="534"/>
        <v>0.48800000000000004</v>
      </c>
      <c r="U4265" s="8">
        <f t="shared" ca="1" si="535"/>
        <v>2.5119999999999996</v>
      </c>
      <c r="V4265" s="9">
        <f ca="1">RawData[[#This Row],[Z (smoothed demand size)]]/RawData[[#This Row],[X (smoothed interval)]]</f>
        <v>0.19426751592356692</v>
      </c>
    </row>
    <row r="4266" spans="1:22">
      <c r="A4266" t="s">
        <v>79</v>
      </c>
      <c r="B4266" t="s">
        <v>60</v>
      </c>
      <c r="C4266">
        <v>49</v>
      </c>
      <c r="D4266" t="s">
        <v>15</v>
      </c>
      <c r="E4266" t="s">
        <v>16</v>
      </c>
      <c r="F4266" s="1">
        <v>43470</v>
      </c>
      <c r="G4266">
        <v>0</v>
      </c>
      <c r="H4266">
        <v>0</v>
      </c>
      <c r="I4266">
        <v>18</v>
      </c>
      <c r="J4266">
        <v>18</v>
      </c>
      <c r="K4266">
        <v>0</v>
      </c>
      <c r="L4266">
        <v>556</v>
      </c>
      <c r="M4266">
        <v>45</v>
      </c>
      <c r="N4266" s="1">
        <f t="shared" si="528"/>
        <v>44938</v>
      </c>
      <c r="O4266" s="1">
        <f t="shared" si="529"/>
        <v>43101</v>
      </c>
      <c r="P4266" s="1">
        <f t="shared" si="530"/>
        <v>43586</v>
      </c>
      <c r="Q4266" s="8">
        <f t="shared" si="531"/>
        <v>0</v>
      </c>
      <c r="R4266" s="8">
        <f t="shared" si="532"/>
        <v>17</v>
      </c>
      <c r="S4266" s="8">
        <f t="shared" ca="1" si="533"/>
        <v>14</v>
      </c>
      <c r="T4266">
        <f t="shared" ca="1" si="534"/>
        <v>0.48800000000000004</v>
      </c>
      <c r="U4266" s="8">
        <f t="shared" ca="1" si="535"/>
        <v>2.5119999999999996</v>
      </c>
      <c r="V4266" s="9">
        <f ca="1">RawData[[#This Row],[Z (smoothed demand size)]]/RawData[[#This Row],[X (smoothed interval)]]</f>
        <v>0.19426751592356692</v>
      </c>
    </row>
    <row r="4267" spans="1:22">
      <c r="A4267" t="s">
        <v>79</v>
      </c>
      <c r="B4267" t="s">
        <v>60</v>
      </c>
      <c r="C4267">
        <v>49</v>
      </c>
      <c r="D4267" t="s">
        <v>15</v>
      </c>
      <c r="E4267" t="s">
        <v>16</v>
      </c>
      <c r="F4267" s="1">
        <v>43471</v>
      </c>
      <c r="G4267">
        <v>0</v>
      </c>
      <c r="H4267">
        <v>0</v>
      </c>
      <c r="I4267">
        <v>18</v>
      </c>
      <c r="J4267">
        <v>18</v>
      </c>
      <c r="K4267">
        <v>0</v>
      </c>
      <c r="L4267">
        <v>631</v>
      </c>
      <c r="M4267">
        <v>45</v>
      </c>
      <c r="N4267" s="1">
        <f t="shared" si="528"/>
        <v>44938</v>
      </c>
      <c r="O4267" s="1">
        <f t="shared" si="529"/>
        <v>43101</v>
      </c>
      <c r="P4267" s="1">
        <f t="shared" si="530"/>
        <v>43617</v>
      </c>
      <c r="Q4267" s="8">
        <f t="shared" si="531"/>
        <v>0</v>
      </c>
      <c r="R4267" s="8">
        <f t="shared" si="532"/>
        <v>18</v>
      </c>
      <c r="S4267" s="8">
        <f t="shared" ca="1" si="533"/>
        <v>14</v>
      </c>
      <c r="T4267">
        <f t="shared" ca="1" si="534"/>
        <v>0.48800000000000004</v>
      </c>
      <c r="U4267" s="8">
        <f t="shared" ca="1" si="535"/>
        <v>2.5119999999999996</v>
      </c>
      <c r="V4267" s="9">
        <f ca="1">RawData[[#This Row],[Z (smoothed demand size)]]/RawData[[#This Row],[X (smoothed interval)]]</f>
        <v>0.19426751592356692</v>
      </c>
    </row>
    <row r="4268" spans="1:22">
      <c r="A4268" t="s">
        <v>79</v>
      </c>
      <c r="B4268" t="s">
        <v>60</v>
      </c>
      <c r="C4268">
        <v>49</v>
      </c>
      <c r="D4268" t="s">
        <v>15</v>
      </c>
      <c r="E4268" t="s">
        <v>16</v>
      </c>
      <c r="F4268" s="1">
        <v>43472</v>
      </c>
      <c r="G4268">
        <v>0</v>
      </c>
      <c r="H4268">
        <v>0</v>
      </c>
      <c r="I4268">
        <v>18</v>
      </c>
      <c r="J4268">
        <v>18</v>
      </c>
      <c r="K4268">
        <v>0</v>
      </c>
      <c r="L4268">
        <v>641</v>
      </c>
      <c r="M4268">
        <v>60</v>
      </c>
      <c r="N4268" s="1">
        <f t="shared" si="528"/>
        <v>44938</v>
      </c>
      <c r="O4268" s="1">
        <f t="shared" si="529"/>
        <v>43101</v>
      </c>
      <c r="P4268" s="1">
        <f t="shared" si="530"/>
        <v>43647</v>
      </c>
      <c r="Q4268" s="8">
        <f t="shared" si="531"/>
        <v>0</v>
      </c>
      <c r="R4268" s="8">
        <f t="shared" si="532"/>
        <v>19</v>
      </c>
      <c r="S4268" s="8">
        <f t="shared" ca="1" si="533"/>
        <v>14</v>
      </c>
      <c r="T4268">
        <f t="shared" ca="1" si="534"/>
        <v>0.48800000000000004</v>
      </c>
      <c r="U4268" s="8">
        <f t="shared" ca="1" si="535"/>
        <v>2.5119999999999996</v>
      </c>
      <c r="V4268" s="9">
        <f ca="1">RawData[[#This Row],[Z (smoothed demand size)]]/RawData[[#This Row],[X (smoothed interval)]]</f>
        <v>0.19426751592356692</v>
      </c>
    </row>
    <row r="4269" spans="1:22">
      <c r="A4269" t="s">
        <v>79</v>
      </c>
      <c r="B4269" t="s">
        <v>60</v>
      </c>
      <c r="C4269">
        <v>49</v>
      </c>
      <c r="D4269" t="s">
        <v>15</v>
      </c>
      <c r="E4269" t="s">
        <v>16</v>
      </c>
      <c r="F4269" s="1">
        <v>43473</v>
      </c>
      <c r="G4269">
        <v>0</v>
      </c>
      <c r="H4269">
        <v>0</v>
      </c>
      <c r="I4269">
        <v>18</v>
      </c>
      <c r="J4269">
        <v>18</v>
      </c>
      <c r="K4269">
        <v>0</v>
      </c>
      <c r="L4269">
        <v>640</v>
      </c>
      <c r="M4269">
        <v>30</v>
      </c>
      <c r="N4269" s="1">
        <f t="shared" si="528"/>
        <v>44938</v>
      </c>
      <c r="O4269" s="1">
        <f t="shared" si="529"/>
        <v>43101</v>
      </c>
      <c r="P4269" s="1">
        <f t="shared" si="530"/>
        <v>43678</v>
      </c>
      <c r="Q4269" s="8">
        <f t="shared" si="531"/>
        <v>0</v>
      </c>
      <c r="R4269" s="8">
        <f t="shared" si="532"/>
        <v>20</v>
      </c>
      <c r="S4269" s="8">
        <f t="shared" ca="1" si="533"/>
        <v>14</v>
      </c>
      <c r="T4269">
        <f t="shared" ca="1" si="534"/>
        <v>0.48800000000000004</v>
      </c>
      <c r="U4269" s="8">
        <f t="shared" ca="1" si="535"/>
        <v>2.5119999999999996</v>
      </c>
      <c r="V4269" s="9">
        <f ca="1">RawData[[#This Row],[Z (smoothed demand size)]]/RawData[[#This Row],[X (smoothed interval)]]</f>
        <v>0.19426751592356692</v>
      </c>
    </row>
    <row r="4270" spans="1:22">
      <c r="A4270" t="s">
        <v>79</v>
      </c>
      <c r="B4270" t="s">
        <v>60</v>
      </c>
      <c r="C4270">
        <v>49</v>
      </c>
      <c r="D4270" t="s">
        <v>15</v>
      </c>
      <c r="E4270" t="s">
        <v>16</v>
      </c>
      <c r="F4270" s="1">
        <v>43474</v>
      </c>
      <c r="G4270">
        <v>0</v>
      </c>
      <c r="H4270">
        <v>0</v>
      </c>
      <c r="I4270">
        <v>18</v>
      </c>
      <c r="J4270">
        <v>18</v>
      </c>
      <c r="K4270">
        <v>0</v>
      </c>
      <c r="L4270">
        <v>561</v>
      </c>
      <c r="M4270">
        <v>15</v>
      </c>
      <c r="N4270" s="1">
        <f t="shared" si="528"/>
        <v>44938</v>
      </c>
      <c r="O4270" s="1">
        <f t="shared" si="529"/>
        <v>43101</v>
      </c>
      <c r="P4270" s="1">
        <f t="shared" si="530"/>
        <v>43709</v>
      </c>
      <c r="Q4270" s="8">
        <f t="shared" si="531"/>
        <v>0</v>
      </c>
      <c r="R4270" s="8">
        <f t="shared" si="532"/>
        <v>21</v>
      </c>
      <c r="S4270" s="8">
        <f t="shared" ca="1" si="533"/>
        <v>14</v>
      </c>
      <c r="T4270">
        <f t="shared" ca="1" si="534"/>
        <v>0.48800000000000004</v>
      </c>
      <c r="U4270" s="8">
        <f t="shared" ca="1" si="535"/>
        <v>2.5119999999999996</v>
      </c>
      <c r="V4270" s="9">
        <f ca="1">RawData[[#This Row],[Z (smoothed demand size)]]/RawData[[#This Row],[X (smoothed interval)]]</f>
        <v>0.19426751592356692</v>
      </c>
    </row>
    <row r="4271" spans="1:22">
      <c r="A4271" t="s">
        <v>79</v>
      </c>
      <c r="B4271" t="s">
        <v>60</v>
      </c>
      <c r="C4271">
        <v>49</v>
      </c>
      <c r="D4271" t="s">
        <v>15</v>
      </c>
      <c r="E4271" t="s">
        <v>16</v>
      </c>
      <c r="F4271" s="1">
        <v>43475</v>
      </c>
      <c r="G4271">
        <v>0</v>
      </c>
      <c r="H4271">
        <v>0</v>
      </c>
      <c r="I4271">
        <v>18</v>
      </c>
      <c r="J4271">
        <v>18</v>
      </c>
      <c r="K4271">
        <v>0</v>
      </c>
      <c r="L4271">
        <v>560</v>
      </c>
      <c r="M4271">
        <v>45</v>
      </c>
      <c r="N4271" s="1">
        <f t="shared" si="528"/>
        <v>44938</v>
      </c>
      <c r="O4271" s="1">
        <f t="shared" si="529"/>
        <v>43101</v>
      </c>
      <c r="P4271" s="1">
        <f t="shared" si="530"/>
        <v>43739</v>
      </c>
      <c r="Q4271" s="8">
        <f t="shared" si="531"/>
        <v>0</v>
      </c>
      <c r="R4271" s="8">
        <f t="shared" si="532"/>
        <v>22</v>
      </c>
      <c r="S4271" s="8">
        <f t="shared" ca="1" si="533"/>
        <v>14</v>
      </c>
      <c r="T4271">
        <f t="shared" ca="1" si="534"/>
        <v>0.48800000000000004</v>
      </c>
      <c r="U4271" s="8">
        <f t="shared" ca="1" si="535"/>
        <v>2.5119999999999996</v>
      </c>
      <c r="V4271" s="9">
        <f ca="1">RawData[[#This Row],[Z (smoothed demand size)]]/RawData[[#This Row],[X (smoothed interval)]]</f>
        <v>0.19426751592356692</v>
      </c>
    </row>
    <row r="4272" spans="1:22">
      <c r="A4272" t="s">
        <v>79</v>
      </c>
      <c r="B4272" t="s">
        <v>60</v>
      </c>
      <c r="C4272">
        <v>49</v>
      </c>
      <c r="D4272" t="s">
        <v>15</v>
      </c>
      <c r="E4272" t="s">
        <v>16</v>
      </c>
      <c r="F4272" s="1">
        <v>43476</v>
      </c>
      <c r="G4272">
        <v>0</v>
      </c>
      <c r="H4272">
        <v>0</v>
      </c>
      <c r="I4272">
        <v>18</v>
      </c>
      <c r="J4272">
        <v>18</v>
      </c>
      <c r="K4272">
        <v>0</v>
      </c>
      <c r="L4272">
        <v>555</v>
      </c>
      <c r="M4272">
        <v>15</v>
      </c>
      <c r="N4272" s="1">
        <f t="shared" si="528"/>
        <v>44938</v>
      </c>
      <c r="O4272" s="1">
        <f t="shared" si="529"/>
        <v>43101</v>
      </c>
      <c r="P4272" s="1">
        <f t="shared" si="530"/>
        <v>43770</v>
      </c>
      <c r="Q4272" s="8">
        <f t="shared" si="531"/>
        <v>0</v>
      </c>
      <c r="R4272" s="8">
        <f t="shared" si="532"/>
        <v>23</v>
      </c>
      <c r="S4272" s="8">
        <f t="shared" ca="1" si="533"/>
        <v>14</v>
      </c>
      <c r="T4272">
        <f t="shared" ca="1" si="534"/>
        <v>0.48800000000000004</v>
      </c>
      <c r="U4272" s="8">
        <f t="shared" ca="1" si="535"/>
        <v>2.5119999999999996</v>
      </c>
      <c r="V4272" s="9">
        <f ca="1">RawData[[#This Row],[Z (smoothed demand size)]]/RawData[[#This Row],[X (smoothed interval)]]</f>
        <v>0.19426751592356692</v>
      </c>
    </row>
    <row r="4273" spans="1:22">
      <c r="A4273" t="s">
        <v>79</v>
      </c>
      <c r="B4273" t="s">
        <v>60</v>
      </c>
      <c r="C4273">
        <v>49</v>
      </c>
      <c r="D4273" t="s">
        <v>15</v>
      </c>
      <c r="E4273" t="s">
        <v>16</v>
      </c>
      <c r="F4273" s="1">
        <v>43477</v>
      </c>
      <c r="G4273">
        <v>0</v>
      </c>
      <c r="H4273">
        <v>0</v>
      </c>
      <c r="I4273">
        <v>18</v>
      </c>
      <c r="J4273">
        <v>18</v>
      </c>
      <c r="K4273">
        <v>0</v>
      </c>
      <c r="L4273">
        <v>654</v>
      </c>
      <c r="M4273">
        <v>45</v>
      </c>
      <c r="N4273" s="1">
        <f t="shared" si="528"/>
        <v>44938</v>
      </c>
      <c r="O4273" s="1">
        <f t="shared" si="529"/>
        <v>43101</v>
      </c>
      <c r="P4273" s="1">
        <f t="shared" si="530"/>
        <v>43800</v>
      </c>
      <c r="Q4273" s="8">
        <f t="shared" si="531"/>
        <v>0</v>
      </c>
      <c r="R4273" s="8">
        <f t="shared" si="532"/>
        <v>24</v>
      </c>
      <c r="S4273" s="8">
        <f t="shared" ca="1" si="533"/>
        <v>14</v>
      </c>
      <c r="T4273">
        <f t="shared" ca="1" si="534"/>
        <v>0.48800000000000004</v>
      </c>
      <c r="U4273" s="8">
        <f t="shared" ca="1" si="535"/>
        <v>2.5119999999999996</v>
      </c>
      <c r="V4273" s="9">
        <f ca="1">RawData[[#This Row],[Z (smoothed demand size)]]/RawData[[#This Row],[X (smoothed interval)]]</f>
        <v>0.19426751592356692</v>
      </c>
    </row>
    <row r="4274" spans="1:22">
      <c r="A4274" t="s">
        <v>79</v>
      </c>
      <c r="B4274" t="s">
        <v>60</v>
      </c>
      <c r="C4274">
        <v>49</v>
      </c>
      <c r="D4274" t="s">
        <v>15</v>
      </c>
      <c r="E4274" t="s">
        <v>16</v>
      </c>
      <c r="F4274" s="1">
        <v>43831</v>
      </c>
      <c r="G4274">
        <v>0</v>
      </c>
      <c r="H4274">
        <v>0</v>
      </c>
      <c r="I4274">
        <v>18</v>
      </c>
      <c r="J4274">
        <v>18</v>
      </c>
      <c r="K4274">
        <v>0</v>
      </c>
      <c r="L4274">
        <v>557</v>
      </c>
      <c r="M4274">
        <v>15</v>
      </c>
      <c r="N4274" s="1">
        <f t="shared" si="528"/>
        <v>44938</v>
      </c>
      <c r="O4274" s="1">
        <f t="shared" si="529"/>
        <v>43101</v>
      </c>
      <c r="P4274" s="1">
        <f t="shared" si="530"/>
        <v>43831</v>
      </c>
      <c r="Q4274" s="8">
        <f t="shared" si="531"/>
        <v>0</v>
      </c>
      <c r="R4274" s="8">
        <f t="shared" si="532"/>
        <v>25</v>
      </c>
      <c r="S4274" s="8">
        <f t="shared" ca="1" si="533"/>
        <v>14</v>
      </c>
      <c r="T4274">
        <f t="shared" ca="1" si="534"/>
        <v>0.48800000000000004</v>
      </c>
      <c r="U4274" s="8">
        <f t="shared" ca="1" si="535"/>
        <v>2.5119999999999996</v>
      </c>
      <c r="V4274" s="9">
        <f ca="1">RawData[[#This Row],[Z (smoothed demand size)]]/RawData[[#This Row],[X (smoothed interval)]]</f>
        <v>0.19426751592356692</v>
      </c>
    </row>
    <row r="4275" spans="1:22">
      <c r="A4275" t="s">
        <v>79</v>
      </c>
      <c r="B4275" t="s">
        <v>60</v>
      </c>
      <c r="C4275">
        <v>49</v>
      </c>
      <c r="D4275" t="s">
        <v>15</v>
      </c>
      <c r="E4275" t="s">
        <v>16</v>
      </c>
      <c r="F4275" s="1">
        <v>43832</v>
      </c>
      <c r="G4275">
        <v>0</v>
      </c>
      <c r="H4275">
        <v>0</v>
      </c>
      <c r="I4275">
        <v>18</v>
      </c>
      <c r="J4275">
        <v>18</v>
      </c>
      <c r="K4275">
        <v>0</v>
      </c>
      <c r="L4275">
        <v>559</v>
      </c>
      <c r="M4275">
        <v>60</v>
      </c>
      <c r="N4275" s="1">
        <f t="shared" si="528"/>
        <v>44938</v>
      </c>
      <c r="O4275" s="1">
        <f t="shared" si="529"/>
        <v>43101</v>
      </c>
      <c r="P4275" s="1">
        <f t="shared" si="530"/>
        <v>43862</v>
      </c>
      <c r="Q4275" s="8">
        <f t="shared" si="531"/>
        <v>0</v>
      </c>
      <c r="R4275" s="8">
        <f t="shared" si="532"/>
        <v>26</v>
      </c>
      <c r="S4275" s="8">
        <f t="shared" ca="1" si="533"/>
        <v>14</v>
      </c>
      <c r="T4275">
        <f t="shared" ca="1" si="534"/>
        <v>0.48800000000000004</v>
      </c>
      <c r="U4275" s="8">
        <f t="shared" ca="1" si="535"/>
        <v>2.5119999999999996</v>
      </c>
      <c r="V4275" s="9">
        <f ca="1">RawData[[#This Row],[Z (smoothed demand size)]]/RawData[[#This Row],[X (smoothed interval)]]</f>
        <v>0.19426751592356692</v>
      </c>
    </row>
    <row r="4276" spans="1:22">
      <c r="A4276" t="s">
        <v>79</v>
      </c>
      <c r="B4276" t="s">
        <v>60</v>
      </c>
      <c r="C4276">
        <v>49</v>
      </c>
      <c r="D4276" t="s">
        <v>15</v>
      </c>
      <c r="E4276" t="s">
        <v>16</v>
      </c>
      <c r="F4276" s="1">
        <v>43833</v>
      </c>
      <c r="G4276">
        <v>0</v>
      </c>
      <c r="H4276">
        <v>0</v>
      </c>
      <c r="I4276">
        <v>18</v>
      </c>
      <c r="J4276">
        <v>18</v>
      </c>
      <c r="K4276">
        <v>0</v>
      </c>
      <c r="L4276">
        <v>549</v>
      </c>
      <c r="M4276">
        <v>15</v>
      </c>
      <c r="N4276" s="1">
        <f t="shared" si="528"/>
        <v>44938</v>
      </c>
      <c r="O4276" s="1">
        <f t="shared" si="529"/>
        <v>43101</v>
      </c>
      <c r="P4276" s="1">
        <f t="shared" si="530"/>
        <v>43891</v>
      </c>
      <c r="Q4276" s="8">
        <f t="shared" si="531"/>
        <v>0</v>
      </c>
      <c r="R4276" s="8">
        <f t="shared" si="532"/>
        <v>27</v>
      </c>
      <c r="S4276" s="8">
        <f t="shared" ca="1" si="533"/>
        <v>14</v>
      </c>
      <c r="T4276">
        <f t="shared" ca="1" si="534"/>
        <v>0.48800000000000004</v>
      </c>
      <c r="U4276" s="8">
        <f t="shared" ca="1" si="535"/>
        <v>2.5119999999999996</v>
      </c>
      <c r="V4276" s="9">
        <f ca="1">RawData[[#This Row],[Z (smoothed demand size)]]/RawData[[#This Row],[X (smoothed interval)]]</f>
        <v>0.19426751592356692</v>
      </c>
    </row>
    <row r="4277" spans="1:22">
      <c r="A4277" t="s">
        <v>79</v>
      </c>
      <c r="B4277" t="s">
        <v>60</v>
      </c>
      <c r="C4277">
        <v>49</v>
      </c>
      <c r="D4277" t="s">
        <v>15</v>
      </c>
      <c r="E4277" t="s">
        <v>16</v>
      </c>
      <c r="F4277" s="1">
        <v>43834</v>
      </c>
      <c r="G4277">
        <v>0</v>
      </c>
      <c r="H4277">
        <v>0</v>
      </c>
      <c r="I4277">
        <v>18</v>
      </c>
      <c r="J4277">
        <v>18</v>
      </c>
      <c r="K4277">
        <v>0</v>
      </c>
      <c r="L4277">
        <v>550</v>
      </c>
      <c r="M4277">
        <v>30</v>
      </c>
      <c r="N4277" s="1">
        <f t="shared" si="528"/>
        <v>44938</v>
      </c>
      <c r="O4277" s="1">
        <f t="shared" si="529"/>
        <v>43101</v>
      </c>
      <c r="P4277" s="1">
        <f t="shared" si="530"/>
        <v>43922</v>
      </c>
      <c r="Q4277" s="8">
        <f t="shared" si="531"/>
        <v>0</v>
      </c>
      <c r="R4277" s="8">
        <f t="shared" si="532"/>
        <v>28</v>
      </c>
      <c r="S4277" s="8">
        <f t="shared" ca="1" si="533"/>
        <v>14</v>
      </c>
      <c r="T4277">
        <f t="shared" ca="1" si="534"/>
        <v>0.48800000000000004</v>
      </c>
      <c r="U4277" s="8">
        <f t="shared" ca="1" si="535"/>
        <v>2.5119999999999996</v>
      </c>
      <c r="V4277" s="9">
        <f ca="1">RawData[[#This Row],[Z (smoothed demand size)]]/RawData[[#This Row],[X (smoothed interval)]]</f>
        <v>0.19426751592356692</v>
      </c>
    </row>
    <row r="4278" spans="1:22">
      <c r="A4278" t="s">
        <v>79</v>
      </c>
      <c r="B4278" t="s">
        <v>60</v>
      </c>
      <c r="C4278">
        <v>49</v>
      </c>
      <c r="D4278" t="s">
        <v>15</v>
      </c>
      <c r="E4278" t="s">
        <v>16</v>
      </c>
      <c r="F4278" s="1">
        <v>43835</v>
      </c>
      <c r="G4278">
        <v>0</v>
      </c>
      <c r="H4278">
        <v>0</v>
      </c>
      <c r="I4278">
        <v>18</v>
      </c>
      <c r="J4278">
        <v>18</v>
      </c>
      <c r="K4278">
        <v>0</v>
      </c>
      <c r="L4278">
        <v>552</v>
      </c>
      <c r="M4278">
        <v>45</v>
      </c>
      <c r="N4278" s="1">
        <f t="shared" si="528"/>
        <v>44938</v>
      </c>
      <c r="O4278" s="1">
        <f t="shared" si="529"/>
        <v>43101</v>
      </c>
      <c r="P4278" s="1">
        <f t="shared" si="530"/>
        <v>43952</v>
      </c>
      <c r="Q4278" s="8">
        <f t="shared" si="531"/>
        <v>0</v>
      </c>
      <c r="R4278" s="8">
        <f t="shared" si="532"/>
        <v>29</v>
      </c>
      <c r="S4278" s="8">
        <f t="shared" ca="1" si="533"/>
        <v>14</v>
      </c>
      <c r="T4278">
        <f t="shared" ca="1" si="534"/>
        <v>0.48800000000000004</v>
      </c>
      <c r="U4278" s="8">
        <f t="shared" ca="1" si="535"/>
        <v>2.5119999999999996</v>
      </c>
      <c r="V4278" s="9">
        <f ca="1">RawData[[#This Row],[Z (smoothed demand size)]]/RawData[[#This Row],[X (smoothed interval)]]</f>
        <v>0.19426751592356692</v>
      </c>
    </row>
    <row r="4279" spans="1:22">
      <c r="A4279" t="s">
        <v>79</v>
      </c>
      <c r="B4279" t="s">
        <v>60</v>
      </c>
      <c r="C4279">
        <v>49</v>
      </c>
      <c r="D4279" t="s">
        <v>15</v>
      </c>
      <c r="E4279" t="s">
        <v>16</v>
      </c>
      <c r="F4279" s="1">
        <v>43836</v>
      </c>
      <c r="G4279">
        <v>0</v>
      </c>
      <c r="H4279">
        <v>0</v>
      </c>
      <c r="I4279">
        <v>18</v>
      </c>
      <c r="J4279">
        <v>18</v>
      </c>
      <c r="K4279">
        <v>0</v>
      </c>
      <c r="L4279">
        <v>628</v>
      </c>
      <c r="M4279">
        <v>60</v>
      </c>
      <c r="N4279" s="1">
        <f t="shared" si="528"/>
        <v>44938</v>
      </c>
      <c r="O4279" s="1">
        <f t="shared" si="529"/>
        <v>43101</v>
      </c>
      <c r="P4279" s="1">
        <f t="shared" si="530"/>
        <v>43983</v>
      </c>
      <c r="Q4279" s="8">
        <f t="shared" si="531"/>
        <v>0</v>
      </c>
      <c r="R4279" s="8">
        <f t="shared" si="532"/>
        <v>30</v>
      </c>
      <c r="S4279" s="8">
        <f t="shared" ca="1" si="533"/>
        <v>14</v>
      </c>
      <c r="T4279">
        <f t="shared" ca="1" si="534"/>
        <v>0.48800000000000004</v>
      </c>
      <c r="U4279" s="8">
        <f t="shared" ca="1" si="535"/>
        <v>2.5119999999999996</v>
      </c>
      <c r="V4279" s="9">
        <f ca="1">RawData[[#This Row],[Z (smoothed demand size)]]/RawData[[#This Row],[X (smoothed interval)]]</f>
        <v>0.19426751592356692</v>
      </c>
    </row>
    <row r="4280" spans="1:22">
      <c r="A4280" t="s">
        <v>79</v>
      </c>
      <c r="B4280" t="s">
        <v>60</v>
      </c>
      <c r="C4280">
        <v>49</v>
      </c>
      <c r="D4280" t="s">
        <v>15</v>
      </c>
      <c r="E4280" t="s">
        <v>16</v>
      </c>
      <c r="F4280" s="1">
        <v>43837</v>
      </c>
      <c r="G4280">
        <v>0</v>
      </c>
      <c r="H4280">
        <v>0</v>
      </c>
      <c r="I4280">
        <v>18</v>
      </c>
      <c r="J4280">
        <v>18</v>
      </c>
      <c r="K4280">
        <v>0</v>
      </c>
      <c r="L4280">
        <v>635</v>
      </c>
      <c r="M4280">
        <v>60</v>
      </c>
      <c r="N4280" s="1">
        <f t="shared" si="528"/>
        <v>44938</v>
      </c>
      <c r="O4280" s="1">
        <f t="shared" si="529"/>
        <v>43101</v>
      </c>
      <c r="P4280" s="1">
        <f t="shared" si="530"/>
        <v>44013</v>
      </c>
      <c r="Q4280" s="8">
        <f t="shared" si="531"/>
        <v>0</v>
      </c>
      <c r="R4280" s="8">
        <f t="shared" si="532"/>
        <v>31</v>
      </c>
      <c r="S4280" s="8">
        <f t="shared" ca="1" si="533"/>
        <v>14</v>
      </c>
      <c r="T4280">
        <f t="shared" ca="1" si="534"/>
        <v>0.48800000000000004</v>
      </c>
      <c r="U4280" s="8">
        <f t="shared" ca="1" si="535"/>
        <v>2.5119999999999996</v>
      </c>
      <c r="V4280" s="9">
        <f ca="1">RawData[[#This Row],[Z (smoothed demand size)]]/RawData[[#This Row],[X (smoothed interval)]]</f>
        <v>0.19426751592356692</v>
      </c>
    </row>
    <row r="4281" spans="1:22">
      <c r="A4281" t="s">
        <v>79</v>
      </c>
      <c r="B4281" t="s">
        <v>60</v>
      </c>
      <c r="C4281">
        <v>49</v>
      </c>
      <c r="D4281" t="s">
        <v>15</v>
      </c>
      <c r="E4281" t="s">
        <v>16</v>
      </c>
      <c r="F4281" s="1">
        <v>43838</v>
      </c>
      <c r="G4281">
        <v>0</v>
      </c>
      <c r="H4281">
        <v>0</v>
      </c>
      <c r="I4281">
        <v>18</v>
      </c>
      <c r="J4281">
        <v>18</v>
      </c>
      <c r="K4281">
        <v>0</v>
      </c>
      <c r="L4281">
        <v>634</v>
      </c>
      <c r="M4281">
        <v>15</v>
      </c>
      <c r="N4281" s="1">
        <f t="shared" si="528"/>
        <v>44938</v>
      </c>
      <c r="O4281" s="1">
        <f t="shared" si="529"/>
        <v>43101</v>
      </c>
      <c r="P4281" s="1">
        <f t="shared" si="530"/>
        <v>44044</v>
      </c>
      <c r="Q4281" s="8">
        <f t="shared" si="531"/>
        <v>0</v>
      </c>
      <c r="R4281" s="8">
        <f t="shared" si="532"/>
        <v>32</v>
      </c>
      <c r="S4281" s="8">
        <f t="shared" ca="1" si="533"/>
        <v>14</v>
      </c>
      <c r="T4281">
        <f t="shared" ca="1" si="534"/>
        <v>0.48800000000000004</v>
      </c>
      <c r="U4281" s="8">
        <f t="shared" ca="1" si="535"/>
        <v>2.5119999999999996</v>
      </c>
      <c r="V4281" s="9">
        <f ca="1">RawData[[#This Row],[Z (smoothed demand size)]]/RawData[[#This Row],[X (smoothed interval)]]</f>
        <v>0.19426751592356692</v>
      </c>
    </row>
    <row r="4282" spans="1:22">
      <c r="A4282" t="s">
        <v>79</v>
      </c>
      <c r="B4282" t="s">
        <v>60</v>
      </c>
      <c r="C4282">
        <v>49</v>
      </c>
      <c r="D4282" t="s">
        <v>15</v>
      </c>
      <c r="E4282" t="s">
        <v>16</v>
      </c>
      <c r="F4282" s="1">
        <v>43839</v>
      </c>
      <c r="G4282">
        <v>0</v>
      </c>
      <c r="H4282">
        <v>0</v>
      </c>
      <c r="I4282">
        <v>18</v>
      </c>
      <c r="J4282">
        <v>18</v>
      </c>
      <c r="K4282">
        <v>0</v>
      </c>
      <c r="L4282">
        <v>558</v>
      </c>
      <c r="M4282">
        <v>60</v>
      </c>
      <c r="N4282" s="1">
        <f t="shared" si="528"/>
        <v>44938</v>
      </c>
      <c r="O4282" s="1">
        <f t="shared" si="529"/>
        <v>43101</v>
      </c>
      <c r="P4282" s="1">
        <f t="shared" si="530"/>
        <v>44075</v>
      </c>
      <c r="Q4282" s="8">
        <f t="shared" si="531"/>
        <v>0</v>
      </c>
      <c r="R4282" s="8">
        <f t="shared" si="532"/>
        <v>33</v>
      </c>
      <c r="S4282" s="8">
        <f t="shared" ca="1" si="533"/>
        <v>14</v>
      </c>
      <c r="T4282">
        <f t="shared" ca="1" si="534"/>
        <v>0.48800000000000004</v>
      </c>
      <c r="U4282" s="8">
        <f t="shared" ca="1" si="535"/>
        <v>2.5119999999999996</v>
      </c>
      <c r="V4282" s="9">
        <f ca="1">RawData[[#This Row],[Z (smoothed demand size)]]/RawData[[#This Row],[X (smoothed interval)]]</f>
        <v>0.19426751592356692</v>
      </c>
    </row>
    <row r="4283" spans="1:22">
      <c r="A4283" t="s">
        <v>79</v>
      </c>
      <c r="B4283" t="s">
        <v>60</v>
      </c>
      <c r="C4283">
        <v>49</v>
      </c>
      <c r="D4283" t="s">
        <v>15</v>
      </c>
      <c r="E4283" t="s">
        <v>16</v>
      </c>
      <c r="F4283" s="1">
        <v>43840</v>
      </c>
      <c r="G4283">
        <v>0</v>
      </c>
      <c r="H4283">
        <v>0</v>
      </c>
      <c r="I4283">
        <v>18</v>
      </c>
      <c r="J4283">
        <v>18</v>
      </c>
      <c r="K4283">
        <v>0</v>
      </c>
      <c r="L4283">
        <v>558</v>
      </c>
      <c r="M4283">
        <v>30</v>
      </c>
      <c r="N4283" s="1">
        <f t="shared" si="528"/>
        <v>44938</v>
      </c>
      <c r="O4283" s="1">
        <f t="shared" si="529"/>
        <v>43101</v>
      </c>
      <c r="P4283" s="1">
        <f t="shared" si="530"/>
        <v>44105</v>
      </c>
      <c r="Q4283" s="8">
        <f t="shared" si="531"/>
        <v>0</v>
      </c>
      <c r="R4283" s="8">
        <f t="shared" si="532"/>
        <v>34</v>
      </c>
      <c r="S4283" s="8">
        <f t="shared" ca="1" si="533"/>
        <v>14</v>
      </c>
      <c r="T4283">
        <f t="shared" ca="1" si="534"/>
        <v>0.48800000000000004</v>
      </c>
      <c r="U4283" s="8">
        <f t="shared" ca="1" si="535"/>
        <v>2.5119999999999996</v>
      </c>
      <c r="V4283" s="9">
        <f ca="1">RawData[[#This Row],[Z (smoothed demand size)]]/RawData[[#This Row],[X (smoothed interval)]]</f>
        <v>0.19426751592356692</v>
      </c>
    </row>
    <row r="4284" spans="1:22">
      <c r="A4284" t="s">
        <v>79</v>
      </c>
      <c r="B4284" t="s">
        <v>60</v>
      </c>
      <c r="C4284">
        <v>49</v>
      </c>
      <c r="D4284" t="s">
        <v>15</v>
      </c>
      <c r="E4284" t="s">
        <v>16</v>
      </c>
      <c r="F4284" s="1">
        <v>43841</v>
      </c>
      <c r="G4284">
        <v>0</v>
      </c>
      <c r="H4284">
        <v>0</v>
      </c>
      <c r="I4284">
        <v>18</v>
      </c>
      <c r="J4284">
        <v>18</v>
      </c>
      <c r="K4284">
        <v>0</v>
      </c>
      <c r="L4284">
        <v>552</v>
      </c>
      <c r="M4284">
        <v>30</v>
      </c>
      <c r="N4284" s="1">
        <f t="shared" si="528"/>
        <v>44938</v>
      </c>
      <c r="O4284" s="1">
        <f t="shared" si="529"/>
        <v>43101</v>
      </c>
      <c r="P4284" s="1">
        <f t="shared" si="530"/>
        <v>44136</v>
      </c>
      <c r="Q4284" s="8">
        <f t="shared" si="531"/>
        <v>0</v>
      </c>
      <c r="R4284" s="8">
        <f t="shared" si="532"/>
        <v>35</v>
      </c>
      <c r="S4284" s="8">
        <f t="shared" ca="1" si="533"/>
        <v>14</v>
      </c>
      <c r="T4284">
        <f t="shared" ca="1" si="534"/>
        <v>0.48800000000000004</v>
      </c>
      <c r="U4284" s="8">
        <f t="shared" ca="1" si="535"/>
        <v>2.5119999999999996</v>
      </c>
      <c r="V4284" s="9">
        <f ca="1">RawData[[#This Row],[Z (smoothed demand size)]]/RawData[[#This Row],[X (smoothed interval)]]</f>
        <v>0.19426751592356692</v>
      </c>
    </row>
    <row r="4285" spans="1:22">
      <c r="A4285" t="s">
        <v>79</v>
      </c>
      <c r="B4285" t="s">
        <v>60</v>
      </c>
      <c r="C4285">
        <v>49</v>
      </c>
      <c r="D4285" t="s">
        <v>15</v>
      </c>
      <c r="E4285" t="s">
        <v>16</v>
      </c>
      <c r="F4285" s="1">
        <v>43842</v>
      </c>
      <c r="G4285">
        <v>0</v>
      </c>
      <c r="H4285">
        <v>0</v>
      </c>
      <c r="I4285">
        <v>18</v>
      </c>
      <c r="J4285">
        <v>18</v>
      </c>
      <c r="K4285">
        <v>0</v>
      </c>
      <c r="L4285">
        <v>632</v>
      </c>
      <c r="M4285">
        <v>45</v>
      </c>
      <c r="N4285" s="1">
        <f t="shared" si="528"/>
        <v>44938</v>
      </c>
      <c r="O4285" s="1">
        <f t="shared" si="529"/>
        <v>43101</v>
      </c>
      <c r="P4285" s="1">
        <f t="shared" si="530"/>
        <v>44166</v>
      </c>
      <c r="Q4285" s="8">
        <f t="shared" si="531"/>
        <v>0</v>
      </c>
      <c r="R4285" s="8">
        <f t="shared" si="532"/>
        <v>36</v>
      </c>
      <c r="S4285" s="8">
        <f t="shared" ca="1" si="533"/>
        <v>14</v>
      </c>
      <c r="T4285">
        <f t="shared" ca="1" si="534"/>
        <v>0.48800000000000004</v>
      </c>
      <c r="U4285" s="8">
        <f t="shared" ca="1" si="535"/>
        <v>2.5119999999999996</v>
      </c>
      <c r="V4285" s="9">
        <f ca="1">RawData[[#This Row],[Z (smoothed demand size)]]/RawData[[#This Row],[X (smoothed interval)]]</f>
        <v>0.19426751592356692</v>
      </c>
    </row>
    <row r="4286" spans="1:22">
      <c r="A4286" t="s">
        <v>79</v>
      </c>
      <c r="B4286" t="s">
        <v>60</v>
      </c>
      <c r="C4286">
        <v>49</v>
      </c>
      <c r="D4286" t="s">
        <v>15</v>
      </c>
      <c r="E4286" t="s">
        <v>16</v>
      </c>
      <c r="F4286" s="1">
        <v>44197</v>
      </c>
      <c r="G4286">
        <v>0</v>
      </c>
      <c r="H4286">
        <v>0</v>
      </c>
      <c r="I4286">
        <v>18</v>
      </c>
      <c r="J4286">
        <v>18</v>
      </c>
      <c r="K4286">
        <v>0</v>
      </c>
      <c r="L4286">
        <v>560</v>
      </c>
      <c r="M4286">
        <v>60</v>
      </c>
      <c r="N4286" s="1">
        <f t="shared" si="528"/>
        <v>44938</v>
      </c>
      <c r="O4286" s="1">
        <f t="shared" si="529"/>
        <v>43101</v>
      </c>
      <c r="P4286" s="1">
        <f t="shared" si="530"/>
        <v>44197</v>
      </c>
      <c r="Q4286" s="8">
        <f t="shared" si="531"/>
        <v>0</v>
      </c>
      <c r="R4286" s="8">
        <f t="shared" si="532"/>
        <v>37</v>
      </c>
      <c r="S4286" s="8">
        <f t="shared" ca="1" si="533"/>
        <v>14</v>
      </c>
      <c r="T4286">
        <f t="shared" ca="1" si="534"/>
        <v>0.48800000000000004</v>
      </c>
      <c r="U4286" s="8">
        <f t="shared" ca="1" si="535"/>
        <v>2.5119999999999996</v>
      </c>
      <c r="V4286" s="9">
        <f ca="1">RawData[[#This Row],[Z (smoothed demand size)]]/RawData[[#This Row],[X (smoothed interval)]]</f>
        <v>0.19426751592356692</v>
      </c>
    </row>
    <row r="4287" spans="1:22">
      <c r="A4287" t="s">
        <v>79</v>
      </c>
      <c r="B4287" t="s">
        <v>60</v>
      </c>
      <c r="C4287">
        <v>49</v>
      </c>
      <c r="D4287" t="s">
        <v>15</v>
      </c>
      <c r="E4287" t="s">
        <v>16</v>
      </c>
      <c r="F4287" s="1">
        <v>44198</v>
      </c>
      <c r="G4287">
        <v>0</v>
      </c>
      <c r="H4287">
        <v>0</v>
      </c>
      <c r="I4287">
        <v>18</v>
      </c>
      <c r="J4287">
        <v>18</v>
      </c>
      <c r="K4287">
        <v>0</v>
      </c>
      <c r="L4287">
        <v>542</v>
      </c>
      <c r="M4287">
        <v>45</v>
      </c>
      <c r="N4287" s="1">
        <f t="shared" si="528"/>
        <v>44938</v>
      </c>
      <c r="O4287" s="1">
        <f t="shared" si="529"/>
        <v>43101</v>
      </c>
      <c r="P4287" s="1">
        <f t="shared" si="530"/>
        <v>44228</v>
      </c>
      <c r="Q4287" s="8">
        <f t="shared" si="531"/>
        <v>0</v>
      </c>
      <c r="R4287" s="8">
        <f t="shared" si="532"/>
        <v>38</v>
      </c>
      <c r="S4287" s="8">
        <f t="shared" ca="1" si="533"/>
        <v>14</v>
      </c>
      <c r="T4287">
        <f t="shared" ca="1" si="534"/>
        <v>0.48800000000000004</v>
      </c>
      <c r="U4287" s="8">
        <f t="shared" ca="1" si="535"/>
        <v>2.5119999999999996</v>
      </c>
      <c r="V4287" s="9">
        <f ca="1">RawData[[#This Row],[Z (smoothed demand size)]]/RawData[[#This Row],[X (smoothed interval)]]</f>
        <v>0.19426751592356692</v>
      </c>
    </row>
    <row r="4288" spans="1:22">
      <c r="A4288" t="s">
        <v>79</v>
      </c>
      <c r="B4288" t="s">
        <v>60</v>
      </c>
      <c r="C4288">
        <v>49</v>
      </c>
      <c r="D4288" t="s">
        <v>15</v>
      </c>
      <c r="E4288" t="s">
        <v>16</v>
      </c>
      <c r="F4288" s="1">
        <v>44199</v>
      </c>
      <c r="G4288">
        <v>0</v>
      </c>
      <c r="H4288">
        <v>0</v>
      </c>
      <c r="I4288">
        <v>18</v>
      </c>
      <c r="J4288">
        <v>18</v>
      </c>
      <c r="K4288">
        <v>0</v>
      </c>
      <c r="L4288">
        <v>541</v>
      </c>
      <c r="M4288">
        <v>30</v>
      </c>
      <c r="N4288" s="1">
        <f t="shared" si="528"/>
        <v>44938</v>
      </c>
      <c r="O4288" s="1">
        <f t="shared" si="529"/>
        <v>43101</v>
      </c>
      <c r="P4288" s="1">
        <f t="shared" si="530"/>
        <v>44256</v>
      </c>
      <c r="Q4288" s="8">
        <f t="shared" si="531"/>
        <v>0</v>
      </c>
      <c r="R4288" s="8">
        <f t="shared" si="532"/>
        <v>39</v>
      </c>
      <c r="S4288" s="8">
        <f t="shared" ca="1" si="533"/>
        <v>14</v>
      </c>
      <c r="T4288">
        <f t="shared" ca="1" si="534"/>
        <v>0.48800000000000004</v>
      </c>
      <c r="U4288" s="8">
        <f t="shared" ca="1" si="535"/>
        <v>2.5119999999999996</v>
      </c>
      <c r="V4288" s="9">
        <f ca="1">RawData[[#This Row],[Z (smoothed demand size)]]/RawData[[#This Row],[X (smoothed interval)]]</f>
        <v>0.19426751592356692</v>
      </c>
    </row>
    <row r="4289" spans="1:22">
      <c r="A4289" t="s">
        <v>79</v>
      </c>
      <c r="B4289" t="s">
        <v>60</v>
      </c>
      <c r="C4289">
        <v>49</v>
      </c>
      <c r="D4289" t="s">
        <v>15</v>
      </c>
      <c r="E4289" t="s">
        <v>16</v>
      </c>
      <c r="F4289" s="1">
        <v>44200</v>
      </c>
      <c r="G4289">
        <v>0</v>
      </c>
      <c r="H4289">
        <v>0</v>
      </c>
      <c r="I4289">
        <v>18</v>
      </c>
      <c r="J4289">
        <v>18</v>
      </c>
      <c r="K4289">
        <v>0</v>
      </c>
      <c r="L4289">
        <v>553</v>
      </c>
      <c r="M4289">
        <v>15</v>
      </c>
      <c r="N4289" s="1">
        <f t="shared" si="528"/>
        <v>44938</v>
      </c>
      <c r="O4289" s="1">
        <f t="shared" si="529"/>
        <v>43101</v>
      </c>
      <c r="P4289" s="1">
        <f t="shared" si="530"/>
        <v>44287</v>
      </c>
      <c r="Q4289" s="8">
        <f t="shared" si="531"/>
        <v>0</v>
      </c>
      <c r="R4289" s="8">
        <f t="shared" si="532"/>
        <v>40</v>
      </c>
      <c r="S4289" s="8">
        <f t="shared" ca="1" si="533"/>
        <v>14</v>
      </c>
      <c r="T4289">
        <f t="shared" ca="1" si="534"/>
        <v>0.48800000000000004</v>
      </c>
      <c r="U4289" s="8">
        <f t="shared" ca="1" si="535"/>
        <v>2.5119999999999996</v>
      </c>
      <c r="V4289" s="9">
        <f ca="1">RawData[[#This Row],[Z (smoothed demand size)]]/RawData[[#This Row],[X (smoothed interval)]]</f>
        <v>0.19426751592356692</v>
      </c>
    </row>
    <row r="4290" spans="1:22">
      <c r="A4290" t="s">
        <v>79</v>
      </c>
      <c r="B4290" t="s">
        <v>60</v>
      </c>
      <c r="C4290">
        <v>49</v>
      </c>
      <c r="D4290" t="s">
        <v>15</v>
      </c>
      <c r="E4290" t="s">
        <v>16</v>
      </c>
      <c r="F4290" s="1">
        <v>44201</v>
      </c>
      <c r="G4290">
        <v>0</v>
      </c>
      <c r="H4290">
        <v>0</v>
      </c>
      <c r="I4290">
        <v>18</v>
      </c>
      <c r="J4290">
        <v>18</v>
      </c>
      <c r="K4290">
        <v>0</v>
      </c>
      <c r="L4290">
        <v>550</v>
      </c>
      <c r="M4290">
        <v>60</v>
      </c>
      <c r="N4290" s="1">
        <f t="shared" ref="N4290:N4321" si="536">MAX(F:F)</f>
        <v>44938</v>
      </c>
      <c r="O4290" s="1">
        <f t="shared" ref="O4290:O4321" si="537">MIN(F:F)</f>
        <v>43101</v>
      </c>
      <c r="P4290" s="1">
        <f t="shared" ref="P4290:P4321" si="538">DATE(YEAR(F4290), DAY(F4290), 1)</f>
        <v>44317</v>
      </c>
      <c r="Q4290" s="8">
        <f t="shared" ref="Q4290:Q4321" si="539" xml:space="preserve"> IF(A4290&lt;&gt;A4289, 1, 0)</f>
        <v>0</v>
      </c>
      <c r="R4290" s="8">
        <f t="shared" ref="R4290:R4321" si="540">IF(Q4290=1,1,R4289+1)</f>
        <v>41</v>
      </c>
      <c r="S4290" s="8">
        <f t="shared" ref="S4290:S4321" ca="1" si="541" xml:space="preserve"> IF(Q4290=1, IF(G4290&gt;0, R4290, 0), IF(G4290&gt;0, R4290, OFFSET(S4290,-1,0)))</f>
        <v>14</v>
      </c>
      <c r="T4290">
        <f t="shared" ref="T4290:T4321" ca="1" si="542" xml:space="preserve"> IF(Q4290=1, IF(G4290&gt;0, G4290, 0), IF(G4290&gt;0, $X$1*G4290+(1-$X$1)*OFFSET(T4290,-1,0), OFFSET(T4290,-1,0)))</f>
        <v>0.48800000000000004</v>
      </c>
      <c r="U4290" s="8">
        <f t="shared" ref="U4290:U4321" ca="1" si="543" xml:space="preserve"> IF(Q4290=1, 1, IF(G4290&gt;0, $X$1*(R4290-OFFSET(S4290,-1,0))+(1-$X$1)*OFFSET(U4290,-1,0), OFFSET(U4290,-1,0)))</f>
        <v>2.5119999999999996</v>
      </c>
      <c r="V4290" s="9">
        <f ca="1">RawData[[#This Row],[Z (smoothed demand size)]]/RawData[[#This Row],[X (smoothed interval)]]</f>
        <v>0.19426751592356692</v>
      </c>
    </row>
    <row r="4291" spans="1:22">
      <c r="A4291" t="s">
        <v>79</v>
      </c>
      <c r="B4291" t="s">
        <v>60</v>
      </c>
      <c r="C4291">
        <v>49</v>
      </c>
      <c r="D4291" t="s">
        <v>15</v>
      </c>
      <c r="E4291" t="s">
        <v>16</v>
      </c>
      <c r="F4291" s="1">
        <v>44202</v>
      </c>
      <c r="G4291">
        <v>0</v>
      </c>
      <c r="H4291">
        <v>0</v>
      </c>
      <c r="I4291">
        <v>18</v>
      </c>
      <c r="J4291">
        <v>18</v>
      </c>
      <c r="K4291">
        <v>0</v>
      </c>
      <c r="L4291">
        <v>631</v>
      </c>
      <c r="M4291">
        <v>30</v>
      </c>
      <c r="N4291" s="1">
        <f t="shared" si="536"/>
        <v>44938</v>
      </c>
      <c r="O4291" s="1">
        <f t="shared" si="537"/>
        <v>43101</v>
      </c>
      <c r="P4291" s="1">
        <f t="shared" si="538"/>
        <v>44348</v>
      </c>
      <c r="Q4291" s="8">
        <f t="shared" si="539"/>
        <v>0</v>
      </c>
      <c r="R4291" s="8">
        <f t="shared" si="540"/>
        <v>42</v>
      </c>
      <c r="S4291" s="8">
        <f t="shared" ca="1" si="541"/>
        <v>14</v>
      </c>
      <c r="T4291">
        <f t="shared" ca="1" si="542"/>
        <v>0.48800000000000004</v>
      </c>
      <c r="U4291" s="8">
        <f t="shared" ca="1" si="543"/>
        <v>2.5119999999999996</v>
      </c>
      <c r="V4291" s="9">
        <f ca="1">RawData[[#This Row],[Z (smoothed demand size)]]/RawData[[#This Row],[X (smoothed interval)]]</f>
        <v>0.19426751592356692</v>
      </c>
    </row>
    <row r="4292" spans="1:22">
      <c r="A4292" t="s">
        <v>79</v>
      </c>
      <c r="B4292" t="s">
        <v>60</v>
      </c>
      <c r="C4292">
        <v>49</v>
      </c>
      <c r="D4292" t="s">
        <v>15</v>
      </c>
      <c r="E4292" t="s">
        <v>16</v>
      </c>
      <c r="F4292" s="1">
        <v>44203</v>
      </c>
      <c r="G4292">
        <v>1</v>
      </c>
      <c r="H4292">
        <v>1</v>
      </c>
      <c r="I4292">
        <v>18</v>
      </c>
      <c r="J4292">
        <v>17</v>
      </c>
      <c r="K4292">
        <v>0</v>
      </c>
      <c r="L4292">
        <v>621</v>
      </c>
      <c r="M4292">
        <v>60</v>
      </c>
      <c r="N4292" s="1">
        <f t="shared" si="536"/>
        <v>44938</v>
      </c>
      <c r="O4292" s="1">
        <f t="shared" si="537"/>
        <v>43101</v>
      </c>
      <c r="P4292" s="1">
        <f t="shared" si="538"/>
        <v>44378</v>
      </c>
      <c r="Q4292" s="8">
        <f t="shared" si="539"/>
        <v>0</v>
      </c>
      <c r="R4292" s="8">
        <f t="shared" si="540"/>
        <v>43</v>
      </c>
      <c r="S4292" s="8">
        <f t="shared" ca="1" si="541"/>
        <v>43</v>
      </c>
      <c r="T4292">
        <f t="shared" ca="1" si="542"/>
        <v>0.59040000000000004</v>
      </c>
      <c r="U4292" s="8">
        <f t="shared" ca="1" si="543"/>
        <v>7.8096000000000005</v>
      </c>
      <c r="V4292" s="9">
        <f ca="1">RawData[[#This Row],[Z (smoothed demand size)]]/RawData[[#This Row],[X (smoothed interval)]]</f>
        <v>7.5599262446220034E-2</v>
      </c>
    </row>
    <row r="4293" spans="1:22">
      <c r="A4293" t="s">
        <v>79</v>
      </c>
      <c r="B4293" t="s">
        <v>60</v>
      </c>
      <c r="C4293">
        <v>49</v>
      </c>
      <c r="D4293" t="s">
        <v>15</v>
      </c>
      <c r="E4293" t="s">
        <v>16</v>
      </c>
      <c r="F4293" s="1">
        <v>44204</v>
      </c>
      <c r="G4293">
        <v>0</v>
      </c>
      <c r="H4293">
        <v>0</v>
      </c>
      <c r="I4293">
        <v>17</v>
      </c>
      <c r="J4293">
        <v>17</v>
      </c>
      <c r="K4293">
        <v>0</v>
      </c>
      <c r="L4293">
        <v>627</v>
      </c>
      <c r="M4293">
        <v>30</v>
      </c>
      <c r="N4293" s="1">
        <f t="shared" si="536"/>
        <v>44938</v>
      </c>
      <c r="O4293" s="1">
        <f t="shared" si="537"/>
        <v>43101</v>
      </c>
      <c r="P4293" s="1">
        <f t="shared" si="538"/>
        <v>44409</v>
      </c>
      <c r="Q4293" s="8">
        <f t="shared" si="539"/>
        <v>0</v>
      </c>
      <c r="R4293" s="8">
        <f t="shared" si="540"/>
        <v>44</v>
      </c>
      <c r="S4293" s="8">
        <f t="shared" ca="1" si="541"/>
        <v>43</v>
      </c>
      <c r="T4293">
        <f t="shared" ca="1" si="542"/>
        <v>0.59040000000000004</v>
      </c>
      <c r="U4293" s="8">
        <f t="shared" ca="1" si="543"/>
        <v>7.8096000000000005</v>
      </c>
      <c r="V4293" s="9">
        <f ca="1">RawData[[#This Row],[Z (smoothed demand size)]]/RawData[[#This Row],[X (smoothed interval)]]</f>
        <v>7.5599262446220034E-2</v>
      </c>
    </row>
    <row r="4294" spans="1:22">
      <c r="A4294" t="s">
        <v>79</v>
      </c>
      <c r="B4294" t="s">
        <v>60</v>
      </c>
      <c r="C4294">
        <v>49</v>
      </c>
      <c r="D4294" t="s">
        <v>15</v>
      </c>
      <c r="E4294" t="s">
        <v>16</v>
      </c>
      <c r="F4294" s="1">
        <v>44205</v>
      </c>
      <c r="G4294">
        <v>1</v>
      </c>
      <c r="H4294">
        <v>1</v>
      </c>
      <c r="I4294">
        <v>17</v>
      </c>
      <c r="J4294">
        <v>16</v>
      </c>
      <c r="K4294">
        <v>0</v>
      </c>
      <c r="L4294">
        <v>558</v>
      </c>
      <c r="M4294">
        <v>15</v>
      </c>
      <c r="N4294" s="1">
        <f t="shared" si="536"/>
        <v>44938</v>
      </c>
      <c r="O4294" s="1">
        <f t="shared" si="537"/>
        <v>43101</v>
      </c>
      <c r="P4294" s="1">
        <f t="shared" si="538"/>
        <v>44440</v>
      </c>
      <c r="Q4294" s="8">
        <f t="shared" si="539"/>
        <v>0</v>
      </c>
      <c r="R4294" s="8">
        <f t="shared" si="540"/>
        <v>45</v>
      </c>
      <c r="S4294" s="8">
        <f t="shared" ca="1" si="541"/>
        <v>45</v>
      </c>
      <c r="T4294">
        <f t="shared" ca="1" si="542"/>
        <v>0.67232000000000003</v>
      </c>
      <c r="U4294" s="8">
        <f t="shared" ca="1" si="543"/>
        <v>6.6476800000000011</v>
      </c>
      <c r="V4294" s="9">
        <f ca="1">RawData[[#This Row],[Z (smoothed demand size)]]/RawData[[#This Row],[X (smoothed interval)]]</f>
        <v>0.1011360354289015</v>
      </c>
    </row>
    <row r="4295" spans="1:22">
      <c r="A4295" t="s">
        <v>79</v>
      </c>
      <c r="B4295" t="s">
        <v>60</v>
      </c>
      <c r="C4295">
        <v>49</v>
      </c>
      <c r="D4295" t="s">
        <v>15</v>
      </c>
      <c r="E4295" t="s">
        <v>16</v>
      </c>
      <c r="F4295" s="1">
        <v>44206</v>
      </c>
      <c r="G4295">
        <v>0</v>
      </c>
      <c r="H4295">
        <v>0</v>
      </c>
      <c r="I4295">
        <v>16</v>
      </c>
      <c r="J4295">
        <v>16</v>
      </c>
      <c r="K4295">
        <v>0</v>
      </c>
      <c r="L4295">
        <v>557</v>
      </c>
      <c r="M4295">
        <v>60</v>
      </c>
      <c r="N4295" s="1">
        <f t="shared" si="536"/>
        <v>44938</v>
      </c>
      <c r="O4295" s="1">
        <f t="shared" si="537"/>
        <v>43101</v>
      </c>
      <c r="P4295" s="1">
        <f t="shared" si="538"/>
        <v>44470</v>
      </c>
      <c r="Q4295" s="8">
        <f t="shared" si="539"/>
        <v>0</v>
      </c>
      <c r="R4295" s="8">
        <f t="shared" si="540"/>
        <v>46</v>
      </c>
      <c r="S4295" s="8">
        <f t="shared" ca="1" si="541"/>
        <v>45</v>
      </c>
      <c r="T4295">
        <f t="shared" ca="1" si="542"/>
        <v>0.67232000000000003</v>
      </c>
      <c r="U4295" s="8">
        <f t="shared" ca="1" si="543"/>
        <v>6.6476800000000011</v>
      </c>
      <c r="V4295" s="9">
        <f ca="1">RawData[[#This Row],[Z (smoothed demand size)]]/RawData[[#This Row],[X (smoothed interval)]]</f>
        <v>0.1011360354289015</v>
      </c>
    </row>
    <row r="4296" spans="1:22">
      <c r="A4296" t="s">
        <v>79</v>
      </c>
      <c r="B4296" t="s">
        <v>60</v>
      </c>
      <c r="C4296">
        <v>49</v>
      </c>
      <c r="D4296" t="s">
        <v>15</v>
      </c>
      <c r="E4296" t="s">
        <v>16</v>
      </c>
      <c r="F4296" s="1">
        <v>44207</v>
      </c>
      <c r="G4296">
        <v>0</v>
      </c>
      <c r="H4296">
        <v>0</v>
      </c>
      <c r="I4296">
        <v>16</v>
      </c>
      <c r="J4296">
        <v>16</v>
      </c>
      <c r="K4296">
        <v>0</v>
      </c>
      <c r="L4296">
        <v>554</v>
      </c>
      <c r="M4296">
        <v>15</v>
      </c>
      <c r="N4296" s="1">
        <f t="shared" si="536"/>
        <v>44938</v>
      </c>
      <c r="O4296" s="1">
        <f t="shared" si="537"/>
        <v>43101</v>
      </c>
      <c r="P4296" s="1">
        <f t="shared" si="538"/>
        <v>44501</v>
      </c>
      <c r="Q4296" s="8">
        <f t="shared" si="539"/>
        <v>0</v>
      </c>
      <c r="R4296" s="8">
        <f t="shared" si="540"/>
        <v>47</v>
      </c>
      <c r="S4296" s="8">
        <f t="shared" ca="1" si="541"/>
        <v>45</v>
      </c>
      <c r="T4296">
        <f t="shared" ca="1" si="542"/>
        <v>0.67232000000000003</v>
      </c>
      <c r="U4296" s="8">
        <f t="shared" ca="1" si="543"/>
        <v>6.6476800000000011</v>
      </c>
      <c r="V4296" s="9">
        <f ca="1">RawData[[#This Row],[Z (smoothed demand size)]]/RawData[[#This Row],[X (smoothed interval)]]</f>
        <v>0.1011360354289015</v>
      </c>
    </row>
    <row r="4297" spans="1:22">
      <c r="A4297" t="s">
        <v>79</v>
      </c>
      <c r="B4297" t="s">
        <v>60</v>
      </c>
      <c r="C4297">
        <v>49</v>
      </c>
      <c r="D4297" t="s">
        <v>15</v>
      </c>
      <c r="E4297" t="s">
        <v>16</v>
      </c>
      <c r="F4297" s="1">
        <v>44208</v>
      </c>
      <c r="G4297">
        <v>0</v>
      </c>
      <c r="H4297">
        <v>0</v>
      </c>
      <c r="I4297">
        <v>16</v>
      </c>
      <c r="J4297">
        <v>16</v>
      </c>
      <c r="K4297">
        <v>0</v>
      </c>
      <c r="L4297">
        <v>627</v>
      </c>
      <c r="M4297">
        <v>60</v>
      </c>
      <c r="N4297" s="1">
        <f t="shared" si="536"/>
        <v>44938</v>
      </c>
      <c r="O4297" s="1">
        <f t="shared" si="537"/>
        <v>43101</v>
      </c>
      <c r="P4297" s="1">
        <f t="shared" si="538"/>
        <v>44531</v>
      </c>
      <c r="Q4297" s="8">
        <f t="shared" si="539"/>
        <v>0</v>
      </c>
      <c r="R4297" s="8">
        <f t="shared" si="540"/>
        <v>48</v>
      </c>
      <c r="S4297" s="8">
        <f t="shared" ca="1" si="541"/>
        <v>45</v>
      </c>
      <c r="T4297">
        <f t="shared" ca="1" si="542"/>
        <v>0.67232000000000003</v>
      </c>
      <c r="U4297" s="8">
        <f t="shared" ca="1" si="543"/>
        <v>6.6476800000000011</v>
      </c>
      <c r="V4297" s="9">
        <f ca="1">RawData[[#This Row],[Z (smoothed demand size)]]/RawData[[#This Row],[X (smoothed interval)]]</f>
        <v>0.1011360354289015</v>
      </c>
    </row>
    <row r="4298" spans="1:22">
      <c r="A4298" t="s">
        <v>79</v>
      </c>
      <c r="B4298" t="s">
        <v>60</v>
      </c>
      <c r="C4298">
        <v>49</v>
      </c>
      <c r="D4298" t="s">
        <v>15</v>
      </c>
      <c r="E4298" t="s">
        <v>16</v>
      </c>
      <c r="F4298" s="1">
        <v>44562</v>
      </c>
      <c r="G4298">
        <v>0</v>
      </c>
      <c r="H4298">
        <v>0</v>
      </c>
      <c r="I4298">
        <v>16</v>
      </c>
      <c r="J4298">
        <v>16</v>
      </c>
      <c r="K4298">
        <v>0</v>
      </c>
      <c r="L4298">
        <v>547</v>
      </c>
      <c r="M4298">
        <v>15</v>
      </c>
      <c r="N4298" s="1">
        <f t="shared" si="536"/>
        <v>44938</v>
      </c>
      <c r="O4298" s="1">
        <f t="shared" si="537"/>
        <v>43101</v>
      </c>
      <c r="P4298" s="1">
        <f t="shared" si="538"/>
        <v>44562</v>
      </c>
      <c r="Q4298" s="8">
        <f t="shared" si="539"/>
        <v>0</v>
      </c>
      <c r="R4298" s="8">
        <f t="shared" si="540"/>
        <v>49</v>
      </c>
      <c r="S4298" s="8">
        <f t="shared" ca="1" si="541"/>
        <v>45</v>
      </c>
      <c r="T4298">
        <f t="shared" ca="1" si="542"/>
        <v>0.67232000000000003</v>
      </c>
      <c r="U4298" s="8">
        <f t="shared" ca="1" si="543"/>
        <v>6.6476800000000011</v>
      </c>
      <c r="V4298" s="9">
        <f ca="1">RawData[[#This Row],[Z (smoothed demand size)]]/RawData[[#This Row],[X (smoothed interval)]]</f>
        <v>0.1011360354289015</v>
      </c>
    </row>
    <row r="4299" spans="1:22">
      <c r="A4299" t="s">
        <v>79</v>
      </c>
      <c r="B4299" t="s">
        <v>60</v>
      </c>
      <c r="C4299">
        <v>49</v>
      </c>
      <c r="D4299" t="s">
        <v>15</v>
      </c>
      <c r="E4299" t="s">
        <v>16</v>
      </c>
      <c r="F4299" s="1">
        <v>44563</v>
      </c>
      <c r="G4299">
        <v>0</v>
      </c>
      <c r="H4299">
        <v>0</v>
      </c>
      <c r="I4299">
        <v>16</v>
      </c>
      <c r="J4299">
        <v>16</v>
      </c>
      <c r="K4299">
        <v>0</v>
      </c>
      <c r="L4299">
        <v>546</v>
      </c>
      <c r="M4299">
        <v>30</v>
      </c>
      <c r="N4299" s="1">
        <f t="shared" si="536"/>
        <v>44938</v>
      </c>
      <c r="O4299" s="1">
        <f t="shared" si="537"/>
        <v>43101</v>
      </c>
      <c r="P4299" s="1">
        <f t="shared" si="538"/>
        <v>44593</v>
      </c>
      <c r="Q4299" s="8">
        <f t="shared" si="539"/>
        <v>0</v>
      </c>
      <c r="R4299" s="8">
        <f t="shared" si="540"/>
        <v>50</v>
      </c>
      <c r="S4299" s="8">
        <f t="shared" ca="1" si="541"/>
        <v>45</v>
      </c>
      <c r="T4299">
        <f t="shared" ca="1" si="542"/>
        <v>0.67232000000000003</v>
      </c>
      <c r="U4299" s="8">
        <f t="shared" ca="1" si="543"/>
        <v>6.6476800000000011</v>
      </c>
      <c r="V4299" s="9">
        <f ca="1">RawData[[#This Row],[Z (smoothed demand size)]]/RawData[[#This Row],[X (smoothed interval)]]</f>
        <v>0.1011360354289015</v>
      </c>
    </row>
    <row r="4300" spans="1:22">
      <c r="A4300" t="s">
        <v>79</v>
      </c>
      <c r="B4300" t="s">
        <v>60</v>
      </c>
      <c r="C4300">
        <v>49</v>
      </c>
      <c r="D4300" t="s">
        <v>15</v>
      </c>
      <c r="E4300" t="s">
        <v>16</v>
      </c>
      <c r="F4300" s="1">
        <v>44564</v>
      </c>
      <c r="G4300">
        <v>0</v>
      </c>
      <c r="H4300">
        <v>0</v>
      </c>
      <c r="I4300">
        <v>16</v>
      </c>
      <c r="J4300">
        <v>16</v>
      </c>
      <c r="K4300">
        <v>0</v>
      </c>
      <c r="L4300">
        <v>545</v>
      </c>
      <c r="M4300">
        <v>15</v>
      </c>
      <c r="N4300" s="1">
        <f t="shared" si="536"/>
        <v>44938</v>
      </c>
      <c r="O4300" s="1">
        <f t="shared" si="537"/>
        <v>43101</v>
      </c>
      <c r="P4300" s="1">
        <f t="shared" si="538"/>
        <v>44621</v>
      </c>
      <c r="Q4300" s="8">
        <f t="shared" si="539"/>
        <v>0</v>
      </c>
      <c r="R4300" s="8">
        <f t="shared" si="540"/>
        <v>51</v>
      </c>
      <c r="S4300" s="8">
        <f t="shared" ca="1" si="541"/>
        <v>45</v>
      </c>
      <c r="T4300">
        <f t="shared" ca="1" si="542"/>
        <v>0.67232000000000003</v>
      </c>
      <c r="U4300" s="8">
        <f t="shared" ca="1" si="543"/>
        <v>6.6476800000000011</v>
      </c>
      <c r="V4300" s="9">
        <f ca="1">RawData[[#This Row],[Z (smoothed demand size)]]/RawData[[#This Row],[X (smoothed interval)]]</f>
        <v>0.1011360354289015</v>
      </c>
    </row>
    <row r="4301" spans="1:22">
      <c r="A4301" t="s">
        <v>79</v>
      </c>
      <c r="B4301" t="s">
        <v>60</v>
      </c>
      <c r="C4301">
        <v>49</v>
      </c>
      <c r="D4301" t="s">
        <v>15</v>
      </c>
      <c r="E4301" t="s">
        <v>16</v>
      </c>
      <c r="F4301" s="1">
        <v>44565</v>
      </c>
      <c r="G4301">
        <v>0</v>
      </c>
      <c r="H4301">
        <v>0</v>
      </c>
      <c r="I4301">
        <v>16</v>
      </c>
      <c r="J4301">
        <v>16</v>
      </c>
      <c r="K4301">
        <v>0</v>
      </c>
      <c r="L4301">
        <v>545</v>
      </c>
      <c r="M4301">
        <v>60</v>
      </c>
      <c r="N4301" s="1">
        <f t="shared" si="536"/>
        <v>44938</v>
      </c>
      <c r="O4301" s="1">
        <f t="shared" si="537"/>
        <v>43101</v>
      </c>
      <c r="P4301" s="1">
        <f t="shared" si="538"/>
        <v>44652</v>
      </c>
      <c r="Q4301" s="8">
        <f t="shared" si="539"/>
        <v>0</v>
      </c>
      <c r="R4301" s="8">
        <f t="shared" si="540"/>
        <v>52</v>
      </c>
      <c r="S4301" s="8">
        <f t="shared" ca="1" si="541"/>
        <v>45</v>
      </c>
      <c r="T4301">
        <f t="shared" ca="1" si="542"/>
        <v>0.67232000000000003</v>
      </c>
      <c r="U4301" s="8">
        <f t="shared" ca="1" si="543"/>
        <v>6.6476800000000011</v>
      </c>
      <c r="V4301" s="9">
        <f ca="1">RawData[[#This Row],[Z (smoothed demand size)]]/RawData[[#This Row],[X (smoothed interval)]]</f>
        <v>0.1011360354289015</v>
      </c>
    </row>
    <row r="4302" spans="1:22">
      <c r="A4302" t="s">
        <v>79</v>
      </c>
      <c r="B4302" t="s">
        <v>60</v>
      </c>
      <c r="C4302">
        <v>49</v>
      </c>
      <c r="D4302" t="s">
        <v>15</v>
      </c>
      <c r="E4302" t="s">
        <v>16</v>
      </c>
      <c r="F4302" s="1">
        <v>44566</v>
      </c>
      <c r="G4302">
        <v>0</v>
      </c>
      <c r="H4302">
        <v>0</v>
      </c>
      <c r="I4302">
        <v>16</v>
      </c>
      <c r="J4302">
        <v>16</v>
      </c>
      <c r="K4302">
        <v>0</v>
      </c>
      <c r="L4302">
        <v>548</v>
      </c>
      <c r="M4302">
        <v>15</v>
      </c>
      <c r="N4302" s="1">
        <f t="shared" si="536"/>
        <v>44938</v>
      </c>
      <c r="O4302" s="1">
        <f t="shared" si="537"/>
        <v>43101</v>
      </c>
      <c r="P4302" s="1">
        <f t="shared" si="538"/>
        <v>44682</v>
      </c>
      <c r="Q4302" s="8">
        <f t="shared" si="539"/>
        <v>0</v>
      </c>
      <c r="R4302" s="8">
        <f t="shared" si="540"/>
        <v>53</v>
      </c>
      <c r="S4302" s="8">
        <f t="shared" ca="1" si="541"/>
        <v>45</v>
      </c>
      <c r="T4302">
        <f t="shared" ca="1" si="542"/>
        <v>0.67232000000000003</v>
      </c>
      <c r="U4302" s="8">
        <f t="shared" ca="1" si="543"/>
        <v>6.6476800000000011</v>
      </c>
      <c r="V4302" s="9">
        <f ca="1">RawData[[#This Row],[Z (smoothed demand size)]]/RawData[[#This Row],[X (smoothed interval)]]</f>
        <v>0.1011360354289015</v>
      </c>
    </row>
    <row r="4303" spans="1:22">
      <c r="A4303" t="s">
        <v>79</v>
      </c>
      <c r="B4303" t="s">
        <v>60</v>
      </c>
      <c r="C4303">
        <v>49</v>
      </c>
      <c r="D4303" t="s">
        <v>15</v>
      </c>
      <c r="E4303" t="s">
        <v>16</v>
      </c>
      <c r="F4303" s="1">
        <v>44567</v>
      </c>
      <c r="G4303">
        <v>0</v>
      </c>
      <c r="H4303">
        <v>0</v>
      </c>
      <c r="I4303">
        <v>16</v>
      </c>
      <c r="J4303">
        <v>16</v>
      </c>
      <c r="K4303">
        <v>0</v>
      </c>
      <c r="L4303">
        <v>621</v>
      </c>
      <c r="M4303">
        <v>45</v>
      </c>
      <c r="N4303" s="1">
        <f t="shared" si="536"/>
        <v>44938</v>
      </c>
      <c r="O4303" s="1">
        <f t="shared" si="537"/>
        <v>43101</v>
      </c>
      <c r="P4303" s="1">
        <f t="shared" si="538"/>
        <v>44713</v>
      </c>
      <c r="Q4303" s="8">
        <f t="shared" si="539"/>
        <v>0</v>
      </c>
      <c r="R4303" s="8">
        <f t="shared" si="540"/>
        <v>54</v>
      </c>
      <c r="S4303" s="8">
        <f t="shared" ca="1" si="541"/>
        <v>45</v>
      </c>
      <c r="T4303">
        <f t="shared" ca="1" si="542"/>
        <v>0.67232000000000003</v>
      </c>
      <c r="U4303" s="8">
        <f t="shared" ca="1" si="543"/>
        <v>6.6476800000000011</v>
      </c>
      <c r="V4303" s="9">
        <f ca="1">RawData[[#This Row],[Z (smoothed demand size)]]/RawData[[#This Row],[X (smoothed interval)]]</f>
        <v>0.1011360354289015</v>
      </c>
    </row>
    <row r="4304" spans="1:22">
      <c r="A4304" t="s">
        <v>79</v>
      </c>
      <c r="B4304" t="s">
        <v>60</v>
      </c>
      <c r="C4304">
        <v>49</v>
      </c>
      <c r="D4304" t="s">
        <v>15</v>
      </c>
      <c r="E4304" t="s">
        <v>16</v>
      </c>
      <c r="F4304" s="1">
        <v>44568</v>
      </c>
      <c r="G4304">
        <v>0</v>
      </c>
      <c r="H4304">
        <v>0</v>
      </c>
      <c r="I4304">
        <v>16</v>
      </c>
      <c r="J4304">
        <v>16</v>
      </c>
      <c r="K4304">
        <v>0</v>
      </c>
      <c r="L4304">
        <v>638</v>
      </c>
      <c r="M4304">
        <v>60</v>
      </c>
      <c r="N4304" s="1">
        <f t="shared" si="536"/>
        <v>44938</v>
      </c>
      <c r="O4304" s="1">
        <f t="shared" si="537"/>
        <v>43101</v>
      </c>
      <c r="P4304" s="1">
        <f t="shared" si="538"/>
        <v>44743</v>
      </c>
      <c r="Q4304" s="8">
        <f t="shared" si="539"/>
        <v>0</v>
      </c>
      <c r="R4304" s="8">
        <f t="shared" si="540"/>
        <v>55</v>
      </c>
      <c r="S4304" s="8">
        <f t="shared" ca="1" si="541"/>
        <v>45</v>
      </c>
      <c r="T4304">
        <f t="shared" ca="1" si="542"/>
        <v>0.67232000000000003</v>
      </c>
      <c r="U4304" s="8">
        <f t="shared" ca="1" si="543"/>
        <v>6.6476800000000011</v>
      </c>
      <c r="V4304" s="9">
        <f ca="1">RawData[[#This Row],[Z (smoothed demand size)]]/RawData[[#This Row],[X (smoothed interval)]]</f>
        <v>0.1011360354289015</v>
      </c>
    </row>
    <row r="4305" spans="1:22">
      <c r="A4305" t="s">
        <v>79</v>
      </c>
      <c r="B4305" t="s">
        <v>60</v>
      </c>
      <c r="C4305">
        <v>49</v>
      </c>
      <c r="D4305" t="s">
        <v>15</v>
      </c>
      <c r="E4305" t="s">
        <v>16</v>
      </c>
      <c r="F4305" s="1">
        <v>44569</v>
      </c>
      <c r="G4305">
        <v>0</v>
      </c>
      <c r="H4305">
        <v>0</v>
      </c>
      <c r="I4305">
        <v>16</v>
      </c>
      <c r="J4305">
        <v>16</v>
      </c>
      <c r="K4305">
        <v>0</v>
      </c>
      <c r="L4305">
        <v>630</v>
      </c>
      <c r="M4305">
        <v>30</v>
      </c>
      <c r="N4305" s="1">
        <f t="shared" si="536"/>
        <v>44938</v>
      </c>
      <c r="O4305" s="1">
        <f t="shared" si="537"/>
        <v>43101</v>
      </c>
      <c r="P4305" s="1">
        <f t="shared" si="538"/>
        <v>44774</v>
      </c>
      <c r="Q4305" s="8">
        <f t="shared" si="539"/>
        <v>0</v>
      </c>
      <c r="R4305" s="8">
        <f t="shared" si="540"/>
        <v>56</v>
      </c>
      <c r="S4305" s="8">
        <f t="shared" ca="1" si="541"/>
        <v>45</v>
      </c>
      <c r="T4305">
        <f t="shared" ca="1" si="542"/>
        <v>0.67232000000000003</v>
      </c>
      <c r="U4305" s="8">
        <f t="shared" ca="1" si="543"/>
        <v>6.6476800000000011</v>
      </c>
      <c r="V4305" s="9">
        <f ca="1">RawData[[#This Row],[Z (smoothed demand size)]]/RawData[[#This Row],[X (smoothed interval)]]</f>
        <v>0.1011360354289015</v>
      </c>
    </row>
    <row r="4306" spans="1:22">
      <c r="A4306" t="s">
        <v>79</v>
      </c>
      <c r="B4306" t="s">
        <v>60</v>
      </c>
      <c r="C4306">
        <v>49</v>
      </c>
      <c r="D4306" t="s">
        <v>15</v>
      </c>
      <c r="E4306" t="s">
        <v>16</v>
      </c>
      <c r="F4306" s="1">
        <v>44570</v>
      </c>
      <c r="G4306">
        <v>0</v>
      </c>
      <c r="H4306">
        <v>0</v>
      </c>
      <c r="I4306">
        <v>16</v>
      </c>
      <c r="J4306">
        <v>16</v>
      </c>
      <c r="K4306">
        <v>0</v>
      </c>
      <c r="L4306">
        <v>546</v>
      </c>
      <c r="M4306">
        <v>15</v>
      </c>
      <c r="N4306" s="1">
        <f t="shared" si="536"/>
        <v>44938</v>
      </c>
      <c r="O4306" s="1">
        <f t="shared" si="537"/>
        <v>43101</v>
      </c>
      <c r="P4306" s="1">
        <f t="shared" si="538"/>
        <v>44805</v>
      </c>
      <c r="Q4306" s="8">
        <f t="shared" si="539"/>
        <v>0</v>
      </c>
      <c r="R4306" s="8">
        <f t="shared" si="540"/>
        <v>57</v>
      </c>
      <c r="S4306" s="8">
        <f t="shared" ca="1" si="541"/>
        <v>45</v>
      </c>
      <c r="T4306">
        <f t="shared" ca="1" si="542"/>
        <v>0.67232000000000003</v>
      </c>
      <c r="U4306" s="8">
        <f t="shared" ca="1" si="543"/>
        <v>6.6476800000000011</v>
      </c>
      <c r="V4306" s="9">
        <f ca="1">RawData[[#This Row],[Z (smoothed demand size)]]/RawData[[#This Row],[X (smoothed interval)]]</f>
        <v>0.1011360354289015</v>
      </c>
    </row>
    <row r="4307" spans="1:22">
      <c r="A4307" t="s">
        <v>79</v>
      </c>
      <c r="B4307" t="s">
        <v>60</v>
      </c>
      <c r="C4307">
        <v>49</v>
      </c>
      <c r="D4307" t="s">
        <v>15</v>
      </c>
      <c r="E4307" t="s">
        <v>16</v>
      </c>
      <c r="F4307" s="1">
        <v>44571</v>
      </c>
      <c r="G4307">
        <v>0</v>
      </c>
      <c r="H4307">
        <v>0</v>
      </c>
      <c r="I4307">
        <v>16</v>
      </c>
      <c r="J4307">
        <v>16</v>
      </c>
      <c r="K4307">
        <v>0</v>
      </c>
      <c r="L4307">
        <v>540</v>
      </c>
      <c r="M4307">
        <v>60</v>
      </c>
      <c r="N4307" s="1">
        <f t="shared" si="536"/>
        <v>44938</v>
      </c>
      <c r="O4307" s="1">
        <f t="shared" si="537"/>
        <v>43101</v>
      </c>
      <c r="P4307" s="1">
        <f t="shared" si="538"/>
        <v>44835</v>
      </c>
      <c r="Q4307" s="8">
        <f t="shared" si="539"/>
        <v>0</v>
      </c>
      <c r="R4307" s="8">
        <f t="shared" si="540"/>
        <v>58</v>
      </c>
      <c r="S4307" s="8">
        <f t="shared" ca="1" si="541"/>
        <v>45</v>
      </c>
      <c r="T4307">
        <f t="shared" ca="1" si="542"/>
        <v>0.67232000000000003</v>
      </c>
      <c r="U4307" s="8">
        <f t="shared" ca="1" si="543"/>
        <v>6.6476800000000011</v>
      </c>
      <c r="V4307" s="9">
        <f ca="1">RawData[[#This Row],[Z (smoothed demand size)]]/RawData[[#This Row],[X (smoothed interval)]]</f>
        <v>0.1011360354289015</v>
      </c>
    </row>
    <row r="4308" spans="1:22">
      <c r="A4308" t="s">
        <v>79</v>
      </c>
      <c r="B4308" t="s">
        <v>60</v>
      </c>
      <c r="C4308">
        <v>49</v>
      </c>
      <c r="D4308" t="s">
        <v>15</v>
      </c>
      <c r="E4308" t="s">
        <v>16</v>
      </c>
      <c r="F4308" s="1">
        <v>44572</v>
      </c>
      <c r="G4308">
        <v>0</v>
      </c>
      <c r="H4308">
        <v>0</v>
      </c>
      <c r="I4308">
        <v>16</v>
      </c>
      <c r="J4308">
        <v>16</v>
      </c>
      <c r="K4308">
        <v>0</v>
      </c>
      <c r="L4308">
        <v>553</v>
      </c>
      <c r="M4308">
        <v>45</v>
      </c>
      <c r="N4308" s="1">
        <f t="shared" si="536"/>
        <v>44938</v>
      </c>
      <c r="O4308" s="1">
        <f t="shared" si="537"/>
        <v>43101</v>
      </c>
      <c r="P4308" s="1">
        <f t="shared" si="538"/>
        <v>44866</v>
      </c>
      <c r="Q4308" s="8">
        <f t="shared" si="539"/>
        <v>0</v>
      </c>
      <c r="R4308" s="8">
        <f t="shared" si="540"/>
        <v>59</v>
      </c>
      <c r="S4308" s="8">
        <f t="shared" ca="1" si="541"/>
        <v>45</v>
      </c>
      <c r="T4308">
        <f t="shared" ca="1" si="542"/>
        <v>0.67232000000000003</v>
      </c>
      <c r="U4308" s="8">
        <f t="shared" ca="1" si="543"/>
        <v>6.6476800000000011</v>
      </c>
      <c r="V4308" s="9">
        <f ca="1">RawData[[#This Row],[Z (smoothed demand size)]]/RawData[[#This Row],[X (smoothed interval)]]</f>
        <v>0.1011360354289015</v>
      </c>
    </row>
    <row r="4309" spans="1:22">
      <c r="A4309" t="s">
        <v>79</v>
      </c>
      <c r="B4309" t="s">
        <v>60</v>
      </c>
      <c r="C4309">
        <v>49</v>
      </c>
      <c r="D4309" t="s">
        <v>15</v>
      </c>
      <c r="E4309" t="s">
        <v>16</v>
      </c>
      <c r="F4309" s="1">
        <v>44573</v>
      </c>
      <c r="G4309">
        <v>0</v>
      </c>
      <c r="H4309">
        <v>0</v>
      </c>
      <c r="I4309">
        <v>16</v>
      </c>
      <c r="J4309">
        <v>16</v>
      </c>
      <c r="K4309">
        <v>0</v>
      </c>
      <c r="L4309">
        <v>624</v>
      </c>
      <c r="M4309">
        <v>60</v>
      </c>
      <c r="N4309" s="1">
        <f t="shared" si="536"/>
        <v>44938</v>
      </c>
      <c r="O4309" s="1">
        <f t="shared" si="537"/>
        <v>43101</v>
      </c>
      <c r="P4309" s="1">
        <f t="shared" si="538"/>
        <v>44896</v>
      </c>
      <c r="Q4309" s="8">
        <f t="shared" si="539"/>
        <v>0</v>
      </c>
      <c r="R4309" s="8">
        <f t="shared" si="540"/>
        <v>60</v>
      </c>
      <c r="S4309" s="8">
        <f t="shared" ca="1" si="541"/>
        <v>45</v>
      </c>
      <c r="T4309">
        <f t="shared" ca="1" si="542"/>
        <v>0.67232000000000003</v>
      </c>
      <c r="U4309" s="8">
        <f t="shared" ca="1" si="543"/>
        <v>6.6476800000000011</v>
      </c>
      <c r="V4309" s="9">
        <f ca="1">RawData[[#This Row],[Z (smoothed demand size)]]/RawData[[#This Row],[X (smoothed interval)]]</f>
        <v>0.1011360354289015</v>
      </c>
    </row>
    <row r="4310" spans="1:22">
      <c r="A4310" t="s">
        <v>79</v>
      </c>
      <c r="B4310" t="s">
        <v>60</v>
      </c>
      <c r="C4310">
        <v>49</v>
      </c>
      <c r="D4310" t="s">
        <v>15</v>
      </c>
      <c r="E4310" t="s">
        <v>16</v>
      </c>
      <c r="F4310" s="1">
        <v>44927</v>
      </c>
      <c r="G4310">
        <v>2</v>
      </c>
      <c r="H4310">
        <v>2</v>
      </c>
      <c r="I4310">
        <v>16</v>
      </c>
      <c r="J4310">
        <v>14</v>
      </c>
      <c r="K4310">
        <v>0</v>
      </c>
      <c r="L4310">
        <v>549</v>
      </c>
      <c r="M4310">
        <v>30</v>
      </c>
      <c r="N4310" s="1">
        <f t="shared" si="536"/>
        <v>44938</v>
      </c>
      <c r="O4310" s="1">
        <f t="shared" si="537"/>
        <v>43101</v>
      </c>
      <c r="P4310" s="1">
        <f t="shared" si="538"/>
        <v>44927</v>
      </c>
      <c r="Q4310" s="8">
        <f t="shared" si="539"/>
        <v>0</v>
      </c>
      <c r="R4310" s="8">
        <f t="shared" si="540"/>
        <v>61</v>
      </c>
      <c r="S4310" s="8">
        <f t="shared" ca="1" si="541"/>
        <v>61</v>
      </c>
      <c r="T4310">
        <f t="shared" ca="1" si="542"/>
        <v>0.93785600000000002</v>
      </c>
      <c r="U4310" s="8">
        <f t="shared" ca="1" si="543"/>
        <v>8.5181440000000013</v>
      </c>
      <c r="V4310" s="9">
        <f ca="1">RawData[[#This Row],[Z (smoothed demand size)]]/RawData[[#This Row],[X (smoothed interval)]]</f>
        <v>0.11010097974394421</v>
      </c>
    </row>
    <row r="4311" spans="1:22">
      <c r="A4311" t="s">
        <v>79</v>
      </c>
      <c r="B4311" t="s">
        <v>60</v>
      </c>
      <c r="C4311">
        <v>49</v>
      </c>
      <c r="D4311" t="s">
        <v>15</v>
      </c>
      <c r="E4311" t="s">
        <v>16</v>
      </c>
      <c r="F4311" s="1">
        <v>44928</v>
      </c>
      <c r="G4311">
        <v>0</v>
      </c>
      <c r="H4311">
        <v>0</v>
      </c>
      <c r="I4311">
        <v>14</v>
      </c>
      <c r="J4311">
        <v>14</v>
      </c>
      <c r="K4311">
        <v>0</v>
      </c>
      <c r="L4311">
        <v>542</v>
      </c>
      <c r="M4311">
        <v>30</v>
      </c>
      <c r="N4311" s="1">
        <f t="shared" si="536"/>
        <v>44938</v>
      </c>
      <c r="O4311" s="1">
        <f t="shared" si="537"/>
        <v>43101</v>
      </c>
      <c r="P4311" s="1">
        <f t="shared" si="538"/>
        <v>44958</v>
      </c>
      <c r="Q4311" s="8">
        <f t="shared" si="539"/>
        <v>0</v>
      </c>
      <c r="R4311" s="8">
        <f t="shared" si="540"/>
        <v>62</v>
      </c>
      <c r="S4311" s="8">
        <f t="shared" ca="1" si="541"/>
        <v>61</v>
      </c>
      <c r="T4311">
        <f t="shared" ca="1" si="542"/>
        <v>0.93785600000000002</v>
      </c>
      <c r="U4311" s="8">
        <f t="shared" ca="1" si="543"/>
        <v>8.5181440000000013</v>
      </c>
      <c r="V4311" s="9">
        <f ca="1">RawData[[#This Row],[Z (smoothed demand size)]]/RawData[[#This Row],[X (smoothed interval)]]</f>
        <v>0.11010097974394421</v>
      </c>
    </row>
    <row r="4312" spans="1:22">
      <c r="A4312" t="s">
        <v>79</v>
      </c>
      <c r="B4312" t="s">
        <v>60</v>
      </c>
      <c r="C4312">
        <v>49</v>
      </c>
      <c r="D4312" t="s">
        <v>15</v>
      </c>
      <c r="E4312" t="s">
        <v>16</v>
      </c>
      <c r="F4312" s="1">
        <v>44929</v>
      </c>
      <c r="G4312">
        <v>0</v>
      </c>
      <c r="H4312">
        <v>0</v>
      </c>
      <c r="I4312">
        <v>14</v>
      </c>
      <c r="J4312">
        <v>14</v>
      </c>
      <c r="K4312">
        <v>0</v>
      </c>
      <c r="L4312">
        <v>547</v>
      </c>
      <c r="M4312">
        <v>30</v>
      </c>
      <c r="N4312" s="1">
        <f t="shared" si="536"/>
        <v>44938</v>
      </c>
      <c r="O4312" s="1">
        <f t="shared" si="537"/>
        <v>43101</v>
      </c>
      <c r="P4312" s="1">
        <f t="shared" si="538"/>
        <v>44986</v>
      </c>
      <c r="Q4312" s="8">
        <f t="shared" si="539"/>
        <v>0</v>
      </c>
      <c r="R4312" s="8">
        <f t="shared" si="540"/>
        <v>63</v>
      </c>
      <c r="S4312" s="8">
        <f t="shared" ca="1" si="541"/>
        <v>61</v>
      </c>
      <c r="T4312">
        <f t="shared" ca="1" si="542"/>
        <v>0.93785600000000002</v>
      </c>
      <c r="U4312" s="8">
        <f t="shared" ca="1" si="543"/>
        <v>8.5181440000000013</v>
      </c>
      <c r="V4312" s="9">
        <f ca="1">RawData[[#This Row],[Z (smoothed demand size)]]/RawData[[#This Row],[X (smoothed interval)]]</f>
        <v>0.11010097974394421</v>
      </c>
    </row>
    <row r="4313" spans="1:22">
      <c r="A4313" t="s">
        <v>79</v>
      </c>
      <c r="B4313" t="s">
        <v>60</v>
      </c>
      <c r="C4313">
        <v>49</v>
      </c>
      <c r="D4313" t="s">
        <v>15</v>
      </c>
      <c r="E4313" t="s">
        <v>16</v>
      </c>
      <c r="F4313" s="1">
        <v>44930</v>
      </c>
      <c r="G4313">
        <v>0</v>
      </c>
      <c r="H4313">
        <v>0</v>
      </c>
      <c r="I4313">
        <v>14</v>
      </c>
      <c r="J4313">
        <v>14</v>
      </c>
      <c r="K4313">
        <v>0</v>
      </c>
      <c r="L4313">
        <v>540</v>
      </c>
      <c r="M4313">
        <v>15</v>
      </c>
      <c r="N4313" s="1">
        <f t="shared" si="536"/>
        <v>44938</v>
      </c>
      <c r="O4313" s="1">
        <f t="shared" si="537"/>
        <v>43101</v>
      </c>
      <c r="P4313" s="1">
        <f t="shared" si="538"/>
        <v>45017</v>
      </c>
      <c r="Q4313" s="8">
        <f t="shared" si="539"/>
        <v>0</v>
      </c>
      <c r="R4313" s="8">
        <f t="shared" si="540"/>
        <v>64</v>
      </c>
      <c r="S4313" s="8">
        <f t="shared" ca="1" si="541"/>
        <v>61</v>
      </c>
      <c r="T4313">
        <f t="shared" ca="1" si="542"/>
        <v>0.93785600000000002</v>
      </c>
      <c r="U4313" s="8">
        <f t="shared" ca="1" si="543"/>
        <v>8.5181440000000013</v>
      </c>
      <c r="V4313" s="9">
        <f ca="1">RawData[[#This Row],[Z (smoothed demand size)]]/RawData[[#This Row],[X (smoothed interval)]]</f>
        <v>0.11010097974394421</v>
      </c>
    </row>
    <row r="4314" spans="1:22">
      <c r="A4314" t="s">
        <v>79</v>
      </c>
      <c r="B4314" t="s">
        <v>60</v>
      </c>
      <c r="C4314">
        <v>49</v>
      </c>
      <c r="D4314" t="s">
        <v>15</v>
      </c>
      <c r="E4314" t="s">
        <v>16</v>
      </c>
      <c r="F4314" s="1">
        <v>44931</v>
      </c>
      <c r="G4314">
        <v>0</v>
      </c>
      <c r="H4314">
        <v>0</v>
      </c>
      <c r="I4314">
        <v>14</v>
      </c>
      <c r="J4314">
        <v>14</v>
      </c>
      <c r="K4314">
        <v>0</v>
      </c>
      <c r="L4314">
        <v>546</v>
      </c>
      <c r="M4314">
        <v>45</v>
      </c>
      <c r="N4314" s="1">
        <f t="shared" si="536"/>
        <v>44938</v>
      </c>
      <c r="O4314" s="1">
        <f t="shared" si="537"/>
        <v>43101</v>
      </c>
      <c r="P4314" s="1">
        <f t="shared" si="538"/>
        <v>45047</v>
      </c>
      <c r="Q4314" s="8">
        <f t="shared" si="539"/>
        <v>0</v>
      </c>
      <c r="R4314" s="8">
        <f t="shared" si="540"/>
        <v>65</v>
      </c>
      <c r="S4314" s="8">
        <f t="shared" ca="1" si="541"/>
        <v>61</v>
      </c>
      <c r="T4314">
        <f t="shared" ca="1" si="542"/>
        <v>0.93785600000000002</v>
      </c>
      <c r="U4314" s="8">
        <f t="shared" ca="1" si="543"/>
        <v>8.5181440000000013</v>
      </c>
      <c r="V4314" s="9">
        <f ca="1">RawData[[#This Row],[Z (smoothed demand size)]]/RawData[[#This Row],[X (smoothed interval)]]</f>
        <v>0.11010097974394421</v>
      </c>
    </row>
    <row r="4315" spans="1:22">
      <c r="A4315" t="s">
        <v>79</v>
      </c>
      <c r="B4315" t="s">
        <v>60</v>
      </c>
      <c r="C4315">
        <v>49</v>
      </c>
      <c r="D4315" t="s">
        <v>15</v>
      </c>
      <c r="E4315" t="s">
        <v>16</v>
      </c>
      <c r="F4315" s="1">
        <v>44932</v>
      </c>
      <c r="G4315">
        <v>0</v>
      </c>
      <c r="H4315">
        <v>0</v>
      </c>
      <c r="I4315">
        <v>14</v>
      </c>
      <c r="J4315">
        <v>14</v>
      </c>
      <c r="K4315">
        <v>0</v>
      </c>
      <c r="L4315">
        <v>628</v>
      </c>
      <c r="M4315">
        <v>60</v>
      </c>
      <c r="N4315" s="1">
        <f t="shared" si="536"/>
        <v>44938</v>
      </c>
      <c r="O4315" s="1">
        <f t="shared" si="537"/>
        <v>43101</v>
      </c>
      <c r="P4315" s="1">
        <f t="shared" si="538"/>
        <v>45078</v>
      </c>
      <c r="Q4315" s="8">
        <f t="shared" si="539"/>
        <v>0</v>
      </c>
      <c r="R4315" s="8">
        <f t="shared" si="540"/>
        <v>66</v>
      </c>
      <c r="S4315" s="8">
        <f t="shared" ca="1" si="541"/>
        <v>61</v>
      </c>
      <c r="T4315">
        <f t="shared" ca="1" si="542"/>
        <v>0.93785600000000002</v>
      </c>
      <c r="U4315" s="8">
        <f t="shared" ca="1" si="543"/>
        <v>8.5181440000000013</v>
      </c>
      <c r="V4315" s="9">
        <f ca="1">RawData[[#This Row],[Z (smoothed demand size)]]/RawData[[#This Row],[X (smoothed interval)]]</f>
        <v>0.11010097974394421</v>
      </c>
    </row>
    <row r="4316" spans="1:22">
      <c r="A4316" t="s">
        <v>79</v>
      </c>
      <c r="B4316" t="s">
        <v>60</v>
      </c>
      <c r="C4316">
        <v>49</v>
      </c>
      <c r="D4316" t="s">
        <v>15</v>
      </c>
      <c r="E4316" t="s">
        <v>16</v>
      </c>
      <c r="F4316" s="1">
        <v>44933</v>
      </c>
      <c r="G4316">
        <v>0</v>
      </c>
      <c r="H4316">
        <v>0</v>
      </c>
      <c r="I4316">
        <v>14</v>
      </c>
      <c r="J4316">
        <v>14</v>
      </c>
      <c r="K4316">
        <v>0</v>
      </c>
      <c r="L4316">
        <v>630</v>
      </c>
      <c r="M4316">
        <v>45</v>
      </c>
      <c r="N4316" s="1">
        <f t="shared" si="536"/>
        <v>44938</v>
      </c>
      <c r="O4316" s="1">
        <f t="shared" si="537"/>
        <v>43101</v>
      </c>
      <c r="P4316" s="1">
        <f t="shared" si="538"/>
        <v>45108</v>
      </c>
      <c r="Q4316" s="8">
        <f t="shared" si="539"/>
        <v>0</v>
      </c>
      <c r="R4316" s="8">
        <f t="shared" si="540"/>
        <v>67</v>
      </c>
      <c r="S4316" s="8">
        <f t="shared" ca="1" si="541"/>
        <v>61</v>
      </c>
      <c r="T4316">
        <f t="shared" ca="1" si="542"/>
        <v>0.93785600000000002</v>
      </c>
      <c r="U4316" s="8">
        <f t="shared" ca="1" si="543"/>
        <v>8.5181440000000013</v>
      </c>
      <c r="V4316" s="9">
        <f ca="1">RawData[[#This Row],[Z (smoothed demand size)]]/RawData[[#This Row],[X (smoothed interval)]]</f>
        <v>0.11010097974394421</v>
      </c>
    </row>
    <row r="4317" spans="1:22">
      <c r="A4317" t="s">
        <v>79</v>
      </c>
      <c r="B4317" t="s">
        <v>60</v>
      </c>
      <c r="C4317">
        <v>49</v>
      </c>
      <c r="D4317" t="s">
        <v>15</v>
      </c>
      <c r="E4317" t="s">
        <v>16</v>
      </c>
      <c r="F4317" s="1">
        <v>44934</v>
      </c>
      <c r="G4317">
        <v>2</v>
      </c>
      <c r="H4317">
        <v>2</v>
      </c>
      <c r="I4317">
        <v>14</v>
      </c>
      <c r="J4317">
        <v>12</v>
      </c>
      <c r="K4317">
        <v>0</v>
      </c>
      <c r="L4317">
        <v>634</v>
      </c>
      <c r="M4317">
        <v>45</v>
      </c>
      <c r="N4317" s="1">
        <f t="shared" si="536"/>
        <v>44938</v>
      </c>
      <c r="O4317" s="1">
        <f t="shared" si="537"/>
        <v>43101</v>
      </c>
      <c r="P4317" s="1">
        <f t="shared" si="538"/>
        <v>45139</v>
      </c>
      <c r="Q4317" s="8">
        <f t="shared" si="539"/>
        <v>0</v>
      </c>
      <c r="R4317" s="8">
        <f t="shared" si="540"/>
        <v>68</v>
      </c>
      <c r="S4317" s="8">
        <f t="shared" ca="1" si="541"/>
        <v>68</v>
      </c>
      <c r="T4317">
        <f t="shared" ca="1" si="542"/>
        <v>1.1502848000000001</v>
      </c>
      <c r="U4317" s="8">
        <f t="shared" ca="1" si="543"/>
        <v>8.214515200000001</v>
      </c>
      <c r="V4317" s="9">
        <f ca="1">RawData[[#This Row],[Z (smoothed demand size)]]/RawData[[#This Row],[X (smoothed interval)]]</f>
        <v>0.14003075921023311</v>
      </c>
    </row>
    <row r="4318" spans="1:22">
      <c r="A4318" t="s">
        <v>79</v>
      </c>
      <c r="B4318" t="s">
        <v>60</v>
      </c>
      <c r="C4318">
        <v>49</v>
      </c>
      <c r="D4318" t="s">
        <v>15</v>
      </c>
      <c r="E4318" t="s">
        <v>16</v>
      </c>
      <c r="F4318" s="1">
        <v>44935</v>
      </c>
      <c r="G4318">
        <v>5</v>
      </c>
      <c r="H4318">
        <v>5</v>
      </c>
      <c r="I4318">
        <v>12</v>
      </c>
      <c r="J4318">
        <v>7</v>
      </c>
      <c r="K4318">
        <v>0</v>
      </c>
      <c r="L4318">
        <v>549</v>
      </c>
      <c r="M4318">
        <v>45</v>
      </c>
      <c r="N4318" s="1">
        <f t="shared" si="536"/>
        <v>44938</v>
      </c>
      <c r="O4318" s="1">
        <f t="shared" si="537"/>
        <v>43101</v>
      </c>
      <c r="P4318" s="1">
        <f t="shared" si="538"/>
        <v>45170</v>
      </c>
      <c r="Q4318" s="8">
        <f t="shared" si="539"/>
        <v>0</v>
      </c>
      <c r="R4318" s="8">
        <f t="shared" si="540"/>
        <v>69</v>
      </c>
      <c r="S4318" s="8">
        <f t="shared" ca="1" si="541"/>
        <v>69</v>
      </c>
      <c r="T4318">
        <f t="shared" ca="1" si="542"/>
        <v>1.9202278400000001</v>
      </c>
      <c r="U4318" s="8">
        <f t="shared" ca="1" si="543"/>
        <v>6.771612160000001</v>
      </c>
      <c r="V4318" s="9">
        <f ca="1">RawData[[#This Row],[Z (smoothed demand size)]]/RawData[[#This Row],[X (smoothed interval)]]</f>
        <v>0.28357026283088249</v>
      </c>
    </row>
    <row r="4319" spans="1:22">
      <c r="A4319" t="s">
        <v>79</v>
      </c>
      <c r="B4319" t="s">
        <v>60</v>
      </c>
      <c r="C4319">
        <v>49</v>
      </c>
      <c r="D4319" t="s">
        <v>15</v>
      </c>
      <c r="E4319" t="s">
        <v>16</v>
      </c>
      <c r="F4319" s="1">
        <v>44936</v>
      </c>
      <c r="G4319">
        <v>0</v>
      </c>
      <c r="H4319">
        <v>0</v>
      </c>
      <c r="I4319">
        <v>7</v>
      </c>
      <c r="J4319">
        <v>7</v>
      </c>
      <c r="K4319">
        <v>0</v>
      </c>
      <c r="L4319">
        <v>555</v>
      </c>
      <c r="M4319">
        <v>15</v>
      </c>
      <c r="N4319" s="1">
        <f t="shared" si="536"/>
        <v>44938</v>
      </c>
      <c r="O4319" s="1">
        <f t="shared" si="537"/>
        <v>43101</v>
      </c>
      <c r="P4319" s="1">
        <f t="shared" si="538"/>
        <v>45200</v>
      </c>
      <c r="Q4319" s="8">
        <f t="shared" si="539"/>
        <v>0</v>
      </c>
      <c r="R4319" s="8">
        <f t="shared" si="540"/>
        <v>70</v>
      </c>
      <c r="S4319" s="8">
        <f t="shared" ca="1" si="541"/>
        <v>69</v>
      </c>
      <c r="T4319">
        <f t="shared" ca="1" si="542"/>
        <v>1.9202278400000001</v>
      </c>
      <c r="U4319" s="8">
        <f t="shared" ca="1" si="543"/>
        <v>6.771612160000001</v>
      </c>
      <c r="V4319" s="9">
        <f ca="1">RawData[[#This Row],[Z (smoothed demand size)]]/RawData[[#This Row],[X (smoothed interval)]]</f>
        <v>0.28357026283088249</v>
      </c>
    </row>
    <row r="4320" spans="1:22">
      <c r="A4320" t="s">
        <v>79</v>
      </c>
      <c r="B4320" t="s">
        <v>60</v>
      </c>
      <c r="C4320">
        <v>49</v>
      </c>
      <c r="D4320" t="s">
        <v>15</v>
      </c>
      <c r="E4320" t="s">
        <v>16</v>
      </c>
      <c r="F4320" s="1">
        <v>44937</v>
      </c>
      <c r="G4320">
        <v>0</v>
      </c>
      <c r="H4320">
        <v>0</v>
      </c>
      <c r="I4320">
        <v>7</v>
      </c>
      <c r="J4320">
        <v>7</v>
      </c>
      <c r="K4320">
        <v>0</v>
      </c>
      <c r="L4320">
        <v>539</v>
      </c>
      <c r="M4320">
        <v>60</v>
      </c>
      <c r="N4320" s="1">
        <f t="shared" si="536"/>
        <v>44938</v>
      </c>
      <c r="O4320" s="1">
        <f t="shared" si="537"/>
        <v>43101</v>
      </c>
      <c r="P4320" s="1">
        <f t="shared" si="538"/>
        <v>45231</v>
      </c>
      <c r="Q4320" s="8">
        <f t="shared" si="539"/>
        <v>0</v>
      </c>
      <c r="R4320" s="8">
        <f t="shared" si="540"/>
        <v>71</v>
      </c>
      <c r="S4320" s="8">
        <f t="shared" ca="1" si="541"/>
        <v>69</v>
      </c>
      <c r="T4320">
        <f t="shared" ca="1" si="542"/>
        <v>1.9202278400000001</v>
      </c>
      <c r="U4320" s="8">
        <f t="shared" ca="1" si="543"/>
        <v>6.771612160000001</v>
      </c>
      <c r="V4320" s="9">
        <f ca="1">RawData[[#This Row],[Z (smoothed demand size)]]/RawData[[#This Row],[X (smoothed interval)]]</f>
        <v>0.28357026283088249</v>
      </c>
    </row>
    <row r="4321" spans="1:22">
      <c r="A4321" t="s">
        <v>79</v>
      </c>
      <c r="B4321" t="s">
        <v>60</v>
      </c>
      <c r="C4321">
        <v>49</v>
      </c>
      <c r="D4321" t="s">
        <v>15</v>
      </c>
      <c r="E4321" t="s">
        <v>16</v>
      </c>
      <c r="F4321" s="1">
        <v>44938</v>
      </c>
      <c r="G4321">
        <v>0</v>
      </c>
      <c r="H4321">
        <v>0</v>
      </c>
      <c r="I4321">
        <v>7</v>
      </c>
      <c r="J4321">
        <v>7</v>
      </c>
      <c r="K4321">
        <v>0</v>
      </c>
      <c r="L4321">
        <v>642</v>
      </c>
      <c r="M4321">
        <v>15</v>
      </c>
      <c r="N4321" s="1">
        <f t="shared" si="536"/>
        <v>44938</v>
      </c>
      <c r="O4321" s="1">
        <f t="shared" si="537"/>
        <v>43101</v>
      </c>
      <c r="P4321" s="1">
        <f t="shared" si="538"/>
        <v>45261</v>
      </c>
      <c r="Q4321" s="8">
        <f t="shared" si="539"/>
        <v>0</v>
      </c>
      <c r="R4321" s="8">
        <f t="shared" si="540"/>
        <v>72</v>
      </c>
      <c r="S4321" s="8">
        <f t="shared" ca="1" si="541"/>
        <v>69</v>
      </c>
      <c r="T4321">
        <f t="shared" ca="1" si="542"/>
        <v>1.9202278400000001</v>
      </c>
      <c r="U4321" s="8">
        <f t="shared" ca="1" si="543"/>
        <v>6.771612160000001</v>
      </c>
      <c r="V4321" s="9">
        <f ca="1">RawData[[#This Row],[Z (smoothed demand size)]]/RawData[[#This Row],[X (smoothed interval)]]</f>
        <v>0.28357026283088249</v>
      </c>
    </row>
    <row r="4324" spans="1:22">
      <c r="G4324" s="9"/>
    </row>
    <row r="4326" spans="1:22">
      <c r="G4326">
        <f>AVERAGE(G795:G800)</f>
        <v>8.5</v>
      </c>
    </row>
  </sheetData>
  <phoneticPr fontId="3" type="noConversion"/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3F87-3A7C-4A72-BBD4-9ADC56BD976D}">
  <dimension ref="A1:AB61"/>
  <sheetViews>
    <sheetView topLeftCell="A7" workbookViewId="0">
      <selection activeCell="U25" sqref="U25"/>
    </sheetView>
  </sheetViews>
  <sheetFormatPr defaultRowHeight="15"/>
  <cols>
    <col min="1" max="1" width="9.42578125" customWidth="1"/>
    <col min="2" max="2" width="14.28515625" customWidth="1"/>
    <col min="3" max="3" width="16.42578125" customWidth="1"/>
    <col min="4" max="4" width="26.28515625" customWidth="1"/>
    <col min="5" max="5" width="28.140625" customWidth="1"/>
    <col min="6" max="6" width="13" customWidth="1"/>
    <col min="7" max="7" width="12.28515625" customWidth="1"/>
    <col min="8" max="8" width="14.5703125" customWidth="1"/>
    <col min="9" max="9" width="16" customWidth="1"/>
    <col min="10" max="10" width="13" customWidth="1"/>
    <col min="11" max="11" width="26.28515625" customWidth="1"/>
    <col min="12" max="12" width="21.85546875" style="4" customWidth="1"/>
    <col min="13" max="13" width="13.85546875" customWidth="1"/>
    <col min="14" max="14" width="16.28515625" customWidth="1"/>
    <col min="15" max="15" width="17.85546875" customWidth="1"/>
    <col min="16" max="16" width="17.5703125" customWidth="1"/>
    <col min="17" max="17" width="15.7109375" customWidth="1"/>
    <col min="18" max="19" width="17.7109375" customWidth="1"/>
    <col min="20" max="20" width="41" customWidth="1"/>
    <col min="21" max="21" width="49.140625" customWidth="1"/>
    <col min="22" max="22" width="31.140625" customWidth="1"/>
    <col min="23" max="23" width="26.42578125" customWidth="1"/>
    <col min="24" max="24" width="13.7109375" customWidth="1"/>
    <col min="25" max="25" width="18.42578125" customWidth="1"/>
    <col min="26" max="26" width="12.5703125" customWidth="1"/>
    <col min="27" max="27" width="13.7109375" customWidth="1"/>
  </cols>
  <sheetData>
    <row r="1" spans="1:28">
      <c r="A1" t="s">
        <v>0</v>
      </c>
      <c r="B1" t="s">
        <v>82</v>
      </c>
      <c r="C1" s="2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s="5" t="s">
        <v>89</v>
      </c>
      <c r="J1" s="5" t="s">
        <v>90</v>
      </c>
      <c r="K1" s="5" t="s">
        <v>91</v>
      </c>
      <c r="L1" s="6" t="s">
        <v>92</v>
      </c>
      <c r="M1" s="5" t="s">
        <v>93</v>
      </c>
      <c r="N1" s="7" t="s">
        <v>94</v>
      </c>
      <c r="O1" s="7" t="s">
        <v>95</v>
      </c>
      <c r="P1" s="7" t="s">
        <v>96</v>
      </c>
      <c r="Q1" t="s">
        <v>97</v>
      </c>
      <c r="R1" t="s">
        <v>98</v>
      </c>
      <c r="S1" t="s">
        <v>99</v>
      </c>
      <c r="T1" t="s">
        <v>101</v>
      </c>
      <c r="U1" t="s">
        <v>102</v>
      </c>
      <c r="V1" t="s">
        <v>110</v>
      </c>
      <c r="W1" s="11" t="s">
        <v>109</v>
      </c>
      <c r="X1" s="12" t="s">
        <v>111</v>
      </c>
      <c r="Y1" s="12" t="s">
        <v>113</v>
      </c>
      <c r="Z1" s="12" t="s">
        <v>114</v>
      </c>
      <c r="AA1" t="s">
        <v>112</v>
      </c>
      <c r="AB1">
        <v>0.95</v>
      </c>
    </row>
    <row r="2" spans="1:28">
      <c r="A2" t="s">
        <v>29</v>
      </c>
      <c r="B2">
        <f>72</f>
        <v>72</v>
      </c>
      <c r="C2">
        <f xml:space="preserve"> COUNTIFS(RawData[part_id], A2, RawData[demand_quantity], "&gt;0")</f>
        <v>72</v>
      </c>
      <c r="D2">
        <f xml:space="preserve"> AVERAGEIFS(RawData[demand_quantity], RawData[part_id], A2, RawData[demand_quantity], "&gt;0")</f>
        <v>8.5138888888888893</v>
      </c>
      <c r="E2" cm="1">
        <f t="array" ref="E2" xml:space="preserve"> _xlfn.STDEV.S(IF((RawData[part_id]=A2)*(RawData[demand_quantity]&gt;0), RawData[demand_quantity]))</f>
        <v>2.7983549269775621</v>
      </c>
      <c r="F2">
        <f>PartSummary[[#This Row],[TotalPeriods]]/PartSummary[[#This Row],[NonZeroPeriods]]</f>
        <v>1</v>
      </c>
      <c r="G2">
        <f t="shared" ref="G2:G33" si="0">(E2 / D2) ^ 2</f>
        <v>0.10803130886637391</v>
      </c>
      <c r="H2" t="str">
        <f t="shared" ref="H2:H33" si="1" xml:space="preserve"> IF(F2&lt;=1.32, IF(G2&lt;=0.49, "Smooth", "Erratic"), IF(G2&lt;=0.49, "Intermittent", "Lumpy"))</f>
        <v>Smooth</v>
      </c>
      <c r="I2">
        <f>SUMIFS('RawData'!G:G,'RawData'!A:A,PartSummary[[#This Row],[part_id]])</f>
        <v>613</v>
      </c>
      <c r="J2">
        <f t="shared" ref="J2:J33" si="2" xml:space="preserve"> _xlfn.RANK.EQ(I2, $I$2:$I$61, 0)</f>
        <v>1</v>
      </c>
      <c r="K2">
        <f t="shared" ref="K2:K33" si="3">SUMIFS($I$2:$I$61, $J$2:$J$61, "&lt;="&amp;J2)</f>
        <v>613</v>
      </c>
      <c r="L2" s="4">
        <f t="shared" ref="L2:L33" si="4" xml:space="preserve"> K2 / SUM($I$2:$I$61)</f>
        <v>4.2822214460356271E-2</v>
      </c>
      <c r="M2" t="str">
        <f t="shared" ref="M2:M33" si="5">IF(L2&lt;=0.8, "A", IF(L2&lt;=0.95, "B", "C"))</f>
        <v>A</v>
      </c>
      <c r="N2">
        <f>PartSummary[[#This Row],[StdDevNonZeroDemand]]/PartSummary[[#This Row],[MeanNonZeroDemand]]</f>
        <v>0.32868116597452601</v>
      </c>
      <c r="O2" t="str">
        <f t="shared" ref="O2:O33" si="6" xml:space="preserve"> IF(N2&lt;=0.5, "X", IF(N2&lt;=1, "Y", "Z"))</f>
        <v>X</v>
      </c>
      <c r="P2" t="str">
        <f t="shared" ref="P2:P33" si="7">M2 &amp; O2</f>
        <v>AX</v>
      </c>
      <c r="Q2">
        <f>AVERAGEIFS('RawData'!M:M,'RawData'!A:A,PartSummary[[#This Row],[part_id]])</f>
        <v>39.166666666666664</v>
      </c>
      <c r="R2" cm="1">
        <f t="array" ref="R2">_xlfn.STDEV.S(IF('RawData'!A:A=PartSummary[[#This Row],[part_id]],'RawData'!M:M))</f>
        <v>16.992127423197992</v>
      </c>
      <c r="S2" s="1" cm="1">
        <f t="array" ref="S2" xml:space="preserve"> MAX(IF(RawData[part_id]=A2, RawData[period_start_date_FIXED]))</f>
        <v>45261</v>
      </c>
      <c r="T2" s="9">
        <f xml:space="preserve"> AVERAGEIFS(RawData[demand_quantity], RawData[part_id], A2, RawData[period_start_date_FIXED], "&gt;"&amp;EDATE(S2,-6))</f>
        <v>8.6666666666666661</v>
      </c>
      <c r="U2" cm="1">
        <f t="array" ref="U2">(LOOKUP(2,1/((RawData[part_id]=A2)*(RawData[demand_quantity]&lt;&gt;0)), RawData[demand_quantity])) / F2</f>
        <v>8</v>
      </c>
      <c r="V2" cm="1">
        <f t="array" aca="1" ref="V2" ca="1" xml:space="preserve"> LOOKUP(2,1/(RawData[part_id]=A2), RawData[Croston_Recursive_Forecast])</f>
        <v>8.3689984338281711</v>
      </c>
      <c r="W2">
        <f t="shared" ref="W2:W33" si="8" xml:space="preserve"> IF(H2="Smooth", T2, IF(H2="Intermittent", V2, (1-0.2/2)*V2))</f>
        <v>8.6666666666666661</v>
      </c>
      <c r="X2">
        <f t="shared" ref="X2:X33" si="9">_xlfn.NORM.S.INV($AB$1)</f>
        <v>1.6448536269514715</v>
      </c>
      <c r="Y2">
        <f t="shared" ref="Y2:Y33" si="10" xml:space="preserve"> X2 * SQRT(((Q2/30) * E2^2) + (D2^2 * (R2/30)^2))</f>
        <v>9.517171463145127</v>
      </c>
      <c r="Z2" s="9">
        <f t="shared" ref="Z2:Z33" si="11" xml:space="preserve"> (W2 * (Q2/30)) + Y2</f>
        <v>20.831986277959942</v>
      </c>
    </row>
    <row r="3" spans="1:28">
      <c r="A3" t="s">
        <v>26</v>
      </c>
      <c r="B3">
        <f>72</f>
        <v>72</v>
      </c>
      <c r="C3">
        <f xml:space="preserve"> COUNTIFS(RawData[part_id], A3, RawData[demand_quantity], "&gt;0")</f>
        <v>72</v>
      </c>
      <c r="D3">
        <f xml:space="preserve"> AVERAGEIFS(RawData[demand_quantity], RawData[part_id], A3, RawData[demand_quantity], "&gt;0")</f>
        <v>8.4305555555555554</v>
      </c>
      <c r="E3" cm="1">
        <f t="array" ref="E3" xml:space="preserve"> _xlfn.STDEV.S(IF((RawData[part_id]=A3)*(RawData[demand_quantity]&gt;0), RawData[demand_quantity]))</f>
        <v>2.9494634932947643</v>
      </c>
      <c r="F3">
        <f>PartSummary[[#This Row],[TotalPeriods]]/PartSummary[[#This Row],[NonZeroPeriods]]</f>
        <v>1</v>
      </c>
      <c r="G3">
        <f t="shared" si="0"/>
        <v>0.1223978138430991</v>
      </c>
      <c r="H3" t="str">
        <f t="shared" si="1"/>
        <v>Smooth</v>
      </c>
      <c r="I3">
        <f>SUMIFS('RawData'!G:G,'RawData'!A:A,PartSummary[[#This Row],[part_id]])</f>
        <v>607</v>
      </c>
      <c r="J3">
        <f t="shared" si="2"/>
        <v>2</v>
      </c>
      <c r="K3">
        <f t="shared" si="3"/>
        <v>1220</v>
      </c>
      <c r="L3" s="4">
        <f t="shared" si="4"/>
        <v>8.5225288159273493E-2</v>
      </c>
      <c r="M3" t="str">
        <f t="shared" si="5"/>
        <v>A</v>
      </c>
      <c r="N3">
        <f>PartSummary[[#This Row],[StdDevNonZeroDemand]]/PartSummary[[#This Row],[MeanNonZeroDemand]]</f>
        <v>0.34985398931997203</v>
      </c>
      <c r="O3" t="str">
        <f t="shared" si="6"/>
        <v>X</v>
      </c>
      <c r="P3" t="str">
        <f t="shared" si="7"/>
        <v>AX</v>
      </c>
      <c r="Q3">
        <f>AVERAGEIFS('RawData'!M:M,'RawData'!A:A,PartSummary[[#This Row],[part_id]])</f>
        <v>37.5</v>
      </c>
      <c r="R3" cm="1">
        <f t="array" ref="R3">_xlfn.STDEV.S(IF('RawData'!A:A=PartSummary[[#This Row],[part_id]],'RawData'!M:M))</f>
        <v>16.888199063418035</v>
      </c>
      <c r="S3" s="1" cm="1">
        <f t="array" ref="S3" xml:space="preserve"> MAX(IF(RawData[part_id]=A3, RawData[period_start_date_FIXED]))</f>
        <v>45261</v>
      </c>
      <c r="T3" s="9">
        <f xml:space="preserve"> AVERAGEIFS(RawData[demand_quantity], RawData[part_id], A3, RawData[period_start_date_FIXED], "&gt;"&amp;EDATE(S3,-6))</f>
        <v>7.666666666666667</v>
      </c>
      <c r="U3" cm="1">
        <f t="array" ref="U3">(LOOKUP(2,1/((RawData[part_id]=A3)*(RawData[demand_quantity]&lt;&gt;0)), RawData[demand_quantity])) / F3</f>
        <v>9</v>
      </c>
      <c r="V3" cm="1">
        <f t="array" aca="1" ref="V3" ca="1" xml:space="preserve"> LOOKUP(2,1/(RawData[part_id]=A3), RawData[Croston_Recursive_Forecast])</f>
        <v>7.7994081116579546</v>
      </c>
      <c r="W3">
        <f t="shared" si="8"/>
        <v>7.666666666666667</v>
      </c>
      <c r="X3">
        <f t="shared" si="9"/>
        <v>1.6448536269514715</v>
      </c>
      <c r="Y3">
        <f t="shared" si="10"/>
        <v>9.505731915788278</v>
      </c>
      <c r="Z3" s="9">
        <f t="shared" si="11"/>
        <v>19.08906524912161</v>
      </c>
    </row>
    <row r="4" spans="1:28">
      <c r="A4" t="s">
        <v>23</v>
      </c>
      <c r="B4">
        <f>72</f>
        <v>72</v>
      </c>
      <c r="C4">
        <f xml:space="preserve"> COUNTIFS(RawData[part_id], A4, RawData[demand_quantity], "&gt;0")</f>
        <v>70</v>
      </c>
      <c r="D4">
        <f xml:space="preserve"> AVERAGEIFS(RawData[demand_quantity], RawData[part_id], A4, RawData[demand_quantity], "&gt;0")</f>
        <v>8.3428571428571434</v>
      </c>
      <c r="E4" cm="1">
        <f t="array" ref="E4" xml:space="preserve"> _xlfn.STDEV.S(IF((RawData[part_id]=A4)*(RawData[demand_quantity]&gt;0), RawData[demand_quantity]))</f>
        <v>3.0115031360960511</v>
      </c>
      <c r="F4">
        <f>PartSummary[[#This Row],[TotalPeriods]]/PartSummary[[#This Row],[NonZeroPeriods]]</f>
        <v>1.0285714285714285</v>
      </c>
      <c r="G4">
        <f t="shared" si="0"/>
        <v>0.1302977827093208</v>
      </c>
      <c r="H4" t="str">
        <f t="shared" si="1"/>
        <v>Smooth</v>
      </c>
      <c r="I4">
        <f>SUMIFS('RawData'!G:G,'RawData'!A:A,PartSummary[[#This Row],[part_id]])</f>
        <v>584</v>
      </c>
      <c r="J4">
        <f t="shared" si="2"/>
        <v>3</v>
      </c>
      <c r="K4">
        <f t="shared" si="3"/>
        <v>1804</v>
      </c>
      <c r="L4" s="4">
        <f t="shared" si="4"/>
        <v>0.12602165560600767</v>
      </c>
      <c r="M4" t="str">
        <f t="shared" si="5"/>
        <v>A</v>
      </c>
      <c r="N4">
        <f>PartSummary[[#This Row],[StdDevNonZeroDemand]]/PartSummary[[#This Row],[MeanNonZeroDemand]]</f>
        <v>0.36096784165534856</v>
      </c>
      <c r="O4" t="str">
        <f t="shared" si="6"/>
        <v>X</v>
      </c>
      <c r="P4" t="str">
        <f t="shared" si="7"/>
        <v>AX</v>
      </c>
      <c r="Q4">
        <f>AVERAGEIFS('RawData'!M:M,'RawData'!A:A,PartSummary[[#This Row],[part_id]])</f>
        <v>38.958333333333336</v>
      </c>
      <c r="R4" cm="1">
        <f t="array" ref="R4">_xlfn.STDEV.S(IF('RawData'!A:A=PartSummary[[#This Row],[part_id]],'RawData'!M:M))</f>
        <v>16.634799346423588</v>
      </c>
      <c r="S4" s="1" cm="1">
        <f t="array" ref="S4" xml:space="preserve"> MAX(IF(RawData[part_id]=A4, RawData[period_start_date_FIXED]))</f>
        <v>45261</v>
      </c>
      <c r="T4" s="9">
        <f xml:space="preserve"> AVERAGEIFS(RawData[demand_quantity], RawData[part_id], A4, RawData[period_start_date_FIXED], "&gt;"&amp;EDATE(S4,-6))</f>
        <v>8.3333333333333339</v>
      </c>
      <c r="U4" cm="1">
        <f t="array" ref="U4">(LOOKUP(2,1/((RawData[part_id]=A4)*(RawData[demand_quantity]&lt;&gt;0)), RawData[demand_quantity])) / F4</f>
        <v>7.7777777777777786</v>
      </c>
      <c r="V4" cm="1">
        <f t="array" aca="1" ref="V4" ca="1" xml:space="preserve"> LOOKUP(2,1/(RawData[part_id]=A4), RawData[Croston_Recursive_Forecast])</f>
        <v>8.9288361268038337</v>
      </c>
      <c r="W4">
        <f t="shared" si="8"/>
        <v>8.3333333333333339</v>
      </c>
      <c r="X4">
        <f t="shared" si="9"/>
        <v>1.6448536269514715</v>
      </c>
      <c r="Y4">
        <f t="shared" si="10"/>
        <v>9.474373674285772</v>
      </c>
      <c r="Z4" s="9">
        <f t="shared" si="11"/>
        <v>20.296132933545032</v>
      </c>
    </row>
    <row r="5" spans="1:28">
      <c r="A5" t="s">
        <v>20</v>
      </c>
      <c r="B5">
        <f>72</f>
        <v>72</v>
      </c>
      <c r="C5">
        <f xml:space="preserve"> COUNTIFS(RawData[part_id], A5, RawData[demand_quantity], "&gt;0")</f>
        <v>69</v>
      </c>
      <c r="D5">
        <f xml:space="preserve"> AVERAGEIFS(RawData[demand_quantity], RawData[part_id], A5, RawData[demand_quantity], "&gt;0")</f>
        <v>8.3913043478260878</v>
      </c>
      <c r="E5" cm="1">
        <f t="array" ref="E5" xml:space="preserve"> _xlfn.STDEV.S(IF((RawData[part_id]=A5)*(RawData[demand_quantity]&gt;0), RawData[demand_quantity]))</f>
        <v>3.2094409963343167</v>
      </c>
      <c r="F5">
        <f>PartSummary[[#This Row],[TotalPeriods]]/PartSummary[[#This Row],[NonZeroPeriods]]</f>
        <v>1.0434782608695652</v>
      </c>
      <c r="G5">
        <f t="shared" si="0"/>
        <v>0.14628501673159805</v>
      </c>
      <c r="H5" t="str">
        <f t="shared" si="1"/>
        <v>Smooth</v>
      </c>
      <c r="I5">
        <f>SUMIFS('RawData'!G:G,'RawData'!A:A,PartSummary[[#This Row],[part_id]])</f>
        <v>579</v>
      </c>
      <c r="J5">
        <f t="shared" si="2"/>
        <v>4</v>
      </c>
      <c r="K5">
        <f t="shared" si="3"/>
        <v>2383</v>
      </c>
      <c r="L5" s="4">
        <f t="shared" si="4"/>
        <v>0.166468739084876</v>
      </c>
      <c r="M5" t="str">
        <f t="shared" si="5"/>
        <v>A</v>
      </c>
      <c r="N5">
        <f>PartSummary[[#This Row],[StdDevNonZeroDemand]]/PartSummary[[#This Row],[MeanNonZeroDemand]]</f>
        <v>0.38247224308647293</v>
      </c>
      <c r="O5" t="str">
        <f t="shared" si="6"/>
        <v>X</v>
      </c>
      <c r="P5" t="str">
        <f t="shared" si="7"/>
        <v>AX</v>
      </c>
      <c r="Q5">
        <f>AVERAGEIFS('RawData'!M:M,'RawData'!A:A,PartSummary[[#This Row],[part_id]])</f>
        <v>37.916666666666664</v>
      </c>
      <c r="R5" cm="1">
        <f t="array" ref="R5">_xlfn.STDEV.S(IF('RawData'!A:A=PartSummary[[#This Row],[part_id]],'RawData'!M:M))</f>
        <v>15.716457687835421</v>
      </c>
      <c r="S5" s="1" cm="1">
        <f t="array" ref="S5" xml:space="preserve"> MAX(IF(RawData[part_id]=A5, RawData[period_start_date_FIXED]))</f>
        <v>45261</v>
      </c>
      <c r="T5" s="9">
        <f xml:space="preserve"> AVERAGEIFS(RawData[demand_quantity], RawData[part_id], A5, RawData[period_start_date_FIXED], "&gt;"&amp;EDATE(S5,-6))</f>
        <v>11.166666666666666</v>
      </c>
      <c r="U5" cm="1">
        <f t="array" ref="U5">(LOOKUP(2,1/((RawData[part_id]=A5)*(RawData[demand_quantity]&lt;&gt;0)), RawData[demand_quantity])) / F5</f>
        <v>11.5</v>
      </c>
      <c r="V5" cm="1">
        <f t="array" aca="1" ref="V5" ca="1" xml:space="preserve"> LOOKUP(2,1/(RawData[part_id]=A5), RawData[Croston_Recursive_Forecast])</f>
        <v>10.630516907639652</v>
      </c>
      <c r="W5">
        <f t="shared" si="8"/>
        <v>11.166666666666666</v>
      </c>
      <c r="X5">
        <f t="shared" si="9"/>
        <v>1.6448536269514715</v>
      </c>
      <c r="Y5">
        <f t="shared" si="10"/>
        <v>9.3545735398924226</v>
      </c>
      <c r="Z5" s="9">
        <f t="shared" si="11"/>
        <v>23.467999465818345</v>
      </c>
    </row>
    <row r="6" spans="1:28">
      <c r="A6" t="s">
        <v>36</v>
      </c>
      <c r="B6">
        <f>72</f>
        <v>72</v>
      </c>
      <c r="C6">
        <f xml:space="preserve"> COUNTIFS(RawData[part_id], A6, RawData[demand_quantity], "&gt;0")</f>
        <v>71</v>
      </c>
      <c r="D6">
        <f xml:space="preserve"> AVERAGEIFS(RawData[demand_quantity], RawData[part_id], A6, RawData[demand_quantity], "&gt;0")</f>
        <v>8.1408450704225359</v>
      </c>
      <c r="E6" cm="1">
        <f t="array" ref="E6" xml:space="preserve"> _xlfn.STDEV.S(IF((RawData[part_id]=A6)*(RawData[demand_quantity]&gt;0), RawData[demand_quantity]))</f>
        <v>2.7375472580285511</v>
      </c>
      <c r="F6">
        <f>PartSummary[[#This Row],[TotalPeriods]]/PartSummary[[#This Row],[NonZeroPeriods]]</f>
        <v>1.0140845070422535</v>
      </c>
      <c r="G6">
        <f t="shared" si="0"/>
        <v>0.11307960187942467</v>
      </c>
      <c r="H6" t="str">
        <f t="shared" si="1"/>
        <v>Smooth</v>
      </c>
      <c r="I6">
        <f>SUMIFS('RawData'!G:G,'RawData'!A:A,PartSummary[[#This Row],[part_id]])</f>
        <v>578</v>
      </c>
      <c r="J6">
        <f t="shared" si="2"/>
        <v>5</v>
      </c>
      <c r="K6">
        <f t="shared" si="3"/>
        <v>2961</v>
      </c>
      <c r="L6" s="4">
        <f t="shared" si="4"/>
        <v>0.20684596577017114</v>
      </c>
      <c r="M6" t="str">
        <f t="shared" si="5"/>
        <v>A</v>
      </c>
      <c r="N6">
        <f>PartSummary[[#This Row],[StdDevNonZeroDemand]]/PartSummary[[#This Row],[MeanNonZeroDemand]]</f>
        <v>0.33627310609001232</v>
      </c>
      <c r="O6" t="str">
        <f t="shared" si="6"/>
        <v>X</v>
      </c>
      <c r="P6" t="str">
        <f t="shared" si="7"/>
        <v>AX</v>
      </c>
      <c r="Q6">
        <f>AVERAGEIFS('RawData'!M:M,'RawData'!A:A,PartSummary[[#This Row],[part_id]])</f>
        <v>38.541666666666664</v>
      </c>
      <c r="R6" cm="1">
        <f t="array" ref="R6">_xlfn.STDEV.S(IF('RawData'!A:A=PartSummary[[#This Row],[part_id]],'RawData'!M:M))</f>
        <v>17.227506256884247</v>
      </c>
      <c r="S6" s="1" cm="1">
        <f t="array" ref="S6" xml:space="preserve"> MAX(IF(RawData[part_id]=A6, RawData[period_start_date_FIXED]))</f>
        <v>45261</v>
      </c>
      <c r="T6" s="9">
        <f xml:space="preserve"> AVERAGEIFS(RawData[demand_quantity], RawData[part_id], A6, RawData[period_start_date_FIXED], "&gt;"&amp;EDATE(S6,-6))</f>
        <v>8.3333333333333339</v>
      </c>
      <c r="U6" cm="1">
        <f t="array" ref="U6">(LOOKUP(2,1/((RawData[part_id]=A6)*(RawData[demand_quantity]&lt;&gt;0)), RawData[demand_quantity])) / F6</f>
        <v>11.833333333333334</v>
      </c>
      <c r="V6" cm="1">
        <f t="array" aca="1" ref="V6" ca="1" xml:space="preserve"> LOOKUP(2,1/(RawData[part_id]=A6), RawData[Croston_Recursive_Forecast])</f>
        <v>8.4123478948244497</v>
      </c>
      <c r="W6">
        <f t="shared" si="8"/>
        <v>8.3333333333333339</v>
      </c>
      <c r="X6">
        <f t="shared" si="9"/>
        <v>1.6448536269514715</v>
      </c>
      <c r="Y6">
        <f t="shared" si="10"/>
        <v>9.22914483534095</v>
      </c>
      <c r="Z6" s="9">
        <f t="shared" si="11"/>
        <v>19.935163353859469</v>
      </c>
    </row>
    <row r="7" spans="1:28">
      <c r="A7" t="s">
        <v>34</v>
      </c>
      <c r="B7">
        <f>72</f>
        <v>72</v>
      </c>
      <c r="C7">
        <f xml:space="preserve"> COUNTIFS(RawData[part_id], A7, RawData[demand_quantity], "&gt;0")</f>
        <v>69</v>
      </c>
      <c r="D7">
        <f xml:space="preserve"> AVERAGEIFS(RawData[demand_quantity], RawData[part_id], A7, RawData[demand_quantity], "&gt;0")</f>
        <v>8.3188405797101446</v>
      </c>
      <c r="E7" cm="1">
        <f t="array" ref="E7" xml:space="preserve"> _xlfn.STDEV.S(IF((RawData[part_id]=A7)*(RawData[demand_quantity]&gt;0), RawData[demand_quantity]))</f>
        <v>3.1784788889877555</v>
      </c>
      <c r="F7">
        <f>PartSummary[[#This Row],[TotalPeriods]]/PartSummary[[#This Row],[NonZeroPeriods]]</f>
        <v>1.0434782608695652</v>
      </c>
      <c r="G7">
        <f t="shared" si="0"/>
        <v>0.14598662189444492</v>
      </c>
      <c r="H7" t="str">
        <f t="shared" si="1"/>
        <v>Smooth</v>
      </c>
      <c r="I7">
        <f>SUMIFS('RawData'!G:G,'RawData'!A:A,PartSummary[[#This Row],[part_id]])</f>
        <v>574</v>
      </c>
      <c r="J7">
        <f t="shared" si="2"/>
        <v>6</v>
      </c>
      <c r="K7">
        <f t="shared" si="3"/>
        <v>3535</v>
      </c>
      <c r="L7" s="4">
        <f t="shared" si="4"/>
        <v>0.24694376528117359</v>
      </c>
      <c r="M7" t="str">
        <f t="shared" si="5"/>
        <v>A</v>
      </c>
      <c r="N7">
        <f>PartSummary[[#This Row],[StdDevNonZeroDemand]]/PartSummary[[#This Row],[MeanNonZeroDemand]]</f>
        <v>0.38208195703859782</v>
      </c>
      <c r="O7" t="str">
        <f t="shared" si="6"/>
        <v>X</v>
      </c>
      <c r="P7" t="str">
        <f t="shared" si="7"/>
        <v>AX</v>
      </c>
      <c r="Q7">
        <f>AVERAGEIFS('RawData'!M:M,'RawData'!A:A,PartSummary[[#This Row],[part_id]])</f>
        <v>34.791666666666664</v>
      </c>
      <c r="R7" cm="1">
        <f t="array" ref="R7">_xlfn.STDEV.S(IF('RawData'!A:A=PartSummary[[#This Row],[part_id]],'RawData'!M:M))</f>
        <v>17.042562708171911</v>
      </c>
      <c r="S7" s="1" cm="1">
        <f t="array" ref="S7" xml:space="preserve"> MAX(IF(RawData[part_id]=A7, RawData[period_start_date_FIXED]))</f>
        <v>45261</v>
      </c>
      <c r="T7" s="9">
        <f xml:space="preserve"> AVERAGEIFS(RawData[demand_quantity], RawData[part_id], A7, RawData[period_start_date_FIXED], "&gt;"&amp;EDATE(S7,-6))</f>
        <v>6.833333333333333</v>
      </c>
      <c r="U7" cm="1">
        <f t="array" ref="U7">(LOOKUP(2,1/((RawData[part_id]=A7)*(RawData[demand_quantity]&lt;&gt;0)), RawData[demand_quantity])) / F7</f>
        <v>8.625</v>
      </c>
      <c r="V7" cm="1">
        <f t="array" aca="1" ref="V7" ca="1" xml:space="preserve"> LOOKUP(2,1/(RawData[part_id]=A7), RawData[Croston_Recursive_Forecast])</f>
        <v>7.5547981606639469</v>
      </c>
      <c r="W7">
        <f t="shared" si="8"/>
        <v>6.833333333333333</v>
      </c>
      <c r="X7">
        <f t="shared" si="9"/>
        <v>1.6448536269514715</v>
      </c>
      <c r="Y7">
        <f t="shared" si="10"/>
        <v>9.598063829769222</v>
      </c>
      <c r="Z7" s="9">
        <f t="shared" si="11"/>
        <v>17.522832348287739</v>
      </c>
    </row>
    <row r="8" spans="1:28">
      <c r="A8" t="s">
        <v>37</v>
      </c>
      <c r="B8">
        <f>72</f>
        <v>72</v>
      </c>
      <c r="C8">
        <f xml:space="preserve"> COUNTIFS(RawData[part_id], A8, RawData[demand_quantity], "&gt;0")</f>
        <v>72</v>
      </c>
      <c r="D8">
        <f xml:space="preserve"> AVERAGEIFS(RawData[demand_quantity], RawData[part_id], A8, RawData[demand_quantity], "&gt;0")</f>
        <v>7.9444444444444446</v>
      </c>
      <c r="E8" cm="1">
        <f t="array" ref="E8" xml:space="preserve"> _xlfn.STDEV.S(IF((RawData[part_id]=A8)*(RawData[demand_quantity]&gt;0), RawData[demand_quantity]))</f>
        <v>2.9257905583339863</v>
      </c>
      <c r="F8">
        <f>PartSummary[[#This Row],[TotalPeriods]]/PartSummary[[#This Row],[NonZeroPeriods]]</f>
        <v>1</v>
      </c>
      <c r="G8">
        <f t="shared" si="0"/>
        <v>0.13563113730551912</v>
      </c>
      <c r="H8" t="str">
        <f t="shared" si="1"/>
        <v>Smooth</v>
      </c>
      <c r="I8">
        <f>SUMIFS('RawData'!G:G,'RawData'!A:A,PartSummary[[#This Row],[part_id]])</f>
        <v>572</v>
      </c>
      <c r="J8">
        <f t="shared" si="2"/>
        <v>7</v>
      </c>
      <c r="K8">
        <f t="shared" si="3"/>
        <v>4107</v>
      </c>
      <c r="L8" s="4">
        <f t="shared" si="4"/>
        <v>0.2869018512050297</v>
      </c>
      <c r="M8" t="str">
        <f t="shared" si="5"/>
        <v>A</v>
      </c>
      <c r="N8">
        <f>PartSummary[[#This Row],[StdDevNonZeroDemand]]/PartSummary[[#This Row],[MeanNonZeroDemand]]</f>
        <v>0.3682813290210612</v>
      </c>
      <c r="O8" t="str">
        <f t="shared" si="6"/>
        <v>X</v>
      </c>
      <c r="P8" t="str">
        <f t="shared" si="7"/>
        <v>AX</v>
      </c>
      <c r="Q8">
        <f>AVERAGEIFS('RawData'!M:M,'RawData'!A:A,PartSummary[[#This Row],[part_id]])</f>
        <v>36.666666666666664</v>
      </c>
      <c r="R8" cm="1">
        <f t="array" ref="R8">_xlfn.STDEV.S(IF('RawData'!A:A=PartSummary[[#This Row],[part_id]],'RawData'!M:M))</f>
        <v>17.054180438312926</v>
      </c>
      <c r="S8" s="1" cm="1">
        <f t="array" ref="S8" xml:space="preserve"> MAX(IF(RawData[part_id]=A8, RawData[period_start_date_FIXED]))</f>
        <v>45261</v>
      </c>
      <c r="T8" s="9">
        <f xml:space="preserve"> AVERAGEIFS(RawData[demand_quantity], RawData[part_id], A8, RawData[period_start_date_FIXED], "&gt;"&amp;EDATE(S8,-6))</f>
        <v>8.5</v>
      </c>
      <c r="U8" cm="1">
        <f t="array" ref="U8">(LOOKUP(2,1/((RawData[part_id]=A8)*(RawData[demand_quantity]&lt;&gt;0)), RawData[demand_quantity])) / F8</f>
        <v>9</v>
      </c>
      <c r="V8" cm="1">
        <f t="array" aca="1" ref="V8" ca="1" xml:space="preserve"> LOOKUP(2,1/(RawData[part_id]=A8), RawData[Croston_Recursive_Forecast])</f>
        <v>8.6786183933426617</v>
      </c>
      <c r="W8">
        <f t="shared" si="8"/>
        <v>8.5</v>
      </c>
      <c r="X8">
        <f t="shared" si="9"/>
        <v>1.6448536269514715</v>
      </c>
      <c r="Y8">
        <f t="shared" si="10"/>
        <v>9.1372451608968852</v>
      </c>
      <c r="Z8" s="9">
        <f t="shared" si="11"/>
        <v>19.526134049785774</v>
      </c>
    </row>
    <row r="9" spans="1:28">
      <c r="A9" t="s">
        <v>19</v>
      </c>
      <c r="B9">
        <f>72</f>
        <v>72</v>
      </c>
      <c r="C9">
        <f xml:space="preserve"> COUNTIFS(RawData[part_id], A9, RawData[demand_quantity], "&gt;0")</f>
        <v>67</v>
      </c>
      <c r="D9">
        <f xml:space="preserve"> AVERAGEIFS(RawData[demand_quantity], RawData[part_id], A9, RawData[demand_quantity], "&gt;0")</f>
        <v>8.5223880597014929</v>
      </c>
      <c r="E9" cm="1">
        <f t="array" ref="E9" xml:space="preserve"> _xlfn.STDEV.S(IF((RawData[part_id]=A9)*(RawData[demand_quantity]&gt;0), RawData[demand_quantity]))</f>
        <v>2.9560323990270625</v>
      </c>
      <c r="F9">
        <f>PartSummary[[#This Row],[TotalPeriods]]/PartSummary[[#This Row],[NonZeroPeriods]]</f>
        <v>1.0746268656716418</v>
      </c>
      <c r="G9">
        <f t="shared" si="0"/>
        <v>0.12030834939610212</v>
      </c>
      <c r="H9" t="str">
        <f t="shared" si="1"/>
        <v>Smooth</v>
      </c>
      <c r="I9">
        <f>SUMIFS('RawData'!G:G,'RawData'!A:A,PartSummary[[#This Row],[part_id]])</f>
        <v>571</v>
      </c>
      <c r="J9">
        <f t="shared" si="2"/>
        <v>8</v>
      </c>
      <c r="K9">
        <f t="shared" si="3"/>
        <v>4678</v>
      </c>
      <c r="L9" s="4">
        <f t="shared" si="4"/>
        <v>0.32679008033531259</v>
      </c>
      <c r="M9" t="str">
        <f t="shared" si="5"/>
        <v>A</v>
      </c>
      <c r="N9">
        <f>PartSummary[[#This Row],[StdDevNonZeroDemand]]/PartSummary[[#This Row],[MeanNonZeroDemand]]</f>
        <v>0.34685493999091627</v>
      </c>
      <c r="O9" t="str">
        <f t="shared" si="6"/>
        <v>X</v>
      </c>
      <c r="P9" t="str">
        <f t="shared" si="7"/>
        <v>AX</v>
      </c>
      <c r="Q9">
        <f>AVERAGEIFS('RawData'!M:M,'RawData'!A:A,PartSummary[[#This Row],[part_id]])</f>
        <v>34.166666666666664</v>
      </c>
      <c r="R9" cm="1">
        <f t="array" ref="R9">_xlfn.STDEV.S(IF('RawData'!A:A=PartSummary[[#This Row],[part_id]],'RawData'!M:M))</f>
        <v>17.48238550132394</v>
      </c>
      <c r="S9" s="1" cm="1">
        <f t="array" ref="S9" xml:space="preserve"> MAX(IF(RawData[part_id]=A9, RawData[period_start_date_FIXED]))</f>
        <v>45261</v>
      </c>
      <c r="T9" s="9">
        <f xml:space="preserve"> AVERAGEIFS(RawData[demand_quantity], RawData[part_id], A9, RawData[period_start_date_FIXED], "&gt;"&amp;EDATE(S9,-6))</f>
        <v>6.5</v>
      </c>
      <c r="U9" cm="1">
        <f t="array" ref="U9">(LOOKUP(2,1/((RawData[part_id]=A9)*(RawData[demand_quantity]&lt;&gt;0)), RawData[demand_quantity])) / F9</f>
        <v>3.7222222222222223</v>
      </c>
      <c r="V9" cm="1">
        <f t="array" aca="1" ref="V9" ca="1" xml:space="preserve"> LOOKUP(2,1/(RawData[part_id]=A9), RawData[Croston_Recursive_Forecast])</f>
        <v>6.9781375799594487</v>
      </c>
      <c r="W9">
        <f t="shared" si="8"/>
        <v>6.5</v>
      </c>
      <c r="X9">
        <f t="shared" si="9"/>
        <v>1.6448536269514715</v>
      </c>
      <c r="Y9">
        <f t="shared" si="10"/>
        <v>9.6776647486474321</v>
      </c>
      <c r="Z9" s="9">
        <f t="shared" si="11"/>
        <v>17.080442526425209</v>
      </c>
    </row>
    <row r="10" spans="1:28">
      <c r="A10" t="s">
        <v>31</v>
      </c>
      <c r="B10">
        <f>72</f>
        <v>72</v>
      </c>
      <c r="C10">
        <f xml:space="preserve"> COUNTIFS(RawData[part_id], A10, RawData[demand_quantity], "&gt;0")</f>
        <v>69</v>
      </c>
      <c r="D10">
        <f xml:space="preserve"> AVERAGEIFS(RawData[demand_quantity], RawData[part_id], A10, RawData[demand_quantity], "&gt;0")</f>
        <v>8.2318840579710137</v>
      </c>
      <c r="E10" cm="1">
        <f t="array" ref="E10" xml:space="preserve"> _xlfn.STDEV.S(IF((RawData[part_id]=A10)*(RawData[demand_quantity]&gt;0), RawData[demand_quantity]))</f>
        <v>3.1349309380526655</v>
      </c>
      <c r="F10">
        <f>PartSummary[[#This Row],[TotalPeriods]]/PartSummary[[#This Row],[NonZeroPeriods]]</f>
        <v>1.0434782608695652</v>
      </c>
      <c r="G10">
        <f t="shared" si="0"/>
        <v>0.14502987269099277</v>
      </c>
      <c r="H10" t="str">
        <f t="shared" si="1"/>
        <v>Smooth</v>
      </c>
      <c r="I10">
        <f>SUMIFS('RawData'!G:G,'RawData'!A:A,PartSummary[[#This Row],[part_id]])</f>
        <v>568</v>
      </c>
      <c r="J10">
        <f t="shared" si="2"/>
        <v>9</v>
      </c>
      <c r="K10">
        <f t="shared" si="3"/>
        <v>5246</v>
      </c>
      <c r="L10" s="4">
        <f t="shared" si="4"/>
        <v>0.36646873908487598</v>
      </c>
      <c r="M10" t="str">
        <f t="shared" si="5"/>
        <v>A</v>
      </c>
      <c r="N10">
        <f>PartSummary[[#This Row],[StdDevNonZeroDemand]]/PartSummary[[#This Row],[MeanNonZeroDemand]]</f>
        <v>0.38082787803808793</v>
      </c>
      <c r="O10" t="str">
        <f t="shared" si="6"/>
        <v>X</v>
      </c>
      <c r="P10" t="str">
        <f t="shared" si="7"/>
        <v>AX</v>
      </c>
      <c r="Q10">
        <f>AVERAGEIFS('RawData'!M:M,'RawData'!A:A,PartSummary[[#This Row],[part_id]])</f>
        <v>34.791666666666664</v>
      </c>
      <c r="R10" cm="1">
        <f t="array" ref="R10">_xlfn.STDEV.S(IF('RawData'!A:A=PartSummary[[#This Row],[part_id]],'RawData'!M:M))</f>
        <v>16.666519952405892</v>
      </c>
      <c r="S10" s="1" cm="1">
        <f t="array" ref="S10" xml:space="preserve"> MAX(IF(RawData[part_id]=A10, RawData[period_start_date_FIXED]))</f>
        <v>45261</v>
      </c>
      <c r="T10" s="9">
        <f xml:space="preserve"> AVERAGEIFS(RawData[demand_quantity], RawData[part_id], A10, RawData[period_start_date_FIXED], "&gt;"&amp;EDATE(S10,-6))</f>
        <v>5.166666666666667</v>
      </c>
      <c r="U10" cm="1">
        <f t="array" ref="U10">(LOOKUP(2,1/((RawData[part_id]=A10)*(RawData[demand_quantity]&lt;&gt;0)), RawData[demand_quantity])) / F10</f>
        <v>9.5833333333333339</v>
      </c>
      <c r="V10" cm="1">
        <f t="array" aca="1" ref="V10" ca="1" xml:space="preserve"> LOOKUP(2,1/(RawData[part_id]=A10), RawData[Croston_Recursive_Forecast])</f>
        <v>7.6513453720458964</v>
      </c>
      <c r="W10">
        <f t="shared" si="8"/>
        <v>5.166666666666667</v>
      </c>
      <c r="X10">
        <f t="shared" si="9"/>
        <v>1.6448536269514715</v>
      </c>
      <c r="Y10">
        <f t="shared" si="10"/>
        <v>9.3499373501129579</v>
      </c>
      <c r="Z10" s="9">
        <f t="shared" si="11"/>
        <v>15.341835498261105</v>
      </c>
    </row>
    <row r="11" spans="1:28">
      <c r="A11" t="s">
        <v>28</v>
      </c>
      <c r="B11">
        <f>72</f>
        <v>72</v>
      </c>
      <c r="C11">
        <f xml:space="preserve"> COUNTIFS(RawData[part_id], A11, RawData[demand_quantity], "&gt;0")</f>
        <v>70</v>
      </c>
      <c r="D11">
        <f xml:space="preserve"> AVERAGEIFS(RawData[demand_quantity], RawData[part_id], A11, RawData[demand_quantity], "&gt;0")</f>
        <v>8</v>
      </c>
      <c r="E11" cm="1">
        <f t="array" ref="E11" xml:space="preserve"> _xlfn.STDEV.S(IF((RawData[part_id]=A11)*(RawData[demand_quantity]&gt;0), RawData[demand_quantity]))</f>
        <v>3.3100637062042226</v>
      </c>
      <c r="F11">
        <f>PartSummary[[#This Row],[TotalPeriods]]/PartSummary[[#This Row],[NonZeroPeriods]]</f>
        <v>1.0285714285714285</v>
      </c>
      <c r="G11">
        <f t="shared" si="0"/>
        <v>0.17119565217391303</v>
      </c>
      <c r="H11" t="str">
        <f t="shared" si="1"/>
        <v>Smooth</v>
      </c>
      <c r="I11">
        <f>SUMIFS('RawData'!G:G,'RawData'!A:A,PartSummary[[#This Row],[part_id]])</f>
        <v>560</v>
      </c>
      <c r="J11">
        <f t="shared" si="2"/>
        <v>10</v>
      </c>
      <c r="K11">
        <f t="shared" si="3"/>
        <v>6366</v>
      </c>
      <c r="L11" s="4">
        <f t="shared" si="4"/>
        <v>0.444708347886832</v>
      </c>
      <c r="M11" t="str">
        <f t="shared" si="5"/>
        <v>A</v>
      </c>
      <c r="N11">
        <f>PartSummary[[#This Row],[StdDevNonZeroDemand]]/PartSummary[[#This Row],[MeanNonZeroDemand]]</f>
        <v>0.41375796327552783</v>
      </c>
      <c r="O11" t="str">
        <f t="shared" si="6"/>
        <v>X</v>
      </c>
      <c r="P11" t="str">
        <f t="shared" si="7"/>
        <v>AX</v>
      </c>
      <c r="Q11">
        <f>AVERAGEIFS('RawData'!M:M,'RawData'!A:A,PartSummary[[#This Row],[part_id]])</f>
        <v>36.875</v>
      </c>
      <c r="R11" cm="1">
        <f t="array" ref="R11">_xlfn.STDEV.S(IF('RawData'!A:A=PartSummary[[#This Row],[part_id]],'RawData'!M:M))</f>
        <v>17.247933127859074</v>
      </c>
      <c r="S11" s="1" cm="1">
        <f t="array" ref="S11" xml:space="preserve"> MAX(IF(RawData[part_id]=A11, RawData[period_start_date_FIXED]))</f>
        <v>45261</v>
      </c>
      <c r="T11" s="9">
        <f xml:space="preserve"> AVERAGEIFS(RawData[demand_quantity], RawData[part_id], A11, RawData[period_start_date_FIXED], "&gt;"&amp;EDATE(S11,-6))</f>
        <v>9.3333333333333339</v>
      </c>
      <c r="U11" cm="1">
        <f t="array" ref="U11">(LOOKUP(2,1/((RawData[part_id]=A11)*(RawData[demand_quantity]&lt;&gt;0)), RawData[demand_quantity])) / F11</f>
        <v>5.8333333333333339</v>
      </c>
      <c r="V11" cm="1">
        <f t="array" aca="1" ref="V11" ca="1" xml:space="preserve"> LOOKUP(2,1/(RawData[part_id]=A11), RawData[Croston_Recursive_Forecast])</f>
        <v>8.4518589384724798</v>
      </c>
      <c r="W11">
        <f t="shared" si="8"/>
        <v>9.3333333333333339</v>
      </c>
      <c r="X11">
        <f t="shared" si="9"/>
        <v>1.6448536269514715</v>
      </c>
      <c r="Y11">
        <f t="shared" si="10"/>
        <v>9.6784396277178342</v>
      </c>
      <c r="Z11" s="9">
        <f t="shared" si="11"/>
        <v>21.150661849940057</v>
      </c>
    </row>
    <row r="12" spans="1:28">
      <c r="A12" t="s">
        <v>30</v>
      </c>
      <c r="B12">
        <f>72</f>
        <v>72</v>
      </c>
      <c r="C12">
        <f xml:space="preserve"> COUNTIFS(RawData[part_id], A12, RawData[demand_quantity], "&gt;0")</f>
        <v>71</v>
      </c>
      <c r="D12">
        <f xml:space="preserve"> AVERAGEIFS(RawData[demand_quantity], RawData[part_id], A12, RawData[demand_quantity], "&gt;0")</f>
        <v>7.887323943661972</v>
      </c>
      <c r="E12" cm="1">
        <f t="array" ref="E12" xml:space="preserve"> _xlfn.STDEV.S(IF((RawData[part_id]=A12)*(RawData[demand_quantity]&gt;0), RawData[demand_quantity]))</f>
        <v>3.0168540651984186</v>
      </c>
      <c r="F12">
        <f>PartSummary[[#This Row],[TotalPeriods]]/PartSummary[[#This Row],[NonZeroPeriods]]</f>
        <v>1.0140845070422535</v>
      </c>
      <c r="G12">
        <f t="shared" si="0"/>
        <v>0.14630165816326529</v>
      </c>
      <c r="H12" t="str">
        <f t="shared" si="1"/>
        <v>Smooth</v>
      </c>
      <c r="I12">
        <f>SUMIFS('RawData'!G:G,'RawData'!A:A,PartSummary[[#This Row],[part_id]])</f>
        <v>560</v>
      </c>
      <c r="J12">
        <f t="shared" si="2"/>
        <v>10</v>
      </c>
      <c r="K12">
        <f t="shared" si="3"/>
        <v>6366</v>
      </c>
      <c r="L12" s="4">
        <f t="shared" si="4"/>
        <v>0.444708347886832</v>
      </c>
      <c r="M12" t="str">
        <f t="shared" si="5"/>
        <v>A</v>
      </c>
      <c r="N12">
        <f>PartSummary[[#This Row],[StdDevNonZeroDemand]]/PartSummary[[#This Row],[MeanNonZeroDemand]]</f>
        <v>0.38249399755194236</v>
      </c>
      <c r="O12" t="str">
        <f t="shared" si="6"/>
        <v>X</v>
      </c>
      <c r="P12" t="str">
        <f t="shared" si="7"/>
        <v>AX</v>
      </c>
      <c r="Q12">
        <f>AVERAGEIFS('RawData'!M:M,'RawData'!A:A,PartSummary[[#This Row],[part_id]])</f>
        <v>38.125</v>
      </c>
      <c r="R12" cm="1">
        <f t="array" ref="R12">_xlfn.STDEV.S(IF('RawData'!A:A=PartSummary[[#This Row],[part_id]],'RawData'!M:M))</f>
        <v>16.107856100953164</v>
      </c>
      <c r="S12" s="1" cm="1">
        <f t="array" ref="S12" xml:space="preserve"> MAX(IF(RawData[part_id]=A12, RawData[period_start_date_FIXED]))</f>
        <v>45261</v>
      </c>
      <c r="T12" s="9">
        <f xml:space="preserve"> AVERAGEIFS(RawData[demand_quantity], RawData[part_id], A12, RawData[period_start_date_FIXED], "&gt;"&amp;EDATE(S12,-6))</f>
        <v>7.666666666666667</v>
      </c>
      <c r="U12" cm="1">
        <f t="array" ref="U12">(LOOKUP(2,1/((RawData[part_id]=A12)*(RawData[demand_quantity]&lt;&gt;0)), RawData[demand_quantity])) / F12</f>
        <v>6.9027777777777777</v>
      </c>
      <c r="V12" cm="1">
        <f t="array" aca="1" ref="V12" ca="1" xml:space="preserve"> LOOKUP(2,1/(RawData[part_id]=A12), RawData[Croston_Recursive_Forecast])</f>
        <v>7.7221313835428944</v>
      </c>
      <c r="W12">
        <f t="shared" si="8"/>
        <v>7.666666666666667</v>
      </c>
      <c r="X12">
        <f t="shared" si="9"/>
        <v>1.6448536269514715</v>
      </c>
      <c r="Y12">
        <f t="shared" si="10"/>
        <v>8.9339932806531106</v>
      </c>
      <c r="Z12" s="9">
        <f t="shared" si="11"/>
        <v>18.677048836208666</v>
      </c>
    </row>
    <row r="13" spans="1:28">
      <c r="A13" t="s">
        <v>35</v>
      </c>
      <c r="B13">
        <f>72</f>
        <v>72</v>
      </c>
      <c r="C13">
        <f xml:space="preserve"> COUNTIFS(RawData[part_id], A13, RawData[demand_quantity], "&gt;0")</f>
        <v>69</v>
      </c>
      <c r="D13">
        <f xml:space="preserve"> AVERAGEIFS(RawData[demand_quantity], RawData[part_id], A13, RawData[demand_quantity], "&gt;0")</f>
        <v>8.0724637681159415</v>
      </c>
      <c r="E13" cm="1">
        <f t="array" ref="E13" xml:space="preserve"> _xlfn.STDEV.S(IF((RawData[part_id]=A13)*(RawData[demand_quantity]&gt;0), RawData[demand_quantity]))</f>
        <v>2.782925040628327</v>
      </c>
      <c r="F13">
        <f>PartSummary[[#This Row],[TotalPeriods]]/PartSummary[[#This Row],[NonZeroPeriods]]</f>
        <v>1.0434782608695652</v>
      </c>
      <c r="G13">
        <f t="shared" si="0"/>
        <v>0.11884770733488635</v>
      </c>
      <c r="H13" t="str">
        <f t="shared" si="1"/>
        <v>Smooth</v>
      </c>
      <c r="I13">
        <f>SUMIFS('RawData'!G:G,'RawData'!A:A,PartSummary[[#This Row],[part_id]])</f>
        <v>557</v>
      </c>
      <c r="J13">
        <f t="shared" si="2"/>
        <v>12</v>
      </c>
      <c r="K13">
        <f t="shared" si="3"/>
        <v>6923</v>
      </c>
      <c r="L13" s="4">
        <f t="shared" si="4"/>
        <v>0.48361858190709045</v>
      </c>
      <c r="M13" t="str">
        <f t="shared" si="5"/>
        <v>A</v>
      </c>
      <c r="N13">
        <f>PartSummary[[#This Row],[StdDevNonZeroDemand]]/PartSummary[[#This Row],[MeanNonZeroDemand]]</f>
        <v>0.34474295835431701</v>
      </c>
      <c r="O13" t="str">
        <f t="shared" si="6"/>
        <v>X</v>
      </c>
      <c r="P13" t="str">
        <f t="shared" si="7"/>
        <v>AX</v>
      </c>
      <c r="Q13">
        <f>AVERAGEIFS('RawData'!M:M,'RawData'!A:A,PartSummary[[#This Row],[part_id]])</f>
        <v>35.208333333333336</v>
      </c>
      <c r="R13" cm="1">
        <f t="array" ref="R13">_xlfn.STDEV.S(IF('RawData'!A:A=PartSummary[[#This Row],[part_id]],'RawData'!M:M))</f>
        <v>17.104432750556501</v>
      </c>
      <c r="S13" s="1" cm="1">
        <f t="array" ref="S13" xml:space="preserve"> MAX(IF(RawData[part_id]=A13, RawData[period_start_date_FIXED]))</f>
        <v>45261</v>
      </c>
      <c r="T13" s="9">
        <f xml:space="preserve"> AVERAGEIFS(RawData[demand_quantity], RawData[part_id], A13, RawData[period_start_date_FIXED], "&gt;"&amp;EDATE(S13,-6))</f>
        <v>8.5</v>
      </c>
      <c r="U13" cm="1">
        <f t="array" ref="U13">(LOOKUP(2,1/((RawData[part_id]=A13)*(RawData[demand_quantity]&lt;&gt;0)), RawData[demand_quantity])) / F13</f>
        <v>3.8333333333333335</v>
      </c>
      <c r="V13" cm="1">
        <f t="array" aca="1" ref="V13" ca="1" xml:space="preserve"> LOOKUP(2,1/(RawData[part_id]=A13), RawData[Croston_Recursive_Forecast])</f>
        <v>7.7073562093969219</v>
      </c>
      <c r="W13">
        <f t="shared" si="8"/>
        <v>8.5</v>
      </c>
      <c r="X13">
        <f t="shared" si="9"/>
        <v>1.6448536269514715</v>
      </c>
      <c r="Y13">
        <f t="shared" si="10"/>
        <v>9.0500158381242937</v>
      </c>
      <c r="Z13" s="9">
        <f t="shared" si="11"/>
        <v>19.025710282568738</v>
      </c>
    </row>
    <row r="14" spans="1:28">
      <c r="A14" t="s">
        <v>24</v>
      </c>
      <c r="B14">
        <f>72</f>
        <v>72</v>
      </c>
      <c r="C14">
        <f xml:space="preserve"> COUNTIFS(RawData[part_id], A14, RawData[demand_quantity], "&gt;0")</f>
        <v>70</v>
      </c>
      <c r="D14">
        <f xml:space="preserve"> AVERAGEIFS(RawData[demand_quantity], RawData[part_id], A14, RawData[demand_quantity], "&gt;0")</f>
        <v>7.9285714285714288</v>
      </c>
      <c r="E14" cm="1">
        <f t="array" ref="E14" xml:space="preserve"> _xlfn.STDEV.S(IF((RawData[part_id]=A14)*(RawData[demand_quantity]&gt;0), RawData[demand_quantity]))</f>
        <v>2.8300736333506116</v>
      </c>
      <c r="F14">
        <f>PartSummary[[#This Row],[TotalPeriods]]/PartSummary[[#This Row],[NonZeroPeriods]]</f>
        <v>1.0285714285714285</v>
      </c>
      <c r="G14">
        <f t="shared" si="0"/>
        <v>0.12741060684656447</v>
      </c>
      <c r="H14" t="str">
        <f t="shared" si="1"/>
        <v>Smooth</v>
      </c>
      <c r="I14">
        <f>SUMIFS('RawData'!G:G,'RawData'!A:A,PartSummary[[#This Row],[part_id]])</f>
        <v>555</v>
      </c>
      <c r="J14">
        <f t="shared" si="2"/>
        <v>13</v>
      </c>
      <c r="K14">
        <f t="shared" si="3"/>
        <v>7478</v>
      </c>
      <c r="L14" s="4">
        <f t="shared" si="4"/>
        <v>0.52238910234020264</v>
      </c>
      <c r="M14" t="str">
        <f t="shared" si="5"/>
        <v>A</v>
      </c>
      <c r="N14">
        <f>PartSummary[[#This Row],[StdDevNonZeroDemand]]/PartSummary[[#This Row],[MeanNonZeroDemand]]</f>
        <v>0.35694622402620324</v>
      </c>
      <c r="O14" t="str">
        <f t="shared" si="6"/>
        <v>X</v>
      </c>
      <c r="P14" t="str">
        <f t="shared" si="7"/>
        <v>AX</v>
      </c>
      <c r="Q14">
        <f>AVERAGEIFS('RawData'!M:M,'RawData'!A:A,PartSummary[[#This Row],[part_id]])</f>
        <v>38.333333333333336</v>
      </c>
      <c r="R14" cm="1">
        <f t="array" ref="R14">_xlfn.STDEV.S(IF('RawData'!A:A=PartSummary[[#This Row],[part_id]],'RawData'!M:M))</f>
        <v>17.602816676020275</v>
      </c>
      <c r="S14" s="1" cm="1">
        <f t="array" ref="S14" xml:space="preserve"> MAX(IF(RawData[part_id]=A14, RawData[period_start_date_FIXED]))</f>
        <v>45261</v>
      </c>
      <c r="T14" s="9">
        <f xml:space="preserve"> AVERAGEIFS(RawData[demand_quantity], RawData[part_id], A14, RawData[period_start_date_FIXED], "&gt;"&amp;EDATE(S14,-6))</f>
        <v>9</v>
      </c>
      <c r="U14" cm="1">
        <f t="array" ref="U14">(LOOKUP(2,1/((RawData[part_id]=A14)*(RawData[demand_quantity]&lt;&gt;0)), RawData[demand_quantity])) / F14</f>
        <v>3.8888888888888893</v>
      </c>
      <c r="V14" cm="1">
        <f t="array" aca="1" ref="V14" ca="1" xml:space="preserve"> LOOKUP(2,1/(RawData[part_id]=A14), RawData[Croston_Recursive_Forecast])</f>
        <v>8.1850829138111738</v>
      </c>
      <c r="W14">
        <f t="shared" si="8"/>
        <v>9</v>
      </c>
      <c r="X14">
        <f t="shared" si="9"/>
        <v>1.6448536269514715</v>
      </c>
      <c r="Y14">
        <f t="shared" si="10"/>
        <v>9.2867743001443745</v>
      </c>
      <c r="Z14" s="9">
        <f t="shared" si="11"/>
        <v>20.786774300144376</v>
      </c>
    </row>
    <row r="15" spans="1:28">
      <c r="A15" t="s">
        <v>33</v>
      </c>
      <c r="B15">
        <f>72</f>
        <v>72</v>
      </c>
      <c r="C15">
        <f xml:space="preserve"> COUNTIFS(RawData[part_id], A15, RawData[demand_quantity], "&gt;0")</f>
        <v>68</v>
      </c>
      <c r="D15">
        <f xml:space="preserve"> AVERAGEIFS(RawData[demand_quantity], RawData[part_id], A15, RawData[demand_quantity], "&gt;0")</f>
        <v>8.0735294117647065</v>
      </c>
      <c r="E15" cm="1">
        <f t="array" ref="E15" xml:space="preserve"> _xlfn.STDEV.S(IF((RawData[part_id]=A15)*(RawData[demand_quantity]&gt;0), RawData[demand_quantity]))</f>
        <v>3.4438618398908467</v>
      </c>
      <c r="F15">
        <f>PartSummary[[#This Row],[TotalPeriods]]/PartSummary[[#This Row],[NonZeroPeriods]]</f>
        <v>1.0588235294117647</v>
      </c>
      <c r="G15">
        <f t="shared" si="0"/>
        <v>0.18195524413427108</v>
      </c>
      <c r="H15" t="str">
        <f t="shared" si="1"/>
        <v>Smooth</v>
      </c>
      <c r="I15">
        <f>SUMIFS('RawData'!G:G,'RawData'!A:A,PartSummary[[#This Row],[part_id]])</f>
        <v>549</v>
      </c>
      <c r="J15">
        <f t="shared" si="2"/>
        <v>14</v>
      </c>
      <c r="K15">
        <f t="shared" si="3"/>
        <v>8027</v>
      </c>
      <c r="L15" s="4">
        <f t="shared" si="4"/>
        <v>0.56074048201187565</v>
      </c>
      <c r="M15" t="str">
        <f t="shared" si="5"/>
        <v>A</v>
      </c>
      <c r="N15">
        <f>PartSummary[[#This Row],[StdDevNonZeroDemand]]/PartSummary[[#This Row],[MeanNonZeroDemand]]</f>
        <v>0.42656212224513218</v>
      </c>
      <c r="O15" t="str">
        <f t="shared" si="6"/>
        <v>X</v>
      </c>
      <c r="P15" t="str">
        <f t="shared" si="7"/>
        <v>AX</v>
      </c>
      <c r="Q15">
        <f>AVERAGEIFS('RawData'!M:M,'RawData'!A:A,PartSummary[[#This Row],[part_id]])</f>
        <v>39.166666666666664</v>
      </c>
      <c r="R15" cm="1">
        <f t="array" ref="R15">_xlfn.STDEV.S(IF('RawData'!A:A=PartSummary[[#This Row],[part_id]],'RawData'!M:M))</f>
        <v>16.228995091814554</v>
      </c>
      <c r="S15" s="1" cm="1">
        <f t="array" ref="S15" xml:space="preserve"> MAX(IF(RawData[part_id]=A15, RawData[period_start_date_FIXED]))</f>
        <v>45261</v>
      </c>
      <c r="T15" s="9">
        <f xml:space="preserve"> AVERAGEIFS(RawData[demand_quantity], RawData[part_id], A15, RawData[period_start_date_FIXED], "&gt;"&amp;EDATE(S15,-6))</f>
        <v>6.333333333333333</v>
      </c>
      <c r="U15" cm="1">
        <f t="array" ref="U15">(LOOKUP(2,1/((RawData[part_id]=A15)*(RawData[demand_quantity]&lt;&gt;0)), RawData[demand_quantity])) / F15</f>
        <v>7.5555555555555554</v>
      </c>
      <c r="V15" cm="1">
        <f t="array" aca="1" ref="V15" ca="1" xml:space="preserve"> LOOKUP(2,1/(RawData[part_id]=A15), RawData[Croston_Recursive_Forecast])</f>
        <v>6.5195984628220822</v>
      </c>
      <c r="W15">
        <f t="shared" si="8"/>
        <v>6.333333333333333</v>
      </c>
      <c r="X15">
        <f t="shared" si="9"/>
        <v>1.6448536269514715</v>
      </c>
      <c r="Y15">
        <f t="shared" si="10"/>
        <v>9.669622076978083</v>
      </c>
      <c r="Z15" s="9">
        <f t="shared" si="11"/>
        <v>17.938140595496602</v>
      </c>
    </row>
    <row r="16" spans="1:28">
      <c r="A16" t="s">
        <v>13</v>
      </c>
      <c r="B16">
        <f>72</f>
        <v>72</v>
      </c>
      <c r="C16">
        <f xml:space="preserve"> COUNTIFS(RawData[part_id], A16, RawData[demand_quantity], "&gt;0")</f>
        <v>68</v>
      </c>
      <c r="D16">
        <f xml:space="preserve"> AVERAGEIFS(RawData[demand_quantity], RawData[part_id], A16, RawData[demand_quantity], "&gt;0")</f>
        <v>8.0588235294117645</v>
      </c>
      <c r="E16" cm="1">
        <f t="array" ref="E16" xml:space="preserve"> _xlfn.STDEV.S(IF((RawData[part_id]=A16)*(RawData[demand_quantity]&gt;0), RawData[demand_quantity]))</f>
        <v>2.5793806553915721</v>
      </c>
      <c r="F16">
        <f>PartSummary[[#This Row],[TotalPeriods]]/PartSummary[[#This Row],[NonZeroPeriods]]</f>
        <v>1.0588235294117647</v>
      </c>
      <c r="G16">
        <f t="shared" si="0"/>
        <v>0.10244424952863689</v>
      </c>
      <c r="H16" t="str">
        <f t="shared" si="1"/>
        <v>Smooth</v>
      </c>
      <c r="I16">
        <f>SUMIFS('RawData'!G:G,'RawData'!A:A,PartSummary[[#This Row],[part_id]])</f>
        <v>548</v>
      </c>
      <c r="J16">
        <f t="shared" si="2"/>
        <v>15</v>
      </c>
      <c r="K16">
        <f t="shared" si="3"/>
        <v>8575</v>
      </c>
      <c r="L16" s="4">
        <f t="shared" si="4"/>
        <v>0.59902200488997559</v>
      </c>
      <c r="M16" t="str">
        <f t="shared" si="5"/>
        <v>A</v>
      </c>
      <c r="N16">
        <f>PartSummary[[#This Row],[StdDevNonZeroDemand]]/PartSummary[[#This Row],[MeanNonZeroDemand]]</f>
        <v>0.320069132420852</v>
      </c>
      <c r="O16" t="str">
        <f t="shared" si="6"/>
        <v>X</v>
      </c>
      <c r="P16" t="str">
        <f t="shared" si="7"/>
        <v>AX</v>
      </c>
      <c r="Q16">
        <f>AVERAGEIFS('RawData'!M:M,'RawData'!A:A,PartSummary[[#This Row],[part_id]])</f>
        <v>38.75</v>
      </c>
      <c r="R16" cm="1">
        <f t="array" ref="R16">_xlfn.STDEV.S(IF('RawData'!A:A=PartSummary[[#This Row],[part_id]],'RawData'!M:M))</f>
        <v>18.110575853530413</v>
      </c>
      <c r="S16" s="1" cm="1">
        <f t="array" ref="S16" xml:space="preserve"> MAX(IF(RawData[part_id]=A16, RawData[period_start_date_FIXED]))</f>
        <v>45261</v>
      </c>
      <c r="T16" s="9">
        <f xml:space="preserve"> AVERAGEIFS(RawData[demand_quantity], RawData[part_id], A16, RawData[period_start_date_FIXED], "&gt;"&amp;EDATE(S16,-6))</f>
        <v>7</v>
      </c>
      <c r="U16" cm="1">
        <f t="array" ref="U16">(LOOKUP(2,1/((RawData[part_id]=A16)*(RawData[demand_quantity]&lt;&gt;0)), RawData[demand_quantity])) / F16</f>
        <v>7.5555555555555554</v>
      </c>
      <c r="V16" cm="1">
        <f t="array" aca="1" ref="V16" ca="1" xml:space="preserve"> LOOKUP(2,1/(RawData[part_id]=A16), RawData[Croston_Recursive_Forecast])</f>
        <v>7.0753769536196778</v>
      </c>
      <c r="W16">
        <f t="shared" si="8"/>
        <v>7</v>
      </c>
      <c r="X16">
        <f t="shared" si="9"/>
        <v>1.6448536269514715</v>
      </c>
      <c r="Y16">
        <f t="shared" si="10"/>
        <v>9.3427000300544769</v>
      </c>
      <c r="Z16" s="9">
        <f t="shared" si="11"/>
        <v>18.384366696721145</v>
      </c>
    </row>
    <row r="17" spans="1:26">
      <c r="A17" t="s">
        <v>25</v>
      </c>
      <c r="B17">
        <f>72</f>
        <v>72</v>
      </c>
      <c r="C17">
        <f xml:space="preserve"> COUNTIFS(RawData[part_id], A17, RawData[demand_quantity], "&gt;0")</f>
        <v>72</v>
      </c>
      <c r="D17">
        <f xml:space="preserve"> AVERAGEIFS(RawData[demand_quantity], RawData[part_id], A17, RawData[demand_quantity], "&gt;0")</f>
        <v>7.5972222222222223</v>
      </c>
      <c r="E17" cm="1">
        <f t="array" ref="E17" xml:space="preserve"> _xlfn.STDEV.S(IF((RawData[part_id]=A17)*(RawData[demand_quantity]&gt;0), RawData[demand_quantity]))</f>
        <v>2.5268124005687937</v>
      </c>
      <c r="F17">
        <f>PartSummary[[#This Row],[TotalPeriods]]/PartSummary[[#This Row],[NonZeroPeriods]]</f>
        <v>1</v>
      </c>
      <c r="G17">
        <f t="shared" si="0"/>
        <v>0.1106206839545338</v>
      </c>
      <c r="H17" t="str">
        <f t="shared" si="1"/>
        <v>Smooth</v>
      </c>
      <c r="I17">
        <f>SUMIFS('RawData'!G:G,'RawData'!A:A,PartSummary[[#This Row],[part_id]])</f>
        <v>547</v>
      </c>
      <c r="J17">
        <f t="shared" si="2"/>
        <v>16</v>
      </c>
      <c r="K17">
        <f t="shared" si="3"/>
        <v>9122</v>
      </c>
      <c r="L17" s="4">
        <f t="shared" si="4"/>
        <v>0.63723367097450223</v>
      </c>
      <c r="M17" t="str">
        <f t="shared" si="5"/>
        <v>A</v>
      </c>
      <c r="N17">
        <f>PartSummary[[#This Row],[StdDevNonZeroDemand]]/PartSummary[[#This Row],[MeanNonZeroDemand]]</f>
        <v>0.33259687905110263</v>
      </c>
      <c r="O17" t="str">
        <f t="shared" si="6"/>
        <v>X</v>
      </c>
      <c r="P17" t="str">
        <f t="shared" si="7"/>
        <v>AX</v>
      </c>
      <c r="Q17">
        <f>AVERAGEIFS('RawData'!M:M,'RawData'!A:A,PartSummary[[#This Row],[part_id]])</f>
        <v>36.666666666666664</v>
      </c>
      <c r="R17" cm="1">
        <f t="array" ref="R17">_xlfn.STDEV.S(IF('RawData'!A:A=PartSummary[[#This Row],[part_id]],'RawData'!M:M))</f>
        <v>17.959265332067613</v>
      </c>
      <c r="S17" s="1" cm="1">
        <f t="array" ref="S17" xml:space="preserve"> MAX(IF(RawData[part_id]=A17, RawData[period_start_date_FIXED]))</f>
        <v>45261</v>
      </c>
      <c r="T17" s="9">
        <f xml:space="preserve"> AVERAGEIFS(RawData[demand_quantity], RawData[part_id], A17, RawData[period_start_date_FIXED], "&gt;"&amp;EDATE(S17,-6))</f>
        <v>7</v>
      </c>
      <c r="U17" cm="1">
        <f t="array" ref="U17">(LOOKUP(2,1/((RawData[part_id]=A17)*(RawData[demand_quantity]&lt;&gt;0)), RawData[demand_quantity])) / F17</f>
        <v>9</v>
      </c>
      <c r="V17" cm="1">
        <f t="array" aca="1" ref="V17" ca="1" xml:space="preserve"> LOOKUP(2,1/(RawData[part_id]=A17), RawData[Croston_Recursive_Forecast])</f>
        <v>7.0550656742127806</v>
      </c>
      <c r="W17">
        <f t="shared" si="8"/>
        <v>7</v>
      </c>
      <c r="X17">
        <f t="shared" si="9"/>
        <v>1.6448536269514715</v>
      </c>
      <c r="Y17">
        <f t="shared" si="10"/>
        <v>8.7792797999118051</v>
      </c>
      <c r="Z17" s="9">
        <f t="shared" si="11"/>
        <v>17.334835355467362</v>
      </c>
    </row>
    <row r="18" spans="1:26">
      <c r="A18" t="s">
        <v>17</v>
      </c>
      <c r="B18">
        <f>72</f>
        <v>72</v>
      </c>
      <c r="C18">
        <f xml:space="preserve"> COUNTIFS(RawData[part_id], A18, RawData[demand_quantity], "&gt;0")</f>
        <v>68</v>
      </c>
      <c r="D18">
        <f xml:space="preserve"> AVERAGEIFS(RawData[demand_quantity], RawData[part_id], A18, RawData[demand_quantity], "&gt;0")</f>
        <v>7.9117647058823533</v>
      </c>
      <c r="E18" cm="1">
        <f t="array" ref="E18" xml:space="preserve"> _xlfn.STDEV.S(IF((RawData[part_id]=A18)*(RawData[demand_quantity]&gt;0), RawData[demand_quantity]))</f>
        <v>2.8896898254127441</v>
      </c>
      <c r="F18">
        <f>PartSummary[[#This Row],[TotalPeriods]]/PartSummary[[#This Row],[NonZeroPeriods]]</f>
        <v>1.0588235294117647</v>
      </c>
      <c r="G18">
        <f t="shared" si="0"/>
        <v>0.13339996992690245</v>
      </c>
      <c r="H18" t="str">
        <f t="shared" si="1"/>
        <v>Smooth</v>
      </c>
      <c r="I18">
        <f>SUMIFS('RawData'!G:G,'RawData'!A:A,PartSummary[[#This Row],[part_id]])</f>
        <v>538</v>
      </c>
      <c r="J18">
        <f t="shared" si="2"/>
        <v>17</v>
      </c>
      <c r="K18">
        <f t="shared" si="3"/>
        <v>9660</v>
      </c>
      <c r="L18" s="4">
        <f t="shared" si="4"/>
        <v>0.67481662591687042</v>
      </c>
      <c r="M18" t="str">
        <f t="shared" si="5"/>
        <v>A</v>
      </c>
      <c r="N18">
        <f>PartSummary[[#This Row],[StdDevNonZeroDemand]]/PartSummary[[#This Row],[MeanNonZeroDemand]]</f>
        <v>0.36523960618599738</v>
      </c>
      <c r="O18" t="str">
        <f t="shared" si="6"/>
        <v>X</v>
      </c>
      <c r="P18" t="str">
        <f t="shared" si="7"/>
        <v>AX</v>
      </c>
      <c r="Q18">
        <f>AVERAGEIFS('RawData'!M:M,'RawData'!A:A,PartSummary[[#This Row],[part_id]])</f>
        <v>33.958333333333336</v>
      </c>
      <c r="R18" cm="1">
        <f t="array" ref="R18">_xlfn.STDEV.S(IF('RawData'!A:A=PartSummary[[#This Row],[part_id]],'RawData'!M:M))</f>
        <v>15.9209645648766</v>
      </c>
      <c r="S18" s="1" cm="1">
        <f t="array" ref="S18" xml:space="preserve"> MAX(IF(RawData[part_id]=A18, RawData[period_start_date_FIXED]))</f>
        <v>45261</v>
      </c>
      <c r="T18" s="9">
        <f xml:space="preserve"> AVERAGEIFS(RawData[demand_quantity], RawData[part_id], A18, RawData[period_start_date_FIXED], "&gt;"&amp;EDATE(S18,-6))</f>
        <v>7.833333333333333</v>
      </c>
      <c r="U18" cm="1">
        <f t="array" ref="U18">(LOOKUP(2,1/((RawData[part_id]=A18)*(RawData[demand_quantity]&lt;&gt;0)), RawData[demand_quantity])) / F18</f>
        <v>7.5555555555555554</v>
      </c>
      <c r="V18" cm="1">
        <f t="array" aca="1" ref="V18" ca="1" xml:space="preserve"> LOOKUP(2,1/(RawData[part_id]=A18), RawData[Croston_Recursive_Forecast])</f>
        <v>7.7572562763164719</v>
      </c>
      <c r="W18">
        <f t="shared" si="8"/>
        <v>7.833333333333333</v>
      </c>
      <c r="X18">
        <f t="shared" si="9"/>
        <v>1.6448536269514715</v>
      </c>
      <c r="Y18">
        <f t="shared" si="10"/>
        <v>8.5598322796226505</v>
      </c>
      <c r="Z18" s="9">
        <f t="shared" si="11"/>
        <v>17.426730427770799</v>
      </c>
    </row>
    <row r="19" spans="1:26">
      <c r="A19" t="s">
        <v>32</v>
      </c>
      <c r="B19">
        <f>72</f>
        <v>72</v>
      </c>
      <c r="C19">
        <f xml:space="preserve"> COUNTIFS(RawData[part_id], A19, RawData[demand_quantity], "&gt;0")</f>
        <v>71</v>
      </c>
      <c r="D19">
        <f xml:space="preserve"> AVERAGEIFS(RawData[demand_quantity], RawData[part_id], A19, RawData[demand_quantity], "&gt;0")</f>
        <v>7.52112676056338</v>
      </c>
      <c r="E19" cm="1">
        <f t="array" ref="E19" xml:space="preserve"> _xlfn.STDEV.S(IF((RawData[part_id]=A19)*(RawData[demand_quantity]&gt;0), RawData[demand_quantity]))</f>
        <v>2.7456935367931958</v>
      </c>
      <c r="F19">
        <f>PartSummary[[#This Row],[TotalPeriods]]/PartSummary[[#This Row],[NonZeroPeriods]]</f>
        <v>1.0140845070422535</v>
      </c>
      <c r="G19">
        <f t="shared" si="0"/>
        <v>0.13327181312284206</v>
      </c>
      <c r="H19" t="str">
        <f t="shared" si="1"/>
        <v>Smooth</v>
      </c>
      <c r="I19">
        <f>SUMIFS('RawData'!G:G,'RawData'!A:A,PartSummary[[#This Row],[part_id]])</f>
        <v>534</v>
      </c>
      <c r="J19">
        <f t="shared" si="2"/>
        <v>18</v>
      </c>
      <c r="K19">
        <f t="shared" si="3"/>
        <v>10194</v>
      </c>
      <c r="L19" s="4">
        <f t="shared" si="4"/>
        <v>0.71212015368494586</v>
      </c>
      <c r="M19" t="str">
        <f t="shared" si="5"/>
        <v>A</v>
      </c>
      <c r="N19">
        <f>PartSummary[[#This Row],[StdDevNonZeroDemand]]/PartSummary[[#This Row],[MeanNonZeroDemand]]</f>
        <v>0.36506412193317772</v>
      </c>
      <c r="O19" t="str">
        <f t="shared" si="6"/>
        <v>X</v>
      </c>
      <c r="P19" t="str">
        <f t="shared" si="7"/>
        <v>AX</v>
      </c>
      <c r="Q19">
        <f>AVERAGEIFS('RawData'!M:M,'RawData'!A:A,PartSummary[[#This Row],[part_id]])</f>
        <v>37.708333333333336</v>
      </c>
      <c r="R19" cm="1">
        <f t="array" ref="R19">_xlfn.STDEV.S(IF('RawData'!A:A=PartSummary[[#This Row],[part_id]],'RawData'!M:M))</f>
        <v>17.800488599086183</v>
      </c>
      <c r="S19" s="1" cm="1">
        <f t="array" ref="S19" xml:space="preserve"> MAX(IF(RawData[part_id]=A19, RawData[period_start_date_FIXED]))</f>
        <v>45261</v>
      </c>
      <c r="T19" s="9">
        <f xml:space="preserve"> AVERAGEIFS(RawData[demand_quantity], RawData[part_id], A19, RawData[period_start_date_FIXED], "&gt;"&amp;EDATE(S19,-6))</f>
        <v>7</v>
      </c>
      <c r="U19" cm="1">
        <f t="array" ref="U19">(LOOKUP(2,1/((RawData[part_id]=A19)*(RawData[demand_quantity]&lt;&gt;0)), RawData[demand_quantity])) / F19</f>
        <v>5.916666666666667</v>
      </c>
      <c r="V19" cm="1">
        <f t="array" aca="1" ref="V19" ca="1" xml:space="preserve"> LOOKUP(2,1/(RawData[part_id]=A19), RawData[Croston_Recursive_Forecast])</f>
        <v>6.3060060601129129</v>
      </c>
      <c r="W19">
        <f t="shared" si="8"/>
        <v>7</v>
      </c>
      <c r="X19">
        <f t="shared" si="9"/>
        <v>1.6448536269514715</v>
      </c>
      <c r="Y19">
        <f t="shared" si="10"/>
        <v>8.9173533372237106</v>
      </c>
      <c r="Z19" s="9">
        <f t="shared" si="11"/>
        <v>17.715964448334823</v>
      </c>
    </row>
    <row r="20" spans="1:26">
      <c r="A20" t="s">
        <v>27</v>
      </c>
      <c r="B20">
        <f>72</f>
        <v>72</v>
      </c>
      <c r="C20">
        <f xml:space="preserve"> COUNTIFS(RawData[part_id], A20, RawData[demand_quantity], "&gt;0")</f>
        <v>65</v>
      </c>
      <c r="D20">
        <f xml:space="preserve"> AVERAGEIFS(RawData[demand_quantity], RawData[part_id], A20, RawData[demand_quantity], "&gt;0")</f>
        <v>8.0153846153846153</v>
      </c>
      <c r="E20" cm="1">
        <f t="array" ref="E20" xml:space="preserve"> _xlfn.STDEV.S(IF((RawData[part_id]=A20)*(RawData[demand_quantity]&gt;0), RawData[demand_quantity]))</f>
        <v>2.5340944369507263</v>
      </c>
      <c r="F20">
        <f>PartSummary[[#This Row],[TotalPeriods]]/PartSummary[[#This Row],[NonZeroPeriods]]</f>
        <v>1.1076923076923078</v>
      </c>
      <c r="G20">
        <f t="shared" si="0"/>
        <v>9.9953235693944584E-2</v>
      </c>
      <c r="H20" t="str">
        <f t="shared" si="1"/>
        <v>Smooth</v>
      </c>
      <c r="I20">
        <f>SUMIFS('RawData'!G:G,'RawData'!A:A,PartSummary[[#This Row],[part_id]])</f>
        <v>521</v>
      </c>
      <c r="J20">
        <f t="shared" si="2"/>
        <v>19</v>
      </c>
      <c r="K20">
        <f t="shared" si="3"/>
        <v>10715</v>
      </c>
      <c r="L20" s="4">
        <f t="shared" si="4"/>
        <v>0.74851554313656998</v>
      </c>
      <c r="M20" t="str">
        <f t="shared" si="5"/>
        <v>A</v>
      </c>
      <c r="N20">
        <f>PartSummary[[#This Row],[StdDevNonZeroDemand]]/PartSummary[[#This Row],[MeanNonZeroDemand]]</f>
        <v>0.31615381651016738</v>
      </c>
      <c r="O20" t="str">
        <f t="shared" si="6"/>
        <v>X</v>
      </c>
      <c r="P20" t="str">
        <f t="shared" si="7"/>
        <v>AX</v>
      </c>
      <c r="Q20">
        <f>AVERAGEIFS('RawData'!M:M,'RawData'!A:A,PartSummary[[#This Row],[part_id]])</f>
        <v>35.208333333333336</v>
      </c>
      <c r="R20" cm="1">
        <f t="array" ref="R20">_xlfn.STDEV.S(IF('RawData'!A:A=PartSummary[[#This Row],[part_id]],'RawData'!M:M))</f>
        <v>16.539272511548614</v>
      </c>
      <c r="S20" s="1" cm="1">
        <f t="array" ref="S20" xml:space="preserve"> MAX(IF(RawData[part_id]=A20, RawData[period_start_date_FIXED]))</f>
        <v>45261</v>
      </c>
      <c r="T20" s="9">
        <f xml:space="preserve"> AVERAGEIFS(RawData[demand_quantity], RawData[part_id], A20, RawData[period_start_date_FIXED], "&gt;"&amp;EDATE(S20,-6))</f>
        <v>6.666666666666667</v>
      </c>
      <c r="U20" cm="1">
        <f t="array" ref="U20">(LOOKUP(2,1/((RawData[part_id]=A20)*(RawData[demand_quantity]&lt;&gt;0)), RawData[demand_quantity])) / F20</f>
        <v>11.736111111111111</v>
      </c>
      <c r="V20" cm="1">
        <f t="array" aca="1" ref="V20" ca="1" xml:space="preserve"> LOOKUP(2,1/(RawData[part_id]=A20), RawData[Croston_Recursive_Forecast])</f>
        <v>6.7645782154456544</v>
      </c>
      <c r="W20">
        <f t="shared" si="8"/>
        <v>6.666666666666667</v>
      </c>
      <c r="X20">
        <f t="shared" si="9"/>
        <v>1.6448536269514715</v>
      </c>
      <c r="Y20">
        <f t="shared" si="10"/>
        <v>8.5569799678090828</v>
      </c>
      <c r="Z20" s="9">
        <f t="shared" si="11"/>
        <v>16.381054041883157</v>
      </c>
    </row>
    <row r="21" spans="1:26">
      <c r="A21" t="s">
        <v>21</v>
      </c>
      <c r="B21">
        <f>72</f>
        <v>72</v>
      </c>
      <c r="C21">
        <f xml:space="preserve"> COUNTIFS(RawData[part_id], A21, RawData[demand_quantity], "&gt;0")</f>
        <v>68</v>
      </c>
      <c r="D21">
        <f xml:space="preserve"> AVERAGEIFS(RawData[demand_quantity], RawData[part_id], A21, RawData[demand_quantity], "&gt;0")</f>
        <v>7.5735294117647056</v>
      </c>
      <c r="E21" cm="1">
        <f t="array" ref="E21" xml:space="preserve"> _xlfn.STDEV.S(IF((RawData[part_id]=A21)*(RawData[demand_quantity]&gt;0), RawData[demand_quantity]))</f>
        <v>2.4756496296273989</v>
      </c>
      <c r="F21">
        <f>PartSummary[[#This Row],[TotalPeriods]]/PartSummary[[#This Row],[NonZeroPeriods]]</f>
        <v>1.0588235294117647</v>
      </c>
      <c r="G21">
        <f t="shared" si="0"/>
        <v>0.10685177186928028</v>
      </c>
      <c r="H21" t="str">
        <f t="shared" si="1"/>
        <v>Smooth</v>
      </c>
      <c r="I21">
        <f>SUMIFS('RawData'!G:G,'RawData'!A:A,PartSummary[[#This Row],[part_id]])</f>
        <v>515</v>
      </c>
      <c r="J21">
        <f t="shared" si="2"/>
        <v>20</v>
      </c>
      <c r="K21">
        <f t="shared" si="3"/>
        <v>11230</v>
      </c>
      <c r="L21" s="4">
        <f t="shared" si="4"/>
        <v>0.7844917918267551</v>
      </c>
      <c r="M21" t="str">
        <f t="shared" si="5"/>
        <v>A</v>
      </c>
      <c r="N21">
        <f>PartSummary[[#This Row],[StdDevNonZeroDemand]]/PartSummary[[#This Row],[MeanNonZeroDemand]]</f>
        <v>0.32688189284400609</v>
      </c>
      <c r="O21" t="str">
        <f t="shared" si="6"/>
        <v>X</v>
      </c>
      <c r="P21" t="str">
        <f t="shared" si="7"/>
        <v>AX</v>
      </c>
      <c r="Q21">
        <f>AVERAGEIFS('RawData'!M:M,'RawData'!A:A,PartSummary[[#This Row],[part_id]])</f>
        <v>37.916666666666664</v>
      </c>
      <c r="R21" cm="1">
        <f t="array" ref="R21">_xlfn.STDEV.S(IF('RawData'!A:A=PartSummary[[#This Row],[part_id]],'RawData'!M:M))</f>
        <v>17.25431156568218</v>
      </c>
      <c r="S21" s="1" cm="1">
        <f t="array" ref="S21" xml:space="preserve"> MAX(IF(RawData[part_id]=A21, RawData[period_start_date_FIXED]))</f>
        <v>45261</v>
      </c>
      <c r="T21" s="9">
        <f xml:space="preserve"> AVERAGEIFS(RawData[demand_quantity], RawData[part_id], A21, RawData[period_start_date_FIXED], "&gt;"&amp;EDATE(S21,-6))</f>
        <v>9.1666666666666661</v>
      </c>
      <c r="U21" cm="1">
        <f t="array" ref="U21">(LOOKUP(2,1/((RawData[part_id]=A21)*(RawData[demand_quantity]&lt;&gt;0)), RawData[demand_quantity])) / F21</f>
        <v>13.222222222222221</v>
      </c>
      <c r="V21" cm="1">
        <f t="array" aca="1" ref="V21" ca="1" xml:space="preserve"> LOOKUP(2,1/(RawData[part_id]=A21), RawData[Croston_Recursive_Forecast])</f>
        <v>8.7747200886365295</v>
      </c>
      <c r="W21">
        <f t="shared" si="8"/>
        <v>9.1666666666666661</v>
      </c>
      <c r="X21">
        <f t="shared" si="9"/>
        <v>1.6448536269514715</v>
      </c>
      <c r="Y21">
        <f t="shared" si="10"/>
        <v>8.5024390161248036</v>
      </c>
      <c r="Z21" s="9">
        <f t="shared" si="11"/>
        <v>20.088087164272949</v>
      </c>
    </row>
    <row r="22" spans="1:26">
      <c r="A22" t="s">
        <v>43</v>
      </c>
      <c r="B22">
        <f>72</f>
        <v>72</v>
      </c>
      <c r="C22">
        <f xml:space="preserve"> COUNTIFS(RawData[part_id], A22, RawData[demand_quantity], "&gt;0")</f>
        <v>52</v>
      </c>
      <c r="D22">
        <f xml:space="preserve"> AVERAGEIFS(RawData[demand_quantity], RawData[part_id], A22, RawData[demand_quantity], "&gt;0")</f>
        <v>3.2884615384615383</v>
      </c>
      <c r="E22" cm="1">
        <f t="array" ref="E22" xml:space="preserve"> _xlfn.STDEV.S(IF((RawData[part_id]=A22)*(RawData[demand_quantity]&gt;0), RawData[demand_quantity]))</f>
        <v>1.684258590149299</v>
      </c>
      <c r="F22">
        <f>PartSummary[[#This Row],[TotalPeriods]]/PartSummary[[#This Row],[NonZeroPeriods]]</f>
        <v>1.3846153846153846</v>
      </c>
      <c r="G22">
        <f t="shared" si="0"/>
        <v>0.26232036537469894</v>
      </c>
      <c r="H22" t="str">
        <f t="shared" si="1"/>
        <v>Intermittent</v>
      </c>
      <c r="I22">
        <f>SUMIFS('RawData'!G:G,'RawData'!A:A,PartSummary[[#This Row],[part_id]])</f>
        <v>171</v>
      </c>
      <c r="J22">
        <f t="shared" si="2"/>
        <v>21</v>
      </c>
      <c r="K22">
        <f t="shared" si="3"/>
        <v>11401</v>
      </c>
      <c r="L22" s="4">
        <f t="shared" si="4"/>
        <v>0.79643730352776809</v>
      </c>
      <c r="M22" t="str">
        <f t="shared" si="5"/>
        <v>A</v>
      </c>
      <c r="N22">
        <f>PartSummary[[#This Row],[StdDevNonZeroDemand]]/PartSummary[[#This Row],[MeanNonZeroDemand]]</f>
        <v>0.51217220285241849</v>
      </c>
      <c r="O22" t="str">
        <f t="shared" si="6"/>
        <v>Y</v>
      </c>
      <c r="P22" t="str">
        <f t="shared" si="7"/>
        <v>AY</v>
      </c>
      <c r="Q22">
        <f>AVERAGEIFS('RawData'!M:M,'RawData'!A:A,PartSummary[[#This Row],[part_id]])</f>
        <v>37.5</v>
      </c>
      <c r="R22" cm="1">
        <f t="array" ref="R22">_xlfn.STDEV.S(IF('RawData'!A:A=PartSummary[[#This Row],[part_id]],'RawData'!M:M))</f>
        <v>16.888199063418035</v>
      </c>
      <c r="S22" s="1" cm="1">
        <f t="array" ref="S22" xml:space="preserve"> MAX(IF(RawData[part_id]=A22, RawData[period_start_date_FIXED]))</f>
        <v>45261</v>
      </c>
      <c r="T22" s="9">
        <f xml:space="preserve"> AVERAGEIFS(RawData[demand_quantity], RawData[part_id], A22, RawData[period_start_date_FIXED], "&gt;"&amp;EDATE(S22,-6))</f>
        <v>2</v>
      </c>
      <c r="U22" cm="1">
        <f t="array" ref="U22">(LOOKUP(2,1/((RawData[part_id]=A22)*(RawData[demand_quantity]&lt;&gt;0)), RawData[demand_quantity])) / F22</f>
        <v>2.8888888888888888</v>
      </c>
      <c r="V22" cm="1">
        <f t="array" aca="1" ref="V22" ca="1" xml:space="preserve"> LOOKUP(2,1/(RawData[part_id]=A22), RawData[Croston_Recursive_Forecast])</f>
        <v>2.921667673629567</v>
      </c>
      <c r="W22">
        <f t="shared" ca="1" si="8"/>
        <v>2.921667673629567</v>
      </c>
      <c r="X22">
        <f t="shared" si="9"/>
        <v>1.6448536269514715</v>
      </c>
      <c r="Y22">
        <f t="shared" si="10"/>
        <v>4.3434333942591854</v>
      </c>
      <c r="Z22" s="9">
        <f t="shared" ca="1" si="11"/>
        <v>7.9955179862961447</v>
      </c>
    </row>
    <row r="23" spans="1:26">
      <c r="A23" t="s">
        <v>52</v>
      </c>
      <c r="B23">
        <f>72</f>
        <v>72</v>
      </c>
      <c r="C23">
        <f xml:space="preserve"> COUNTIFS(RawData[part_id], A23, RawData[demand_quantity], "&gt;0")</f>
        <v>53</v>
      </c>
      <c r="D23">
        <f xml:space="preserve"> AVERAGEIFS(RawData[demand_quantity], RawData[part_id], A23, RawData[demand_quantity], "&gt;0")</f>
        <v>2.9433962264150941</v>
      </c>
      <c r="E23" cm="1">
        <f t="array" ref="E23" xml:space="preserve"> _xlfn.STDEV.S(IF((RawData[part_id]=A23)*(RawData[demand_quantity]&gt;0), RawData[demand_quantity]))</f>
        <v>1.2922117940781677</v>
      </c>
      <c r="F23">
        <f>PartSummary[[#This Row],[TotalPeriods]]/PartSummary[[#This Row],[NonZeroPeriods]]</f>
        <v>1.3584905660377358</v>
      </c>
      <c r="G23">
        <f t="shared" si="0"/>
        <v>0.19273915187376728</v>
      </c>
      <c r="H23" t="str">
        <f t="shared" si="1"/>
        <v>Intermittent</v>
      </c>
      <c r="I23">
        <f>SUMIFS('RawData'!G:G,'RawData'!A:A,PartSummary[[#This Row],[part_id]])</f>
        <v>156</v>
      </c>
      <c r="J23">
        <f t="shared" si="2"/>
        <v>22</v>
      </c>
      <c r="K23">
        <f t="shared" si="3"/>
        <v>11557</v>
      </c>
      <c r="L23" s="4">
        <f t="shared" si="4"/>
        <v>0.8073349633251834</v>
      </c>
      <c r="M23" t="str">
        <f t="shared" si="5"/>
        <v>B</v>
      </c>
      <c r="N23">
        <f>PartSummary[[#This Row],[StdDevNonZeroDemand]]/PartSummary[[#This Row],[MeanNonZeroDemand]]</f>
        <v>0.43902067362912112</v>
      </c>
      <c r="O23" t="str">
        <f t="shared" si="6"/>
        <v>X</v>
      </c>
      <c r="P23" t="str">
        <f t="shared" si="7"/>
        <v>BX</v>
      </c>
      <c r="Q23">
        <f>AVERAGEIFS('RawData'!M:M,'RawData'!A:A,PartSummary[[#This Row],[part_id]])</f>
        <v>38.958333333333336</v>
      </c>
      <c r="R23" cm="1">
        <f t="array" ref="R23">_xlfn.STDEV.S(IF('RawData'!A:A=PartSummary[[#This Row],[part_id]],'RawData'!M:M))</f>
        <v>17.918781947411304</v>
      </c>
      <c r="S23" s="1" cm="1">
        <f t="array" ref="S23" xml:space="preserve"> MAX(IF(RawData[part_id]=A23, RawData[period_start_date_FIXED]))</f>
        <v>45261</v>
      </c>
      <c r="T23" s="9">
        <f xml:space="preserve"> AVERAGEIFS(RawData[demand_quantity], RawData[part_id], A23, RawData[period_start_date_FIXED], "&gt;"&amp;EDATE(S23,-6))</f>
        <v>1.5</v>
      </c>
      <c r="U23" cm="1">
        <f t="array" ref="U23">(LOOKUP(2,1/((RawData[part_id]=A23)*(RawData[demand_quantity]&lt;&gt;0)), RawData[demand_quantity])) / F23</f>
        <v>2.9444444444444446</v>
      </c>
      <c r="V23" cm="1">
        <f t="array" aca="1" ref="V23" ca="1" xml:space="preserve"> LOOKUP(2,1/(RawData[part_id]=A23), RawData[Croston_Recursive_Forecast])</f>
        <v>2.2590136686571456</v>
      </c>
      <c r="W23">
        <f t="shared" ca="1" si="8"/>
        <v>2.2590136686571456</v>
      </c>
      <c r="X23">
        <f t="shared" si="9"/>
        <v>1.6448536269514715</v>
      </c>
      <c r="Y23">
        <f t="shared" si="10"/>
        <v>3.7721492272427377</v>
      </c>
      <c r="Z23" s="9">
        <f t="shared" ca="1" si="11"/>
        <v>6.7057294775127811</v>
      </c>
    </row>
    <row r="24" spans="1:26">
      <c r="A24" t="s">
        <v>53</v>
      </c>
      <c r="B24">
        <f>72</f>
        <v>72</v>
      </c>
      <c r="C24">
        <f xml:space="preserve"> COUNTIFS(RawData[part_id], A24, RawData[demand_quantity], "&gt;0")</f>
        <v>48</v>
      </c>
      <c r="D24">
        <f xml:space="preserve"> AVERAGEIFS(RawData[demand_quantity], RawData[part_id], A24, RawData[demand_quantity], "&gt;0")</f>
        <v>2.9375</v>
      </c>
      <c r="E24" cm="1">
        <f t="array" ref="E24" xml:space="preserve"> _xlfn.STDEV.S(IF((RawData[part_id]=A24)*(RawData[demand_quantity]&gt;0), RawData[demand_quantity]))</f>
        <v>1.4933362620285364</v>
      </c>
      <c r="F24">
        <f>PartSummary[[#This Row],[TotalPeriods]]/PartSummary[[#This Row],[NonZeroPeriods]]</f>
        <v>1.5</v>
      </c>
      <c r="G24">
        <f t="shared" si="0"/>
        <v>0.25843984473575221</v>
      </c>
      <c r="H24" t="str">
        <f t="shared" si="1"/>
        <v>Intermittent</v>
      </c>
      <c r="I24">
        <f>SUMIFS('RawData'!G:G,'RawData'!A:A,PartSummary[[#This Row],[part_id]])</f>
        <v>141</v>
      </c>
      <c r="J24">
        <f t="shared" si="2"/>
        <v>23</v>
      </c>
      <c r="K24">
        <f t="shared" si="3"/>
        <v>11698</v>
      </c>
      <c r="L24" s="4">
        <f t="shared" si="4"/>
        <v>0.81718477121900102</v>
      </c>
      <c r="M24" t="str">
        <f t="shared" si="5"/>
        <v>B</v>
      </c>
      <c r="N24">
        <f>PartSummary[[#This Row],[StdDevNonZeroDemand]]/PartSummary[[#This Row],[MeanNonZeroDemand]]</f>
        <v>0.50836979132886351</v>
      </c>
      <c r="O24" t="str">
        <f t="shared" si="6"/>
        <v>Y</v>
      </c>
      <c r="P24" t="str">
        <f t="shared" si="7"/>
        <v>BY</v>
      </c>
      <c r="Q24">
        <f>AVERAGEIFS('RawData'!M:M,'RawData'!A:A,PartSummary[[#This Row],[part_id]])</f>
        <v>32.708333333333336</v>
      </c>
      <c r="R24" cm="1">
        <f t="array" ref="R24">_xlfn.STDEV.S(IF('RawData'!A:A=PartSummary[[#This Row],[part_id]],'RawData'!M:M))</f>
        <v>17.68140385414917</v>
      </c>
      <c r="S24" s="1" cm="1">
        <f t="array" ref="S24" xml:space="preserve"> MAX(IF(RawData[part_id]=A24, RawData[period_start_date_FIXED]))</f>
        <v>45261</v>
      </c>
      <c r="T24" s="9">
        <f xml:space="preserve"> AVERAGEIFS(RawData[demand_quantity], RawData[part_id], A24, RawData[period_start_date_FIXED], "&gt;"&amp;EDATE(S24,-6))</f>
        <v>3.6666666666666665</v>
      </c>
      <c r="U24" cm="1">
        <f t="array" ref="U24">(LOOKUP(2,1/((RawData[part_id]=A24)*(RawData[demand_quantity]&lt;&gt;0)), RawData[demand_quantity])) / F24</f>
        <v>4</v>
      </c>
      <c r="V24" cm="1">
        <f t="array" aca="1" ref="V24" ca="1" xml:space="preserve"> LOOKUP(2,1/(RawData[part_id]=A24), RawData[Croston_Recursive_Forecast])</f>
        <v>2.7044961649580732</v>
      </c>
      <c r="W24">
        <f t="shared" ca="1" si="8"/>
        <v>2.7044961649580732</v>
      </c>
      <c r="X24">
        <f t="shared" si="9"/>
        <v>1.6448536269514715</v>
      </c>
      <c r="Y24">
        <f t="shared" si="10"/>
        <v>3.8324706246139817</v>
      </c>
      <c r="Z24" s="9">
        <f t="shared" ca="1" si="11"/>
        <v>6.7811226933529927</v>
      </c>
    </row>
    <row r="25" spans="1:26">
      <c r="A25" t="s">
        <v>57</v>
      </c>
      <c r="B25">
        <f>72</f>
        <v>72</v>
      </c>
      <c r="C25">
        <f xml:space="preserve"> COUNTIFS(RawData[part_id], A25, RawData[demand_quantity], "&gt;0")</f>
        <v>44</v>
      </c>
      <c r="D25">
        <f xml:space="preserve"> AVERAGEIFS(RawData[demand_quantity], RawData[part_id], A25, RawData[demand_quantity], "&gt;0")</f>
        <v>3.1363636363636362</v>
      </c>
      <c r="E25" cm="1">
        <f t="array" ref="E25" xml:space="preserve"> _xlfn.STDEV.S(IF((RawData[part_id]=A25)*(RawData[demand_quantity]&gt;0), RawData[demand_quantity]))</f>
        <v>1.5787971442946624</v>
      </c>
      <c r="F25">
        <f>PartSummary[[#This Row],[TotalPeriods]]/PartSummary[[#This Row],[NonZeroPeriods]]</f>
        <v>1.6363636363636365</v>
      </c>
      <c r="G25">
        <f t="shared" si="0"/>
        <v>0.25339605222666728</v>
      </c>
      <c r="H25" t="str">
        <f t="shared" si="1"/>
        <v>Intermittent</v>
      </c>
      <c r="I25">
        <f>SUMIFS('RawData'!G:G,'RawData'!A:A,PartSummary[[#This Row],[part_id]])</f>
        <v>138</v>
      </c>
      <c r="J25">
        <f t="shared" si="2"/>
        <v>24</v>
      </c>
      <c r="K25">
        <f t="shared" si="3"/>
        <v>11836</v>
      </c>
      <c r="L25" s="4">
        <f t="shared" si="4"/>
        <v>0.82682500873209919</v>
      </c>
      <c r="M25" t="str">
        <f t="shared" si="5"/>
        <v>B</v>
      </c>
      <c r="N25">
        <f>PartSummary[[#This Row],[StdDevNonZeroDemand]]/PartSummary[[#This Row],[MeanNonZeroDemand]]</f>
        <v>0.5033845967316315</v>
      </c>
      <c r="O25" t="str">
        <f t="shared" si="6"/>
        <v>Y</v>
      </c>
      <c r="P25" t="str">
        <f t="shared" si="7"/>
        <v>BY</v>
      </c>
      <c r="Q25">
        <f>AVERAGEIFS('RawData'!M:M,'RawData'!A:A,PartSummary[[#This Row],[part_id]])</f>
        <v>36.875</v>
      </c>
      <c r="R25" cm="1">
        <f t="array" ref="R25">_xlfn.STDEV.S(IF('RawData'!A:A=PartSummary[[#This Row],[part_id]],'RawData'!M:M))</f>
        <v>16.30340628022341</v>
      </c>
      <c r="S25" s="1" cm="1">
        <f t="array" ref="S25" xml:space="preserve"> MAX(IF(RawData[part_id]=A25, RawData[period_start_date_FIXED]))</f>
        <v>45261</v>
      </c>
      <c r="T25" s="9">
        <f xml:space="preserve"> AVERAGEIFS(RawData[demand_quantity], RawData[part_id], A25, RawData[period_start_date_FIXED], "&gt;"&amp;EDATE(S25,-6))</f>
        <v>2.1666666666666665</v>
      </c>
      <c r="U25" cm="1">
        <f t="array" ref="U25">(LOOKUP(2,1/((RawData[part_id]=A25)*(RawData[demand_quantity]&lt;&gt;0)), RawData[demand_quantity])) / F25</f>
        <v>1.8333333333333333</v>
      </c>
      <c r="V25" cm="1">
        <f t="array" aca="1" ref="V25" ca="1" xml:space="preserve"> LOOKUP(2,1/(RawData[part_id]=A25), RawData[Croston_Recursive_Forecast])</f>
        <v>2.1486371461365237</v>
      </c>
      <c r="W25">
        <f t="shared" ca="1" si="8"/>
        <v>2.1486371461365237</v>
      </c>
      <c r="X25">
        <f t="shared" si="9"/>
        <v>1.6448536269514715</v>
      </c>
      <c r="Y25">
        <f t="shared" si="10"/>
        <v>4.0186170948745916</v>
      </c>
      <c r="Z25" s="9">
        <f t="shared" ca="1" si="11"/>
        <v>6.6596502536674027</v>
      </c>
    </row>
    <row r="26" spans="1:26">
      <c r="A26" t="s">
        <v>45</v>
      </c>
      <c r="B26">
        <f>72</f>
        <v>72</v>
      </c>
      <c r="C26">
        <f xml:space="preserve"> COUNTIFS(RawData[part_id], A26, RawData[demand_quantity], "&gt;0")</f>
        <v>42</v>
      </c>
      <c r="D26">
        <f xml:space="preserve"> AVERAGEIFS(RawData[demand_quantity], RawData[part_id], A26, RawData[demand_quantity], "&gt;0")</f>
        <v>3.2619047619047619</v>
      </c>
      <c r="E26" cm="1">
        <f t="array" ref="E26" xml:space="preserve"> _xlfn.STDEV.S(IF((RawData[part_id]=A26)*(RawData[demand_quantity]&gt;0), RawData[demand_quantity]))</f>
        <v>1.7258370017362985</v>
      </c>
      <c r="F26">
        <f>PartSummary[[#This Row],[TotalPeriods]]/PartSummary[[#This Row],[NonZeroPeriods]]</f>
        <v>1.7142857142857142</v>
      </c>
      <c r="G26">
        <f t="shared" si="0"/>
        <v>0.27993486925119121</v>
      </c>
      <c r="H26" t="str">
        <f t="shared" si="1"/>
        <v>Intermittent</v>
      </c>
      <c r="I26">
        <f>SUMIFS('RawData'!G:G,'RawData'!A:A,PartSummary[[#This Row],[part_id]])</f>
        <v>137</v>
      </c>
      <c r="J26">
        <f t="shared" si="2"/>
        <v>25</v>
      </c>
      <c r="K26">
        <f t="shared" si="3"/>
        <v>12110</v>
      </c>
      <c r="L26" s="4">
        <f t="shared" si="4"/>
        <v>0.84596577017114916</v>
      </c>
      <c r="M26" t="str">
        <f t="shared" si="5"/>
        <v>B</v>
      </c>
      <c r="N26">
        <f>PartSummary[[#This Row],[StdDevNonZeroDemand]]/PartSummary[[#This Row],[MeanNonZeroDemand]]</f>
        <v>0.529088715860763</v>
      </c>
      <c r="O26" t="str">
        <f t="shared" si="6"/>
        <v>Y</v>
      </c>
      <c r="P26" t="str">
        <f t="shared" si="7"/>
        <v>BY</v>
      </c>
      <c r="Q26">
        <f>AVERAGEIFS('RawData'!M:M,'RawData'!A:A,PartSummary[[#This Row],[part_id]])</f>
        <v>38.958333333333336</v>
      </c>
      <c r="R26" cm="1">
        <f t="array" ref="R26">_xlfn.STDEV.S(IF('RawData'!A:A=PartSummary[[#This Row],[part_id]],'RawData'!M:M))</f>
        <v>16.053113865812215</v>
      </c>
      <c r="S26" s="1" cm="1">
        <f t="array" ref="S26" xml:space="preserve"> MAX(IF(RawData[part_id]=A26, RawData[period_start_date_FIXED]))</f>
        <v>45261</v>
      </c>
      <c r="T26" s="9">
        <f xml:space="preserve"> AVERAGEIFS(RawData[demand_quantity], RawData[part_id], A26, RawData[period_start_date_FIXED], "&gt;"&amp;EDATE(S26,-6))</f>
        <v>2.8333333333333335</v>
      </c>
      <c r="U26" cm="1">
        <f t="array" ref="U26">(LOOKUP(2,1/((RawData[part_id]=A26)*(RawData[demand_quantity]&lt;&gt;0)), RawData[demand_quantity])) / F26</f>
        <v>1.75</v>
      </c>
      <c r="V26" cm="1">
        <f t="array" aca="1" ref="V26" ca="1" xml:space="preserve"> LOOKUP(2,1/(RawData[part_id]=A26), RawData[Croston_Recursive_Forecast])</f>
        <v>2.4859790969178608</v>
      </c>
      <c r="W26">
        <f t="shared" ca="1" si="8"/>
        <v>2.4859790969178608</v>
      </c>
      <c r="X26">
        <f t="shared" si="9"/>
        <v>1.6448536269514715</v>
      </c>
      <c r="Y26">
        <f t="shared" si="10"/>
        <v>4.325230996089271</v>
      </c>
      <c r="Z26" s="9">
        <f t="shared" ca="1" si="11"/>
        <v>7.553551073336771</v>
      </c>
    </row>
    <row r="27" spans="1:26">
      <c r="A27" t="s">
        <v>55</v>
      </c>
      <c r="B27">
        <f>72</f>
        <v>72</v>
      </c>
      <c r="C27">
        <f xml:space="preserve"> COUNTIFS(RawData[part_id], A27, RawData[demand_quantity], "&gt;0")</f>
        <v>49</v>
      </c>
      <c r="D27">
        <f xml:space="preserve"> AVERAGEIFS(RawData[demand_quantity], RawData[part_id], A27, RawData[demand_quantity], "&gt;0")</f>
        <v>2.795918367346939</v>
      </c>
      <c r="E27" cm="1">
        <f t="array" ref="E27" xml:space="preserve"> _xlfn.STDEV.S(IF((RawData[part_id]=A27)*(RawData[demand_quantity]&gt;0), RawData[demand_quantity]))</f>
        <v>1.707576155411703</v>
      </c>
      <c r="F27">
        <f>PartSummary[[#This Row],[TotalPeriods]]/PartSummary[[#This Row],[NonZeroPeriods]]</f>
        <v>1.4693877551020409</v>
      </c>
      <c r="G27">
        <f t="shared" si="0"/>
        <v>0.37300202461505672</v>
      </c>
      <c r="H27" t="str">
        <f t="shared" si="1"/>
        <v>Intermittent</v>
      </c>
      <c r="I27">
        <f>SUMIFS('RawData'!G:G,'RawData'!A:A,PartSummary[[#This Row],[part_id]])</f>
        <v>137</v>
      </c>
      <c r="J27">
        <f t="shared" si="2"/>
        <v>25</v>
      </c>
      <c r="K27">
        <f t="shared" si="3"/>
        <v>12110</v>
      </c>
      <c r="L27" s="4">
        <f t="shared" si="4"/>
        <v>0.84596577017114916</v>
      </c>
      <c r="M27" t="str">
        <f t="shared" si="5"/>
        <v>B</v>
      </c>
      <c r="N27">
        <f>PartSummary[[#This Row],[StdDevNonZeroDemand]]/PartSummary[[#This Row],[MeanNonZeroDemand]]</f>
        <v>0.61073891689907622</v>
      </c>
      <c r="O27" t="str">
        <f t="shared" si="6"/>
        <v>Y</v>
      </c>
      <c r="P27" t="str">
        <f t="shared" si="7"/>
        <v>BY</v>
      </c>
      <c r="Q27">
        <f>AVERAGEIFS('RawData'!M:M,'RawData'!A:A,PartSummary[[#This Row],[part_id]])</f>
        <v>37.916666666666664</v>
      </c>
      <c r="R27" cm="1">
        <f t="array" ref="R27">_xlfn.STDEV.S(IF('RawData'!A:A=PartSummary[[#This Row],[part_id]],'RawData'!M:M))</f>
        <v>17.25431156568218</v>
      </c>
      <c r="S27" s="1" cm="1">
        <f t="array" ref="S27" xml:space="preserve"> MAX(IF(RawData[part_id]=A27, RawData[period_start_date_FIXED]))</f>
        <v>45261</v>
      </c>
      <c r="T27" s="9">
        <f xml:space="preserve"> AVERAGEIFS(RawData[demand_quantity], RawData[part_id], A27, RawData[period_start_date_FIXED], "&gt;"&amp;EDATE(S27,-6))</f>
        <v>2.1666666666666665</v>
      </c>
      <c r="U27" cm="1">
        <f t="array" ref="U27">(LOOKUP(2,1/((RawData[part_id]=A27)*(RawData[demand_quantity]&lt;&gt;0)), RawData[demand_quantity])) / F27</f>
        <v>2.7222222222222219</v>
      </c>
      <c r="V27" cm="1">
        <f t="array" aca="1" ref="V27" ca="1" xml:space="preserve"> LOOKUP(2,1/(RawData[part_id]=A27), RawData[Croston_Recursive_Forecast])</f>
        <v>2.0520547806236662</v>
      </c>
      <c r="W27">
        <f t="shared" ca="1" si="8"/>
        <v>2.0520547806236662</v>
      </c>
      <c r="X27">
        <f t="shared" si="9"/>
        <v>1.6448536269514715</v>
      </c>
      <c r="Y27">
        <f t="shared" si="10"/>
        <v>4.1190722526114492</v>
      </c>
      <c r="Z27" s="9">
        <f t="shared" ca="1" si="11"/>
        <v>6.7126414892330271</v>
      </c>
    </row>
    <row r="28" spans="1:26">
      <c r="A28" t="s">
        <v>41</v>
      </c>
      <c r="B28">
        <f>72</f>
        <v>72</v>
      </c>
      <c r="C28">
        <f xml:space="preserve"> COUNTIFS(RawData[part_id], A28, RawData[demand_quantity], "&gt;0")</f>
        <v>51</v>
      </c>
      <c r="D28">
        <f xml:space="preserve"> AVERAGEIFS(RawData[demand_quantity], RawData[part_id], A28, RawData[demand_quantity], "&gt;0")</f>
        <v>2.6666666666666665</v>
      </c>
      <c r="E28" cm="1">
        <f t="array" ref="E28" xml:space="preserve"> _xlfn.STDEV.S(IF((RawData[part_id]=A28)*(RawData[demand_quantity]&gt;0), RawData[demand_quantity]))</f>
        <v>1.4236104336041748</v>
      </c>
      <c r="F28">
        <f>PartSummary[[#This Row],[TotalPeriods]]/PartSummary[[#This Row],[NonZeroPeriods]]</f>
        <v>1.411764705882353</v>
      </c>
      <c r="G28">
        <f t="shared" si="0"/>
        <v>0.28499999999999998</v>
      </c>
      <c r="H28" t="str">
        <f t="shared" si="1"/>
        <v>Intermittent</v>
      </c>
      <c r="I28">
        <f>SUMIFS('RawData'!G:G,'RawData'!A:A,PartSummary[[#This Row],[part_id]])</f>
        <v>136</v>
      </c>
      <c r="J28">
        <f t="shared" si="2"/>
        <v>27</v>
      </c>
      <c r="K28">
        <f t="shared" si="3"/>
        <v>12246</v>
      </c>
      <c r="L28" s="4">
        <f t="shared" si="4"/>
        <v>0.85546629409710095</v>
      </c>
      <c r="M28" t="str">
        <f t="shared" si="5"/>
        <v>B</v>
      </c>
      <c r="N28">
        <f>PartSummary[[#This Row],[StdDevNonZeroDemand]]/PartSummary[[#This Row],[MeanNonZeroDemand]]</f>
        <v>0.53385391260156556</v>
      </c>
      <c r="O28" t="str">
        <f t="shared" si="6"/>
        <v>Y</v>
      </c>
      <c r="P28" t="str">
        <f t="shared" si="7"/>
        <v>BY</v>
      </c>
      <c r="Q28">
        <f>AVERAGEIFS('RawData'!M:M,'RawData'!A:A,PartSummary[[#This Row],[part_id]])</f>
        <v>36.666666666666664</v>
      </c>
      <c r="R28" cm="1">
        <f t="array" ref="R28">_xlfn.STDEV.S(IF('RawData'!A:A=PartSummary[[#This Row],[part_id]],'RawData'!M:M))</f>
        <v>17.78193417765884</v>
      </c>
      <c r="S28" s="1" cm="1">
        <f t="array" ref="S28" xml:space="preserve"> MAX(IF(RawData[part_id]=A28, RawData[period_start_date_FIXED]))</f>
        <v>45261</v>
      </c>
      <c r="T28" s="9">
        <f xml:space="preserve"> AVERAGEIFS(RawData[demand_quantity], RawData[part_id], A28, RawData[period_start_date_FIXED], "&gt;"&amp;EDATE(S28,-6))</f>
        <v>1</v>
      </c>
      <c r="U28" cm="1">
        <f t="array" ref="U28">(LOOKUP(2,1/((RawData[part_id]=A28)*(RawData[demand_quantity]&lt;&gt;0)), RawData[demand_quantity])) / F28</f>
        <v>1.4166666666666665</v>
      </c>
      <c r="V28" cm="1">
        <f t="array" aca="1" ref="V28" ca="1" xml:space="preserve"> LOOKUP(2,1/(RawData[part_id]=A28), RawData[Croston_Recursive_Forecast])</f>
        <v>1.2415881597042846</v>
      </c>
      <c r="W28">
        <f t="shared" ca="1" si="8"/>
        <v>1.2415881597042846</v>
      </c>
      <c r="X28">
        <f t="shared" si="9"/>
        <v>1.6448536269514715</v>
      </c>
      <c r="Y28">
        <f t="shared" si="10"/>
        <v>3.668940000230525</v>
      </c>
      <c r="Z28" s="9">
        <f t="shared" ca="1" si="11"/>
        <v>5.1864366398690951</v>
      </c>
    </row>
    <row r="29" spans="1:26">
      <c r="A29" t="s">
        <v>54</v>
      </c>
      <c r="B29">
        <f>72</f>
        <v>72</v>
      </c>
      <c r="C29">
        <f xml:space="preserve"> COUNTIFS(RawData[part_id], A29, RawData[demand_quantity], "&gt;0")</f>
        <v>44</v>
      </c>
      <c r="D29">
        <f xml:space="preserve"> AVERAGEIFS(RawData[demand_quantity], RawData[part_id], A29, RawData[demand_quantity], "&gt;0")</f>
        <v>3.0454545454545454</v>
      </c>
      <c r="E29" cm="1">
        <f t="array" ref="E29" xml:space="preserve"> _xlfn.STDEV.S(IF((RawData[part_id]=A29)*(RawData[demand_quantity]&gt;0), RawData[demand_quantity]))</f>
        <v>1.3969159628224459</v>
      </c>
      <c r="F29">
        <f>PartSummary[[#This Row],[TotalPeriods]]/PartSummary[[#This Row],[NonZeroPeriods]]</f>
        <v>1.6363636363636365</v>
      </c>
      <c r="G29">
        <f t="shared" si="0"/>
        <v>0.21039543690779017</v>
      </c>
      <c r="H29" t="str">
        <f t="shared" si="1"/>
        <v>Intermittent</v>
      </c>
      <c r="I29">
        <f>SUMIFS('RawData'!G:G,'RawData'!A:A,PartSummary[[#This Row],[part_id]])</f>
        <v>134</v>
      </c>
      <c r="J29">
        <f t="shared" si="2"/>
        <v>28</v>
      </c>
      <c r="K29">
        <f t="shared" si="3"/>
        <v>12380</v>
      </c>
      <c r="L29" s="4">
        <f t="shared" si="4"/>
        <v>0.86482710443590638</v>
      </c>
      <c r="M29" t="str">
        <f t="shared" si="5"/>
        <v>B</v>
      </c>
      <c r="N29">
        <f>PartSummary[[#This Row],[StdDevNonZeroDemand]]/PartSummary[[#This Row],[MeanNonZeroDemand]]</f>
        <v>0.45868882361334046</v>
      </c>
      <c r="O29" t="str">
        <f t="shared" si="6"/>
        <v>X</v>
      </c>
      <c r="P29" t="str">
        <f t="shared" si="7"/>
        <v>BX</v>
      </c>
      <c r="Q29">
        <f>AVERAGEIFS('RawData'!M:M,'RawData'!A:A,PartSummary[[#This Row],[part_id]])</f>
        <v>37.083333333333336</v>
      </c>
      <c r="R29" cm="1">
        <f t="array" ref="R29">_xlfn.STDEV.S(IF('RawData'!A:A=PartSummary[[#This Row],[part_id]],'RawData'!M:M))</f>
        <v>17.437009370148537</v>
      </c>
      <c r="S29" s="1" cm="1">
        <f t="array" ref="S29" xml:space="preserve"> MAX(IF(RawData[part_id]=A29, RawData[period_start_date_FIXED]))</f>
        <v>45261</v>
      </c>
      <c r="T29" s="9">
        <f xml:space="preserve"> AVERAGEIFS(RawData[demand_quantity], RawData[part_id], A29, RawData[period_start_date_FIXED], "&gt;"&amp;EDATE(S29,-6))</f>
        <v>2.1666666666666665</v>
      </c>
      <c r="U29" cm="1">
        <f t="array" ref="U29">(LOOKUP(2,1/((RawData[part_id]=A29)*(RawData[demand_quantity]&lt;&gt;0)), RawData[demand_quantity])) / F29</f>
        <v>3.0555555555555554</v>
      </c>
      <c r="V29" cm="1">
        <f t="array" aca="1" ref="V29" ca="1" xml:space="preserve"> LOOKUP(2,1/(RawData[part_id]=A29), RawData[Croston_Recursive_Forecast])</f>
        <v>2.0708805700844244</v>
      </c>
      <c r="W29">
        <f t="shared" ca="1" si="8"/>
        <v>2.0708805700844244</v>
      </c>
      <c r="X29">
        <f t="shared" si="9"/>
        <v>1.6448536269514715</v>
      </c>
      <c r="Y29">
        <f t="shared" si="10"/>
        <v>3.8734268441220245</v>
      </c>
      <c r="Z29" s="9">
        <f t="shared" ca="1" si="11"/>
        <v>6.4332653265874935</v>
      </c>
    </row>
    <row r="30" spans="1:26">
      <c r="A30" t="s">
        <v>38</v>
      </c>
      <c r="B30">
        <f>72</f>
        <v>72</v>
      </c>
      <c r="C30">
        <f xml:space="preserve"> COUNTIFS(RawData[part_id], A30, RawData[demand_quantity], "&gt;0")</f>
        <v>42</v>
      </c>
      <c r="D30">
        <f xml:space="preserve"> AVERAGEIFS(RawData[demand_quantity], RawData[part_id], A30, RawData[demand_quantity], "&gt;0")</f>
        <v>3.1666666666666665</v>
      </c>
      <c r="E30" cm="1">
        <f t="array" ref="E30" xml:space="preserve"> _xlfn.STDEV.S(IF((RawData[part_id]=A30)*(RawData[demand_quantity]&gt;0), RawData[demand_quantity]))</f>
        <v>1.3236436530748004</v>
      </c>
      <c r="F30">
        <f>PartSummary[[#This Row],[TotalPeriods]]/PartSummary[[#This Row],[NonZeroPeriods]]</f>
        <v>1.7142857142857142</v>
      </c>
      <c r="G30">
        <f t="shared" si="0"/>
        <v>0.17471792446456313</v>
      </c>
      <c r="H30" t="str">
        <f t="shared" si="1"/>
        <v>Intermittent</v>
      </c>
      <c r="I30">
        <f>SUMIFS('RawData'!G:G,'RawData'!A:A,PartSummary[[#This Row],[part_id]])</f>
        <v>133</v>
      </c>
      <c r="J30">
        <f t="shared" si="2"/>
        <v>29</v>
      </c>
      <c r="K30">
        <f t="shared" si="3"/>
        <v>12646</v>
      </c>
      <c r="L30" s="4">
        <f t="shared" si="4"/>
        <v>0.88340901152637097</v>
      </c>
      <c r="M30" t="str">
        <f t="shared" si="5"/>
        <v>B</v>
      </c>
      <c r="N30">
        <f>PartSummary[[#This Row],[StdDevNonZeroDemand]]/PartSummary[[#This Row],[MeanNonZeroDemand]]</f>
        <v>0.41799273254993696</v>
      </c>
      <c r="O30" t="str">
        <f t="shared" si="6"/>
        <v>X</v>
      </c>
      <c r="P30" t="str">
        <f t="shared" si="7"/>
        <v>BX</v>
      </c>
      <c r="Q30">
        <f>AVERAGEIFS('RawData'!M:M,'RawData'!A:A,PartSummary[[#This Row],[part_id]])</f>
        <v>33.75</v>
      </c>
      <c r="R30" cm="1">
        <f t="array" ref="R30">_xlfn.STDEV.S(IF('RawData'!A:A=PartSummary[[#This Row],[part_id]],'RawData'!M:M))</f>
        <v>17.213448721897901</v>
      </c>
      <c r="S30" s="1" cm="1">
        <f t="array" ref="S30" xml:space="preserve"> MAX(IF(RawData[part_id]=A30, RawData[period_start_date_FIXED]))</f>
        <v>45261</v>
      </c>
      <c r="T30" s="9">
        <f xml:space="preserve"> AVERAGEIFS(RawData[demand_quantity], RawData[part_id], A30, RawData[period_start_date_FIXED], "&gt;"&amp;EDATE(S30,-6))</f>
        <v>2.1666666666666665</v>
      </c>
      <c r="U30" cm="1">
        <f t="array" ref="U30">(LOOKUP(2,1/((RawData[part_id]=A30)*(RawData[demand_quantity]&lt;&gt;0)), RawData[demand_quantity])) / F30</f>
        <v>1.75</v>
      </c>
      <c r="V30" cm="1">
        <f t="array" aca="1" ref="V30" ca="1" xml:space="preserve"> LOOKUP(2,1/(RawData[part_id]=A30), RawData[Croston_Recursive_Forecast])</f>
        <v>2.0541768296714515</v>
      </c>
      <c r="W30">
        <f t="shared" ca="1" si="8"/>
        <v>2.0541768296714515</v>
      </c>
      <c r="X30">
        <f t="shared" si="9"/>
        <v>1.6448536269514715</v>
      </c>
      <c r="Y30">
        <f t="shared" si="10"/>
        <v>3.7768773731412733</v>
      </c>
      <c r="Z30" s="9">
        <f t="shared" ca="1" si="11"/>
        <v>6.0878263065216558</v>
      </c>
    </row>
    <row r="31" spans="1:26">
      <c r="A31" t="s">
        <v>42</v>
      </c>
      <c r="B31">
        <f>72</f>
        <v>72</v>
      </c>
      <c r="C31">
        <f xml:space="preserve"> COUNTIFS(RawData[part_id], A31, RawData[demand_quantity], "&gt;0")</f>
        <v>49</v>
      </c>
      <c r="D31">
        <f xml:space="preserve"> AVERAGEIFS(RawData[demand_quantity], RawData[part_id], A31, RawData[demand_quantity], "&gt;0")</f>
        <v>2.7142857142857144</v>
      </c>
      <c r="E31" cm="1">
        <f t="array" ref="E31" xml:space="preserve"> _xlfn.STDEV.S(IF((RawData[part_id]=A31)*(RawData[demand_quantity]&gt;0), RawData[demand_quantity]))</f>
        <v>1.3844373104863459</v>
      </c>
      <c r="F31">
        <f>PartSummary[[#This Row],[TotalPeriods]]/PartSummary[[#This Row],[NonZeroPeriods]]</f>
        <v>1.4693877551020409</v>
      </c>
      <c r="G31">
        <f t="shared" si="0"/>
        <v>0.26015697137580795</v>
      </c>
      <c r="H31" t="str">
        <f t="shared" si="1"/>
        <v>Intermittent</v>
      </c>
      <c r="I31">
        <f>SUMIFS('RawData'!G:G,'RawData'!A:A,PartSummary[[#This Row],[part_id]])</f>
        <v>133</v>
      </c>
      <c r="J31">
        <f t="shared" si="2"/>
        <v>29</v>
      </c>
      <c r="K31">
        <f t="shared" si="3"/>
        <v>12646</v>
      </c>
      <c r="L31" s="4">
        <f t="shared" si="4"/>
        <v>0.88340901152637097</v>
      </c>
      <c r="M31" t="str">
        <f t="shared" si="5"/>
        <v>B</v>
      </c>
      <c r="N31">
        <f>PartSummary[[#This Row],[StdDevNonZeroDemand]]/PartSummary[[#This Row],[MeanNonZeroDemand]]</f>
        <v>0.51005585123181163</v>
      </c>
      <c r="O31" t="str">
        <f t="shared" si="6"/>
        <v>Y</v>
      </c>
      <c r="P31" t="str">
        <f t="shared" si="7"/>
        <v>BY</v>
      </c>
      <c r="Q31">
        <f>AVERAGEIFS('RawData'!M:M,'RawData'!A:A,PartSummary[[#This Row],[part_id]])</f>
        <v>36.666666666666664</v>
      </c>
      <c r="R31" cm="1">
        <f t="array" ref="R31">_xlfn.STDEV.S(IF('RawData'!A:A=PartSummary[[#This Row],[part_id]],'RawData'!M:M))</f>
        <v>17.054180438312926</v>
      </c>
      <c r="S31" s="1" cm="1">
        <f t="array" ref="S31" xml:space="preserve"> MAX(IF(RawData[part_id]=A31, RawData[period_start_date_FIXED]))</f>
        <v>45261</v>
      </c>
      <c r="T31" s="9">
        <f xml:space="preserve"> AVERAGEIFS(RawData[demand_quantity], RawData[part_id], A31, RawData[period_start_date_FIXED], "&gt;"&amp;EDATE(S31,-6))</f>
        <v>1.5</v>
      </c>
      <c r="U31" cm="1">
        <f t="array" ref="U31">(LOOKUP(2,1/((RawData[part_id]=A31)*(RawData[demand_quantity]&lt;&gt;0)), RawData[demand_quantity])) / F31</f>
        <v>0.68055555555555547</v>
      </c>
      <c r="V31" cm="1">
        <f t="array" aca="1" ref="V31" ca="1" xml:space="preserve"> LOOKUP(2,1/(RawData[part_id]=A31), RawData[Croston_Recursive_Forecast])</f>
        <v>1.4834343870350335</v>
      </c>
      <c r="W31">
        <f t="shared" ca="1" si="8"/>
        <v>1.4834343870350335</v>
      </c>
      <c r="X31">
        <f t="shared" si="9"/>
        <v>1.6448536269514715</v>
      </c>
      <c r="Y31">
        <f t="shared" si="10"/>
        <v>3.5748361854464612</v>
      </c>
      <c r="Z31" s="9">
        <f t="shared" ca="1" si="11"/>
        <v>5.3879226584892796</v>
      </c>
    </row>
    <row r="32" spans="1:26">
      <c r="A32" t="s">
        <v>56</v>
      </c>
      <c r="B32">
        <f>72</f>
        <v>72</v>
      </c>
      <c r="C32">
        <f xml:space="preserve"> COUNTIFS(RawData[part_id], A32, RawData[demand_quantity], "&gt;0")</f>
        <v>39</v>
      </c>
      <c r="D32">
        <f xml:space="preserve"> AVERAGEIFS(RawData[demand_quantity], RawData[part_id], A32, RawData[demand_quantity], "&gt;0")</f>
        <v>3.358974358974359</v>
      </c>
      <c r="E32" cm="1">
        <f t="array" ref="E32" xml:space="preserve"> _xlfn.STDEV.S(IF((RawData[part_id]=A32)*(RawData[demand_quantity]&gt;0), RawData[demand_quantity]))</f>
        <v>1.7089113106730518</v>
      </c>
      <c r="F32">
        <f>PartSummary[[#This Row],[TotalPeriods]]/PartSummary[[#This Row],[NonZeroPeriods]]</f>
        <v>1.8461538461538463</v>
      </c>
      <c r="G32">
        <f t="shared" si="0"/>
        <v>0.2588365909237284</v>
      </c>
      <c r="H32" t="str">
        <f t="shared" si="1"/>
        <v>Intermittent</v>
      </c>
      <c r="I32">
        <f>SUMIFS('RawData'!G:G,'RawData'!A:A,PartSummary[[#This Row],[part_id]])</f>
        <v>131</v>
      </c>
      <c r="J32">
        <f t="shared" si="2"/>
        <v>31</v>
      </c>
      <c r="K32">
        <f t="shared" si="3"/>
        <v>12777</v>
      </c>
      <c r="L32" s="4">
        <f t="shared" si="4"/>
        <v>0.89256025148445683</v>
      </c>
      <c r="M32" t="str">
        <f t="shared" si="5"/>
        <v>B</v>
      </c>
      <c r="N32">
        <f>PartSummary[[#This Row],[StdDevNonZeroDemand]]/PartSummary[[#This Row],[MeanNonZeroDemand]]</f>
        <v>0.50875985584922911</v>
      </c>
      <c r="O32" t="str">
        <f t="shared" si="6"/>
        <v>Y</v>
      </c>
      <c r="P32" t="str">
        <f t="shared" si="7"/>
        <v>BY</v>
      </c>
      <c r="Q32">
        <f>AVERAGEIFS('RawData'!M:M,'RawData'!A:A,PartSummary[[#This Row],[part_id]])</f>
        <v>36.041666666666664</v>
      </c>
      <c r="R32" cm="1">
        <f t="array" ref="R32">_xlfn.STDEV.S(IF('RawData'!A:A=PartSummary[[#This Row],[part_id]],'RawData'!M:M))</f>
        <v>16.634799346423588</v>
      </c>
      <c r="S32" s="1" cm="1">
        <f t="array" ref="S32" xml:space="preserve"> MAX(IF(RawData[part_id]=A32, RawData[period_start_date_FIXED]))</f>
        <v>45261</v>
      </c>
      <c r="T32" s="9">
        <f xml:space="preserve"> AVERAGEIFS(RawData[demand_quantity], RawData[part_id], A32, RawData[period_start_date_FIXED], "&gt;"&amp;EDATE(S32,-6))</f>
        <v>1.5</v>
      </c>
      <c r="U32" cm="1">
        <f t="array" ref="U32">(LOOKUP(2,1/((RawData[part_id]=A32)*(RawData[demand_quantity]&lt;&gt;0)), RawData[demand_quantity])) / F32</f>
        <v>1.625</v>
      </c>
      <c r="V32" cm="1">
        <f t="array" aca="1" ref="V32" ca="1" xml:space="preserve"> LOOKUP(2,1/(RawData[part_id]=A32), RawData[Croston_Recursive_Forecast])</f>
        <v>1.9622078347755054</v>
      </c>
      <c r="W32">
        <f t="shared" ca="1" si="8"/>
        <v>1.9622078347755054</v>
      </c>
      <c r="X32">
        <f t="shared" si="9"/>
        <v>1.6448536269514715</v>
      </c>
      <c r="Y32">
        <f t="shared" si="10"/>
        <v>4.3448811236695155</v>
      </c>
      <c r="Z32" s="9">
        <f t="shared" ca="1" si="11"/>
        <v>6.7022558140595319</v>
      </c>
    </row>
    <row r="33" spans="1:26">
      <c r="A33" t="s">
        <v>44</v>
      </c>
      <c r="B33">
        <f>72</f>
        <v>72</v>
      </c>
      <c r="C33">
        <f xml:space="preserve"> COUNTIFS(RawData[part_id], A33, RawData[demand_quantity], "&gt;0")</f>
        <v>46</v>
      </c>
      <c r="D33">
        <f xml:space="preserve"> AVERAGEIFS(RawData[demand_quantity], RawData[part_id], A33, RawData[demand_quantity], "&gt;0")</f>
        <v>2.8260869565217392</v>
      </c>
      <c r="E33" cm="1">
        <f t="array" ref="E33" xml:space="preserve"> _xlfn.STDEV.S(IF((RawData[part_id]=A33)*(RawData[demand_quantity]&gt;0), RawData[demand_quantity]))</f>
        <v>1.3873131157598926</v>
      </c>
      <c r="F33">
        <f>PartSummary[[#This Row],[TotalPeriods]]/PartSummary[[#This Row],[NonZeroPeriods]]</f>
        <v>1.5652173913043479</v>
      </c>
      <c r="G33">
        <f t="shared" si="0"/>
        <v>0.24097830374753459</v>
      </c>
      <c r="H33" t="str">
        <f t="shared" si="1"/>
        <v>Intermittent</v>
      </c>
      <c r="I33">
        <f>SUMIFS('RawData'!G:G,'RawData'!A:A,PartSummary[[#This Row],[part_id]])</f>
        <v>130</v>
      </c>
      <c r="J33">
        <f t="shared" si="2"/>
        <v>32</v>
      </c>
      <c r="K33">
        <f t="shared" si="3"/>
        <v>12907</v>
      </c>
      <c r="L33" s="4">
        <f t="shared" si="4"/>
        <v>0.90164163464896963</v>
      </c>
      <c r="M33" t="str">
        <f t="shared" si="5"/>
        <v>B</v>
      </c>
      <c r="N33">
        <f>PartSummary[[#This Row],[StdDevNonZeroDemand]]/PartSummary[[#This Row],[MeanNonZeroDemand]]</f>
        <v>0.49089541019196198</v>
      </c>
      <c r="O33" t="str">
        <f t="shared" si="6"/>
        <v>X</v>
      </c>
      <c r="P33" t="str">
        <f t="shared" si="7"/>
        <v>BX</v>
      </c>
      <c r="Q33">
        <f>AVERAGEIFS('RawData'!M:M,'RawData'!A:A,PartSummary[[#This Row],[part_id]])</f>
        <v>36.875</v>
      </c>
      <c r="R33" cm="1">
        <f t="array" ref="R33">_xlfn.STDEV.S(IF('RawData'!A:A=PartSummary[[#This Row],[part_id]],'RawData'!M:M))</f>
        <v>16.687633525340143</v>
      </c>
      <c r="S33" s="1" cm="1">
        <f t="array" ref="S33" xml:space="preserve"> MAX(IF(RawData[part_id]=A33, RawData[period_start_date_FIXED]))</f>
        <v>45261</v>
      </c>
      <c r="T33" s="9">
        <f xml:space="preserve"> AVERAGEIFS(RawData[demand_quantity], RawData[part_id], A33, RawData[period_start_date_FIXED], "&gt;"&amp;EDATE(S33,-6))</f>
        <v>2.3333333333333335</v>
      </c>
      <c r="U33" cm="1">
        <f t="array" ref="U33">(LOOKUP(2,1/((RawData[part_id]=A33)*(RawData[demand_quantity]&lt;&gt;0)), RawData[demand_quantity])) / F33</f>
        <v>3.833333333333333</v>
      </c>
      <c r="V33" cm="1">
        <f t="array" aca="1" ref="V33" ca="1" xml:space="preserve"> LOOKUP(2,1/(RawData[part_id]=A33), RawData[Croston_Recursive_Forecast])</f>
        <v>1.7217514596534549</v>
      </c>
      <c r="W33">
        <f t="shared" ca="1" si="8"/>
        <v>1.7217514596534549</v>
      </c>
      <c r="X33">
        <f t="shared" si="9"/>
        <v>1.6448536269514715</v>
      </c>
      <c r="Y33">
        <f t="shared" si="10"/>
        <v>3.6175406849564333</v>
      </c>
      <c r="Z33" s="9">
        <f t="shared" ca="1" si="11"/>
        <v>5.7338601874471387</v>
      </c>
    </row>
    <row r="34" spans="1:26">
      <c r="A34" t="s">
        <v>48</v>
      </c>
      <c r="B34">
        <f>72</f>
        <v>72</v>
      </c>
      <c r="C34">
        <f xml:space="preserve"> COUNTIFS(RawData[part_id], A34, RawData[demand_quantity], "&gt;0")</f>
        <v>45</v>
      </c>
      <c r="D34">
        <f xml:space="preserve"> AVERAGEIFS(RawData[demand_quantity], RawData[part_id], A34, RawData[demand_quantity], "&gt;0")</f>
        <v>2.8666666666666667</v>
      </c>
      <c r="E34" cm="1">
        <f t="array" ref="E34" xml:space="preserve"> _xlfn.STDEV.S(IF((RawData[part_id]=A34)*(RawData[demand_quantity]&gt;0), RawData[demand_quantity]))</f>
        <v>1.7267941920849113</v>
      </c>
      <c r="F34">
        <f>PartSummary[[#This Row],[TotalPeriods]]/PartSummary[[#This Row],[NonZeroPeriods]]</f>
        <v>1.6</v>
      </c>
      <c r="G34">
        <f t="shared" ref="G34:G61" si="12">(E34 / D34) ^ 2</f>
        <v>0.36284969762525193</v>
      </c>
      <c r="H34" t="str">
        <f t="shared" ref="H34:H61" si="13" xml:space="preserve"> IF(F34&lt;=1.32, IF(G34&lt;=0.49, "Smooth", "Erratic"), IF(G34&lt;=0.49, "Intermittent", "Lumpy"))</f>
        <v>Intermittent</v>
      </c>
      <c r="I34">
        <f>SUMIFS('RawData'!G:G,'RawData'!A:A,PartSummary[[#This Row],[part_id]])</f>
        <v>129</v>
      </c>
      <c r="J34">
        <f t="shared" ref="J34:J61" si="14" xml:space="preserve"> _xlfn.RANK.EQ(I34, $I$2:$I$61, 0)</f>
        <v>33</v>
      </c>
      <c r="K34">
        <f t="shared" ref="K34:K61" si="15">SUMIFS($I$2:$I$61, $J$2:$J$61, "&lt;="&amp;J34)</f>
        <v>13165</v>
      </c>
      <c r="L34" s="4">
        <f t="shared" ref="L34:L61" si="16" xml:space="preserve"> K34 / SUM($I$2:$I$61)</f>
        <v>0.91966468739084872</v>
      </c>
      <c r="M34" t="str">
        <f t="shared" ref="M34:M61" si="17">IF(L34&lt;=0.8, "A", IF(L34&lt;=0.95, "B", "C"))</f>
        <v>B</v>
      </c>
      <c r="N34">
        <f>PartSummary[[#This Row],[StdDevNonZeroDemand]]/PartSummary[[#This Row],[MeanNonZeroDemand]]</f>
        <v>0.60237006700636442</v>
      </c>
      <c r="O34" t="str">
        <f t="shared" ref="O34:O61" si="18" xml:space="preserve"> IF(N34&lt;=0.5, "X", IF(N34&lt;=1, "Y", "Z"))</f>
        <v>Y</v>
      </c>
      <c r="P34" t="str">
        <f t="shared" ref="P34:P61" si="19">M34 &amp; O34</f>
        <v>BY</v>
      </c>
      <c r="Q34">
        <f>AVERAGEIFS('RawData'!M:M,'RawData'!A:A,PartSummary[[#This Row],[part_id]])</f>
        <v>37.916666666666664</v>
      </c>
      <c r="R34" cm="1">
        <f t="array" ref="R34">_xlfn.STDEV.S(IF('RawData'!A:A=PartSummary[[#This Row],[part_id]],'RawData'!M:M))</f>
        <v>17.973963955724685</v>
      </c>
      <c r="S34" s="1" cm="1">
        <f t="array" ref="S34" xml:space="preserve"> MAX(IF(RawData[part_id]=A34, RawData[period_start_date_FIXED]))</f>
        <v>45261</v>
      </c>
      <c r="T34" s="9">
        <f xml:space="preserve"> AVERAGEIFS(RawData[demand_quantity], RawData[part_id], A34, RawData[period_start_date_FIXED], "&gt;"&amp;EDATE(S34,-6))</f>
        <v>2.1666666666666665</v>
      </c>
      <c r="U34" cm="1">
        <f t="array" ref="U34">(LOOKUP(2,1/((RawData[part_id]=A34)*(RawData[demand_quantity]&lt;&gt;0)), RawData[demand_quantity])) / F34</f>
        <v>1.25</v>
      </c>
      <c r="V34" cm="1">
        <f t="array" aca="1" ref="V34" ca="1" xml:space="preserve"> LOOKUP(2,1/(RawData[part_id]=A34), RawData[Croston_Recursive_Forecast])</f>
        <v>1.8938447682792592</v>
      </c>
      <c r="W34">
        <f t="shared" ref="W34:W61" ca="1" si="20" xml:space="preserve"> IF(H34="Smooth", T34, IF(H34="Intermittent", V34, (1-0.2/2)*V34))</f>
        <v>1.8938447682792592</v>
      </c>
      <c r="X34">
        <f t="shared" ref="X34:X61" si="21">_xlfn.NORM.S.INV($AB$1)</f>
        <v>1.6448536269514715</v>
      </c>
      <c r="Y34">
        <f t="shared" ref="Y34:Y61" si="22" xml:space="preserve"> X34 * SQRT(((Q34/30) * E34^2) + (D34^2 * (R34/30)^2))</f>
        <v>4.263483040443349</v>
      </c>
      <c r="Z34" s="9">
        <f t="shared" ref="Z34:Z61" ca="1" si="23" xml:space="preserve"> (W34 * (Q34/30)) + Y34</f>
        <v>6.657092400351857</v>
      </c>
    </row>
    <row r="35" spans="1:26">
      <c r="A35" t="s">
        <v>50</v>
      </c>
      <c r="B35">
        <f>72</f>
        <v>72</v>
      </c>
      <c r="C35">
        <f xml:space="preserve"> COUNTIFS(RawData[part_id], A35, RawData[demand_quantity], "&gt;0")</f>
        <v>48</v>
      </c>
      <c r="D35">
        <f xml:space="preserve"> AVERAGEIFS(RawData[demand_quantity], RawData[part_id], A35, RawData[demand_quantity], "&gt;0")</f>
        <v>2.6875</v>
      </c>
      <c r="E35" cm="1">
        <f t="array" ref="E35" xml:space="preserve"> _xlfn.STDEV.S(IF((RawData[part_id]=A35)*(RawData[demand_quantity]&gt;0), RawData[demand_quantity]))</f>
        <v>1.3861971552385646</v>
      </c>
      <c r="F35">
        <f>PartSummary[[#This Row],[TotalPeriods]]/PartSummary[[#This Row],[NonZeroPeriods]]</f>
        <v>1.5</v>
      </c>
      <c r="G35">
        <f t="shared" si="12"/>
        <v>0.26604374992808072</v>
      </c>
      <c r="H35" t="str">
        <f t="shared" si="13"/>
        <v>Intermittent</v>
      </c>
      <c r="I35">
        <f>SUMIFS('RawData'!G:G,'RawData'!A:A,PartSummary[[#This Row],[part_id]])</f>
        <v>129</v>
      </c>
      <c r="J35">
        <f t="shared" si="14"/>
        <v>33</v>
      </c>
      <c r="K35">
        <f t="shared" si="15"/>
        <v>13165</v>
      </c>
      <c r="L35" s="4">
        <f t="shared" si="16"/>
        <v>0.91966468739084872</v>
      </c>
      <c r="M35" t="str">
        <f t="shared" si="17"/>
        <v>B</v>
      </c>
      <c r="N35">
        <f>PartSummary[[#This Row],[StdDevNonZeroDemand]]/PartSummary[[#This Row],[MeanNonZeroDemand]]</f>
        <v>0.5157942903213264</v>
      </c>
      <c r="O35" t="str">
        <f t="shared" si="18"/>
        <v>Y</v>
      </c>
      <c r="P35" t="str">
        <f t="shared" si="19"/>
        <v>BY</v>
      </c>
      <c r="Q35">
        <f>AVERAGEIFS('RawData'!M:M,'RawData'!A:A,PartSummary[[#This Row],[part_id]])</f>
        <v>38.75</v>
      </c>
      <c r="R35" cm="1">
        <f t="array" ref="R35">_xlfn.STDEV.S(IF('RawData'!A:A=PartSummary[[#This Row],[part_id]],'RawData'!M:M))</f>
        <v>16.460580312533097</v>
      </c>
      <c r="S35" s="1" cm="1">
        <f t="array" ref="S35" xml:space="preserve"> MAX(IF(RawData[part_id]=A35, RawData[period_start_date_FIXED]))</f>
        <v>45261</v>
      </c>
      <c r="T35" s="9">
        <f xml:space="preserve"> AVERAGEIFS(RawData[demand_quantity], RawData[part_id], A35, RawData[period_start_date_FIXED], "&gt;"&amp;EDATE(S35,-6))</f>
        <v>0.66666666666666663</v>
      </c>
      <c r="U35" cm="1">
        <f t="array" ref="U35">(LOOKUP(2,1/((RawData[part_id]=A35)*(RawData[demand_quantity]&lt;&gt;0)), RawData[demand_quantity])) / F35</f>
        <v>1.3333333333333333</v>
      </c>
      <c r="V35" cm="1">
        <f t="array" aca="1" ref="V35" ca="1" xml:space="preserve"> LOOKUP(2,1/(RawData[part_id]=A35), RawData[Croston_Recursive_Forecast])</f>
        <v>1.4140634928422164</v>
      </c>
      <c r="W35">
        <f t="shared" ca="1" si="20"/>
        <v>1.4140634928422164</v>
      </c>
      <c r="X35">
        <f t="shared" si="21"/>
        <v>1.6448536269514715</v>
      </c>
      <c r="Y35">
        <f t="shared" si="22"/>
        <v>3.549386382271611</v>
      </c>
      <c r="Z35" s="9">
        <f t="shared" ca="1" si="23"/>
        <v>5.3758850605261408</v>
      </c>
    </row>
    <row r="36" spans="1:26">
      <c r="A36" t="s">
        <v>46</v>
      </c>
      <c r="B36">
        <f>72</f>
        <v>72</v>
      </c>
      <c r="C36">
        <f xml:space="preserve"> COUNTIFS(RawData[part_id], A36, RawData[demand_quantity], "&gt;0")</f>
        <v>49</v>
      </c>
      <c r="D36">
        <f xml:space="preserve"> AVERAGEIFS(RawData[demand_quantity], RawData[part_id], A36, RawData[demand_quantity], "&gt;0")</f>
        <v>2.6122448979591835</v>
      </c>
      <c r="E36" cm="1">
        <f t="array" ref="E36" xml:space="preserve"> _xlfn.STDEV.S(IF((RawData[part_id]=A36)*(RawData[demand_quantity]&gt;0), RawData[demand_quantity]))</f>
        <v>1.6306482163367357</v>
      </c>
      <c r="F36">
        <f>PartSummary[[#This Row],[TotalPeriods]]/PartSummary[[#This Row],[NonZeroPeriods]]</f>
        <v>1.4693877551020409</v>
      </c>
      <c r="G36">
        <f t="shared" si="12"/>
        <v>0.38966623942057316</v>
      </c>
      <c r="H36" t="str">
        <f t="shared" si="13"/>
        <v>Intermittent</v>
      </c>
      <c r="I36">
        <f>SUMIFS('RawData'!G:G,'RawData'!A:A,PartSummary[[#This Row],[part_id]])</f>
        <v>128</v>
      </c>
      <c r="J36">
        <f t="shared" si="14"/>
        <v>35</v>
      </c>
      <c r="K36">
        <f t="shared" si="15"/>
        <v>13293</v>
      </c>
      <c r="L36" s="4">
        <f t="shared" si="16"/>
        <v>0.92860635696821514</v>
      </c>
      <c r="M36" t="str">
        <f t="shared" si="17"/>
        <v>B</v>
      </c>
      <c r="N36">
        <f>PartSummary[[#This Row],[StdDevNonZeroDemand]]/PartSummary[[#This Row],[MeanNonZeroDemand]]</f>
        <v>0.62423252031640675</v>
      </c>
      <c r="O36" t="str">
        <f t="shared" si="18"/>
        <v>Y</v>
      </c>
      <c r="P36" t="str">
        <f t="shared" si="19"/>
        <v>BY</v>
      </c>
      <c r="Q36">
        <f>AVERAGEIFS('RawData'!M:M,'RawData'!A:A,PartSummary[[#This Row],[part_id]])</f>
        <v>38.541666666666664</v>
      </c>
      <c r="R36" cm="1">
        <f t="array" ref="R36">_xlfn.STDEV.S(IF('RawData'!A:A=PartSummary[[#This Row],[part_id]],'RawData'!M:M))</f>
        <v>15.483692011592685</v>
      </c>
      <c r="S36" s="1" cm="1">
        <f t="array" ref="S36" xml:space="preserve"> MAX(IF(RawData[part_id]=A36, RawData[period_start_date_FIXED]))</f>
        <v>45261</v>
      </c>
      <c r="T36" s="9">
        <f xml:space="preserve"> AVERAGEIFS(RawData[demand_quantity], RawData[part_id], A36, RawData[period_start_date_FIXED], "&gt;"&amp;EDATE(S36,-6))</f>
        <v>2.1666666666666665</v>
      </c>
      <c r="U36" cm="1">
        <f t="array" ref="U36">(LOOKUP(2,1/((RawData[part_id]=A36)*(RawData[demand_quantity]&lt;&gt;0)), RawData[demand_quantity])) / F36</f>
        <v>1.3611111111111109</v>
      </c>
      <c r="V36" cm="1">
        <f t="array" aca="1" ref="V36" ca="1" xml:space="preserve"> LOOKUP(2,1/(RawData[part_id]=A36), RawData[Croston_Recursive_Forecast])</f>
        <v>1.8265009618327186</v>
      </c>
      <c r="W36">
        <f t="shared" ca="1" si="20"/>
        <v>1.8265009618327186</v>
      </c>
      <c r="X36">
        <f t="shared" si="21"/>
        <v>1.6448536269514715</v>
      </c>
      <c r="Y36">
        <f t="shared" si="22"/>
        <v>3.7630298806128364</v>
      </c>
      <c r="Z36" s="9">
        <f t="shared" ca="1" si="23"/>
        <v>6.1095762551895927</v>
      </c>
    </row>
    <row r="37" spans="1:26">
      <c r="A37" t="s">
        <v>58</v>
      </c>
      <c r="B37">
        <f>72</f>
        <v>72</v>
      </c>
      <c r="C37">
        <f xml:space="preserve"> COUNTIFS(RawData[part_id], A37, RawData[demand_quantity], "&gt;0")</f>
        <v>43</v>
      </c>
      <c r="D37">
        <f xml:space="preserve"> AVERAGEIFS(RawData[demand_quantity], RawData[part_id], A37, RawData[demand_quantity], "&gt;0")</f>
        <v>2.8372093023255816</v>
      </c>
      <c r="E37" cm="1">
        <f t="array" ref="E37" xml:space="preserve"> _xlfn.STDEV.S(IF((RawData[part_id]=A37)*(RawData[demand_quantity]&gt;0), RawData[demand_quantity]))</f>
        <v>1.4789029485872212</v>
      </c>
      <c r="F37">
        <f>PartSummary[[#This Row],[TotalPeriods]]/PartSummary[[#This Row],[NonZeroPeriods]]</f>
        <v>1.6744186046511629</v>
      </c>
      <c r="G37">
        <f t="shared" si="12"/>
        <v>0.27170435494810652</v>
      </c>
      <c r="H37" t="str">
        <f t="shared" si="13"/>
        <v>Intermittent</v>
      </c>
      <c r="I37">
        <f>SUMIFS('RawData'!G:G,'RawData'!A:A,PartSummary[[#This Row],[part_id]])</f>
        <v>122</v>
      </c>
      <c r="J37">
        <f t="shared" si="14"/>
        <v>36</v>
      </c>
      <c r="K37">
        <f t="shared" si="15"/>
        <v>13415</v>
      </c>
      <c r="L37" s="4">
        <f t="shared" si="16"/>
        <v>0.93712888578414255</v>
      </c>
      <c r="M37" t="str">
        <f t="shared" si="17"/>
        <v>B</v>
      </c>
      <c r="N37">
        <f>PartSummary[[#This Row],[StdDevNonZeroDemand]]/PartSummary[[#This Row],[MeanNonZeroDemand]]</f>
        <v>0.52125267860041402</v>
      </c>
      <c r="O37" t="str">
        <f t="shared" si="18"/>
        <v>Y</v>
      </c>
      <c r="P37" t="str">
        <f t="shared" si="19"/>
        <v>BY</v>
      </c>
      <c r="Q37">
        <f>AVERAGEIFS('RawData'!M:M,'RawData'!A:A,PartSummary[[#This Row],[part_id]])</f>
        <v>37.291666666666664</v>
      </c>
      <c r="R37" cm="1">
        <f t="array" ref="R37">_xlfn.STDEV.S(IF('RawData'!A:A=PartSummary[[#This Row],[part_id]],'RawData'!M:M))</f>
        <v>15.312185610454637</v>
      </c>
      <c r="S37" s="1" cm="1">
        <f t="array" ref="S37" xml:space="preserve"> MAX(IF(RawData[part_id]=A37, RawData[period_start_date_FIXED]))</f>
        <v>45261</v>
      </c>
      <c r="T37" s="9">
        <f xml:space="preserve"> AVERAGEIFS(RawData[demand_quantity], RawData[part_id], A37, RawData[period_start_date_FIXED], "&gt;"&amp;EDATE(S37,-6))</f>
        <v>0.83333333333333337</v>
      </c>
      <c r="U37" cm="1">
        <f t="array" ref="U37">(LOOKUP(2,1/((RawData[part_id]=A37)*(RawData[demand_quantity]&lt;&gt;0)), RawData[demand_quantity])) / F37</f>
        <v>0.59722222222222221</v>
      </c>
      <c r="V37" cm="1">
        <f t="array" aca="1" ref="V37" ca="1" xml:space="preserve"> LOOKUP(2,1/(RawData[part_id]=A37), RawData[Croston_Recursive_Forecast])</f>
        <v>1.3171583393720268</v>
      </c>
      <c r="W37">
        <f t="shared" ca="1" si="20"/>
        <v>1.3171583393720268</v>
      </c>
      <c r="X37">
        <f t="shared" si="21"/>
        <v>1.6448536269514715</v>
      </c>
      <c r="Y37">
        <f t="shared" si="22"/>
        <v>3.6096319298004977</v>
      </c>
      <c r="Z37" s="9">
        <f t="shared" ca="1" si="23"/>
        <v>5.246932921103225</v>
      </c>
    </row>
    <row r="38" spans="1:26">
      <c r="A38" t="s">
        <v>49</v>
      </c>
      <c r="B38">
        <f>72</f>
        <v>72</v>
      </c>
      <c r="C38">
        <f xml:space="preserve"> COUNTIFS(RawData[part_id], A38, RawData[demand_quantity], "&gt;0")</f>
        <v>43</v>
      </c>
      <c r="D38">
        <f xml:space="preserve"> AVERAGEIFS(RawData[demand_quantity], RawData[part_id], A38, RawData[demand_quantity], "&gt;0")</f>
        <v>2.7906976744186047</v>
      </c>
      <c r="E38" cm="1">
        <f t="array" ref="E38" xml:space="preserve"> _xlfn.STDEV.S(IF((RawData[part_id]=A38)*(RawData[demand_quantity]&gt;0), RawData[demand_quantity]))</f>
        <v>1.6265379467252892</v>
      </c>
      <c r="F38">
        <f>PartSummary[[#This Row],[TotalPeriods]]/PartSummary[[#This Row],[NonZeroPeriods]]</f>
        <v>1.6744186046511629</v>
      </c>
      <c r="G38">
        <f t="shared" si="12"/>
        <v>0.33970568783068772</v>
      </c>
      <c r="H38" t="str">
        <f t="shared" si="13"/>
        <v>Intermittent</v>
      </c>
      <c r="I38">
        <f>SUMIFS('RawData'!G:G,'RawData'!A:A,PartSummary[[#This Row],[part_id]])</f>
        <v>120</v>
      </c>
      <c r="J38">
        <f t="shared" si="14"/>
        <v>37</v>
      </c>
      <c r="K38">
        <f t="shared" si="15"/>
        <v>13535</v>
      </c>
      <c r="L38" s="4">
        <f t="shared" si="16"/>
        <v>0.94551170101292348</v>
      </c>
      <c r="M38" t="str">
        <f t="shared" si="17"/>
        <v>B</v>
      </c>
      <c r="N38">
        <f>PartSummary[[#This Row],[StdDevNonZeroDemand]]/PartSummary[[#This Row],[MeanNonZeroDemand]]</f>
        <v>0.58284276424322856</v>
      </c>
      <c r="O38" t="str">
        <f t="shared" si="18"/>
        <v>Y</v>
      </c>
      <c r="P38" t="str">
        <f t="shared" si="19"/>
        <v>BY</v>
      </c>
      <c r="Q38">
        <f>AVERAGEIFS('RawData'!M:M,'RawData'!A:A,PartSummary[[#This Row],[part_id]])</f>
        <v>39.166666666666664</v>
      </c>
      <c r="R38" cm="1">
        <f t="array" ref="R38">_xlfn.STDEV.S(IF('RawData'!A:A=PartSummary[[#This Row],[part_id]],'RawData'!M:M))</f>
        <v>16.614943214713946</v>
      </c>
      <c r="S38" s="1" cm="1">
        <f t="array" ref="S38" xml:space="preserve"> MAX(IF(RawData[part_id]=A38, RawData[period_start_date_FIXED]))</f>
        <v>45261</v>
      </c>
      <c r="T38" s="9">
        <f xml:space="preserve"> AVERAGEIFS(RawData[demand_quantity], RawData[part_id], A38, RawData[period_start_date_FIXED], "&gt;"&amp;EDATE(S38,-6))</f>
        <v>1.8333333333333333</v>
      </c>
      <c r="U38" cm="1">
        <f t="array" ref="U38">(LOOKUP(2,1/((RawData[part_id]=A38)*(RawData[demand_quantity]&lt;&gt;0)), RawData[demand_quantity])) / F38</f>
        <v>0.59722222222222221</v>
      </c>
      <c r="V38" cm="1">
        <f t="array" aca="1" ref="V38" ca="1" xml:space="preserve"> LOOKUP(2,1/(RawData[part_id]=A38), RawData[Croston_Recursive_Forecast])</f>
        <v>1.2931986724227864</v>
      </c>
      <c r="W38">
        <f t="shared" ca="1" si="20"/>
        <v>1.2931986724227864</v>
      </c>
      <c r="X38">
        <f t="shared" si="21"/>
        <v>1.6448536269514715</v>
      </c>
      <c r="Y38">
        <f t="shared" si="22"/>
        <v>3.9759269181676014</v>
      </c>
      <c r="Z38" s="9">
        <f t="shared" ca="1" si="23"/>
        <v>5.6642696293862391</v>
      </c>
    </row>
    <row r="39" spans="1:26">
      <c r="A39" t="s">
        <v>47</v>
      </c>
      <c r="B39">
        <f>72</f>
        <v>72</v>
      </c>
      <c r="C39">
        <f xml:space="preserve"> COUNTIFS(RawData[part_id], A39, RawData[demand_quantity], "&gt;0")</f>
        <v>41</v>
      </c>
      <c r="D39">
        <f xml:space="preserve"> AVERAGEIFS(RawData[demand_quantity], RawData[part_id], A39, RawData[demand_quantity], "&gt;0")</f>
        <v>2.8536585365853657</v>
      </c>
      <c r="E39" cm="1">
        <f t="array" ref="E39" xml:space="preserve"> _xlfn.STDEV.S(IF((RawData[part_id]=A39)*(RawData[demand_quantity]&gt;0), RawData[demand_quantity]))</f>
        <v>1.5582197471755403</v>
      </c>
      <c r="F39">
        <f>PartSummary[[#This Row],[TotalPeriods]]/PartSummary[[#This Row],[NonZeroPeriods]]</f>
        <v>1.7560975609756098</v>
      </c>
      <c r="G39">
        <f t="shared" si="12"/>
        <v>0.29816275841916867</v>
      </c>
      <c r="H39" t="str">
        <f t="shared" si="13"/>
        <v>Intermittent</v>
      </c>
      <c r="I39">
        <f>SUMIFS('RawData'!G:G,'RawData'!A:A,PartSummary[[#This Row],[part_id]])</f>
        <v>117</v>
      </c>
      <c r="J39">
        <f t="shared" si="14"/>
        <v>38</v>
      </c>
      <c r="K39">
        <f t="shared" si="15"/>
        <v>13652</v>
      </c>
      <c r="L39" s="4">
        <f t="shared" si="16"/>
        <v>0.95368494586098496</v>
      </c>
      <c r="M39" t="str">
        <f t="shared" si="17"/>
        <v>C</v>
      </c>
      <c r="N39">
        <f>PartSummary[[#This Row],[StdDevNonZeroDemand]]/PartSummary[[#This Row],[MeanNonZeroDemand]]</f>
        <v>0.54604281738630045</v>
      </c>
      <c r="O39" t="str">
        <f t="shared" si="18"/>
        <v>Y</v>
      </c>
      <c r="P39" t="str">
        <f t="shared" si="19"/>
        <v>CY</v>
      </c>
      <c r="Q39">
        <f>AVERAGEIFS('RawData'!M:M,'RawData'!A:A,PartSummary[[#This Row],[part_id]])</f>
        <v>38.125</v>
      </c>
      <c r="R39" cm="1">
        <f t="array" ref="R39">_xlfn.STDEV.S(IF('RawData'!A:A=PartSummary[[#This Row],[part_id]],'RawData'!M:M))</f>
        <v>16.107856100953164</v>
      </c>
      <c r="S39" s="1" cm="1">
        <f t="array" ref="S39" xml:space="preserve"> MAX(IF(RawData[part_id]=A39, RawData[period_start_date_FIXED]))</f>
        <v>45261</v>
      </c>
      <c r="T39" s="9">
        <f xml:space="preserve"> AVERAGEIFS(RawData[demand_quantity], RawData[part_id], A39, RawData[period_start_date_FIXED], "&gt;"&amp;EDATE(S39,-6))</f>
        <v>2</v>
      </c>
      <c r="U39" cm="1">
        <f t="array" ref="U39">(LOOKUP(2,1/((RawData[part_id]=A39)*(RawData[demand_quantity]&lt;&gt;0)), RawData[demand_quantity])) / F39</f>
        <v>2.2777777777777777</v>
      </c>
      <c r="V39" cm="1">
        <f t="array" aca="1" ref="V39" ca="1" xml:space="preserve"> LOOKUP(2,1/(RawData[part_id]=A39), RawData[Croston_Recursive_Forecast])</f>
        <v>1.7651561239464699</v>
      </c>
      <c r="W39">
        <f t="shared" ca="1" si="20"/>
        <v>1.7651561239464699</v>
      </c>
      <c r="X39">
        <f t="shared" si="21"/>
        <v>1.6448536269514715</v>
      </c>
      <c r="Y39">
        <f t="shared" si="22"/>
        <v>3.8340669957449642</v>
      </c>
      <c r="Z39" s="9">
        <f t="shared" ca="1" si="23"/>
        <v>6.0772862365936025</v>
      </c>
    </row>
    <row r="40" spans="1:26">
      <c r="A40" t="s">
        <v>51</v>
      </c>
      <c r="B40">
        <f>72</f>
        <v>72</v>
      </c>
      <c r="C40">
        <f xml:space="preserve"> COUNTIFS(RawData[part_id], A40, RawData[demand_quantity], "&gt;0")</f>
        <v>43</v>
      </c>
      <c r="D40">
        <f xml:space="preserve"> AVERAGEIFS(RawData[demand_quantity], RawData[part_id], A40, RawData[demand_quantity], "&gt;0")</f>
        <v>2.6744186046511627</v>
      </c>
      <c r="E40" cm="1">
        <f t="array" ref="E40" xml:space="preserve"> _xlfn.STDEV.S(IF((RawData[part_id]=A40)*(RawData[demand_quantity]&gt;0), RawData[demand_quantity]))</f>
        <v>1.4755294486831974</v>
      </c>
      <c r="F40">
        <f>PartSummary[[#This Row],[TotalPeriods]]/PartSummary[[#This Row],[NonZeroPeriods]]</f>
        <v>1.6744186046511629</v>
      </c>
      <c r="G40">
        <f t="shared" si="12"/>
        <v>0.30439463498064639</v>
      </c>
      <c r="H40" t="str">
        <f t="shared" si="13"/>
        <v>Intermittent</v>
      </c>
      <c r="I40">
        <f>SUMIFS('RawData'!G:G,'RawData'!A:A,PartSummary[[#This Row],[part_id]])</f>
        <v>115</v>
      </c>
      <c r="J40">
        <f t="shared" si="14"/>
        <v>39</v>
      </c>
      <c r="K40">
        <f t="shared" si="15"/>
        <v>13767</v>
      </c>
      <c r="L40" s="4">
        <f t="shared" si="16"/>
        <v>0.96171847712190006</v>
      </c>
      <c r="M40" t="str">
        <f t="shared" si="17"/>
        <v>C</v>
      </c>
      <c r="N40">
        <f>PartSummary[[#This Row],[StdDevNonZeroDemand]]/PartSummary[[#This Row],[MeanNonZeroDemand]]</f>
        <v>0.55171970689893468</v>
      </c>
      <c r="O40" t="str">
        <f t="shared" si="18"/>
        <v>Y</v>
      </c>
      <c r="P40" t="str">
        <f t="shared" si="19"/>
        <v>CY</v>
      </c>
      <c r="Q40">
        <f>AVERAGEIFS('RawData'!M:M,'RawData'!A:A,PartSummary[[#This Row],[part_id]])</f>
        <v>39.166666666666664</v>
      </c>
      <c r="R40" cm="1">
        <f t="array" ref="R40">_xlfn.STDEV.S(IF('RawData'!A:A=PartSummary[[#This Row],[part_id]],'RawData'!M:M))</f>
        <v>16.992127423197992</v>
      </c>
      <c r="S40" s="1" cm="1">
        <f t="array" ref="S40" xml:space="preserve"> MAX(IF(RawData[part_id]=A40, RawData[period_start_date_FIXED]))</f>
        <v>45261</v>
      </c>
      <c r="T40" s="9">
        <f xml:space="preserve"> AVERAGEIFS(RawData[demand_quantity], RawData[part_id], A40, RawData[period_start_date_FIXED], "&gt;"&amp;EDATE(S40,-6))</f>
        <v>1.8333333333333333</v>
      </c>
      <c r="U40" cm="1">
        <f t="array" ref="U40">(LOOKUP(2,1/((RawData[part_id]=A40)*(RawData[demand_quantity]&lt;&gt;0)), RawData[demand_quantity])) / F40</f>
        <v>0.59722222222222221</v>
      </c>
      <c r="V40" cm="1">
        <f t="array" aca="1" ref="V40" ca="1" xml:space="preserve"> LOOKUP(2,1/(RawData[part_id]=A40), RawData[Croston_Recursive_Forecast])</f>
        <v>1.4023513131800247</v>
      </c>
      <c r="W40">
        <f t="shared" ca="1" si="20"/>
        <v>1.4023513131800247</v>
      </c>
      <c r="X40">
        <f t="shared" si="21"/>
        <v>1.6448536269514715</v>
      </c>
      <c r="Y40">
        <f t="shared" si="22"/>
        <v>3.7280759154516834</v>
      </c>
      <c r="Z40" s="9">
        <f t="shared" ca="1" si="23"/>
        <v>5.5589234632144935</v>
      </c>
    </row>
    <row r="41" spans="1:26">
      <c r="A41" t="s">
        <v>40</v>
      </c>
      <c r="B41">
        <f>72</f>
        <v>72</v>
      </c>
      <c r="C41">
        <f xml:space="preserve"> COUNTIFS(RawData[part_id], A41, RawData[demand_quantity], "&gt;0")</f>
        <v>33</v>
      </c>
      <c r="D41">
        <f xml:space="preserve"> AVERAGEIFS(RawData[demand_quantity], RawData[part_id], A41, RawData[demand_quantity], "&gt;0")</f>
        <v>3.0303030303030303</v>
      </c>
      <c r="E41" cm="1">
        <f t="array" ref="E41" xml:space="preserve"> _xlfn.STDEV.S(IF((RawData[part_id]=A41)*(RawData[demand_quantity]&gt;0), RawData[demand_quantity]))</f>
        <v>1.4027840283889146</v>
      </c>
      <c r="F41">
        <f>PartSummary[[#This Row],[TotalPeriods]]/PartSummary[[#This Row],[NonZeroPeriods]]</f>
        <v>2.1818181818181817</v>
      </c>
      <c r="G41">
        <f t="shared" si="12"/>
        <v>0.21429375000000012</v>
      </c>
      <c r="H41" t="str">
        <f t="shared" si="13"/>
        <v>Intermittent</v>
      </c>
      <c r="I41">
        <f>SUMIFS('RawData'!G:G,'RawData'!A:A,PartSummary[[#This Row],[part_id]])</f>
        <v>100</v>
      </c>
      <c r="J41">
        <f t="shared" si="14"/>
        <v>40</v>
      </c>
      <c r="K41">
        <f t="shared" si="15"/>
        <v>13867</v>
      </c>
      <c r="L41" s="4">
        <f t="shared" si="16"/>
        <v>0.96870415647921759</v>
      </c>
      <c r="M41" t="str">
        <f t="shared" si="17"/>
        <v>C</v>
      </c>
      <c r="N41">
        <f>PartSummary[[#This Row],[StdDevNonZeroDemand]]/PartSummary[[#This Row],[MeanNonZeroDemand]]</f>
        <v>0.46291872936834183</v>
      </c>
      <c r="O41" t="str">
        <f t="shared" si="18"/>
        <v>X</v>
      </c>
      <c r="P41" t="str">
        <f t="shared" si="19"/>
        <v>CX</v>
      </c>
      <c r="Q41">
        <f>AVERAGEIFS('RawData'!M:M,'RawData'!A:A,PartSummary[[#This Row],[part_id]])</f>
        <v>37.083333333333336</v>
      </c>
      <c r="R41" cm="1">
        <f t="array" ref="R41">_xlfn.STDEV.S(IF('RawData'!A:A=PartSummary[[#This Row],[part_id]],'RawData'!M:M))</f>
        <v>16.11468580492804</v>
      </c>
      <c r="S41" s="1" cm="1">
        <f t="array" ref="S41" xml:space="preserve"> MAX(IF(RawData[part_id]=A41, RawData[period_start_date_FIXED]))</f>
        <v>45261</v>
      </c>
      <c r="T41" s="9">
        <f xml:space="preserve"> AVERAGEIFS(RawData[demand_quantity], RawData[part_id], A41, RawData[period_start_date_FIXED], "&gt;"&amp;EDATE(S41,-6))</f>
        <v>1.8333333333333333</v>
      </c>
      <c r="U41" cm="1">
        <f t="array" ref="U41">(LOOKUP(2,1/((RawData[part_id]=A41)*(RawData[demand_quantity]&lt;&gt;0)), RawData[demand_quantity])) / F41</f>
        <v>0.45833333333333337</v>
      </c>
      <c r="V41" cm="1">
        <f t="array" aca="1" ref="V41" ca="1" xml:space="preserve"> LOOKUP(2,1/(RawData[part_id]=A41), RawData[Croston_Recursive_Forecast])</f>
        <v>1.1494946162254305</v>
      </c>
      <c r="W41">
        <f t="shared" ca="1" si="20"/>
        <v>1.1494946162254305</v>
      </c>
      <c r="X41">
        <f t="shared" si="21"/>
        <v>1.6448536269514715</v>
      </c>
      <c r="Y41">
        <f t="shared" si="22"/>
        <v>3.7080343455004119</v>
      </c>
      <c r="Z41" s="9">
        <f t="shared" ca="1" si="23"/>
        <v>5.1289374127790692</v>
      </c>
    </row>
    <row r="42" spans="1:26">
      <c r="A42" t="s">
        <v>72</v>
      </c>
      <c r="B42">
        <f>72</f>
        <v>72</v>
      </c>
      <c r="C42">
        <f xml:space="preserve"> COUNTIFS(RawData[part_id], A42, RawData[demand_quantity], "&gt;0")</f>
        <v>18</v>
      </c>
      <c r="D42">
        <f xml:space="preserve"> AVERAGEIFS(RawData[demand_quantity], RawData[part_id], A42, RawData[demand_quantity], "&gt;0")</f>
        <v>2.1666666666666665</v>
      </c>
      <c r="E42" cm="1">
        <f t="array" ref="E42" xml:space="preserve"> _xlfn.STDEV.S(IF((RawData[part_id]=A42)*(RawData[demand_quantity]&gt;0), RawData[demand_quantity]))</f>
        <v>1.0981267472114393</v>
      </c>
      <c r="F42">
        <f>PartSummary[[#This Row],[TotalPeriods]]/PartSummary[[#This Row],[NonZeroPeriods]]</f>
        <v>4</v>
      </c>
      <c r="G42">
        <f t="shared" si="12"/>
        <v>0.25687434737208492</v>
      </c>
      <c r="H42" t="str">
        <f t="shared" si="13"/>
        <v>Intermittent</v>
      </c>
      <c r="I42">
        <f>SUMIFS('RawData'!G:G,'RawData'!A:A,PartSummary[[#This Row],[part_id]])</f>
        <v>39</v>
      </c>
      <c r="J42">
        <f t="shared" si="14"/>
        <v>41</v>
      </c>
      <c r="K42">
        <f t="shared" si="15"/>
        <v>13906</v>
      </c>
      <c r="L42" s="4">
        <f t="shared" si="16"/>
        <v>0.97142857142857142</v>
      </c>
      <c r="M42" t="str">
        <f t="shared" si="17"/>
        <v>C</v>
      </c>
      <c r="N42">
        <f>PartSummary[[#This Row],[StdDevNonZeroDemand]]/PartSummary[[#This Row],[MeanNonZeroDemand]]</f>
        <v>0.50682772948220278</v>
      </c>
      <c r="O42" t="str">
        <f t="shared" si="18"/>
        <v>Y</v>
      </c>
      <c r="P42" t="str">
        <f t="shared" si="19"/>
        <v>CY</v>
      </c>
      <c r="Q42">
        <f>AVERAGEIFS('RawData'!M:M,'RawData'!A:A,PartSummary[[#This Row],[part_id]])</f>
        <v>38.958333333333336</v>
      </c>
      <c r="R42" cm="1">
        <f t="array" ref="R42">_xlfn.STDEV.S(IF('RawData'!A:A=PartSummary[[#This Row],[part_id]],'RawData'!M:M))</f>
        <v>16.443190722203539</v>
      </c>
      <c r="S42" s="1" cm="1">
        <f t="array" ref="S42" xml:space="preserve"> MAX(IF(RawData[part_id]=A42, RawData[period_start_date_FIXED]))</f>
        <v>45261</v>
      </c>
      <c r="T42" s="9">
        <f xml:space="preserve"> AVERAGEIFS(RawData[demand_quantity], RawData[part_id], A42, RawData[period_start_date_FIXED], "&gt;"&amp;EDATE(S42,-6))</f>
        <v>1</v>
      </c>
      <c r="U42" cm="1">
        <f t="array" ref="U42">(LOOKUP(2,1/((RawData[part_id]=A42)*(RawData[demand_quantity]&lt;&gt;0)), RawData[demand_quantity])) / F42</f>
        <v>0.75</v>
      </c>
      <c r="V42" cm="1">
        <f t="array" aca="1" ref="V42" ca="1" xml:space="preserve"> LOOKUP(2,1/(RawData[part_id]=A42), RawData[Croston_Recursive_Forecast])</f>
        <v>0.63078722709028601</v>
      </c>
      <c r="W42">
        <f t="shared" ca="1" si="20"/>
        <v>0.63078722709028601</v>
      </c>
      <c r="X42">
        <f t="shared" si="21"/>
        <v>1.6448536269514715</v>
      </c>
      <c r="Y42">
        <f t="shared" si="22"/>
        <v>2.8376847447217997</v>
      </c>
      <c r="Z42" s="9">
        <f t="shared" ca="1" si="23"/>
        <v>3.6568320465682129</v>
      </c>
    </row>
    <row r="43" spans="1:26">
      <c r="A43" t="s">
        <v>62</v>
      </c>
      <c r="B43">
        <f>72</f>
        <v>72</v>
      </c>
      <c r="C43">
        <f xml:space="preserve"> COUNTIFS(RawData[part_id], A43, RawData[demand_quantity], "&gt;0")</f>
        <v>14</v>
      </c>
      <c r="D43">
        <f xml:space="preserve"> AVERAGEIFS(RawData[demand_quantity], RawData[part_id], A43, RawData[demand_quantity], "&gt;0")</f>
        <v>2.3571428571428572</v>
      </c>
      <c r="E43" cm="1">
        <f t="array" ref="E43" xml:space="preserve"> _xlfn.STDEV.S(IF((RawData[part_id]=A43)*(RawData[demand_quantity]&gt;0), RawData[demand_quantity]))</f>
        <v>1.7805419597217218</v>
      </c>
      <c r="F43">
        <f>PartSummary[[#This Row],[TotalPeriods]]/PartSummary[[#This Row],[NonZeroPeriods]]</f>
        <v>5.1428571428571432</v>
      </c>
      <c r="G43">
        <f t="shared" si="12"/>
        <v>0.57060111605566133</v>
      </c>
      <c r="H43" t="str">
        <f t="shared" si="13"/>
        <v>Lumpy</v>
      </c>
      <c r="I43">
        <f>SUMIFS('RawData'!G:G,'RawData'!A:A,PartSummary[[#This Row],[part_id]])</f>
        <v>33</v>
      </c>
      <c r="J43">
        <f t="shared" si="14"/>
        <v>42</v>
      </c>
      <c r="K43">
        <f t="shared" si="15"/>
        <v>13939</v>
      </c>
      <c r="L43" s="4">
        <f t="shared" si="16"/>
        <v>0.97373384561648624</v>
      </c>
      <c r="M43" t="str">
        <f t="shared" si="17"/>
        <v>C</v>
      </c>
      <c r="N43">
        <f>PartSummary[[#This Row],[StdDevNonZeroDemand]]/PartSummary[[#This Row],[MeanNonZeroDemand]]</f>
        <v>0.75538143745770014</v>
      </c>
      <c r="O43" t="str">
        <f t="shared" si="18"/>
        <v>Y</v>
      </c>
      <c r="P43" t="str">
        <f t="shared" si="19"/>
        <v>CY</v>
      </c>
      <c r="Q43">
        <f>AVERAGEIFS('RawData'!M:M,'RawData'!A:A,PartSummary[[#This Row],[part_id]])</f>
        <v>36.041666666666664</v>
      </c>
      <c r="R43" cm="1">
        <f t="array" ref="R43">_xlfn.STDEV.S(IF('RawData'!A:A=PartSummary[[#This Row],[part_id]],'RawData'!M:M))</f>
        <v>17.741046144741837</v>
      </c>
      <c r="S43" s="1" cm="1">
        <f t="array" ref="S43" xml:space="preserve"> MAX(IF(RawData[part_id]=A43, RawData[period_start_date_FIXED]))</f>
        <v>45261</v>
      </c>
      <c r="T43" s="9">
        <f xml:space="preserve"> AVERAGEIFS(RawData[demand_quantity], RawData[part_id], A43, RawData[period_start_date_FIXED], "&gt;"&amp;EDATE(S43,-6))</f>
        <v>1.6666666666666667</v>
      </c>
      <c r="U43" cm="1">
        <f t="array" ref="U43">(LOOKUP(2,1/((RawData[part_id]=A43)*(RawData[demand_quantity]&lt;&gt;0)), RawData[demand_quantity])) / F43</f>
        <v>1.3611111111111109</v>
      </c>
      <c r="V43" cm="1">
        <f t="array" aca="1" ref="V43" ca="1" xml:space="preserve"> LOOKUP(2,1/(RawData[part_id]=A43), RawData[Croston_Recursive_Forecast])</f>
        <v>0.80612922744495097</v>
      </c>
      <c r="W43">
        <f t="shared" ca="1" si="20"/>
        <v>0.72551630470045592</v>
      </c>
      <c r="X43">
        <f t="shared" si="21"/>
        <v>1.6448536269514715</v>
      </c>
      <c r="Y43">
        <f t="shared" si="22"/>
        <v>3.9448602835880657</v>
      </c>
      <c r="Z43" s="9">
        <f t="shared" ca="1" si="23"/>
        <v>4.8164875107629186</v>
      </c>
    </row>
    <row r="44" spans="1:26">
      <c r="A44" t="s">
        <v>64</v>
      </c>
      <c r="B44">
        <f>72</f>
        <v>72</v>
      </c>
      <c r="C44">
        <f xml:space="preserve"> COUNTIFS(RawData[part_id], A44, RawData[demand_quantity], "&gt;0")</f>
        <v>13</v>
      </c>
      <c r="D44">
        <f xml:space="preserve"> AVERAGEIFS(RawData[demand_quantity], RawData[part_id], A44, RawData[demand_quantity], "&gt;0")</f>
        <v>2.4615384615384617</v>
      </c>
      <c r="E44" cm="1">
        <f t="array" ref="E44" xml:space="preserve"> _xlfn.STDEV.S(IF((RawData[part_id]=A44)*(RawData[demand_quantity]&gt;0), RawData[demand_quantity]))</f>
        <v>1.713446070320696</v>
      </c>
      <c r="F44">
        <f>PartSummary[[#This Row],[TotalPeriods]]/PartSummary[[#This Row],[NonZeroPeriods]]</f>
        <v>5.5384615384615383</v>
      </c>
      <c r="G44">
        <f t="shared" si="12"/>
        <v>0.48453776041666657</v>
      </c>
      <c r="H44" t="str">
        <f t="shared" si="13"/>
        <v>Intermittent</v>
      </c>
      <c r="I44">
        <f>SUMIFS('RawData'!G:G,'RawData'!A:A,PartSummary[[#This Row],[part_id]])</f>
        <v>32</v>
      </c>
      <c r="J44">
        <f t="shared" si="14"/>
        <v>43</v>
      </c>
      <c r="K44">
        <f t="shared" si="15"/>
        <v>13971</v>
      </c>
      <c r="L44" s="4">
        <f t="shared" si="16"/>
        <v>0.97596926301082776</v>
      </c>
      <c r="M44" t="str">
        <f t="shared" si="17"/>
        <v>C</v>
      </c>
      <c r="N44">
        <f>PartSummary[[#This Row],[StdDevNonZeroDemand]]/PartSummary[[#This Row],[MeanNonZeroDemand]]</f>
        <v>0.69608746606778271</v>
      </c>
      <c r="O44" t="str">
        <f t="shared" si="18"/>
        <v>Y</v>
      </c>
      <c r="P44" t="str">
        <f t="shared" si="19"/>
        <v>CY</v>
      </c>
      <c r="Q44">
        <f>AVERAGEIFS('RawData'!M:M,'RawData'!A:A,PartSummary[[#This Row],[part_id]])</f>
        <v>38.541666666666664</v>
      </c>
      <c r="R44" cm="1">
        <f t="array" ref="R44">_xlfn.STDEV.S(IF('RawData'!A:A=PartSummary[[#This Row],[part_id]],'RawData'!M:M))</f>
        <v>15.277653292991207</v>
      </c>
      <c r="S44" s="1" cm="1">
        <f t="array" ref="S44" xml:space="preserve"> MAX(IF(RawData[part_id]=A44, RawData[period_start_date_FIXED]))</f>
        <v>45261</v>
      </c>
      <c r="T44" s="9">
        <f xml:space="preserve"> AVERAGEIFS(RawData[demand_quantity], RawData[part_id], A44, RawData[period_start_date_FIXED], "&gt;"&amp;EDATE(S44,-6))</f>
        <v>0.33333333333333331</v>
      </c>
      <c r="U44" cm="1">
        <f t="array" ref="U44">(LOOKUP(2,1/((RawData[part_id]=A44)*(RawData[demand_quantity]&lt;&gt;0)), RawData[demand_quantity])) / F44</f>
        <v>0.3611111111111111</v>
      </c>
      <c r="V44" cm="1">
        <f t="array" aca="1" ref="V44" ca="1" xml:space="preserve"> LOOKUP(2,1/(RawData[part_id]=A44), RawData[Croston_Recursive_Forecast])</f>
        <v>0.3488637839498086</v>
      </c>
      <c r="W44">
        <f t="shared" ca="1" si="20"/>
        <v>0.3488637839498086</v>
      </c>
      <c r="X44">
        <f t="shared" si="21"/>
        <v>1.6448536269514715</v>
      </c>
      <c r="Y44">
        <f t="shared" si="22"/>
        <v>3.8021398703217035</v>
      </c>
      <c r="Z44" s="9">
        <f t="shared" ca="1" si="23"/>
        <v>4.2503329260905547</v>
      </c>
    </row>
    <row r="45" spans="1:26">
      <c r="A45" t="s">
        <v>69</v>
      </c>
      <c r="B45">
        <f>72</f>
        <v>72</v>
      </c>
      <c r="C45">
        <f xml:space="preserve"> COUNTIFS(RawData[part_id], A45, RawData[demand_quantity], "&gt;0")</f>
        <v>18</v>
      </c>
      <c r="D45">
        <f xml:space="preserve"> AVERAGEIFS(RawData[demand_quantity], RawData[part_id], A45, RawData[demand_quantity], "&gt;0")</f>
        <v>1.7222222222222223</v>
      </c>
      <c r="E45" cm="1">
        <f t="array" ref="E45" xml:space="preserve"> _xlfn.STDEV.S(IF((RawData[part_id]=A45)*(RawData[demand_quantity]&gt;0), RawData[demand_quantity]))</f>
        <v>0.95828004966960023</v>
      </c>
      <c r="F45">
        <f>PartSummary[[#This Row],[TotalPeriods]]/PartSummary[[#This Row],[NonZeroPeriods]]</f>
        <v>4</v>
      </c>
      <c r="G45">
        <f t="shared" si="12"/>
        <v>0.30960396645650984</v>
      </c>
      <c r="H45" t="str">
        <f t="shared" si="13"/>
        <v>Intermittent</v>
      </c>
      <c r="I45">
        <f>SUMIFS('RawData'!G:G,'RawData'!A:A,PartSummary[[#This Row],[part_id]])</f>
        <v>31</v>
      </c>
      <c r="J45">
        <f t="shared" si="14"/>
        <v>44</v>
      </c>
      <c r="K45">
        <f t="shared" si="15"/>
        <v>14033</v>
      </c>
      <c r="L45" s="4">
        <f t="shared" si="16"/>
        <v>0.98030038421236465</v>
      </c>
      <c r="M45" t="str">
        <f t="shared" si="17"/>
        <v>C</v>
      </c>
      <c r="N45">
        <f>PartSummary[[#This Row],[StdDevNonZeroDemand]]/PartSummary[[#This Row],[MeanNonZeroDemand]]</f>
        <v>0.55642067400170336</v>
      </c>
      <c r="O45" t="str">
        <f t="shared" si="18"/>
        <v>Y</v>
      </c>
      <c r="P45" t="str">
        <f t="shared" si="19"/>
        <v>CY</v>
      </c>
      <c r="Q45">
        <f>AVERAGEIFS('RawData'!M:M,'RawData'!A:A,PartSummary[[#This Row],[part_id]])</f>
        <v>34.166666666666664</v>
      </c>
      <c r="R45" cm="1">
        <f t="array" ref="R45">_xlfn.STDEV.S(IF('RawData'!A:A=PartSummary[[#This Row],[part_id]],'RawData'!M:M))</f>
        <v>16.741615517650771</v>
      </c>
      <c r="S45" s="1" cm="1">
        <f t="array" ref="S45" xml:space="preserve"> MAX(IF(RawData[part_id]=A45, RawData[period_start_date_FIXED]))</f>
        <v>45261</v>
      </c>
      <c r="T45" s="9">
        <f xml:space="preserve"> AVERAGEIFS(RawData[demand_quantity], RawData[part_id], A45, RawData[period_start_date_FIXED], "&gt;"&amp;EDATE(S45,-6))</f>
        <v>1</v>
      </c>
      <c r="U45" cm="1">
        <f t="array" ref="U45">(LOOKUP(2,1/((RawData[part_id]=A45)*(RawData[demand_quantity]&lt;&gt;0)), RawData[demand_quantity])) / F45</f>
        <v>0.5</v>
      </c>
      <c r="V45" cm="1">
        <f t="array" aca="1" ref="V45" ca="1" xml:space="preserve"> LOOKUP(2,1/(RawData[part_id]=A45), RawData[Croston_Recursive_Forecast])</f>
        <v>0.53822687810791692</v>
      </c>
      <c r="W45">
        <f t="shared" ca="1" si="20"/>
        <v>0.53822687810791692</v>
      </c>
      <c r="X45">
        <f t="shared" si="21"/>
        <v>1.6448536269514715</v>
      </c>
      <c r="Y45">
        <f t="shared" si="22"/>
        <v>2.3083935053913787</v>
      </c>
      <c r="Z45" s="9">
        <f t="shared" ca="1" si="23"/>
        <v>2.9213741165698397</v>
      </c>
    </row>
    <row r="46" spans="1:26">
      <c r="A46" t="s">
        <v>78</v>
      </c>
      <c r="B46">
        <f>72</f>
        <v>72</v>
      </c>
      <c r="C46">
        <f xml:space="preserve"> COUNTIFS(RawData[part_id], A46, RawData[demand_quantity], "&gt;0")</f>
        <v>14</v>
      </c>
      <c r="D46">
        <f xml:space="preserve"> AVERAGEIFS(RawData[demand_quantity], RawData[part_id], A46, RawData[demand_quantity], "&gt;0")</f>
        <v>2.2142857142857144</v>
      </c>
      <c r="E46" cm="1">
        <f t="array" ref="E46" xml:space="preserve"> _xlfn.STDEV.S(IF((RawData[part_id]=A46)*(RawData[demand_quantity]&gt;0), RawData[demand_quantity]))</f>
        <v>1.3688047244316386</v>
      </c>
      <c r="F46">
        <f>PartSummary[[#This Row],[TotalPeriods]]/PartSummary[[#This Row],[NonZeroPeriods]]</f>
        <v>5.1428571428571432</v>
      </c>
      <c r="G46">
        <f t="shared" si="12"/>
        <v>0.38213399503722084</v>
      </c>
      <c r="H46" t="str">
        <f t="shared" si="13"/>
        <v>Intermittent</v>
      </c>
      <c r="I46">
        <f>SUMIFS('RawData'!G:G,'RawData'!A:A,PartSummary[[#This Row],[part_id]])</f>
        <v>31</v>
      </c>
      <c r="J46">
        <f t="shared" si="14"/>
        <v>44</v>
      </c>
      <c r="K46">
        <f t="shared" si="15"/>
        <v>14033</v>
      </c>
      <c r="L46" s="4">
        <f t="shared" si="16"/>
        <v>0.98030038421236465</v>
      </c>
      <c r="M46" t="str">
        <f t="shared" si="17"/>
        <v>C</v>
      </c>
      <c r="N46">
        <f>PartSummary[[#This Row],[StdDevNonZeroDemand]]/PartSummary[[#This Row],[MeanNonZeroDemand]]</f>
        <v>0.61816987554977221</v>
      </c>
      <c r="O46" t="str">
        <f t="shared" si="18"/>
        <v>Y</v>
      </c>
      <c r="P46" t="str">
        <f t="shared" si="19"/>
        <v>CY</v>
      </c>
      <c r="Q46">
        <f>AVERAGEIFS('RawData'!M:M,'RawData'!A:A,PartSummary[[#This Row],[part_id]])</f>
        <v>35</v>
      </c>
      <c r="R46" cm="1">
        <f t="array" ref="R46">_xlfn.STDEV.S(IF('RawData'!A:A=PartSummary[[#This Row],[part_id]],'RawData'!M:M))</f>
        <v>17.801724872907801</v>
      </c>
      <c r="S46" s="1" cm="1">
        <f t="array" ref="S46" xml:space="preserve"> MAX(IF(RawData[part_id]=A46, RawData[period_start_date_FIXED]))</f>
        <v>45261</v>
      </c>
      <c r="T46" s="9">
        <f xml:space="preserve"> AVERAGEIFS(RawData[demand_quantity], RawData[part_id], A46, RawData[period_start_date_FIXED], "&gt;"&amp;EDATE(S46,-6))</f>
        <v>0.83333333333333337</v>
      </c>
      <c r="U46" cm="1">
        <f t="array" ref="U46">(LOOKUP(2,1/((RawData[part_id]=A46)*(RawData[demand_quantity]&lt;&gt;0)), RawData[demand_quantity])) / F46</f>
        <v>0.58333333333333326</v>
      </c>
      <c r="V46" cm="1">
        <f t="array" aca="1" ref="V46" ca="1" xml:space="preserve"> LOOKUP(2,1/(RawData[part_id]=A46), RawData[Croston_Recursive_Forecast])</f>
        <v>0.47990731004393883</v>
      </c>
      <c r="W46">
        <f t="shared" ca="1" si="20"/>
        <v>0.47990731004393883</v>
      </c>
      <c r="X46">
        <f t="shared" si="21"/>
        <v>1.6448536269514715</v>
      </c>
      <c r="Y46">
        <f t="shared" si="22"/>
        <v>3.2534553797156258</v>
      </c>
      <c r="Z46" s="9">
        <f t="shared" ca="1" si="23"/>
        <v>3.8133472414335543</v>
      </c>
    </row>
    <row r="47" spans="1:26">
      <c r="A47" t="s">
        <v>76</v>
      </c>
      <c r="B47">
        <f>72</f>
        <v>72</v>
      </c>
      <c r="C47">
        <f xml:space="preserve"> COUNTIFS(RawData[part_id], A47, RawData[demand_quantity], "&gt;0")</f>
        <v>14</v>
      </c>
      <c r="D47">
        <f xml:space="preserve"> AVERAGEIFS(RawData[demand_quantity], RawData[part_id], A47, RawData[demand_quantity], "&gt;0")</f>
        <v>2.1428571428571428</v>
      </c>
      <c r="E47" cm="1">
        <f t="array" ref="E47" xml:space="preserve"> _xlfn.STDEV.S(IF((RawData[part_id]=A47)*(RawData[demand_quantity]&gt;0), RawData[demand_quantity]))</f>
        <v>1.0994504121565503</v>
      </c>
      <c r="F47">
        <f>PartSummary[[#This Row],[TotalPeriods]]/PartSummary[[#This Row],[NonZeroPeriods]]</f>
        <v>5.1428571428571432</v>
      </c>
      <c r="G47">
        <f t="shared" si="12"/>
        <v>0.26324786324786309</v>
      </c>
      <c r="H47" t="str">
        <f t="shared" si="13"/>
        <v>Intermittent</v>
      </c>
      <c r="I47">
        <f>SUMIFS('RawData'!G:G,'RawData'!A:A,PartSummary[[#This Row],[part_id]])</f>
        <v>30</v>
      </c>
      <c r="J47">
        <f t="shared" si="14"/>
        <v>46</v>
      </c>
      <c r="K47">
        <f t="shared" si="15"/>
        <v>14063</v>
      </c>
      <c r="L47" s="4">
        <f t="shared" si="16"/>
        <v>0.98239608801955991</v>
      </c>
      <c r="M47" t="str">
        <f t="shared" si="17"/>
        <v>C</v>
      </c>
      <c r="N47">
        <f>PartSummary[[#This Row],[StdDevNonZeroDemand]]/PartSummary[[#This Row],[MeanNonZeroDemand]]</f>
        <v>0.51307685900639011</v>
      </c>
      <c r="O47" t="str">
        <f t="shared" si="18"/>
        <v>Y</v>
      </c>
      <c r="P47" t="str">
        <f t="shared" si="19"/>
        <v>CY</v>
      </c>
      <c r="Q47">
        <f>AVERAGEIFS('RawData'!M:M,'RawData'!A:A,PartSummary[[#This Row],[part_id]])</f>
        <v>36.875</v>
      </c>
      <c r="R47" cm="1">
        <f t="array" ref="R47">_xlfn.STDEV.S(IF('RawData'!A:A=PartSummary[[#This Row],[part_id]],'RawData'!M:M))</f>
        <v>15.506416209491213</v>
      </c>
      <c r="S47" s="1" cm="1">
        <f t="array" ref="S47" xml:space="preserve"> MAX(IF(RawData[part_id]=A47, RawData[period_start_date_FIXED]))</f>
        <v>45261</v>
      </c>
      <c r="T47" s="9">
        <f xml:space="preserve"> AVERAGEIFS(RawData[demand_quantity], RawData[part_id], A47, RawData[period_start_date_FIXED], "&gt;"&amp;EDATE(S47,-6))</f>
        <v>0</v>
      </c>
      <c r="U47" cm="1">
        <f t="array" ref="U47">(LOOKUP(2,1/((RawData[part_id]=A47)*(RawData[demand_quantity]&lt;&gt;0)), RawData[demand_quantity])) / F47</f>
        <v>0.58333333333333326</v>
      </c>
      <c r="V47" cm="1">
        <f t="array" aca="1" ref="V47" ca="1" xml:space="preserve"> LOOKUP(2,1/(RawData[part_id]=A47), RawData[Croston_Recursive_Forecast])</f>
        <v>0.55424811861020928</v>
      </c>
      <c r="W47">
        <f t="shared" ca="1" si="20"/>
        <v>0.55424811861020928</v>
      </c>
      <c r="X47">
        <f t="shared" si="21"/>
        <v>1.6448536269514715</v>
      </c>
      <c r="Y47">
        <f t="shared" si="22"/>
        <v>2.7090625312369125</v>
      </c>
      <c r="Z47" s="9">
        <f t="shared" ca="1" si="23"/>
        <v>3.3903258436952948</v>
      </c>
    </row>
    <row r="48" spans="1:26">
      <c r="A48" t="s">
        <v>66</v>
      </c>
      <c r="B48">
        <f>72</f>
        <v>72</v>
      </c>
      <c r="C48">
        <f xml:space="preserve"> COUNTIFS(RawData[part_id], A48, RawData[demand_quantity], "&gt;0")</f>
        <v>12</v>
      </c>
      <c r="D48">
        <f xml:space="preserve"> AVERAGEIFS(RawData[demand_quantity], RawData[part_id], A48, RawData[demand_quantity], "&gt;0")</f>
        <v>2.25</v>
      </c>
      <c r="E48" cm="1">
        <f t="array" ref="E48" xml:space="preserve"> _xlfn.STDEV.S(IF((RawData[part_id]=A48)*(RawData[demand_quantity]&gt;0), RawData[demand_quantity]))</f>
        <v>0.62158156050806102</v>
      </c>
      <c r="F48">
        <f>PartSummary[[#This Row],[TotalPeriods]]/PartSummary[[#This Row],[NonZeroPeriods]]</f>
        <v>6</v>
      </c>
      <c r="G48">
        <f t="shared" si="12"/>
        <v>7.6318742985409638E-2</v>
      </c>
      <c r="H48" t="str">
        <f t="shared" si="13"/>
        <v>Intermittent</v>
      </c>
      <c r="I48">
        <f>SUMIFS('RawData'!G:G,'RawData'!A:A,PartSummary[[#This Row],[part_id]])</f>
        <v>27</v>
      </c>
      <c r="J48">
        <f t="shared" si="14"/>
        <v>47</v>
      </c>
      <c r="K48">
        <f t="shared" si="15"/>
        <v>14117</v>
      </c>
      <c r="L48" s="4">
        <f t="shared" si="16"/>
        <v>0.98616835487251131</v>
      </c>
      <c r="M48" t="str">
        <f t="shared" si="17"/>
        <v>C</v>
      </c>
      <c r="N48">
        <f>PartSummary[[#This Row],[StdDevNonZeroDemand]]/PartSummary[[#This Row],[MeanNonZeroDemand]]</f>
        <v>0.276258471336916</v>
      </c>
      <c r="O48" t="str">
        <f t="shared" si="18"/>
        <v>X</v>
      </c>
      <c r="P48" t="str">
        <f t="shared" si="19"/>
        <v>CX</v>
      </c>
      <c r="Q48">
        <f>AVERAGEIFS('RawData'!M:M,'RawData'!A:A,PartSummary[[#This Row],[part_id]])</f>
        <v>36.25</v>
      </c>
      <c r="R48" cm="1">
        <f t="array" ref="R48">_xlfn.STDEV.S(IF('RawData'!A:A=PartSummary[[#This Row],[part_id]],'RawData'!M:M))</f>
        <v>16.070925545447714</v>
      </c>
      <c r="S48" s="1" cm="1">
        <f t="array" ref="S48" xml:space="preserve"> MAX(IF(RawData[part_id]=A48, RawData[period_start_date_FIXED]))</f>
        <v>45261</v>
      </c>
      <c r="T48" s="9">
        <f xml:space="preserve"> AVERAGEIFS(RawData[demand_quantity], RawData[part_id], A48, RawData[period_start_date_FIXED], "&gt;"&amp;EDATE(S48,-6))</f>
        <v>0.33333333333333331</v>
      </c>
      <c r="U48" cm="1">
        <f t="array" ref="U48">(LOOKUP(2,1/((RawData[part_id]=A48)*(RawData[demand_quantity]&lt;&gt;0)), RawData[demand_quantity])) / F48</f>
        <v>0.33333333333333331</v>
      </c>
      <c r="V48" cm="1">
        <f t="array" aca="1" ref="V48" ca="1" xml:space="preserve"> LOOKUP(2,1/(RawData[part_id]=A48), RawData[Croston_Recursive_Forecast])</f>
        <v>0.47507532171308375</v>
      </c>
      <c r="W48">
        <f t="shared" ca="1" si="20"/>
        <v>0.47507532171308375</v>
      </c>
      <c r="X48">
        <f t="shared" si="21"/>
        <v>1.6448536269514715</v>
      </c>
      <c r="Y48">
        <f t="shared" si="22"/>
        <v>2.2789688623088282</v>
      </c>
      <c r="Z48" s="9">
        <f t="shared" ca="1" si="23"/>
        <v>2.8530182093788046</v>
      </c>
    </row>
    <row r="49" spans="1:26">
      <c r="A49" t="s">
        <v>74</v>
      </c>
      <c r="B49">
        <f>72</f>
        <v>72</v>
      </c>
      <c r="C49">
        <f xml:space="preserve"> COUNTIFS(RawData[part_id], A49, RawData[demand_quantity], "&gt;0")</f>
        <v>13</v>
      </c>
      <c r="D49">
        <f xml:space="preserve"> AVERAGEIFS(RawData[demand_quantity], RawData[part_id], A49, RawData[demand_quantity], "&gt;0")</f>
        <v>2.0769230769230771</v>
      </c>
      <c r="E49" cm="1">
        <f t="array" ref="E49" xml:space="preserve"> _xlfn.STDEV.S(IF((RawData[part_id]=A49)*(RawData[demand_quantity]&gt;0), RawData[demand_quantity]))</f>
        <v>1.1875421719907087</v>
      </c>
      <c r="F49">
        <f>PartSummary[[#This Row],[TotalPeriods]]/PartSummary[[#This Row],[NonZeroPeriods]]</f>
        <v>5.5384615384615383</v>
      </c>
      <c r="G49">
        <f t="shared" si="12"/>
        <v>0.32693187014174652</v>
      </c>
      <c r="H49" t="str">
        <f t="shared" si="13"/>
        <v>Intermittent</v>
      </c>
      <c r="I49">
        <f>SUMIFS('RawData'!G:G,'RawData'!A:A,PartSummary[[#This Row],[part_id]])</f>
        <v>27</v>
      </c>
      <c r="J49">
        <f t="shared" si="14"/>
        <v>47</v>
      </c>
      <c r="K49">
        <f t="shared" si="15"/>
        <v>14117</v>
      </c>
      <c r="L49" s="4">
        <f t="shared" si="16"/>
        <v>0.98616835487251131</v>
      </c>
      <c r="M49" t="str">
        <f t="shared" si="17"/>
        <v>C</v>
      </c>
      <c r="N49">
        <f>PartSummary[[#This Row],[StdDevNonZeroDemand]]/PartSummary[[#This Row],[MeanNonZeroDemand]]</f>
        <v>0.57177956429182264</v>
      </c>
      <c r="O49" t="str">
        <f t="shared" si="18"/>
        <v>Y</v>
      </c>
      <c r="P49" t="str">
        <f t="shared" si="19"/>
        <v>CY</v>
      </c>
      <c r="Q49">
        <f>AVERAGEIFS('RawData'!M:M,'RawData'!A:A,PartSummary[[#This Row],[part_id]])</f>
        <v>38.125</v>
      </c>
      <c r="R49" cm="1">
        <f t="array" ref="R49">_xlfn.STDEV.S(IF('RawData'!A:A=PartSummary[[#This Row],[part_id]],'RawData'!M:M))</f>
        <v>17.063210981936678</v>
      </c>
      <c r="S49" s="1" cm="1">
        <f t="array" ref="S49" xml:space="preserve"> MAX(IF(RawData[part_id]=A49, RawData[period_start_date_FIXED]))</f>
        <v>45261</v>
      </c>
      <c r="T49" s="9">
        <f xml:space="preserve"> AVERAGEIFS(RawData[demand_quantity], RawData[part_id], A49, RawData[period_start_date_FIXED], "&gt;"&amp;EDATE(S49,-6))</f>
        <v>0.16666666666666666</v>
      </c>
      <c r="U49" cm="1">
        <f t="array" ref="U49">(LOOKUP(2,1/((RawData[part_id]=A49)*(RawData[demand_quantity]&lt;&gt;0)), RawData[demand_quantity])) / F49</f>
        <v>0.18055555555555555</v>
      </c>
      <c r="V49" cm="1">
        <f t="array" aca="1" ref="V49" ca="1" xml:space="preserve"> LOOKUP(2,1/(RawData[part_id]=A49), RawData[Croston_Recursive_Forecast])</f>
        <v>0.28156506539138199</v>
      </c>
      <c r="W49">
        <f t="shared" ca="1" si="20"/>
        <v>0.28156506539138199</v>
      </c>
      <c r="X49">
        <f t="shared" si="21"/>
        <v>1.6448536269514715</v>
      </c>
      <c r="Y49">
        <f t="shared" si="22"/>
        <v>2.9367288267480576</v>
      </c>
      <c r="Z49" s="9">
        <f t="shared" ca="1" si="23"/>
        <v>3.2945510973496055</v>
      </c>
    </row>
    <row r="50" spans="1:26">
      <c r="A50" t="s">
        <v>71</v>
      </c>
      <c r="B50">
        <f>72</f>
        <v>72</v>
      </c>
      <c r="C50">
        <f xml:space="preserve"> COUNTIFS(RawData[part_id], A50, RawData[demand_quantity], "&gt;0")</f>
        <v>11</v>
      </c>
      <c r="D50">
        <f xml:space="preserve"> AVERAGEIFS(RawData[demand_quantity], RawData[part_id], A50, RawData[demand_quantity], "&gt;0")</f>
        <v>2</v>
      </c>
      <c r="E50" cm="1">
        <f t="array" ref="E50" xml:space="preserve"> _xlfn.STDEV.S(IF((RawData[part_id]=A50)*(RawData[demand_quantity]&gt;0), RawData[demand_quantity]))</f>
        <v>1.3416407864998738</v>
      </c>
      <c r="F50">
        <f>PartSummary[[#This Row],[TotalPeriods]]/PartSummary[[#This Row],[NonZeroPeriods]]</f>
        <v>6.5454545454545459</v>
      </c>
      <c r="G50">
        <f t="shared" si="12"/>
        <v>0.45</v>
      </c>
      <c r="H50" t="str">
        <f t="shared" si="13"/>
        <v>Intermittent</v>
      </c>
      <c r="I50">
        <f>SUMIFS('RawData'!G:G,'RawData'!A:A,PartSummary[[#This Row],[part_id]])</f>
        <v>22</v>
      </c>
      <c r="J50">
        <f t="shared" si="14"/>
        <v>49</v>
      </c>
      <c r="K50">
        <f t="shared" si="15"/>
        <v>14139</v>
      </c>
      <c r="L50" s="4">
        <f t="shared" si="16"/>
        <v>0.98770520433112119</v>
      </c>
      <c r="M50" t="str">
        <f t="shared" si="17"/>
        <v>C</v>
      </c>
      <c r="N50">
        <f>PartSummary[[#This Row],[StdDevNonZeroDemand]]/PartSummary[[#This Row],[MeanNonZeroDemand]]</f>
        <v>0.67082039324993692</v>
      </c>
      <c r="O50" t="str">
        <f t="shared" si="18"/>
        <v>Y</v>
      </c>
      <c r="P50" t="str">
        <f t="shared" si="19"/>
        <v>CY</v>
      </c>
      <c r="Q50">
        <f>AVERAGEIFS('RawData'!M:M,'RawData'!A:A,PartSummary[[#This Row],[part_id]])</f>
        <v>40.416666666666664</v>
      </c>
      <c r="R50" cm="1">
        <f t="array" ref="R50">_xlfn.STDEV.S(IF('RawData'!A:A=PartSummary[[#This Row],[part_id]],'RawData'!M:M))</f>
        <v>16.439175127519004</v>
      </c>
      <c r="S50" s="1" cm="1">
        <f t="array" ref="S50" xml:space="preserve"> MAX(IF(RawData[part_id]=A50, RawData[period_start_date_FIXED]))</f>
        <v>45261</v>
      </c>
      <c r="T50" s="9">
        <f xml:space="preserve"> AVERAGEIFS(RawData[demand_quantity], RawData[part_id], A50, RawData[period_start_date_FIXED], "&gt;"&amp;EDATE(S50,-6))</f>
        <v>0</v>
      </c>
      <c r="U50" cm="1">
        <f t="array" ref="U50">(LOOKUP(2,1/((RawData[part_id]=A50)*(RawData[demand_quantity]&lt;&gt;0)), RawData[demand_quantity])) / F50</f>
        <v>0.76388888888888884</v>
      </c>
      <c r="V50" cm="1">
        <f t="array" aca="1" ref="V50" ca="1" xml:space="preserve"> LOOKUP(2,1/(RawData[part_id]=A50), RawData[Croston_Recursive_Forecast])</f>
        <v>0.43507376095162109</v>
      </c>
      <c r="W50">
        <f t="shared" ca="1" si="20"/>
        <v>0.43507376095162109</v>
      </c>
      <c r="X50">
        <f t="shared" si="21"/>
        <v>1.6448536269514715</v>
      </c>
      <c r="Y50">
        <f t="shared" si="22"/>
        <v>3.1321811633773926</v>
      </c>
      <c r="Z50" s="9">
        <f t="shared" ca="1" si="23"/>
        <v>3.7183222024372156</v>
      </c>
    </row>
    <row r="51" spans="1:26">
      <c r="A51" t="s">
        <v>59</v>
      </c>
      <c r="B51">
        <f>72</f>
        <v>72</v>
      </c>
      <c r="C51">
        <f xml:space="preserve"> COUNTIFS(RawData[part_id], A51, RawData[demand_quantity], "&gt;0")</f>
        <v>13</v>
      </c>
      <c r="D51">
        <f xml:space="preserve"> AVERAGEIFS(RawData[demand_quantity], RawData[part_id], A51, RawData[demand_quantity], "&gt;0")</f>
        <v>1.6153846153846154</v>
      </c>
      <c r="E51" cm="1">
        <f t="array" ref="E51" xml:space="preserve"> _xlfn.STDEV.S(IF((RawData[part_id]=A51)*(RawData[demand_quantity]&gt;0), RawData[demand_quantity]))</f>
        <v>0.65044363558799112</v>
      </c>
      <c r="F51">
        <f>PartSummary[[#This Row],[TotalPeriods]]/PartSummary[[#This Row],[NonZeroPeriods]]</f>
        <v>5.5384615384615383</v>
      </c>
      <c r="G51">
        <f t="shared" si="12"/>
        <v>0.16213151927437652</v>
      </c>
      <c r="H51" t="str">
        <f t="shared" si="13"/>
        <v>Intermittent</v>
      </c>
      <c r="I51">
        <f>SUMIFS('RawData'!G:G,'RawData'!A:A,PartSummary[[#This Row],[part_id]])</f>
        <v>21</v>
      </c>
      <c r="J51">
        <f t="shared" si="14"/>
        <v>50</v>
      </c>
      <c r="K51">
        <f t="shared" si="15"/>
        <v>14160</v>
      </c>
      <c r="L51" s="4">
        <f t="shared" si="16"/>
        <v>0.98917219699615788</v>
      </c>
      <c r="M51" t="str">
        <f t="shared" si="17"/>
        <v>C</v>
      </c>
      <c r="N51">
        <f>PartSummary[[#This Row],[StdDevNonZeroDemand]]/PartSummary[[#This Row],[MeanNonZeroDemand]]</f>
        <v>0.40265558393542306</v>
      </c>
      <c r="O51" t="str">
        <f t="shared" si="18"/>
        <v>X</v>
      </c>
      <c r="P51" t="str">
        <f t="shared" si="19"/>
        <v>CX</v>
      </c>
      <c r="Q51">
        <f>AVERAGEIFS('RawData'!M:M,'RawData'!A:A,PartSummary[[#This Row],[part_id]])</f>
        <v>38.75</v>
      </c>
      <c r="R51" cm="1">
        <f t="array" ref="R51">_xlfn.STDEV.S(IF('RawData'!A:A=PartSummary[[#This Row],[part_id]],'RawData'!M:M))</f>
        <v>16.651988842008219</v>
      </c>
      <c r="S51" s="1" cm="1">
        <f t="array" ref="S51" xml:space="preserve"> MAX(IF(RawData[part_id]=A51, RawData[period_start_date_FIXED]))</f>
        <v>45261</v>
      </c>
      <c r="T51" s="9">
        <f xml:space="preserve"> AVERAGEIFS(RawData[demand_quantity], RawData[part_id], A51, RawData[period_start_date_FIXED], "&gt;"&amp;EDATE(S51,-6))</f>
        <v>0.66666666666666663</v>
      </c>
      <c r="U51" cm="1">
        <f t="array" ref="U51">(LOOKUP(2,1/((RawData[part_id]=A51)*(RawData[demand_quantity]&lt;&gt;0)), RawData[demand_quantity])) / F51</f>
        <v>0.3611111111111111</v>
      </c>
      <c r="V51" cm="1">
        <f t="array" aca="1" ref="V51" ca="1" xml:space="preserve"> LOOKUP(2,1/(RawData[part_id]=A51), RawData[Croston_Recursive_Forecast])</f>
        <v>0.50367927201409624</v>
      </c>
      <c r="W51">
        <f t="shared" ca="1" si="20"/>
        <v>0.50367927201409624</v>
      </c>
      <c r="X51">
        <f t="shared" si="21"/>
        <v>1.6448536269514715</v>
      </c>
      <c r="Y51">
        <f t="shared" si="22"/>
        <v>1.9114640154938225</v>
      </c>
      <c r="Z51" s="9">
        <f t="shared" ca="1" si="23"/>
        <v>2.5620497418453634</v>
      </c>
    </row>
    <row r="52" spans="1:26">
      <c r="A52" t="s">
        <v>75</v>
      </c>
      <c r="B52">
        <f>72</f>
        <v>72</v>
      </c>
      <c r="C52">
        <f xml:space="preserve"> COUNTIFS(RawData[part_id], A52, RawData[demand_quantity], "&gt;0")</f>
        <v>9</v>
      </c>
      <c r="D52">
        <f xml:space="preserve"> AVERAGEIFS(RawData[demand_quantity], RawData[part_id], A52, RawData[demand_quantity], "&gt;0")</f>
        <v>2.1111111111111112</v>
      </c>
      <c r="E52" cm="1">
        <f t="array" ref="E52" xml:space="preserve"> _xlfn.STDEV.S(IF((RawData[part_id]=A52)*(RawData[demand_quantity]&gt;0), RawData[demand_quantity]))</f>
        <v>0.78173595997057133</v>
      </c>
      <c r="F52">
        <f>PartSummary[[#This Row],[TotalPeriods]]/PartSummary[[#This Row],[NonZeroPeriods]]</f>
        <v>8</v>
      </c>
      <c r="G52">
        <f t="shared" si="12"/>
        <v>0.13711911357340709</v>
      </c>
      <c r="H52" t="str">
        <f t="shared" si="13"/>
        <v>Intermittent</v>
      </c>
      <c r="I52">
        <f>SUMIFS('RawData'!G:G,'RawData'!A:A,PartSummary[[#This Row],[part_id]])</f>
        <v>19</v>
      </c>
      <c r="J52">
        <f t="shared" si="14"/>
        <v>51</v>
      </c>
      <c r="K52">
        <f t="shared" si="15"/>
        <v>14179</v>
      </c>
      <c r="L52" s="4">
        <f t="shared" si="16"/>
        <v>0.9904994760740482</v>
      </c>
      <c r="M52" t="str">
        <f t="shared" si="17"/>
        <v>C</v>
      </c>
      <c r="N52">
        <f>PartSummary[[#This Row],[StdDevNonZeroDemand]]/PartSummary[[#This Row],[MeanNonZeroDemand]]</f>
        <v>0.37029598103869166</v>
      </c>
      <c r="O52" t="str">
        <f t="shared" si="18"/>
        <v>X</v>
      </c>
      <c r="P52" t="str">
        <f t="shared" si="19"/>
        <v>CX</v>
      </c>
      <c r="Q52">
        <f>AVERAGEIFS('RawData'!M:M,'RawData'!A:A,PartSummary[[#This Row],[part_id]])</f>
        <v>35.208333333333336</v>
      </c>
      <c r="R52" cm="1">
        <f t="array" ref="R52">_xlfn.STDEV.S(IF('RawData'!A:A=PartSummary[[#This Row],[part_id]],'RawData'!M:M))</f>
        <v>15.954104509630911</v>
      </c>
      <c r="S52" s="1" cm="1">
        <f t="array" ref="S52" xml:space="preserve"> MAX(IF(RawData[part_id]=A52, RawData[period_start_date_FIXED]))</f>
        <v>45261</v>
      </c>
      <c r="T52" s="9">
        <f xml:space="preserve"> AVERAGEIFS(RawData[demand_quantity], RawData[part_id], A52, RawData[period_start_date_FIXED], "&gt;"&amp;EDATE(S52,-6))</f>
        <v>0.83333333333333337</v>
      </c>
      <c r="U52" cm="1">
        <f t="array" ref="U52">(LOOKUP(2,1/((RawData[part_id]=A52)*(RawData[demand_quantity]&lt;&gt;0)), RawData[demand_quantity])) / F52</f>
        <v>0.125</v>
      </c>
      <c r="V52" cm="1">
        <f t="array" aca="1" ref="V52" ca="1" xml:space="preserve"> LOOKUP(2,1/(RawData[part_id]=A52), RawData[Croston_Recursive_Forecast])</f>
        <v>0.33941137443674935</v>
      </c>
      <c r="W52">
        <f t="shared" ca="1" si="20"/>
        <v>0.33941137443674935</v>
      </c>
      <c r="X52">
        <f t="shared" si="21"/>
        <v>1.6448536269514715</v>
      </c>
      <c r="Y52">
        <f t="shared" si="22"/>
        <v>2.3131424238670815</v>
      </c>
      <c r="Z52" s="9">
        <f t="shared" ca="1" si="23"/>
        <v>2.7114793841435443</v>
      </c>
    </row>
    <row r="53" spans="1:26">
      <c r="A53" t="s">
        <v>63</v>
      </c>
      <c r="B53">
        <f>72</f>
        <v>72</v>
      </c>
      <c r="C53">
        <f xml:space="preserve"> COUNTIFS(RawData[part_id], A53, RawData[demand_quantity], "&gt;0")</f>
        <v>12</v>
      </c>
      <c r="D53">
        <f xml:space="preserve"> AVERAGEIFS(RawData[demand_quantity], RawData[part_id], A53, RawData[demand_quantity], "&gt;0")</f>
        <v>1.5</v>
      </c>
      <c r="E53" cm="1">
        <f t="array" ref="E53" xml:space="preserve"> _xlfn.STDEV.S(IF((RawData[part_id]=A53)*(RawData[demand_quantity]&gt;0), RawData[demand_quantity]))</f>
        <v>0.5222329678670935</v>
      </c>
      <c r="F53">
        <f>PartSummary[[#This Row],[TotalPeriods]]/PartSummary[[#This Row],[NonZeroPeriods]]</f>
        <v>6</v>
      </c>
      <c r="G53">
        <f t="shared" si="12"/>
        <v>0.12121212121212119</v>
      </c>
      <c r="H53" t="str">
        <f t="shared" si="13"/>
        <v>Intermittent</v>
      </c>
      <c r="I53">
        <f>SUMIFS('RawData'!G:G,'RawData'!A:A,PartSummary[[#This Row],[part_id]])</f>
        <v>18</v>
      </c>
      <c r="J53">
        <f t="shared" si="14"/>
        <v>52</v>
      </c>
      <c r="K53">
        <f t="shared" si="15"/>
        <v>14215</v>
      </c>
      <c r="L53" s="4">
        <f t="shared" si="16"/>
        <v>0.99301432064268247</v>
      </c>
      <c r="M53" t="str">
        <f t="shared" si="17"/>
        <v>C</v>
      </c>
      <c r="N53">
        <f>PartSummary[[#This Row],[StdDevNonZeroDemand]]/PartSummary[[#This Row],[MeanNonZeroDemand]]</f>
        <v>0.34815531191139565</v>
      </c>
      <c r="O53" t="str">
        <f t="shared" si="18"/>
        <v>X</v>
      </c>
      <c r="P53" t="str">
        <f t="shared" si="19"/>
        <v>CX</v>
      </c>
      <c r="Q53">
        <f>AVERAGEIFS('RawData'!M:M,'RawData'!A:A,PartSummary[[#This Row],[part_id]])</f>
        <v>32.083333333333336</v>
      </c>
      <c r="R53" cm="1">
        <f t="array" ref="R53">_xlfn.STDEV.S(IF('RawData'!A:A=PartSummary[[#This Row],[part_id]],'RawData'!M:M))</f>
        <v>16.945438540325348</v>
      </c>
      <c r="S53" s="1" cm="1">
        <f t="array" ref="S53" xml:space="preserve"> MAX(IF(RawData[part_id]=A53, RawData[period_start_date_FIXED]))</f>
        <v>45261</v>
      </c>
      <c r="T53" s="9">
        <f xml:space="preserve"> AVERAGEIFS(RawData[demand_quantity], RawData[part_id], A53, RawData[period_start_date_FIXED], "&gt;"&amp;EDATE(S53,-6))</f>
        <v>0</v>
      </c>
      <c r="U53" cm="1">
        <f t="array" ref="U53">(LOOKUP(2,1/((RawData[part_id]=A53)*(RawData[demand_quantity]&lt;&gt;0)), RawData[demand_quantity])) / F53</f>
        <v>0.16666666666666666</v>
      </c>
      <c r="V53" cm="1">
        <f t="array" aca="1" ref="V53" ca="1" xml:space="preserve"> LOOKUP(2,1/(RawData[part_id]=A53), RawData[Croston_Recursive_Forecast])</f>
        <v>0.27583259026529922</v>
      </c>
      <c r="W53">
        <f t="shared" ca="1" si="20"/>
        <v>0.27583259026529922</v>
      </c>
      <c r="X53">
        <f t="shared" si="21"/>
        <v>1.6448536269514715</v>
      </c>
      <c r="Y53">
        <f t="shared" si="22"/>
        <v>1.6526779958734805</v>
      </c>
      <c r="Z53" s="9">
        <f t="shared" ca="1" si="23"/>
        <v>1.9476656271294255</v>
      </c>
    </row>
    <row r="54" spans="1:26">
      <c r="A54" t="s">
        <v>70</v>
      </c>
      <c r="B54">
        <f>72</f>
        <v>72</v>
      </c>
      <c r="C54">
        <f xml:space="preserve"> COUNTIFS(RawData[part_id], A54, RawData[demand_quantity], "&gt;0")</f>
        <v>9</v>
      </c>
      <c r="D54">
        <f xml:space="preserve"> AVERAGEIFS(RawData[demand_quantity], RawData[part_id], A54, RawData[demand_quantity], "&gt;0")</f>
        <v>2</v>
      </c>
      <c r="E54" cm="1">
        <f t="array" ref="E54" xml:space="preserve"> _xlfn.STDEV.S(IF((RawData[part_id]=A54)*(RawData[demand_quantity]&gt;0), RawData[demand_quantity]))</f>
        <v>1.5</v>
      </c>
      <c r="F54">
        <f>PartSummary[[#This Row],[TotalPeriods]]/PartSummary[[#This Row],[NonZeroPeriods]]</f>
        <v>8</v>
      </c>
      <c r="G54">
        <f t="shared" si="12"/>
        <v>0.5625</v>
      </c>
      <c r="H54" t="str">
        <f t="shared" si="13"/>
        <v>Lumpy</v>
      </c>
      <c r="I54">
        <f>SUMIFS('RawData'!G:G,'RawData'!A:A,PartSummary[[#This Row],[part_id]])</f>
        <v>18</v>
      </c>
      <c r="J54">
        <f t="shared" si="14"/>
        <v>52</v>
      </c>
      <c r="K54">
        <f t="shared" si="15"/>
        <v>14215</v>
      </c>
      <c r="L54" s="4">
        <f t="shared" si="16"/>
        <v>0.99301432064268247</v>
      </c>
      <c r="M54" t="str">
        <f t="shared" si="17"/>
        <v>C</v>
      </c>
      <c r="N54">
        <f>PartSummary[[#This Row],[StdDevNonZeroDemand]]/PartSummary[[#This Row],[MeanNonZeroDemand]]</f>
        <v>0.75</v>
      </c>
      <c r="O54" t="str">
        <f t="shared" si="18"/>
        <v>Y</v>
      </c>
      <c r="P54" t="str">
        <f t="shared" si="19"/>
        <v>CY</v>
      </c>
      <c r="Q54">
        <f>AVERAGEIFS('RawData'!M:M,'RawData'!A:A,PartSummary[[#This Row],[part_id]])</f>
        <v>42.083333333333336</v>
      </c>
      <c r="R54" cm="1">
        <f t="array" ref="R54">_xlfn.STDEV.S(IF('RawData'!A:A=PartSummary[[#This Row],[part_id]],'RawData'!M:M))</f>
        <v>15.850312122043439</v>
      </c>
      <c r="S54" s="1" cm="1">
        <f t="array" ref="S54" xml:space="preserve"> MAX(IF(RawData[part_id]=A54, RawData[period_start_date_FIXED]))</f>
        <v>45261</v>
      </c>
      <c r="T54" s="9">
        <f xml:space="preserve"> AVERAGEIFS(RawData[demand_quantity], RawData[part_id], A54, RawData[period_start_date_FIXED], "&gt;"&amp;EDATE(S54,-6))</f>
        <v>1.1666666666666667</v>
      </c>
      <c r="U54" cm="1">
        <f t="array" ref="U54">(LOOKUP(2,1/((RawData[part_id]=A54)*(RawData[demand_quantity]&lt;&gt;0)), RawData[demand_quantity])) / F54</f>
        <v>0.625</v>
      </c>
      <c r="V54" cm="1">
        <f t="array" aca="1" ref="V54" ca="1" xml:space="preserve"> LOOKUP(2,1/(RawData[part_id]=A54), RawData[Croston_Recursive_Forecast])</f>
        <v>0.35256055336693987</v>
      </c>
      <c r="W54">
        <f t="shared" ca="1" si="20"/>
        <v>0.31730449803024591</v>
      </c>
      <c r="X54">
        <f t="shared" si="21"/>
        <v>1.6448536269514715</v>
      </c>
      <c r="Y54">
        <f t="shared" si="22"/>
        <v>3.4000514725558859</v>
      </c>
      <c r="Z54" s="9">
        <f t="shared" ca="1" si="23"/>
        <v>3.8451591711816477</v>
      </c>
    </row>
    <row r="55" spans="1:26">
      <c r="A55" t="s">
        <v>61</v>
      </c>
      <c r="B55">
        <f>72</f>
        <v>72</v>
      </c>
      <c r="C55">
        <f xml:space="preserve"> COUNTIFS(RawData[part_id], A55, RawData[demand_quantity], "&gt;0")</f>
        <v>10</v>
      </c>
      <c r="D55">
        <f xml:space="preserve"> AVERAGEIFS(RawData[demand_quantity], RawData[part_id], A55, RawData[demand_quantity], "&gt;0")</f>
        <v>1.7</v>
      </c>
      <c r="E55" cm="1">
        <f t="array" ref="E55" xml:space="preserve"> _xlfn.STDEV.S(IF((RawData[part_id]=A55)*(RawData[demand_quantity]&gt;0), RawData[demand_quantity]))</f>
        <v>0.94868329805051388</v>
      </c>
      <c r="F55">
        <f>PartSummary[[#This Row],[TotalPeriods]]/PartSummary[[#This Row],[NonZeroPeriods]]</f>
        <v>7.2</v>
      </c>
      <c r="G55">
        <f t="shared" si="12"/>
        <v>0.31141868512110732</v>
      </c>
      <c r="H55" t="str">
        <f t="shared" si="13"/>
        <v>Intermittent</v>
      </c>
      <c r="I55">
        <f>SUMIFS('RawData'!G:G,'RawData'!A:A,PartSummary[[#This Row],[part_id]])</f>
        <v>17</v>
      </c>
      <c r="J55">
        <f t="shared" si="14"/>
        <v>54</v>
      </c>
      <c r="K55">
        <f t="shared" si="15"/>
        <v>14266</v>
      </c>
      <c r="L55" s="4">
        <f t="shared" si="16"/>
        <v>0.99657701711491442</v>
      </c>
      <c r="M55" t="str">
        <f t="shared" si="17"/>
        <v>C</v>
      </c>
      <c r="N55">
        <f>PartSummary[[#This Row],[StdDevNonZeroDemand]]/PartSummary[[#This Row],[MeanNonZeroDemand]]</f>
        <v>0.55804899885324344</v>
      </c>
      <c r="O55" t="str">
        <f t="shared" si="18"/>
        <v>Y</v>
      </c>
      <c r="P55" t="str">
        <f t="shared" si="19"/>
        <v>CY</v>
      </c>
      <c r="Q55">
        <f>AVERAGEIFS('RawData'!M:M,'RawData'!A:A,PartSummary[[#This Row],[part_id]])</f>
        <v>36.458333333333336</v>
      </c>
      <c r="R55" cm="1">
        <f t="array" ref="R55">_xlfn.STDEV.S(IF('RawData'!A:A=PartSummary[[#This Row],[part_id]],'RawData'!M:M))</f>
        <v>17.591561277186685</v>
      </c>
      <c r="S55" s="1" cm="1">
        <f t="array" ref="S55" xml:space="preserve"> MAX(IF(RawData[part_id]=A55, RawData[period_start_date_FIXED]))</f>
        <v>45261</v>
      </c>
      <c r="T55" s="9">
        <f xml:space="preserve"> AVERAGEIFS(RawData[demand_quantity], RawData[part_id], A55, RawData[period_start_date_FIXED], "&gt;"&amp;EDATE(S55,-6))</f>
        <v>0.16666666666666666</v>
      </c>
      <c r="U55" cm="1">
        <f t="array" ref="U55">(LOOKUP(2,1/((RawData[part_id]=A55)*(RawData[demand_quantity]&lt;&gt;0)), RawData[demand_quantity])) / F55</f>
        <v>0.1388888888888889</v>
      </c>
      <c r="V55" cm="1">
        <f t="array" aca="1" ref="V55" ca="1" xml:space="preserve"> LOOKUP(2,1/(RawData[part_id]=A55), RawData[Croston_Recursive_Forecast])</f>
        <v>0.20374037488167929</v>
      </c>
      <c r="W55">
        <f t="shared" ca="1" si="20"/>
        <v>0.20374037488167929</v>
      </c>
      <c r="X55">
        <f t="shared" si="21"/>
        <v>1.6448536269514715</v>
      </c>
      <c r="Y55">
        <f t="shared" si="22"/>
        <v>2.3764976855192774</v>
      </c>
      <c r="Z55" s="9">
        <f t="shared" ca="1" si="23"/>
        <v>2.6240988355490962</v>
      </c>
    </row>
    <row r="56" spans="1:26">
      <c r="A56" t="s">
        <v>68</v>
      </c>
      <c r="B56">
        <f>72</f>
        <v>72</v>
      </c>
      <c r="C56">
        <f xml:space="preserve"> COUNTIFS(RawData[part_id], A56, RawData[demand_quantity], "&gt;0")</f>
        <v>12</v>
      </c>
      <c r="D56">
        <f xml:space="preserve"> AVERAGEIFS(RawData[demand_quantity], RawData[part_id], A56, RawData[demand_quantity], "&gt;0")</f>
        <v>1.4166666666666667</v>
      </c>
      <c r="E56" cm="1">
        <f t="array" ref="E56" xml:space="preserve"> _xlfn.STDEV.S(IF((RawData[part_id]=A56)*(RawData[demand_quantity]&gt;0), RawData[demand_quantity]))</f>
        <v>0.66855792342152154</v>
      </c>
      <c r="F56">
        <f>PartSummary[[#This Row],[TotalPeriods]]/PartSummary[[#This Row],[NonZeroPeriods]]</f>
        <v>6</v>
      </c>
      <c r="G56">
        <f t="shared" si="12"/>
        <v>0.22271154451085245</v>
      </c>
      <c r="H56" t="str">
        <f t="shared" si="13"/>
        <v>Intermittent</v>
      </c>
      <c r="I56">
        <f>SUMIFS('RawData'!G:G,'RawData'!A:A,PartSummary[[#This Row],[part_id]])</f>
        <v>17</v>
      </c>
      <c r="J56">
        <f t="shared" si="14"/>
        <v>54</v>
      </c>
      <c r="K56">
        <f t="shared" si="15"/>
        <v>14266</v>
      </c>
      <c r="L56" s="4">
        <f t="shared" si="16"/>
        <v>0.99657701711491442</v>
      </c>
      <c r="M56" t="str">
        <f t="shared" si="17"/>
        <v>C</v>
      </c>
      <c r="N56">
        <f>PartSummary[[#This Row],[StdDevNonZeroDemand]]/PartSummary[[#This Row],[MeanNonZeroDemand]]</f>
        <v>0.47192324006225045</v>
      </c>
      <c r="O56" t="str">
        <f t="shared" si="18"/>
        <v>X</v>
      </c>
      <c r="P56" t="str">
        <f t="shared" si="19"/>
        <v>CX</v>
      </c>
      <c r="Q56">
        <f>AVERAGEIFS('RawData'!M:M,'RawData'!A:A,PartSummary[[#This Row],[part_id]])</f>
        <v>39.375</v>
      </c>
      <c r="R56" cm="1">
        <f t="array" ref="R56">_xlfn.STDEV.S(IF('RawData'!A:A=PartSummary[[#This Row],[part_id]],'RawData'!M:M))</f>
        <v>16.782315893837875</v>
      </c>
      <c r="S56" s="1" cm="1">
        <f t="array" ref="S56" xml:space="preserve"> MAX(IF(RawData[part_id]=A56, RawData[period_start_date_FIXED]))</f>
        <v>45261</v>
      </c>
      <c r="T56" s="9">
        <f xml:space="preserve"> AVERAGEIFS(RawData[demand_quantity], RawData[part_id], A56, RawData[period_start_date_FIXED], "&gt;"&amp;EDATE(S56,-6))</f>
        <v>0.33333333333333331</v>
      </c>
      <c r="U56" cm="1">
        <f t="array" ref="U56">(LOOKUP(2,1/((RawData[part_id]=A56)*(RawData[demand_quantity]&lt;&gt;0)), RawData[demand_quantity])) / F56</f>
        <v>0.16666666666666666</v>
      </c>
      <c r="V56" cm="1">
        <f t="array" aca="1" ref="V56" ca="1" xml:space="preserve"> LOOKUP(2,1/(RawData[part_id]=A56), RawData[Croston_Recursive_Forecast])</f>
        <v>0.23117901478756417</v>
      </c>
      <c r="W56">
        <f t="shared" ca="1" si="20"/>
        <v>0.23117901478756417</v>
      </c>
      <c r="X56">
        <f t="shared" si="21"/>
        <v>1.6448536269514715</v>
      </c>
      <c r="Y56">
        <f t="shared" si="22"/>
        <v>1.8128504881006433</v>
      </c>
      <c r="Z56" s="9">
        <f t="shared" ca="1" si="23"/>
        <v>2.1162729450093214</v>
      </c>
    </row>
    <row r="57" spans="1:26">
      <c r="A57" t="s">
        <v>73</v>
      </c>
      <c r="B57">
        <f>72</f>
        <v>72</v>
      </c>
      <c r="C57">
        <f xml:space="preserve"> COUNTIFS(RawData[part_id], A57, RawData[demand_quantity], "&gt;0")</f>
        <v>8</v>
      </c>
      <c r="D57">
        <f xml:space="preserve"> AVERAGEIFS(RawData[demand_quantity], RawData[part_id], A57, RawData[demand_quantity], "&gt;0")</f>
        <v>2.125</v>
      </c>
      <c r="E57" cm="1">
        <f t="array" ref="E57" xml:space="preserve"> _xlfn.STDEV.S(IF((RawData[part_id]=A57)*(RawData[demand_quantity]&gt;0), RawData[demand_quantity]))</f>
        <v>0.83452296039628016</v>
      </c>
      <c r="F57">
        <f>PartSummary[[#This Row],[TotalPeriods]]/PartSummary[[#This Row],[NonZeroPeriods]]</f>
        <v>9</v>
      </c>
      <c r="G57">
        <f t="shared" si="12"/>
        <v>0.15422639644092928</v>
      </c>
      <c r="H57" t="str">
        <f t="shared" si="13"/>
        <v>Intermittent</v>
      </c>
      <c r="I57">
        <f>SUMIFS('RawData'!G:G,'RawData'!A:A,PartSummary[[#This Row],[part_id]])</f>
        <v>17</v>
      </c>
      <c r="J57">
        <f t="shared" si="14"/>
        <v>54</v>
      </c>
      <c r="K57">
        <f t="shared" si="15"/>
        <v>14266</v>
      </c>
      <c r="L57" s="4">
        <f t="shared" si="16"/>
        <v>0.99657701711491442</v>
      </c>
      <c r="M57" t="str">
        <f t="shared" si="17"/>
        <v>C</v>
      </c>
      <c r="N57">
        <f>PartSummary[[#This Row],[StdDevNonZeroDemand]]/PartSummary[[#This Row],[MeanNonZeroDemand]]</f>
        <v>0.39271668724530828</v>
      </c>
      <c r="O57" t="str">
        <f t="shared" si="18"/>
        <v>X</v>
      </c>
      <c r="P57" t="str">
        <f t="shared" si="19"/>
        <v>CX</v>
      </c>
      <c r="Q57">
        <f>AVERAGEIFS('RawData'!M:M,'RawData'!A:A,PartSummary[[#This Row],[part_id]])</f>
        <v>38.958333333333336</v>
      </c>
      <c r="R57" cm="1">
        <f t="array" ref="R57">_xlfn.STDEV.S(IF('RawData'!A:A=PartSummary[[#This Row],[part_id]],'RawData'!M:M))</f>
        <v>17.561511613208161</v>
      </c>
      <c r="S57" s="1" cm="1">
        <f t="array" ref="S57" xml:space="preserve"> MAX(IF(RawData[part_id]=A57, RawData[period_start_date_FIXED]))</f>
        <v>45261</v>
      </c>
      <c r="T57" s="9">
        <f xml:space="preserve"> AVERAGEIFS(RawData[demand_quantity], RawData[part_id], A57, RawData[period_start_date_FIXED], "&gt;"&amp;EDATE(S57,-6))</f>
        <v>0.83333333333333337</v>
      </c>
      <c r="U57" cm="1">
        <f t="array" ref="U57">(LOOKUP(2,1/((RawData[part_id]=A57)*(RawData[demand_quantity]&lt;&gt;0)), RawData[demand_quantity])) / F57</f>
        <v>0.33333333333333331</v>
      </c>
      <c r="V57" cm="1">
        <f t="array" aca="1" ref="V57" ca="1" xml:space="preserve"> LOOKUP(2,1/(RawData[part_id]=A57), RawData[Croston_Recursive_Forecast])</f>
        <v>0.25135818757741929</v>
      </c>
      <c r="W57">
        <f t="shared" ca="1" si="20"/>
        <v>0.25135818757741929</v>
      </c>
      <c r="X57">
        <f t="shared" si="21"/>
        <v>1.6448536269514715</v>
      </c>
      <c r="Y57">
        <f t="shared" si="22"/>
        <v>2.5755370072532773</v>
      </c>
      <c r="Z57" s="9">
        <f t="shared" ca="1" si="23"/>
        <v>2.9019535425100647</v>
      </c>
    </row>
    <row r="58" spans="1:26">
      <c r="A58" t="s">
        <v>77</v>
      </c>
      <c r="B58">
        <f>72</f>
        <v>72</v>
      </c>
      <c r="C58">
        <f xml:space="preserve"> COUNTIFS(RawData[part_id], A58, RawData[demand_quantity], "&gt;0")</f>
        <v>6</v>
      </c>
      <c r="D58">
        <f xml:space="preserve"> AVERAGEIFS(RawData[demand_quantity], RawData[part_id], A58, RawData[demand_quantity], "&gt;0")</f>
        <v>2.5</v>
      </c>
      <c r="E58" cm="1">
        <f t="array" ref="E58" xml:space="preserve"> _xlfn.STDEV.S(IF((RawData[part_id]=A58)*(RawData[demand_quantity]&gt;0), RawData[demand_quantity]))</f>
        <v>1.2247448713915889</v>
      </c>
      <c r="F58">
        <f>PartSummary[[#This Row],[TotalPeriods]]/PartSummary[[#This Row],[NonZeroPeriods]]</f>
        <v>12</v>
      </c>
      <c r="G58">
        <f t="shared" si="12"/>
        <v>0.24</v>
      </c>
      <c r="H58" t="str">
        <f t="shared" si="13"/>
        <v>Intermittent</v>
      </c>
      <c r="I58">
        <f>SUMIFS('RawData'!G:G,'RawData'!A:A,PartSummary[[#This Row],[part_id]])</f>
        <v>15</v>
      </c>
      <c r="J58">
        <f t="shared" si="14"/>
        <v>57</v>
      </c>
      <c r="K58">
        <f t="shared" si="15"/>
        <v>14281</v>
      </c>
      <c r="L58" s="4">
        <f t="shared" si="16"/>
        <v>0.99762486901851199</v>
      </c>
      <c r="M58" t="str">
        <f t="shared" si="17"/>
        <v>C</v>
      </c>
      <c r="N58">
        <f>PartSummary[[#This Row],[StdDevNonZeroDemand]]/PartSummary[[#This Row],[MeanNonZeroDemand]]</f>
        <v>0.4898979485566356</v>
      </c>
      <c r="O58" t="str">
        <f t="shared" si="18"/>
        <v>X</v>
      </c>
      <c r="P58" t="str">
        <f t="shared" si="19"/>
        <v>CX</v>
      </c>
      <c r="Q58">
        <f>AVERAGEIFS('RawData'!M:M,'RawData'!A:A,PartSummary[[#This Row],[part_id]])</f>
        <v>38.958333333333336</v>
      </c>
      <c r="R58" cm="1">
        <f t="array" ref="R58">_xlfn.STDEV.S(IF('RawData'!A:A=PartSummary[[#This Row],[part_id]],'RawData'!M:M))</f>
        <v>17.011543305467697</v>
      </c>
      <c r="S58" s="1" cm="1">
        <f t="array" ref="S58" xml:space="preserve"> MAX(IF(RawData[part_id]=A58, RawData[period_start_date_FIXED]))</f>
        <v>45261</v>
      </c>
      <c r="T58" s="9">
        <f xml:space="preserve"> AVERAGEIFS(RawData[demand_quantity], RawData[part_id], A58, RawData[period_start_date_FIXED], "&gt;"&amp;EDATE(S58,-6))</f>
        <v>0</v>
      </c>
      <c r="U58" cm="1">
        <f t="array" ref="U58">(LOOKUP(2,1/((RawData[part_id]=A58)*(RawData[demand_quantity]&lt;&gt;0)), RawData[demand_quantity])) / F58</f>
        <v>0.16666666666666666</v>
      </c>
      <c r="V58" cm="1">
        <f t="array" aca="1" ref="V58" ca="1" xml:space="preserve"> LOOKUP(2,1/(RawData[part_id]=A58), RawData[Croston_Recursive_Forecast])</f>
        <v>0.23672861731651471</v>
      </c>
      <c r="W58">
        <f t="shared" ca="1" si="20"/>
        <v>0.23672861731651471</v>
      </c>
      <c r="X58">
        <f t="shared" si="21"/>
        <v>1.6448536269514715</v>
      </c>
      <c r="Y58">
        <f t="shared" si="22"/>
        <v>3.272220203544606</v>
      </c>
      <c r="Z58" s="9">
        <f t="shared" ca="1" si="23"/>
        <v>3.5796386163098024</v>
      </c>
    </row>
    <row r="59" spans="1:26">
      <c r="A59" t="s">
        <v>67</v>
      </c>
      <c r="B59">
        <f>72</f>
        <v>72</v>
      </c>
      <c r="C59">
        <f xml:space="preserve"> COUNTIFS(RawData[part_id], A59, RawData[demand_quantity], "&gt;0")</f>
        <v>8</v>
      </c>
      <c r="D59">
        <f xml:space="preserve"> AVERAGEIFS(RawData[demand_quantity], RawData[part_id], A59, RawData[demand_quantity], "&gt;0")</f>
        <v>1.75</v>
      </c>
      <c r="E59" cm="1">
        <f t="array" ref="E59" xml:space="preserve"> _xlfn.STDEV.S(IF((RawData[part_id]=A59)*(RawData[demand_quantity]&gt;0), RawData[demand_quantity]))</f>
        <v>1.0350983390135313</v>
      </c>
      <c r="F59">
        <f>PartSummary[[#This Row],[TotalPeriods]]/PartSummary[[#This Row],[NonZeroPeriods]]</f>
        <v>9</v>
      </c>
      <c r="G59">
        <f t="shared" si="12"/>
        <v>0.34985422740524785</v>
      </c>
      <c r="H59" t="str">
        <f t="shared" si="13"/>
        <v>Intermittent</v>
      </c>
      <c r="I59">
        <f>SUMIFS('RawData'!G:G,'RawData'!A:A,PartSummary[[#This Row],[part_id]])</f>
        <v>14</v>
      </c>
      <c r="J59">
        <f t="shared" si="14"/>
        <v>58</v>
      </c>
      <c r="K59">
        <f t="shared" si="15"/>
        <v>14309</v>
      </c>
      <c r="L59" s="4">
        <f t="shared" si="16"/>
        <v>0.99958085923856099</v>
      </c>
      <c r="M59" t="str">
        <f t="shared" si="17"/>
        <v>C</v>
      </c>
      <c r="N59">
        <f>PartSummary[[#This Row],[StdDevNonZeroDemand]]/PartSummary[[#This Row],[MeanNonZeroDemand]]</f>
        <v>0.59148476515058934</v>
      </c>
      <c r="O59" t="str">
        <f t="shared" si="18"/>
        <v>Y</v>
      </c>
      <c r="P59" t="str">
        <f t="shared" si="19"/>
        <v>CY</v>
      </c>
      <c r="Q59">
        <f>AVERAGEIFS('RawData'!M:M,'RawData'!A:A,PartSummary[[#This Row],[part_id]])</f>
        <v>40.208333333333336</v>
      </c>
      <c r="R59" cm="1">
        <f t="array" ref="R59">_xlfn.STDEV.S(IF('RawData'!A:A=PartSummary[[#This Row],[part_id]],'RawData'!M:M))</f>
        <v>16.855590036927147</v>
      </c>
      <c r="S59" s="1" cm="1">
        <f t="array" ref="S59" xml:space="preserve"> MAX(IF(RawData[part_id]=A59, RawData[period_start_date_FIXED]))</f>
        <v>45261</v>
      </c>
      <c r="T59" s="9">
        <f xml:space="preserve"> AVERAGEIFS(RawData[demand_quantity], RawData[part_id], A59, RawData[period_start_date_FIXED], "&gt;"&amp;EDATE(S59,-6))</f>
        <v>0</v>
      </c>
      <c r="U59" cm="1">
        <f t="array" ref="U59">(LOOKUP(2,1/((RawData[part_id]=A59)*(RawData[demand_quantity]&lt;&gt;0)), RawData[demand_quantity])) / F59</f>
        <v>0.1111111111111111</v>
      </c>
      <c r="V59" cm="1">
        <f t="array" aca="1" ref="V59" ca="1" xml:space="preserve"> LOOKUP(2,1/(RawData[part_id]=A59), RawData[Croston_Recursive_Forecast])</f>
        <v>0.23282911777292276</v>
      </c>
      <c r="W59">
        <f t="shared" ca="1" si="20"/>
        <v>0.23282911777292276</v>
      </c>
      <c r="X59">
        <f t="shared" si="21"/>
        <v>1.6448536269514715</v>
      </c>
      <c r="Y59">
        <f t="shared" si="22"/>
        <v>2.5496707375035337</v>
      </c>
      <c r="Z59" s="9">
        <f t="shared" ca="1" si="23"/>
        <v>2.8617264300741869</v>
      </c>
    </row>
    <row r="60" spans="1:26">
      <c r="A60" t="s">
        <v>79</v>
      </c>
      <c r="B60">
        <f>72</f>
        <v>72</v>
      </c>
      <c r="C60">
        <f xml:space="preserve"> COUNTIFS(RawData[part_id], A60, RawData[demand_quantity], "&gt;0")</f>
        <v>8</v>
      </c>
      <c r="D60">
        <f xml:space="preserve"> AVERAGEIFS(RawData[demand_quantity], RawData[part_id], A60, RawData[demand_quantity], "&gt;0")</f>
        <v>1.75</v>
      </c>
      <c r="E60" cm="1">
        <f t="array" ref="E60" xml:space="preserve"> _xlfn.STDEV.S(IF((RawData[part_id]=A60)*(RawData[demand_quantity]&gt;0), RawData[demand_quantity]))</f>
        <v>1.3887301496588271</v>
      </c>
      <c r="F60">
        <f>PartSummary[[#This Row],[TotalPeriods]]/PartSummary[[#This Row],[NonZeroPeriods]]</f>
        <v>9</v>
      </c>
      <c r="G60">
        <f t="shared" si="12"/>
        <v>0.629737609329446</v>
      </c>
      <c r="H60" t="str">
        <f t="shared" si="13"/>
        <v>Lumpy</v>
      </c>
      <c r="I60">
        <f>SUMIFS('RawData'!G:G,'RawData'!A:A,PartSummary[[#This Row],[part_id]])</f>
        <v>14</v>
      </c>
      <c r="J60">
        <f t="shared" si="14"/>
        <v>58</v>
      </c>
      <c r="K60">
        <f t="shared" si="15"/>
        <v>14309</v>
      </c>
      <c r="L60" s="4">
        <f t="shared" si="16"/>
        <v>0.99958085923856099</v>
      </c>
      <c r="M60" t="str">
        <f t="shared" si="17"/>
        <v>C</v>
      </c>
      <c r="N60">
        <f>PartSummary[[#This Row],[StdDevNonZeroDemand]]/PartSummary[[#This Row],[MeanNonZeroDemand]]</f>
        <v>0.79356008551932977</v>
      </c>
      <c r="O60" t="str">
        <f t="shared" si="18"/>
        <v>Y</v>
      </c>
      <c r="P60" t="str">
        <f t="shared" si="19"/>
        <v>CY</v>
      </c>
      <c r="Q60">
        <f>AVERAGEIFS('RawData'!M:M,'RawData'!A:A,PartSummary[[#This Row],[part_id]])</f>
        <v>38.958333333333336</v>
      </c>
      <c r="R60" cm="1">
        <f t="array" ref="R60">_xlfn.STDEV.S(IF('RawData'!A:A=PartSummary[[#This Row],[part_id]],'RawData'!M:M))</f>
        <v>17.19682045620111</v>
      </c>
      <c r="S60" s="1" cm="1">
        <f t="array" ref="S60" xml:space="preserve"> MAX(IF(RawData[part_id]=A60, RawData[period_start_date_FIXED]))</f>
        <v>45261</v>
      </c>
      <c r="T60" s="9">
        <f xml:space="preserve"> AVERAGEIFS(RawData[demand_quantity], RawData[part_id], A60, RawData[period_start_date_FIXED], "&gt;"&amp;EDATE(S60,-6))</f>
        <v>1.1666666666666667</v>
      </c>
      <c r="U60" cm="1">
        <f t="array" ref="U60">(LOOKUP(2,1/((RawData[part_id]=A60)*(RawData[demand_quantity]&lt;&gt;0)), RawData[demand_quantity])) / F60</f>
        <v>0.55555555555555558</v>
      </c>
      <c r="V60" cm="1">
        <f t="array" aca="1" ref="V60" ca="1" xml:space="preserve"> LOOKUP(2,1/(RawData[part_id]=A60), RawData[Croston_Recursive_Forecast])</f>
        <v>0.28357026283088249</v>
      </c>
      <c r="W60">
        <f t="shared" ca="1" si="20"/>
        <v>0.25521323654779426</v>
      </c>
      <c r="X60">
        <f t="shared" si="21"/>
        <v>1.6448536269514715</v>
      </c>
      <c r="Y60">
        <f t="shared" si="22"/>
        <v>3.0819702401796865</v>
      </c>
      <c r="Z60" s="9">
        <f t="shared" ca="1" si="23"/>
        <v>3.4133929848632802</v>
      </c>
    </row>
    <row r="61" spans="1:26">
      <c r="A61" t="s">
        <v>65</v>
      </c>
      <c r="B61">
        <f>72</f>
        <v>72</v>
      </c>
      <c r="C61">
        <f xml:space="preserve"> COUNTIFS(RawData[part_id], A61, RawData[demand_quantity], "&gt;0")</f>
        <v>6</v>
      </c>
      <c r="D61">
        <f xml:space="preserve"> AVERAGEIFS(RawData[demand_quantity], RawData[part_id], A61, RawData[demand_quantity], "&gt;0")</f>
        <v>1</v>
      </c>
      <c r="E61" cm="1">
        <f t="array" ref="E61" xml:space="preserve"> _xlfn.STDEV.S(IF((RawData[part_id]=A61)*(RawData[demand_quantity]&gt;0), RawData[demand_quantity]))</f>
        <v>0</v>
      </c>
      <c r="F61">
        <f>PartSummary[[#This Row],[TotalPeriods]]/PartSummary[[#This Row],[NonZeroPeriods]]</f>
        <v>12</v>
      </c>
      <c r="G61">
        <f t="shared" si="12"/>
        <v>0</v>
      </c>
      <c r="H61" t="str">
        <f t="shared" si="13"/>
        <v>Intermittent</v>
      </c>
      <c r="I61">
        <f>SUMIFS('RawData'!G:G,'RawData'!A:A,PartSummary[[#This Row],[part_id]])</f>
        <v>6</v>
      </c>
      <c r="J61">
        <f t="shared" si="14"/>
        <v>60</v>
      </c>
      <c r="K61">
        <f t="shared" si="15"/>
        <v>14315</v>
      </c>
      <c r="L61" s="4">
        <f t="shared" si="16"/>
        <v>1</v>
      </c>
      <c r="M61" t="str">
        <f t="shared" si="17"/>
        <v>C</v>
      </c>
      <c r="N61">
        <f>PartSummary[[#This Row],[StdDevNonZeroDemand]]/PartSummary[[#This Row],[MeanNonZeroDemand]]</f>
        <v>0</v>
      </c>
      <c r="O61" t="str">
        <f t="shared" si="18"/>
        <v>X</v>
      </c>
      <c r="P61" t="str">
        <f t="shared" si="19"/>
        <v>CX</v>
      </c>
      <c r="Q61">
        <f>AVERAGEIFS('RawData'!M:M,'RawData'!A:A,PartSummary[[#This Row],[part_id]])</f>
        <v>38.75</v>
      </c>
      <c r="R61" cm="1">
        <f t="array" ref="R61">_xlfn.STDEV.S(IF('RawData'!A:A=PartSummary[[#This Row],[part_id]],'RawData'!M:M))</f>
        <v>17.213448721897901</v>
      </c>
      <c r="S61" s="1" cm="1">
        <f t="array" ref="S61" xml:space="preserve"> MAX(IF(RawData[part_id]=A61, RawData[period_start_date_FIXED]))</f>
        <v>45261</v>
      </c>
      <c r="T61" s="9">
        <f xml:space="preserve"> AVERAGEIFS(RawData[demand_quantity], RawData[part_id], A61, RawData[period_start_date_FIXED], "&gt;"&amp;EDATE(S61,-6))</f>
        <v>0.16666666666666666</v>
      </c>
      <c r="U61" cm="1">
        <f t="array" ref="U61">(LOOKUP(2,1/((RawData[part_id]=A61)*(RawData[demand_quantity]&lt;&gt;0)), RawData[demand_quantity])) / F61</f>
        <v>8.3333333333333329E-2</v>
      </c>
      <c r="V61" cm="1">
        <f t="array" aca="1" ref="V61" ca="1" xml:space="preserve"> LOOKUP(2,1/(RawData[part_id]=A61), RawData[Croston_Recursive_Forecast])</f>
        <v>8.7853387182808815E-2</v>
      </c>
      <c r="W61">
        <f t="shared" ca="1" si="20"/>
        <v>8.7853387182808815E-2</v>
      </c>
      <c r="X61">
        <f t="shared" si="21"/>
        <v>1.6448536269514715</v>
      </c>
      <c r="Y61">
        <f t="shared" si="22"/>
        <v>0.94378678541856453</v>
      </c>
      <c r="Z61" s="9">
        <f t="shared" ca="1" si="23"/>
        <v>1.0572640771963593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37595F-EFAC-4163-9FE1-078C81E915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Part_Summary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Nelly Dyulgerova</dc:creator>
  <cp:lastModifiedBy>Nelly Dyulgerova</cp:lastModifiedBy>
  <dcterms:created xsi:type="dcterms:W3CDTF">2026-09-24T11:56:12Z</dcterms:created>
  <dcterms:modified xsi:type="dcterms:W3CDTF">2026-10-12T12:02:07Z</dcterms:modified>
</cp:coreProperties>
</file>